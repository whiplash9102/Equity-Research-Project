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5840" windowHeight="22400" tabRatio="600" firstSheet="1" activeTab="8" autoFilterDateGrouping="1"/>
  </bookViews>
  <sheets>
    <sheet name="Share Price Analysis" sheetId="1" state="visible" r:id="rId1"/>
    <sheet name="Financial Analysis" sheetId="2" state="visible" r:id="rId2"/>
    <sheet name="Credit Analysis" sheetId="3" state="visible" r:id="rId3"/>
    <sheet name="ESG Analysis" sheetId="4" state="visible" r:id="rId4"/>
    <sheet name="Industry &amp; Macro Analysis" sheetId="5" state="visible" r:id="rId5"/>
    <sheet name="Multiple Valuation" sheetId="6" state="visible" r:id="rId6"/>
    <sheet name="Dividend Discount Model" sheetId="7" state="visible" r:id="rId7"/>
    <sheet name="DCF Analysis" sheetId="8" state="visible" r:id="rId8"/>
    <sheet name="Sheet9_Financial Data" sheetId="9" state="visible" r:id="rId9"/>
  </sheets>
  <definedNames>
    <definedName name="_xlnm.Print_Area" localSheetId="1">'Financial Analysis'!$A$1:$T$110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0.00\x"/>
    <numFmt numFmtId="165" formatCode="#,##0.0"/>
    <numFmt numFmtId="166" formatCode="yyyy\-mm\-dd"/>
    <numFmt numFmtId="167" formatCode="\$#,##0.00"/>
    <numFmt numFmtId="168" formatCode="\$#,##0.0"/>
    <numFmt numFmtId="169" formatCode="[&gt;=100]##,##0.0\%;[&lt;=-100]\-##,##0.0\%;##,##0.0\%"/>
    <numFmt numFmtId="170" formatCode="0.0%"/>
    <numFmt numFmtId="171" formatCode="0.00x"/>
    <numFmt numFmtId="172" formatCode="0.0"/>
  </numFmts>
  <fonts count="25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rgb="FF666666"/>
      <sz val="11"/>
      <scheme val="minor"/>
    </font>
    <font>
      <name val="Calibri"/>
      <family val="2"/>
      <b val="1"/>
      <color rgb="FF1F4E78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F5475B"/>
      <sz val="10"/>
    </font>
    <font>
      <name val="Calibri"/>
      <family val="2"/>
      <color rgb="FF000000"/>
      <sz val="11"/>
    </font>
    <font>
      <name val="Calibri"/>
      <family val="2"/>
      <b val="1"/>
      <color rgb="FFF5475B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color rgb="FFFFFFFF"/>
      <sz val="10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F5475B"/>
      <sz val="10"/>
      <scheme val="minor"/>
    </font>
    <font>
      <name val="Arial"/>
      <b val="1"/>
      <color rgb="00FFFFFF"/>
      <sz val="15"/>
    </font>
    <font>
      <name val="Arial"/>
      <i val="1"/>
      <color rgb="00EAF2F8"/>
      <sz val="9"/>
    </font>
    <font>
      <name val="Arial"/>
      <b val="1"/>
      <color rgb="00FFFFFF"/>
      <sz val="11"/>
    </font>
    <font>
      <name val="Arial"/>
      <b val="1"/>
      <color rgb="001F1F1F"/>
      <sz val="9"/>
    </font>
    <font>
      <name val="Arial"/>
      <color rgb="001F1F1F"/>
      <sz val="9"/>
    </font>
    <font>
      <name val="Arial"/>
      <i val="1"/>
      <color rgb="005A5A5A"/>
      <sz val="9"/>
    </font>
  </fonts>
  <fills count="18">
    <fill>
      <patternFill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9E8F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C4D79B"/>
        <bgColor rgb="FF000000"/>
      </patternFill>
    </fill>
    <fill>
      <patternFill patternType="solid">
        <fgColor rgb="001F4E78"/>
      </patternFill>
    </fill>
    <fill>
      <patternFill patternType="solid">
        <fgColor rgb="0024486B"/>
      </patternFill>
    </fill>
    <fill>
      <patternFill patternType="solid">
        <fgColor rgb="00DCE6F1"/>
      </patternFill>
    </fill>
    <fill>
      <patternFill patternType="solid">
        <fgColor rgb="00F4F7FA"/>
      </patternFill>
    </fill>
    <fill>
      <patternFill patternType="solid">
        <fgColor rgb="00EAF2F8"/>
      </patternFill>
    </fill>
    <fill>
      <patternFill patternType="solid">
        <fgColor rgb="00F8FAFC"/>
      </patternFill>
    </fill>
  </fills>
  <borders count="5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/>
      </right>
      <top/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/>
      <top style="thin">
        <color theme="0"/>
      </top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/>
      <top/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  <diagonal/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  <diagonal/>
    </border>
    <border>
      <left style="thin">
        <color rgb="FFD5D8DB"/>
      </left>
      <right style="thin">
        <color rgb="FFD5D8DB"/>
      </right>
      <top/>
      <bottom style="thin">
        <color rgb="FFD5D8DB"/>
      </bottom>
      <diagonal/>
    </border>
    <border>
      <left/>
      <right style="thin">
        <color rgb="FFD5D8DB"/>
      </right>
      <top style="thin">
        <color rgb="FFD5D8DB"/>
      </top>
      <bottom style="thin">
        <color rgb="FFD5D8DB"/>
      </bottom>
      <diagonal/>
    </border>
    <border>
      <left/>
      <right style="thin">
        <color rgb="FF334BFF"/>
      </right>
      <top style="thin">
        <color rgb="FF334BFF"/>
      </top>
      <bottom style="thin">
        <color rgb="FF334BFF"/>
      </bottom>
      <diagonal/>
    </border>
    <border>
      <left/>
      <right style="thin">
        <color rgb="FFD5D8DB"/>
      </right>
      <top/>
      <bottom style="thin">
        <color rgb="FFD5D8DB"/>
      </bottom>
      <diagonal/>
    </border>
    <border>
      <left style="thin">
        <color theme="1"/>
      </left>
      <right style="thin">
        <color theme="1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1"/>
      </right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0"/>
      </top>
      <bottom/>
      <diagonal/>
    </border>
    <border>
      <left style="thin">
        <color rgb="00BCC7D3"/>
      </left>
      <right style="thin">
        <color rgb="00BCC7D3"/>
      </right>
      <top style="thin">
        <color rgb="00BCC7D3"/>
      </top>
      <bottom style="thin">
        <color rgb="00BCC7D3"/>
      </bottom>
    </border>
    <border>
      <left/>
      <right/>
      <top style="thin">
        <color rgb="00BCC7D3"/>
      </top>
      <bottom/>
      <diagonal/>
    </border>
    <border>
      <left/>
      <right style="thin">
        <color rgb="00BCC7D3"/>
      </right>
      <top style="thin">
        <color rgb="00BCC7D3"/>
      </top>
      <bottom/>
      <diagonal/>
    </border>
    <border>
      <left/>
      <right/>
      <top style="thin">
        <color rgb="00BCC7D3"/>
      </top>
      <bottom style="thin">
        <color rgb="00BCC7D3"/>
      </bottom>
      <diagonal/>
    </border>
    <border>
      <left/>
      <right style="thin">
        <color rgb="00BCC7D3"/>
      </right>
      <top style="thin">
        <color rgb="00BCC7D3"/>
      </top>
      <bottom style="thin">
        <color rgb="00BCC7D3"/>
      </bottom>
      <diagonal/>
    </border>
  </borders>
  <cellStyleXfs count="2">
    <xf numFmtId="0" fontId="0" fillId="0" borderId="0"/>
    <xf numFmtId="0" fontId="11" fillId="0" borderId="0"/>
  </cellStyleXfs>
  <cellXfs count="234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applyAlignment="1" pivotButton="0" quotePrefix="0" xfId="0">
      <alignment wrapText="1"/>
    </xf>
    <xf numFmtId="0" fontId="4" fillId="3" borderId="1" pivotButton="0" quotePrefix="0" xfId="0"/>
    <xf numFmtId="0" fontId="2" fillId="0" borderId="1" pivotButton="0" quotePrefix="0" xfId="0"/>
    <xf numFmtId="10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4" borderId="1" pivotButton="0" quotePrefix="0" xfId="0"/>
    <xf numFmtId="0" fontId="1" fillId="5" borderId="2" applyAlignment="1" pivotButton="0" quotePrefix="0" xfId="0">
      <alignment vertical="center"/>
    </xf>
    <xf numFmtId="0" fontId="0" fillId="5" borderId="2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0" fontId="3" fillId="5" borderId="2" applyAlignment="1" pivotButton="0" quotePrefix="0" xfId="0">
      <alignment vertical="center" wrapText="1"/>
    </xf>
    <xf numFmtId="0" fontId="0" fillId="5" borderId="7" applyAlignment="1" pivotButton="0" quotePrefix="0" xfId="0">
      <alignment vertical="center"/>
    </xf>
    <xf numFmtId="0" fontId="0" fillId="5" borderId="13" applyAlignment="1" pivotButton="0" quotePrefix="0" xfId="0">
      <alignment vertical="center"/>
    </xf>
    <xf numFmtId="0" fontId="0" fillId="5" borderId="6" applyAlignment="1" pivotButton="0" quotePrefix="0" xfId="0">
      <alignment vertical="center"/>
    </xf>
    <xf numFmtId="0" fontId="2" fillId="5" borderId="8" applyAlignment="1" pivotButton="0" quotePrefix="0" xfId="0">
      <alignment vertical="center"/>
    </xf>
    <xf numFmtId="10" fontId="0" fillId="5" borderId="14" applyAlignment="1" pivotButton="0" quotePrefix="0" xfId="0">
      <alignment vertical="center"/>
    </xf>
    <xf numFmtId="0" fontId="2" fillId="5" borderId="10" applyAlignment="1" pivotButton="0" quotePrefix="0" xfId="0">
      <alignment vertical="center"/>
    </xf>
    <xf numFmtId="10" fontId="0" fillId="5" borderId="2" applyAlignment="1" pivotButton="0" quotePrefix="0" xfId="0">
      <alignment vertical="center"/>
    </xf>
    <xf numFmtId="10" fontId="0" fillId="5" borderId="9" applyAlignment="1" pivotButton="0" quotePrefix="0" xfId="0">
      <alignment vertical="center"/>
    </xf>
    <xf numFmtId="164" fontId="0" fillId="5" borderId="2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0" fontId="2" fillId="5" borderId="11" applyAlignment="1" pivotButton="0" quotePrefix="0" xfId="0">
      <alignment vertical="center"/>
    </xf>
    <xf numFmtId="0" fontId="0" fillId="5" borderId="4" applyAlignment="1" pivotButton="0" quotePrefix="0" xfId="0">
      <alignment vertical="center"/>
    </xf>
    <xf numFmtId="10" fontId="0" fillId="5" borderId="3" applyAlignment="1" pivotButton="0" quotePrefix="0" xfId="0">
      <alignment vertical="center"/>
    </xf>
    <xf numFmtId="0" fontId="0" fillId="5" borderId="3" applyAlignment="1" pivotButton="0" quotePrefix="0" xfId="0">
      <alignment vertical="center"/>
    </xf>
    <xf numFmtId="0" fontId="0" fillId="5" borderId="12" applyAlignment="1" pivotButton="0" quotePrefix="0" xfId="0">
      <alignment vertical="center"/>
    </xf>
    <xf numFmtId="0" fontId="2" fillId="7" borderId="22" applyAlignment="1" pivotButton="0" quotePrefix="0" xfId="0">
      <alignment vertical="center"/>
    </xf>
    <xf numFmtId="0" fontId="0" fillId="7" borderId="22" applyAlignment="1" pivotButton="0" quotePrefix="0" xfId="0">
      <alignment vertical="center"/>
    </xf>
    <xf numFmtId="0" fontId="4" fillId="5" borderId="20" applyAlignment="1" pivotButton="0" quotePrefix="0" xfId="0">
      <alignment vertical="center"/>
    </xf>
    <xf numFmtId="0" fontId="0" fillId="5" borderId="21" applyAlignment="1" pivotButton="0" quotePrefix="0" xfId="0">
      <alignment vertical="center"/>
    </xf>
    <xf numFmtId="166" fontId="0" fillId="5" borderId="5" applyAlignment="1" pivotButton="0" quotePrefix="0" xfId="0">
      <alignment vertical="center"/>
    </xf>
    <xf numFmtId="167" fontId="0" fillId="5" borderId="5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10" fontId="0" fillId="5" borderId="5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0" fontId="0" fillId="5" borderId="18" applyAlignment="1" pivotButton="0" quotePrefix="0" xfId="0">
      <alignment vertical="center"/>
    </xf>
    <xf numFmtId="165" fontId="0" fillId="5" borderId="19" applyAlignment="1" pivotButton="0" quotePrefix="0" xfId="0">
      <alignment vertical="center"/>
    </xf>
    <xf numFmtId="0" fontId="4" fillId="5" borderId="23" applyAlignment="1" pivotButton="0" quotePrefix="0" xfId="0">
      <alignment vertical="center"/>
    </xf>
    <xf numFmtId="167" fontId="0" fillId="5" borderId="2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5" borderId="24" applyAlignment="1" pivotButton="0" quotePrefix="0" xfId="0">
      <alignment vertical="center"/>
    </xf>
    <xf numFmtId="0" fontId="0" fillId="5" borderId="25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0" fillId="5" borderId="0" applyAlignment="1" pivotButton="0" quotePrefix="0" xfId="0">
      <alignment vertical="center" wrapText="1"/>
    </xf>
    <xf numFmtId="10" fontId="0" fillId="5" borderId="4" applyAlignment="1" pivotButton="0" quotePrefix="0" xfId="0">
      <alignment vertical="center"/>
    </xf>
    <xf numFmtId="0" fontId="0" fillId="5" borderId="30" applyAlignment="1" pivotButton="0" quotePrefix="0" xfId="0">
      <alignment vertical="center"/>
    </xf>
    <xf numFmtId="0" fontId="0" fillId="5" borderId="31" applyAlignment="1" pivotButton="0" quotePrefix="0" xfId="0">
      <alignment vertical="center"/>
    </xf>
    <xf numFmtId="0" fontId="2" fillId="5" borderId="32" applyAlignment="1" pivotButton="0" quotePrefix="0" xfId="0">
      <alignment vertical="center"/>
    </xf>
    <xf numFmtId="10" fontId="0" fillId="5" borderId="7" applyAlignment="1" pivotButton="0" quotePrefix="0" xfId="0">
      <alignment vertical="center"/>
    </xf>
    <xf numFmtId="10" fontId="0" fillId="5" borderId="27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4" fontId="0" fillId="5" borderId="27" applyAlignment="1" pivotButton="0" quotePrefix="0" xfId="0">
      <alignment vertical="center"/>
    </xf>
    <xf numFmtId="0" fontId="2" fillId="5" borderId="26" applyAlignment="1" pivotButton="0" quotePrefix="0" xfId="0">
      <alignment vertical="center"/>
    </xf>
    <xf numFmtId="0" fontId="2" fillId="5" borderId="28" applyAlignment="1" pivotButton="0" quotePrefix="0" xfId="0">
      <alignment vertical="center"/>
    </xf>
    <xf numFmtId="0" fontId="0" fillId="5" borderId="33" applyAlignment="1" pivotButton="0" quotePrefix="0" xfId="0">
      <alignment vertical="center" wrapText="1"/>
    </xf>
    <xf numFmtId="0" fontId="2" fillId="5" borderId="33" applyAlignment="1" pivotButton="0" quotePrefix="0" xfId="0">
      <alignment vertical="center"/>
    </xf>
    <xf numFmtId="14" fontId="0" fillId="5" borderId="29" applyAlignment="1" pivotButton="0" quotePrefix="0" xfId="0">
      <alignment vertical="center"/>
    </xf>
    <xf numFmtId="0" fontId="2" fillId="6" borderId="17" applyAlignment="1" pivotButton="0" quotePrefix="0" xfId="0">
      <alignment vertical="center"/>
    </xf>
    <xf numFmtId="0" fontId="0" fillId="6" borderId="15" applyAlignment="1" pivotButton="0" quotePrefix="0" xfId="0">
      <alignment vertical="center"/>
    </xf>
    <xf numFmtId="0" fontId="2" fillId="6" borderId="15" applyAlignment="1" pivotButton="0" quotePrefix="0" xfId="0">
      <alignment vertical="center"/>
    </xf>
    <xf numFmtId="0" fontId="5" fillId="6" borderId="16" applyAlignment="1" pivotButton="0" quotePrefix="0" xfId="0">
      <alignment vertical="center"/>
    </xf>
    <xf numFmtId="0" fontId="0" fillId="5" borderId="32" applyAlignment="1" pivotButton="0" quotePrefix="0" xfId="0">
      <alignment vertical="center"/>
    </xf>
    <xf numFmtId="0" fontId="6" fillId="6" borderId="22" applyAlignment="1" pivotButton="0" quotePrefix="0" xfId="0">
      <alignment vertical="center"/>
    </xf>
    <xf numFmtId="0" fontId="6" fillId="6" borderId="19" applyAlignment="1" pivotButton="0" quotePrefix="0" xfId="0">
      <alignment vertical="center"/>
    </xf>
    <xf numFmtId="0" fontId="2" fillId="5" borderId="35" applyAlignment="1" pivotButton="0" quotePrefix="0" xfId="0">
      <alignment vertical="center"/>
    </xf>
    <xf numFmtId="164" fontId="0" fillId="5" borderId="7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7" fillId="8" borderId="40" applyAlignment="1" pivotButton="0" quotePrefix="0" xfId="0">
      <alignment wrapText="1"/>
    </xf>
    <xf numFmtId="0" fontId="7" fillId="8" borderId="40" pivotButton="0" quotePrefix="0" xfId="0"/>
    <xf numFmtId="0" fontId="7" fillId="8" borderId="40" applyAlignment="1" pivotButton="0" quotePrefix="0" xfId="0">
      <alignment horizontal="left" vertical="center" wrapText="1"/>
    </xf>
    <xf numFmtId="0" fontId="8" fillId="9" borderId="41" applyAlignment="1" pivotButton="0" quotePrefix="0" xfId="0">
      <alignment horizontal="left" vertical="center" wrapText="1"/>
    </xf>
    <xf numFmtId="0" fontId="0" fillId="9" borderId="41" applyAlignment="1" pivotButton="0" quotePrefix="0" xfId="0">
      <alignment wrapText="1"/>
    </xf>
    <xf numFmtId="0" fontId="9" fillId="0" borderId="41" applyAlignment="1" pivotButton="0" quotePrefix="0" xfId="0">
      <alignment vertical="center" wrapText="1"/>
    </xf>
    <xf numFmtId="165" fontId="9" fillId="0" borderId="41" applyAlignment="1" pivotButton="0" quotePrefix="0" xfId="0">
      <alignment horizontal="right" vertical="center" wrapText="1"/>
    </xf>
    <xf numFmtId="0" fontId="9" fillId="0" borderId="41" applyAlignment="1" pivotButton="0" quotePrefix="0" xfId="0">
      <alignment horizontal="left" vertical="center" wrapText="1" indent="2"/>
    </xf>
    <xf numFmtId="0" fontId="8" fillId="0" borderId="41" applyAlignment="1" pivotButton="0" quotePrefix="0" xfId="0">
      <alignment vertical="center" wrapText="1"/>
    </xf>
    <xf numFmtId="165" fontId="8" fillId="0" borderId="41" applyAlignment="1" pivotButton="0" quotePrefix="0" xfId="0">
      <alignment horizontal="right" vertical="center" wrapText="1"/>
    </xf>
    <xf numFmtId="4" fontId="9" fillId="0" borderId="41" applyAlignment="1" pivotButton="0" quotePrefix="0" xfId="0">
      <alignment horizontal="right" vertical="center" wrapText="1"/>
    </xf>
    <xf numFmtId="4" fontId="10" fillId="0" borderId="41" applyAlignment="1" pivotButton="0" quotePrefix="0" xfId="0">
      <alignment horizontal="right" vertical="center" wrapText="1"/>
    </xf>
    <xf numFmtId="3" fontId="9" fillId="0" borderId="41" applyAlignment="1" pivotButton="0" quotePrefix="0" xfId="0">
      <alignment horizontal="right" vertical="center" wrapText="1"/>
    </xf>
    <xf numFmtId="165" fontId="10" fillId="0" borderId="41" applyAlignment="1" pivotButton="0" quotePrefix="0" xfId="0">
      <alignment horizontal="right" vertical="center" wrapText="1"/>
    </xf>
    <xf numFmtId="0" fontId="9" fillId="0" borderId="41" applyAlignment="1" pivotButton="0" quotePrefix="0" xfId="0">
      <alignment horizontal="left" vertical="center" wrapText="1" indent="4"/>
    </xf>
    <xf numFmtId="0" fontId="9" fillId="0" borderId="41" applyAlignment="1" pivotButton="0" quotePrefix="0" xfId="0">
      <alignment horizontal="left" vertical="center" wrapText="1" indent="6"/>
    </xf>
    <xf numFmtId="165" fontId="12" fillId="0" borderId="41" applyAlignment="1" pivotButton="0" quotePrefix="0" xfId="0">
      <alignment horizontal="right" vertical="center" wrapText="1"/>
    </xf>
    <xf numFmtId="4" fontId="12" fillId="0" borderId="41" applyAlignment="1" pivotButton="0" quotePrefix="0" xfId="0">
      <alignment horizontal="right" vertical="center" wrapText="1"/>
    </xf>
    <xf numFmtId="3" fontId="10" fillId="0" borderId="41" applyAlignment="1" pivotButton="0" quotePrefix="0" xfId="0">
      <alignment horizontal="right" vertical="center" wrapText="1"/>
    </xf>
    <xf numFmtId="0" fontId="0" fillId="5" borderId="38" applyAlignment="1" pivotButton="0" quotePrefix="0" xfId="0">
      <alignment horizontal="left" vertical="center"/>
    </xf>
    <xf numFmtId="0" fontId="0" fillId="5" borderId="13" applyAlignment="1" pivotButton="0" quotePrefix="0" xfId="0">
      <alignment horizontal="left" vertical="center"/>
    </xf>
    <xf numFmtId="0" fontId="0" fillId="5" borderId="34" applyAlignment="1" pivotButton="0" quotePrefix="0" xfId="0">
      <alignment horizontal="left" vertical="center"/>
    </xf>
    <xf numFmtId="0" fontId="0" fillId="5" borderId="36" applyAlignment="1" pivotButton="0" quotePrefix="0" xfId="0">
      <alignment horizontal="left" vertical="center"/>
    </xf>
    <xf numFmtId="0" fontId="0" fillId="5" borderId="31" applyAlignment="1" pivotButton="0" quotePrefix="0" xfId="0">
      <alignment horizontal="left" vertical="center"/>
    </xf>
    <xf numFmtId="0" fontId="0" fillId="5" borderId="37" applyAlignment="1" pivotButton="0" quotePrefix="0" xfId="0">
      <alignment horizontal="left" vertical="center"/>
    </xf>
    <xf numFmtId="0" fontId="0" fillId="5" borderId="26" applyAlignment="1" pivotButton="0" quotePrefix="0" xfId="0">
      <alignment horizontal="left" vertical="center"/>
    </xf>
    <xf numFmtId="0" fontId="0" fillId="5" borderId="0" applyAlignment="1" pivotButton="0" quotePrefix="0" xfId="0">
      <alignment horizontal="left" vertical="center"/>
    </xf>
    <xf numFmtId="0" fontId="0" fillId="5" borderId="27" applyAlignment="1" pivotButton="0" quotePrefix="0" xfId="0">
      <alignment horizontal="left" vertical="center"/>
    </xf>
    <xf numFmtId="0" fontId="0" fillId="5" borderId="28" applyAlignment="1" pivotButton="0" quotePrefix="0" xfId="0">
      <alignment horizontal="left" vertical="center"/>
    </xf>
    <xf numFmtId="0" fontId="0" fillId="5" borderId="33" applyAlignment="1" pivotButton="0" quotePrefix="0" xfId="0">
      <alignment horizontal="left" vertical="center"/>
    </xf>
    <xf numFmtId="0" fontId="0" fillId="5" borderId="29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0" fontId="2" fillId="6" borderId="27" applyAlignment="1" pivotButton="0" quotePrefix="0" xfId="0">
      <alignment horizontal="left" vertical="center"/>
    </xf>
    <xf numFmtId="0" fontId="9" fillId="0" borderId="41" applyAlignment="1" pivotButton="0" quotePrefix="0" xfId="0">
      <alignment horizontal="left" vertical="center"/>
    </xf>
    <xf numFmtId="0" fontId="11" fillId="0" borderId="0" pivotButton="0" quotePrefix="0" xfId="1"/>
    <xf numFmtId="0" fontId="11" fillId="0" borderId="0" pivotButton="0" quotePrefix="0" xfId="1"/>
    <xf numFmtId="0" fontId="7" fillId="8" borderId="40" pivotButton="0" quotePrefix="0" xfId="0"/>
    <xf numFmtId="0" fontId="7" fillId="8" borderId="40" applyAlignment="1" pivotButton="0" quotePrefix="0" xfId="0">
      <alignment horizontal="left" vertical="center"/>
    </xf>
    <xf numFmtId="0" fontId="0" fillId="0" borderId="0" pivotButton="0" quotePrefix="0" xfId="0"/>
    <xf numFmtId="0" fontId="13" fillId="0" borderId="0" pivotButton="0" quotePrefix="0" xfId="1"/>
    <xf numFmtId="0" fontId="8" fillId="9" borderId="41" applyAlignment="1" pivotButton="0" quotePrefix="0" xfId="0">
      <alignment horizontal="left" vertical="center"/>
    </xf>
    <xf numFmtId="0" fontId="0" fillId="9" borderId="41" pivotButton="0" quotePrefix="0" xfId="0"/>
    <xf numFmtId="0" fontId="9" fillId="0" borderId="41" applyAlignment="1" pivotButton="0" quotePrefix="0" xfId="0">
      <alignment vertical="center"/>
    </xf>
    <xf numFmtId="165" fontId="9" fillId="0" borderId="41" applyAlignment="1" pivotButton="0" quotePrefix="0" xfId="0">
      <alignment horizontal="right" vertical="center"/>
    </xf>
    <xf numFmtId="4" fontId="9" fillId="0" borderId="41" applyAlignment="1" pivotButton="0" quotePrefix="0" xfId="0">
      <alignment horizontal="right" vertical="center"/>
    </xf>
    <xf numFmtId="0" fontId="13" fillId="10" borderId="0" pivotButton="0" quotePrefix="0" xfId="1"/>
    <xf numFmtId="0" fontId="13" fillId="0" borderId="0" pivotButton="0" quotePrefix="0" xfId="1"/>
    <xf numFmtId="0" fontId="2" fillId="10" borderId="0" pivotButton="0" quotePrefix="0" xfId="0"/>
    <xf numFmtId="0" fontId="0" fillId="10" borderId="0" pivotButton="0" quotePrefix="0" xfId="0"/>
    <xf numFmtId="0" fontId="14" fillId="11" borderId="0" pivotButton="0" quotePrefix="0" xfId="0"/>
    <xf numFmtId="0" fontId="7" fillId="8" borderId="40" pivotButton="0" quotePrefix="0" xfId="1"/>
    <xf numFmtId="0" fontId="7" fillId="0" borderId="0" pivotButton="0" quotePrefix="0" xfId="1"/>
    <xf numFmtId="0" fontId="7" fillId="8" borderId="40" applyAlignment="1" pivotButton="0" quotePrefix="0" xfId="1">
      <alignment horizontal="left" vertical="center"/>
    </xf>
    <xf numFmtId="0" fontId="7" fillId="0" borderId="0" applyAlignment="1" pivotButton="0" quotePrefix="0" xfId="1">
      <alignment horizontal="left" vertical="center"/>
    </xf>
    <xf numFmtId="0" fontId="8" fillId="9" borderId="41" applyAlignment="1" pivotButton="0" quotePrefix="0" xfId="1">
      <alignment horizontal="left" vertical="center"/>
    </xf>
    <xf numFmtId="0" fontId="11" fillId="9" borderId="41" pivotButton="0" quotePrefix="0" xfId="1"/>
    <xf numFmtId="0" fontId="9" fillId="0" borderId="41" applyAlignment="1" pivotButton="0" quotePrefix="0" xfId="1">
      <alignment vertical="center"/>
    </xf>
    <xf numFmtId="165" fontId="9" fillId="0" borderId="41" applyAlignment="1" pivotButton="0" quotePrefix="0" xfId="1">
      <alignment horizontal="right" vertical="center"/>
    </xf>
    <xf numFmtId="0" fontId="9" fillId="0" borderId="41" applyAlignment="1" pivotButton="0" quotePrefix="0" xfId="1">
      <alignment horizontal="left" vertical="center"/>
    </xf>
    <xf numFmtId="3" fontId="9" fillId="0" borderId="41" applyAlignment="1" pivotButton="0" quotePrefix="0" xfId="0">
      <alignment horizontal="right" vertical="center"/>
    </xf>
    <xf numFmtId="4" fontId="9" fillId="0" borderId="41" applyAlignment="1" pivotButton="0" quotePrefix="0" xfId="1">
      <alignment horizontal="right" vertical="center"/>
    </xf>
    <xf numFmtId="0" fontId="8" fillId="0" borderId="41" applyAlignment="1" pivotButton="0" quotePrefix="0" xfId="0">
      <alignment vertical="center"/>
    </xf>
    <xf numFmtId="165" fontId="8" fillId="0" borderId="41" applyAlignment="1" pivotButton="0" quotePrefix="0" xfId="0">
      <alignment horizontal="right" vertical="center"/>
    </xf>
    <xf numFmtId="3" fontId="9" fillId="0" borderId="41" applyAlignment="1" pivotButton="0" quotePrefix="0" xfId="1">
      <alignment horizontal="right" vertical="center"/>
    </xf>
    <xf numFmtId="165" fontId="10" fillId="0" borderId="41" applyAlignment="1" pivotButton="0" quotePrefix="0" xfId="0">
      <alignment horizontal="right" vertical="center"/>
    </xf>
    <xf numFmtId="3" fontId="8" fillId="0" borderId="41" applyAlignment="1" pivotButton="0" quotePrefix="0" xfId="0">
      <alignment horizontal="right" vertical="center"/>
    </xf>
    <xf numFmtId="0" fontId="8" fillId="0" borderId="41" applyAlignment="1" pivotButton="0" quotePrefix="0" xfId="1">
      <alignment vertical="center"/>
    </xf>
    <xf numFmtId="165" fontId="8" fillId="0" borderId="41" applyAlignment="1" pivotButton="0" quotePrefix="0" xfId="1">
      <alignment horizontal="right" vertical="center"/>
    </xf>
    <xf numFmtId="165" fontId="10" fillId="0" borderId="41" applyAlignment="1" pivotButton="0" quotePrefix="0" xfId="1">
      <alignment horizontal="right" vertical="center"/>
    </xf>
    <xf numFmtId="3" fontId="8" fillId="0" borderId="41" applyAlignment="1" pivotButton="0" quotePrefix="0" xfId="1">
      <alignment horizontal="right" vertical="center"/>
    </xf>
    <xf numFmtId="4" fontId="10" fillId="0" borderId="41" applyAlignment="1" pivotButton="0" quotePrefix="0" xfId="0">
      <alignment horizontal="right" vertical="center"/>
    </xf>
    <xf numFmtId="3" fontId="10" fillId="0" borderId="41" applyAlignment="1" pivotButton="0" quotePrefix="0" xfId="0">
      <alignment horizontal="right" vertical="center"/>
    </xf>
    <xf numFmtId="4" fontId="10" fillId="0" borderId="41" applyAlignment="1" pivotButton="0" quotePrefix="0" xfId="1">
      <alignment horizontal="right" vertical="center"/>
    </xf>
    <xf numFmtId="169" fontId="9" fillId="0" borderId="41" applyAlignment="1" pivotButton="0" quotePrefix="0" xfId="0">
      <alignment horizontal="right" vertical="center"/>
    </xf>
    <xf numFmtId="169" fontId="9" fillId="0" borderId="41" applyAlignment="1" pivotButton="0" quotePrefix="0" xfId="1">
      <alignment horizontal="right" vertical="center"/>
    </xf>
    <xf numFmtId="169" fontId="9" fillId="0" borderId="0" applyAlignment="1" pivotButton="0" quotePrefix="0" xfId="1">
      <alignment horizontal="right" vertical="center"/>
    </xf>
    <xf numFmtId="0" fontId="11" fillId="0" borderId="0" pivotButton="0" quotePrefix="0" xfId="1"/>
    <xf numFmtId="4" fontId="9" fillId="0" borderId="0" applyAlignment="1" pivotButton="0" quotePrefix="0" xfId="1">
      <alignment horizontal="right" vertical="center"/>
    </xf>
    <xf numFmtId="165" fontId="9" fillId="0" borderId="0" applyAlignment="1" pivotButton="0" quotePrefix="0" xfId="1">
      <alignment horizontal="right" vertical="center"/>
    </xf>
    <xf numFmtId="3" fontId="9" fillId="0" borderId="0" applyAlignment="1" pivotButton="0" quotePrefix="0" xfId="1">
      <alignment horizontal="right" vertical="center"/>
    </xf>
    <xf numFmtId="165" fontId="8" fillId="0" borderId="0" applyAlignment="1" pivotButton="0" quotePrefix="0" xfId="1">
      <alignment horizontal="right" vertical="center"/>
    </xf>
    <xf numFmtId="4" fontId="10" fillId="0" borderId="0" applyAlignment="1" pivotButton="0" quotePrefix="0" xfId="1">
      <alignment horizontal="right" vertical="center"/>
    </xf>
    <xf numFmtId="165" fontId="10" fillId="0" borderId="0" applyAlignment="1" pivotButton="0" quotePrefix="0" xfId="1">
      <alignment horizontal="right" vertical="center"/>
    </xf>
    <xf numFmtId="0" fontId="7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0" pivotButton="0" quotePrefix="0" xfId="0"/>
    <xf numFmtId="165" fontId="9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4" fontId="10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12" fillId="0" borderId="41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4" fontId="12" fillId="0" borderId="41" applyAlignment="1" pivotButton="0" quotePrefix="0" xfId="0">
      <alignment horizontal="right" vertical="center"/>
    </xf>
    <xf numFmtId="4" fontId="12" fillId="0" borderId="0" applyAlignment="1" pivotButton="0" quotePrefix="0" xfId="0">
      <alignment horizontal="right" vertical="center"/>
    </xf>
    <xf numFmtId="3" fontId="8" fillId="0" borderId="0" applyAlignment="1" pivotButton="0" quotePrefix="0" xfId="1">
      <alignment horizontal="right" vertical="center"/>
    </xf>
    <xf numFmtId="0" fontId="15" fillId="8" borderId="40" applyAlignment="1" pivotButton="0" quotePrefix="0" xfId="0">
      <alignment wrapText="1"/>
    </xf>
    <xf numFmtId="0" fontId="16" fillId="9" borderId="41" applyAlignment="1" pivotButton="0" quotePrefix="0" xfId="0">
      <alignment horizontal="left" vertical="center" wrapText="1"/>
    </xf>
    <xf numFmtId="0" fontId="14" fillId="9" borderId="43" applyAlignment="1" pivotButton="0" quotePrefix="0" xfId="0">
      <alignment wrapText="1"/>
    </xf>
    <xf numFmtId="0" fontId="17" fillId="0" borderId="42" applyAlignment="1" pivotButton="0" quotePrefix="0" xfId="0">
      <alignment vertical="center" wrapText="1"/>
    </xf>
    <xf numFmtId="165" fontId="17" fillId="0" borderId="45" applyAlignment="1" pivotButton="0" quotePrefix="0" xfId="0">
      <alignment horizontal="right" vertical="center" wrapText="1"/>
    </xf>
    <xf numFmtId="0" fontId="17" fillId="0" borderId="42" applyAlignment="1" pivotButton="0" quotePrefix="0" xfId="0">
      <alignment horizontal="left" vertical="center" wrapText="1" indent="2"/>
    </xf>
    <xf numFmtId="0" fontId="17" fillId="0" borderId="42" applyAlignment="1" pivotButton="0" quotePrefix="0" xfId="0">
      <alignment horizontal="left" vertical="center" wrapText="1" indent="4"/>
    </xf>
    <xf numFmtId="4" fontId="17" fillId="0" borderId="45" applyAlignment="1" pivotButton="0" quotePrefix="0" xfId="0">
      <alignment horizontal="right" vertical="center" wrapText="1"/>
    </xf>
    <xf numFmtId="3" fontId="17" fillId="0" borderId="45" applyAlignment="1" pivotButton="0" quotePrefix="0" xfId="0">
      <alignment horizontal="right" vertical="center" wrapText="1"/>
    </xf>
    <xf numFmtId="0" fontId="16" fillId="0" borderId="42" applyAlignment="1" pivotButton="0" quotePrefix="0" xfId="0">
      <alignment vertical="center" wrapText="1"/>
    </xf>
    <xf numFmtId="165" fontId="16" fillId="0" borderId="45" applyAlignment="1" pivotButton="0" quotePrefix="0" xfId="0">
      <alignment horizontal="right" vertical="center" wrapText="1"/>
    </xf>
    <xf numFmtId="0" fontId="16" fillId="9" borderId="42" applyAlignment="1" pivotButton="0" quotePrefix="0" xfId="0">
      <alignment horizontal="left" vertical="center" wrapText="1"/>
    </xf>
    <xf numFmtId="0" fontId="14" fillId="9" borderId="45" applyAlignment="1" pivotButton="0" quotePrefix="0" xfId="0">
      <alignment wrapText="1"/>
    </xf>
    <xf numFmtId="0" fontId="17" fillId="0" borderId="42" applyAlignment="1" pivotButton="0" quotePrefix="0" xfId="0">
      <alignment horizontal="left" vertical="center" wrapText="1" indent="6"/>
    </xf>
    <xf numFmtId="0" fontId="17" fillId="0" borderId="42" applyAlignment="1" pivotButton="0" quotePrefix="0" xfId="0">
      <alignment horizontal="left" vertical="center" wrapText="1" indent="8"/>
    </xf>
    <xf numFmtId="3" fontId="16" fillId="0" borderId="45" applyAlignment="1" pivotButton="0" quotePrefix="0" xfId="0">
      <alignment horizontal="right" vertical="center" wrapText="1"/>
    </xf>
    <xf numFmtId="165" fontId="18" fillId="0" borderId="45" applyAlignment="1" pivotButton="0" quotePrefix="0" xfId="0">
      <alignment horizontal="right" vertical="center" wrapText="1"/>
    </xf>
    <xf numFmtId="4" fontId="18" fillId="0" borderId="45" applyAlignment="1" pivotButton="0" quotePrefix="0" xfId="0">
      <alignment horizontal="right" vertical="center" wrapText="1"/>
    </xf>
    <xf numFmtId="169" fontId="17" fillId="0" borderId="45" applyAlignment="1" pivotButton="0" quotePrefix="0" xfId="0">
      <alignment horizontal="right" vertical="center" wrapText="1"/>
    </xf>
    <xf numFmtId="165" fontId="17" fillId="0" borderId="45" applyAlignment="1" pivotButton="0" quotePrefix="0" xfId="0">
      <alignment horizontal="right" vertical="center" wrapText="1"/>
    </xf>
    <xf numFmtId="4" fontId="17" fillId="0" borderId="45" applyAlignment="1" pivotButton="0" quotePrefix="0" xfId="0">
      <alignment horizontal="right" vertical="center" wrapText="1"/>
    </xf>
    <xf numFmtId="3" fontId="17" fillId="0" borderId="45" applyAlignment="1" pivotButton="0" quotePrefix="0" xfId="0">
      <alignment horizontal="right" vertical="center" wrapText="1"/>
    </xf>
    <xf numFmtId="165" fontId="16" fillId="0" borderId="45" applyAlignment="1" pivotButton="0" quotePrefix="0" xfId="0">
      <alignment horizontal="right" vertical="center" wrapText="1"/>
    </xf>
    <xf numFmtId="0" fontId="14" fillId="0" borderId="45" applyAlignment="1" pivotButton="0" quotePrefix="0" xfId="0">
      <alignment wrapText="1"/>
    </xf>
    <xf numFmtId="3" fontId="16" fillId="0" borderId="45" applyAlignment="1" pivotButton="0" quotePrefix="0" xfId="0">
      <alignment horizontal="right" vertical="center" wrapText="1"/>
    </xf>
    <xf numFmtId="165" fontId="18" fillId="0" borderId="45" applyAlignment="1" pivotButton="0" quotePrefix="0" xfId="0">
      <alignment horizontal="right" vertical="center" wrapText="1"/>
    </xf>
    <xf numFmtId="4" fontId="18" fillId="0" borderId="45" applyAlignment="1" pivotButton="0" quotePrefix="0" xfId="0">
      <alignment horizontal="right" vertical="center" wrapText="1"/>
    </xf>
    <xf numFmtId="169" fontId="17" fillId="0" borderId="45" applyAlignment="1" pivotButton="0" quotePrefix="0" xfId="0">
      <alignment horizontal="right" vertical="center" wrapText="1"/>
    </xf>
    <xf numFmtId="0" fontId="0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14" fontId="15" fillId="8" borderId="44" applyAlignment="1" pivotButton="0" quotePrefix="0" xfId="0">
      <alignment horizontal="left" vertical="center" wrapText="1"/>
    </xf>
    <xf numFmtId="0" fontId="0" fillId="0" borderId="27" pivotButton="0" quotePrefix="0" xfId="0"/>
    <xf numFmtId="0" fontId="0" fillId="5" borderId="46" applyAlignment="1" pivotButton="0" quotePrefix="0" xfId="0">
      <alignment horizontal="left" vertical="center"/>
    </xf>
    <xf numFmtId="0" fontId="0" fillId="0" borderId="47" pivotButton="0" quotePrefix="0" xfId="0"/>
    <xf numFmtId="0" fontId="0" fillId="0" borderId="48" pivotButton="0" quotePrefix="0" xfId="0"/>
    <xf numFmtId="0" fontId="0" fillId="5" borderId="49" applyAlignment="1" pivotButton="0" quotePrefix="0" xfId="0">
      <alignment horizontal="left" vertical="center"/>
    </xf>
    <xf numFmtId="0" fontId="0" fillId="0" borderId="31" pivotButton="0" quotePrefix="0" xfId="0"/>
    <xf numFmtId="0" fontId="0" fillId="0" borderId="37" pivotButton="0" quotePrefix="0" xfId="0"/>
    <xf numFmtId="0" fontId="0" fillId="5" borderId="23" applyAlignment="1" pivotButton="0" quotePrefix="0" xfId="0">
      <alignment horizontal="left" vertical="center"/>
    </xf>
    <xf numFmtId="0" fontId="0" fillId="5" borderId="20" applyAlignment="1" pivotButton="0" quotePrefix="0" xfId="0">
      <alignment horizontal="left" vertical="center"/>
    </xf>
    <xf numFmtId="0" fontId="0" fillId="0" borderId="33" pivotButton="0" quotePrefix="0" xfId="0"/>
    <xf numFmtId="0" fontId="0" fillId="0" borderId="29" pivotButton="0" quotePrefix="0" xfId="0"/>
    <xf numFmtId="0" fontId="19" fillId="12" borderId="50" applyAlignment="1" pivotButton="0" quotePrefix="0" xfId="0">
      <alignment horizontal="left" vertical="center" wrapText="1"/>
    </xf>
    <xf numFmtId="0" fontId="20" fillId="12" borderId="50" applyAlignment="1" pivotButton="0" quotePrefix="0" xfId="0">
      <alignment horizontal="left" vertical="center" wrapText="1"/>
    </xf>
    <xf numFmtId="0" fontId="21" fillId="13" borderId="50" applyAlignment="1" pivotButton="0" quotePrefix="0" xfId="0">
      <alignment horizontal="left" vertical="center" wrapText="1"/>
    </xf>
    <xf numFmtId="0" fontId="22" fillId="14" borderId="50" applyAlignment="1" pivotButton="0" quotePrefix="0" xfId="0">
      <alignment horizontal="center" vertical="center" wrapText="1"/>
    </xf>
    <xf numFmtId="0" fontId="22" fillId="15" borderId="50" applyAlignment="1" pivotButton="0" quotePrefix="0" xfId="0">
      <alignment horizontal="left" vertical="center" wrapText="1"/>
    </xf>
    <xf numFmtId="0" fontId="23" fillId="0" borderId="50" applyAlignment="1" pivotButton="0" quotePrefix="0" xfId="0">
      <alignment horizontal="left" vertical="center" wrapText="1"/>
    </xf>
    <xf numFmtId="165" fontId="23" fillId="0" borderId="50" applyAlignment="1" pivotButton="0" quotePrefix="0" xfId="0">
      <alignment horizontal="right" vertical="center" wrapText="1"/>
    </xf>
    <xf numFmtId="170" fontId="23" fillId="0" borderId="50" applyAlignment="1" pivotButton="0" quotePrefix="0" xfId="0">
      <alignment horizontal="right" vertical="center" wrapText="1"/>
    </xf>
    <xf numFmtId="0" fontId="23" fillId="0" borderId="50" applyAlignment="1" pivotButton="0" quotePrefix="0" xfId="0">
      <alignment horizontal="center" vertical="center" wrapText="1"/>
    </xf>
    <xf numFmtId="0" fontId="22" fillId="0" borderId="50" applyAlignment="1" pivotButton="0" quotePrefix="0" xfId="0">
      <alignment horizontal="left" vertical="center" wrapText="1"/>
    </xf>
    <xf numFmtId="171" fontId="23" fillId="0" borderId="50" applyAlignment="1" pivotButton="0" quotePrefix="0" xfId="0">
      <alignment horizontal="right" vertical="center" wrapText="1"/>
    </xf>
    <xf numFmtId="0" fontId="22" fillId="16" borderId="50" applyAlignment="1" pivotButton="0" quotePrefix="0" xfId="0">
      <alignment horizontal="left" vertical="center" wrapText="1"/>
    </xf>
    <xf numFmtId="0" fontId="22" fillId="16" borderId="50" applyAlignment="1" pivotButton="0" quotePrefix="0" xfId="0">
      <alignment horizontal="right" vertical="center" wrapText="1"/>
    </xf>
    <xf numFmtId="165" fontId="22" fillId="16" borderId="50" applyAlignment="1" pivotButton="0" quotePrefix="0" xfId="0">
      <alignment horizontal="right" vertical="center" wrapText="1"/>
    </xf>
    <xf numFmtId="170" fontId="22" fillId="16" borderId="50" applyAlignment="1" pivotButton="0" quotePrefix="0" xfId="0">
      <alignment horizontal="right" vertical="center" wrapText="1"/>
    </xf>
    <xf numFmtId="171" fontId="22" fillId="16" borderId="50" applyAlignment="1" pivotButton="0" quotePrefix="0" xfId="0">
      <alignment horizontal="right" vertical="center" wrapText="1"/>
    </xf>
    <xf numFmtId="0" fontId="24" fillId="17" borderId="50" applyAlignment="1" pivotButton="0" quotePrefix="0" xfId="0">
      <alignment horizontal="left" vertical="center" wrapText="1"/>
    </xf>
    <xf numFmtId="1" fontId="23" fillId="0" borderId="50" applyAlignment="1" pivotButton="0" quotePrefix="0" xfId="0">
      <alignment horizontal="right" vertical="center" wrapText="1"/>
    </xf>
    <xf numFmtId="172" fontId="23" fillId="0" borderId="50" applyAlignment="1" pivotButton="0" quotePrefix="0" xfId="0">
      <alignment horizontal="right" vertical="center" wrapText="1"/>
    </xf>
    <xf numFmtId="0" fontId="23" fillId="17" borderId="50" applyAlignment="1" pivotButton="0" quotePrefix="0" xfId="0">
      <alignment horizontal="left" vertical="center" wrapText="1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VMC Price with 200-Day EMA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'Share Price Analysis'!$W$35</f>
              <strCache>
                <ptCount val="1"/>
                <pt idx="0">
                  <v>VMC Price Link</v>
                </pt>
              </strCache>
            </strRef>
          </tx>
          <spPr>
            <a:ln w="1905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Analysis'!$W$36:$W$787</f>
              <numCache>
                <formatCode>\$#,##0.00</formatCode>
                <ptCount val="752"/>
                <pt idx="0">
                  <v>179.79</v>
                </pt>
                <pt idx="1">
                  <v>177.23</v>
                </pt>
                <pt idx="2">
                  <v>178.92</v>
                </pt>
                <pt idx="3">
                  <v>174.07</v>
                </pt>
                <pt idx="4">
                  <v>169.29</v>
                </pt>
                <pt idx="5">
                  <v>165.98</v>
                </pt>
                <pt idx="6">
                  <v>167.51</v>
                </pt>
                <pt idx="7">
                  <v>162.81</v>
                </pt>
                <pt idx="8">
                  <v>166.21</v>
                </pt>
                <pt idx="9">
                  <v>161.02</v>
                </pt>
                <pt idx="10">
                  <v>163.27</v>
                </pt>
                <pt idx="11">
                  <v>166.14</v>
                </pt>
                <pt idx="12">
                  <v>163.71</v>
                </pt>
                <pt idx="13">
                  <v>164.5</v>
                </pt>
                <pt idx="14">
                  <v>166.2</v>
                </pt>
                <pt idx="15">
                  <v>165.8</v>
                </pt>
                <pt idx="16">
                  <v>168.04</v>
                </pt>
                <pt idx="17">
                  <v>169.99</v>
                </pt>
                <pt idx="18">
                  <v>170.14</v>
                </pt>
                <pt idx="19">
                  <v>171.56</v>
                </pt>
                <pt idx="20">
                  <v>172.93</v>
                </pt>
                <pt idx="21">
                  <v>168.86</v>
                </pt>
                <pt idx="22">
                  <v>164.06</v>
                </pt>
                <pt idx="23">
                  <v>164.93</v>
                </pt>
                <pt idx="24">
                  <v>166.01</v>
                </pt>
                <pt idx="25">
                  <v>166.57</v>
                </pt>
                <pt idx="26">
                  <v>167.32</v>
                </pt>
                <pt idx="27">
                  <v>169.46</v>
                </pt>
                <pt idx="28">
                  <v>169.08</v>
                </pt>
                <pt idx="29">
                  <v>171.88</v>
                </pt>
                <pt idx="30">
                  <v>172.36</v>
                </pt>
                <pt idx="31">
                  <v>173.54</v>
                </pt>
                <pt idx="32">
                  <v>172.44</v>
                </pt>
                <pt idx="33">
                  <v>171.14</v>
                </pt>
                <pt idx="34">
                  <v>171.41</v>
                </pt>
                <pt idx="35">
                  <v>169.67</v>
                </pt>
                <pt idx="36">
                  <v>166.65</v>
                </pt>
                <pt idx="37">
                  <v>172.98</v>
                </pt>
                <pt idx="38">
                  <v>175.12</v>
                </pt>
                <pt idx="39">
                  <v>177.51</v>
                </pt>
                <pt idx="40">
                  <v>179.27</v>
                </pt>
                <pt idx="41">
                  <v>178.62</v>
                </pt>
                <pt idx="42">
                  <v>190.23</v>
                </pt>
                <pt idx="43">
                  <v>193.57</v>
                </pt>
                <pt idx="44">
                  <v>192.83</v>
                </pt>
                <pt idx="45">
                  <v>193.11</v>
                </pt>
                <pt idx="46">
                  <v>196.09</v>
                </pt>
                <pt idx="47">
                  <v>194.83</v>
                </pt>
                <pt idx="48">
                  <v>195.38</v>
                </pt>
                <pt idx="49">
                  <v>196.17</v>
                </pt>
                <pt idx="50">
                  <v>195.01</v>
                </pt>
                <pt idx="51">
                  <v>196.51</v>
                </pt>
                <pt idx="52">
                  <v>196.41</v>
                </pt>
                <pt idx="53">
                  <v>197.22</v>
                </pt>
                <pt idx="54">
                  <v>197.26</v>
                </pt>
                <pt idx="55">
                  <v>195.2</v>
                </pt>
                <pt idx="56">
                  <v>194.1</v>
                </pt>
                <pt idx="57">
                  <v>195.1</v>
                </pt>
                <pt idx="58">
                  <v>196</v>
                </pt>
                <pt idx="59">
                  <v>196.05</v>
                </pt>
                <pt idx="60">
                  <v>195.5</v>
                </pt>
                <pt idx="61">
                  <v>198.8</v>
                </pt>
                <pt idx="62">
                  <v>202.73</v>
                </pt>
                <pt idx="63">
                  <v>202.24</v>
                </pt>
                <pt idx="64">
                  <v>203.12</v>
                </pt>
                <pt idx="65">
                  <v>204.99</v>
                </pt>
                <pt idx="66">
                  <v>206.18</v>
                </pt>
                <pt idx="67">
                  <v>206.64</v>
                </pt>
                <pt idx="68">
                  <v>205.89</v>
                </pt>
                <pt idx="69">
                  <v>207.7</v>
                </pt>
                <pt idx="70">
                  <v>207.39</v>
                </pt>
                <pt idx="71">
                  <v>208.94</v>
                </pt>
                <pt idx="72">
                  <v>207.31</v>
                </pt>
                <pt idx="73">
                  <v>208.68</v>
                </pt>
                <pt idx="74">
                  <v>210.57</v>
                </pt>
                <pt idx="75">
                  <v>213.45</v>
                </pt>
                <pt idx="76">
                  <v>214.43</v>
                </pt>
                <pt idx="77">
                  <v>214.77</v>
                </pt>
                <pt idx="78">
                  <v>220.42</v>
                </pt>
                <pt idx="79">
                  <v>220.86</v>
                </pt>
                <pt idx="80">
                  <v>224.84</v>
                </pt>
                <pt idx="81">
                  <v>225.44</v>
                </pt>
                <pt idx="82">
                  <v>223.34</v>
                </pt>
                <pt idx="83">
                  <v>220.63</v>
                </pt>
                <pt idx="84">
                  <v>217.99</v>
                </pt>
                <pt idx="85">
                  <v>217.38</v>
                </pt>
                <pt idx="86">
                  <v>219.39</v>
                </pt>
                <pt idx="87">
                  <v>223.61</v>
                </pt>
                <pt idx="88">
                  <v>220.28</v>
                </pt>
                <pt idx="89">
                  <v>223.36</v>
                </pt>
                <pt idx="90">
                  <v>224.75</v>
                </pt>
                <pt idx="91">
                  <v>223.71</v>
                </pt>
                <pt idx="92">
                  <v>223.9</v>
                </pt>
                <pt idx="93">
                  <v>221.34</v>
                </pt>
                <pt idx="94">
                  <v>221.63</v>
                </pt>
                <pt idx="95">
                  <v>222.3</v>
                </pt>
                <pt idx="96">
                  <v>222.6</v>
                </pt>
                <pt idx="97">
                  <v>222.25</v>
                </pt>
                <pt idx="98">
                  <v>223.46</v>
                </pt>
                <pt idx="99">
                  <v>218.29</v>
                </pt>
                <pt idx="100">
                  <v>220.19</v>
                </pt>
                <pt idx="101">
                  <v>220.5</v>
                </pt>
                <pt idx="102">
                  <v>223.97</v>
                </pt>
                <pt idx="103">
                  <v>223.08</v>
                </pt>
                <pt idx="104">
                  <v>226.19</v>
                </pt>
                <pt idx="105">
                  <v>226</v>
                </pt>
                <pt idx="106">
                  <v>228.72</v>
                </pt>
                <pt idx="107">
                  <v>226.84</v>
                </pt>
                <pt idx="108">
                  <v>223.38</v>
                </pt>
                <pt idx="109">
                  <v>224.31</v>
                </pt>
                <pt idx="110">
                  <v>223.92</v>
                </pt>
                <pt idx="111">
                  <v>225.13</v>
                </pt>
                <pt idx="112">
                  <v>224.14</v>
                </pt>
                <pt idx="113">
                  <v>222.5</v>
                </pt>
                <pt idx="114">
                  <v>213.33</v>
                </pt>
                <pt idx="115">
                  <v>211.8</v>
                </pt>
                <pt idx="116">
                  <v>212.57</v>
                </pt>
                <pt idx="117">
                  <v>214.58</v>
                </pt>
                <pt idx="118">
                  <v>217.06</v>
                </pt>
                <pt idx="119">
                  <v>214.98</v>
                </pt>
                <pt idx="120">
                  <v>214.83</v>
                </pt>
                <pt idx="121">
                  <v>215.11</v>
                </pt>
                <pt idx="122">
                  <v>218.59</v>
                </pt>
                <pt idx="123">
                  <v>218.24</v>
                </pt>
                <pt idx="124">
                  <v>218.25</v>
                </pt>
                <pt idx="125">
                  <v>222.92</v>
                </pt>
                <pt idx="126">
                  <v>216.24</v>
                </pt>
                <pt idx="127">
                  <v>215.2</v>
                </pt>
                <pt idx="128">
                  <v>215.56</v>
                </pt>
                <pt idx="129">
                  <v>216.25</v>
                </pt>
                <pt idx="130">
                  <v>216.59</v>
                </pt>
                <pt idx="131">
                  <v>214.77</v>
                </pt>
                <pt idx="132">
                  <v>213.74</v>
                </pt>
                <pt idx="133">
                  <v>214.97</v>
                </pt>
                <pt idx="134">
                  <v>210.59</v>
                </pt>
                <pt idx="135">
                  <v>211.69</v>
                </pt>
                <pt idx="136">
                  <v>209.88</v>
                </pt>
                <pt idx="137">
                  <v>209.55</v>
                </pt>
                <pt idx="138">
                  <v>202.35</v>
                </pt>
                <pt idx="139">
                  <v>200.62</v>
                </pt>
                <pt idx="140">
                  <v>202.04</v>
                </pt>
                <pt idx="141">
                  <v>201.35</v>
                </pt>
                <pt idx="142">
                  <v>203.6</v>
                </pt>
                <pt idx="143">
                  <v>205.03</v>
                </pt>
                <pt idx="144">
                  <v>202.02</v>
                </pt>
                <pt idx="145">
                  <v>200.93</v>
                </pt>
                <pt idx="146">
                  <v>199.99</v>
                </pt>
                <pt idx="147">
                  <v>205.03</v>
                </pt>
                <pt idx="148">
                  <v>206.95</v>
                </pt>
                <pt idx="149">
                  <v>212.4</v>
                </pt>
                <pt idx="150">
                  <v>210.25</v>
                </pt>
                <pt idx="151">
                  <v>211</v>
                </pt>
                <pt idx="152">
                  <v>214.76</v>
                </pt>
                <pt idx="153">
                  <v>210.63</v>
                </pt>
                <pt idx="154">
                  <v>209.29</v>
                </pt>
                <pt idx="155">
                  <v>213.04</v>
                </pt>
                <pt idx="156">
                  <v>214.79</v>
                </pt>
                <pt idx="157">
                  <v>203.74</v>
                </pt>
                <pt idx="158">
                  <v>202.69</v>
                </pt>
                <pt idx="159">
                  <v>201.55</v>
                </pt>
                <pt idx="160">
                  <v>202.5</v>
                </pt>
                <pt idx="161">
                  <v>205.15</v>
                </pt>
                <pt idx="162">
                  <v>203.37</v>
                </pt>
                <pt idx="163">
                  <v>193.97</v>
                </pt>
                <pt idx="164">
                  <v>193.69</v>
                </pt>
                <pt idx="165">
                  <v>195.99</v>
                </pt>
                <pt idx="166">
                  <v>196.49</v>
                </pt>
                <pt idx="167">
                  <v>203.8</v>
                </pt>
                <pt idx="168">
                  <v>206.82</v>
                </pt>
                <pt idx="169">
                  <v>207.78</v>
                </pt>
                <pt idx="170">
                  <v>207.14</v>
                </pt>
                <pt idx="171">
                  <v>207.21</v>
                </pt>
                <pt idx="172">
                  <v>208.43</v>
                </pt>
                <pt idx="173">
                  <v>209.23</v>
                </pt>
                <pt idx="174">
                  <v>211.66</v>
                </pt>
                <pt idx="175">
                  <v>210.49</v>
                </pt>
                <pt idx="176">
                  <v>216.54</v>
                </pt>
                <pt idx="177">
                  <v>210.87</v>
                </pt>
                <pt idx="178">
                  <v>212.27</v>
                </pt>
                <pt idx="179">
                  <v>212.35</v>
                </pt>
                <pt idx="180">
                  <v>210.38</v>
                </pt>
                <pt idx="181">
                  <v>209.84</v>
                </pt>
                <pt idx="182">
                  <v>211.9</v>
                </pt>
                <pt idx="183">
                  <v>211.68</v>
                </pt>
                <pt idx="184">
                  <v>212.85</v>
                </pt>
                <pt idx="185">
                  <v>211.16</v>
                </pt>
                <pt idx="186">
                  <v>212.68</v>
                </pt>
                <pt idx="187">
                  <v>213.56</v>
                </pt>
                <pt idx="188">
                  <v>215.63</v>
                </pt>
                <pt idx="189">
                  <v>214.8</v>
                </pt>
                <pt idx="190">
                  <v>212.02</v>
                </pt>
                <pt idx="191">
                  <v>211.93</v>
                </pt>
                <pt idx="192">
                  <v>214.17</v>
                </pt>
                <pt idx="193">
                  <v>216.03</v>
                </pt>
                <pt idx="194">
                  <v>218.86</v>
                </pt>
                <pt idx="195">
                  <v>220.9</v>
                </pt>
                <pt idx="196">
                  <v>223.67</v>
                </pt>
                <pt idx="197">
                  <v>224.76</v>
                </pt>
                <pt idx="198">
                  <v>224.35</v>
                </pt>
                <pt idx="199">
                  <v>222.7</v>
                </pt>
                <pt idx="200">
                  <v>224.69</v>
                </pt>
                <pt idx="201">
                  <v>221.18</v>
                </pt>
                <pt idx="202">
                  <v>223.28</v>
                </pt>
                <pt idx="203">
                  <v>224.93</v>
                </pt>
                <pt idx="204">
                  <v>225.65</v>
                </pt>
                <pt idx="205">
                  <v>225.82</v>
                </pt>
                <pt idx="206">
                  <v>225.44</v>
                </pt>
                <pt idx="207">
                  <v>227.01</v>
                </pt>
                <pt idx="208">
                  <v>223.6</v>
                </pt>
                <pt idx="209">
                  <v>219.33</v>
                </pt>
                <pt idx="210">
                  <v>220.68</v>
                </pt>
                <pt idx="211">
                  <v>221.62</v>
                </pt>
                <pt idx="212">
                  <v>224</v>
                </pt>
                <pt idx="213">
                  <v>223.42</v>
                </pt>
                <pt idx="214">
                  <v>226.11</v>
                </pt>
                <pt idx="215">
                  <v>224.36</v>
                </pt>
                <pt idx="216">
                  <v>223.96</v>
                </pt>
                <pt idx="217">
                  <v>222.38</v>
                </pt>
                <pt idx="218">
                  <v>221.26</v>
                </pt>
                <pt idx="219">
                  <v>225.12</v>
                </pt>
                <pt idx="220">
                  <v>226.08</v>
                </pt>
                <pt idx="221">
                  <v>227.28</v>
                </pt>
                <pt idx="222">
                  <v>222.8</v>
                </pt>
                <pt idx="223">
                  <v>219.8</v>
                </pt>
                <pt idx="224">
                  <v>223.41</v>
                </pt>
                <pt idx="225">
                  <v>222.36</v>
                </pt>
                <pt idx="226">
                  <v>229.37</v>
                </pt>
                <pt idx="227">
                  <v>231.05</v>
                </pt>
                <pt idx="228">
                  <v>226.01</v>
                </pt>
                <pt idx="229">
                  <v>230.36</v>
                </pt>
                <pt idx="230">
                  <v>234.44</v>
                </pt>
                <pt idx="231">
                  <v>229.65</v>
                </pt>
                <pt idx="232">
                  <v>231.58</v>
                </pt>
                <pt idx="233">
                  <v>236.52</v>
                </pt>
                <pt idx="234">
                  <v>238.44</v>
                </pt>
                <pt idx="235">
                  <v>240</v>
                </pt>
                <pt idx="236">
                  <v>240.13</v>
                </pt>
                <pt idx="237">
                  <v>237.12</v>
                </pt>
                <pt idx="238">
                  <v>241.1</v>
                </pt>
                <pt idx="239">
                  <v>242.46</v>
                </pt>
                <pt idx="240">
                  <v>255.15</v>
                </pt>
                <pt idx="241">
                  <v>251.38</v>
                </pt>
                <pt idx="242">
                  <v>253.43</v>
                </pt>
                <pt idx="243">
                  <v>256.94</v>
                </pt>
                <pt idx="244">
                  <v>257.23</v>
                </pt>
                <pt idx="245">
                  <v>261.08</v>
                </pt>
                <pt idx="246">
                  <v>263.56</v>
                </pt>
                <pt idx="247">
                  <v>262.3</v>
                </pt>
                <pt idx="248">
                  <v>265.85</v>
                </pt>
                <pt idx="249">
                  <v>267.43</v>
                </pt>
                <pt idx="250">
                  <v>267.85</v>
                </pt>
                <pt idx="251">
                  <v>264.98</v>
                </pt>
                <pt idx="252">
                  <v>267.34</v>
                </pt>
                <pt idx="253">
                  <v>271.17</v>
                </pt>
                <pt idx="254">
                  <v>266.7</v>
                </pt>
                <pt idx="255">
                  <v>264.95</v>
                </pt>
                <pt idx="256">
                  <v>269.58</v>
                </pt>
                <pt idx="257">
                  <v>269.32</v>
                </pt>
                <pt idx="258">
                  <v>270.73</v>
                </pt>
                <pt idx="259">
                  <v>266.86</v>
                </pt>
                <pt idx="260">
                  <v>269.42</v>
                </pt>
                <pt idx="261">
                  <v>269.01</v>
                </pt>
                <pt idx="262">
                  <v>271.74</v>
                </pt>
                <pt idx="263">
                  <v>275.59</v>
                </pt>
                <pt idx="264">
                  <v>274.36</v>
                </pt>
                <pt idx="265">
                  <v>272.62</v>
                </pt>
                <pt idx="266">
                  <v>273.87</v>
                </pt>
                <pt idx="267">
                  <v>272.79</v>
                </pt>
                <pt idx="268">
                  <v>272.92</v>
                </pt>
                <pt idx="269">
                  <v>269.69</v>
                </pt>
                <pt idx="270">
                  <v>266.25</v>
                </pt>
                <pt idx="271">
                  <v>268.77</v>
                </pt>
                <pt idx="272">
                  <v>265.89</v>
                </pt>
                <pt idx="273">
                  <v>270.15</v>
                </pt>
                <pt idx="274">
                  <v>269.72</v>
                </pt>
                <pt idx="275">
                  <v>265.62</v>
                </pt>
                <pt idx="276">
                  <v>264.56</v>
                </pt>
                <pt idx="277">
                  <v>265.5</v>
                </pt>
                <pt idx="278">
                  <v>262.78</v>
                </pt>
                <pt idx="279">
                  <v>260.47</v>
                </pt>
                <pt idx="280">
                  <v>258.54</v>
                </pt>
                <pt idx="281">
                  <v>258.26</v>
                </pt>
                <pt idx="282">
                  <v>255.07</v>
                </pt>
                <pt idx="283">
                  <v>252.06</v>
                </pt>
                <pt idx="284">
                  <v>254.48</v>
                </pt>
                <pt idx="285">
                  <v>259.34</v>
                </pt>
                <pt idx="286">
                  <v>256.4</v>
                </pt>
                <pt idx="287">
                  <v>258.54</v>
                </pt>
                <pt idx="288">
                  <v>261.24</v>
                </pt>
                <pt idx="289">
                  <v>261.45</v>
                </pt>
                <pt idx="290">
                  <v>257.63</v>
                </pt>
                <pt idx="291">
                  <v>259.73</v>
                </pt>
                <pt idx="292">
                  <v>264.41</v>
                </pt>
                <pt idx="293">
                  <v>264.44</v>
                </pt>
                <pt idx="294">
                  <v>266.61</v>
                </pt>
                <pt idx="295">
                  <v>268.35</v>
                </pt>
                <pt idx="296">
                  <v>267.93</v>
                </pt>
                <pt idx="297">
                  <v>270.69</v>
                </pt>
                <pt idx="298">
                  <v>272.07</v>
                </pt>
                <pt idx="299">
                  <v>270.09</v>
                </pt>
                <pt idx="300">
                  <v>267.75</v>
                </pt>
                <pt idx="301">
                  <v>270.5</v>
                </pt>
                <pt idx="302">
                  <v>260</v>
                </pt>
                <pt idx="303">
                  <v>259.1</v>
                </pt>
                <pt idx="304">
                  <v>260.21</v>
                </pt>
                <pt idx="305">
                  <v>262.18</v>
                </pt>
                <pt idx="306">
                  <v>260.87</v>
                </pt>
                <pt idx="307">
                  <v>257.21</v>
                </pt>
                <pt idx="308">
                  <v>259.25</v>
                </pt>
                <pt idx="309">
                  <v>253.98</v>
                </pt>
                <pt idx="310">
                  <v>251.91</v>
                </pt>
                <pt idx="311">
                  <v>254.08</v>
                </pt>
                <pt idx="312">
                  <v>255.77</v>
                </pt>
                <pt idx="313">
                  <v>252.19</v>
                </pt>
                <pt idx="314">
                  <v>250.46</v>
                </pt>
                <pt idx="315">
                  <v>251.18</v>
                </pt>
                <pt idx="316">
                  <v>248.58</v>
                </pt>
                <pt idx="317">
                  <v>247.59</v>
                </pt>
                <pt idx="318">
                  <v>247.81</v>
                </pt>
                <pt idx="319">
                  <v>244.64</v>
                </pt>
                <pt idx="320">
                  <v>249.12</v>
                </pt>
                <pt idx="321">
                  <v>253.95</v>
                </pt>
                <pt idx="322">
                  <v>252.64</v>
                </pt>
                <pt idx="323">
                  <v>256.35</v>
                </pt>
                <pt idx="324">
                  <v>255.61</v>
                </pt>
                <pt idx="325">
                  <v>246.46</v>
                </pt>
                <pt idx="326">
                  <v>247.81</v>
                </pt>
                <pt idx="327">
                  <v>247.58</v>
                </pt>
                <pt idx="328">
                  <v>246.15</v>
                </pt>
                <pt idx="329">
                  <v>245.88</v>
                </pt>
                <pt idx="330">
                  <v>247.76</v>
                </pt>
                <pt idx="331">
                  <v>248.68</v>
                </pt>
                <pt idx="332">
                  <v>243.72</v>
                </pt>
                <pt idx="333">
                  <v>245.07</v>
                </pt>
                <pt idx="334">
                  <v>243.92</v>
                </pt>
                <pt idx="335">
                  <v>244.21</v>
                </pt>
                <pt idx="336">
                  <v>241.97</v>
                </pt>
                <pt idx="337">
                  <v>242.25</v>
                </pt>
                <pt idx="338">
                  <v>247.72</v>
                </pt>
                <pt idx="339">
                  <v>254.69</v>
                </pt>
                <pt idx="340">
                  <v>252.51</v>
                </pt>
                <pt idx="341">
                  <v>253.9</v>
                </pt>
                <pt idx="342">
                  <v>262.81</v>
                </pt>
                <pt idx="343">
                  <v>255.8</v>
                </pt>
                <pt idx="344">
                  <v>256.09</v>
                </pt>
                <pt idx="345">
                  <v>256.14</v>
                </pt>
                <pt idx="346">
                  <v>260.61</v>
                </pt>
                <pt idx="347">
                  <v>260.15</v>
                </pt>
                <pt idx="348">
                  <v>250.51</v>
                </pt>
                <pt idx="349">
                  <v>253.77</v>
                </pt>
                <pt idx="350">
                  <v>261.71</v>
                </pt>
                <pt idx="351">
                  <v>264.53</v>
                </pt>
                <pt idx="352">
                  <v>270</v>
                </pt>
                <pt idx="353">
                  <v>274.51</v>
                </pt>
                <pt idx="354">
                  <v>271.13</v>
                </pt>
                <pt idx="355">
                  <v>266.34</v>
                </pt>
                <pt idx="356">
                  <v>257.43</v>
                </pt>
                <pt idx="357">
                  <v>246.14</v>
                </pt>
                <pt idx="358">
                  <v>241.22</v>
                </pt>
                <pt idx="359">
                  <v>246.33</v>
                </pt>
                <pt idx="360">
                  <v>244.34</v>
                </pt>
                <pt idx="361">
                  <v>241.9</v>
                </pt>
                <pt idx="362">
                  <v>243.84</v>
                </pt>
                <pt idx="363">
                  <v>242.5</v>
                </pt>
                <pt idx="364">
                  <v>246.57</v>
                </pt>
                <pt idx="365">
                  <v>244.43</v>
                </pt>
                <pt idx="366">
                  <v>244.29</v>
                </pt>
                <pt idx="367">
                  <v>245.6</v>
                </pt>
                <pt idx="368">
                  <v>247.84</v>
                </pt>
                <pt idx="369">
                  <v>247.98</v>
                </pt>
                <pt idx="370">
                  <v>254.89</v>
                </pt>
                <pt idx="371">
                  <v>250.68</v>
                </pt>
                <pt idx="372">
                  <v>240.41</v>
                </pt>
                <pt idx="373">
                  <v>235.77</v>
                </pt>
                <pt idx="374">
                  <v>241.28</v>
                </pt>
                <pt idx="375">
                  <v>245.21</v>
                </pt>
                <pt idx="376">
                  <v>239.02</v>
                </pt>
                <pt idx="377">
                  <v>234.83</v>
                </pt>
                <pt idx="378">
                  <v>232.16</v>
                </pt>
                <pt idx="379">
                  <v>231.97</v>
                </pt>
                <pt idx="380">
                  <v>231.83</v>
                </pt>
                <pt idx="381">
                  <v>232.95</v>
                </pt>
                <pt idx="382">
                  <v>232.95</v>
                </pt>
                <pt idx="383">
                  <v>236.27</v>
                </pt>
                <pt idx="384">
                  <v>237.47</v>
                </pt>
                <pt idx="385">
                  <v>242.87</v>
                </pt>
                <pt idx="386">
                  <v>245.12</v>
                </pt>
                <pt idx="387">
                  <v>244.4</v>
                </pt>
                <pt idx="388">
                  <v>253.67</v>
                </pt>
                <pt idx="389">
                  <v>252.05</v>
                </pt>
                <pt idx="390">
                  <v>252.33</v>
                </pt>
                <pt idx="391">
                  <v>249.87</v>
                </pt>
                <pt idx="392">
                  <v>249.63</v>
                </pt>
                <pt idx="393">
                  <v>250.58</v>
                </pt>
                <pt idx="394">
                  <v>250.24</v>
                </pt>
                <pt idx="395">
                  <v>250.43</v>
                </pt>
                <pt idx="396">
                  <v>247.49</v>
                </pt>
                <pt idx="397">
                  <v>240.46</v>
                </pt>
                <pt idx="398">
                  <v>241.1</v>
                </pt>
                <pt idx="399">
                  <v>241.43</v>
                </pt>
                <pt idx="400">
                  <v>238.03</v>
                </pt>
                <pt idx="401">
                  <v>238.19</v>
                </pt>
                <pt idx="402">
                  <v>241.64</v>
                </pt>
                <pt idx="403">
                  <v>243.9</v>
                </pt>
                <pt idx="404">
                  <v>247.51</v>
                </pt>
                <pt idx="405">
                  <v>248.7</v>
                </pt>
                <pt idx="406">
                  <v>252.79</v>
                </pt>
                <pt idx="407">
                  <v>256.48</v>
                </pt>
                <pt idx="408">
                  <v>258.64</v>
                </pt>
                <pt idx="409">
                  <v>261.72</v>
                </pt>
                <pt idx="410">
                  <v>259.94</v>
                </pt>
                <pt idx="411">
                  <v>253.72</v>
                </pt>
                <pt idx="412">
                  <v>253.57</v>
                </pt>
                <pt idx="413">
                  <v>256.14</v>
                </pt>
                <pt idx="414">
                  <v>256.54</v>
                </pt>
                <pt idx="415">
                  <v>258.5</v>
                </pt>
                <pt idx="416">
                  <v>259.55</v>
                </pt>
                <pt idx="417">
                  <v>276.23</v>
                </pt>
                <pt idx="418">
                  <v>273.93</v>
                </pt>
                <pt idx="419">
                  <v>270.39</v>
                </pt>
                <pt idx="420">
                  <v>268.86</v>
                </pt>
                <pt idx="421">
                  <v>272.67</v>
                </pt>
                <pt idx="422">
                  <v>290.45</v>
                </pt>
                <pt idx="423">
                  <v>290.59</v>
                </pt>
                <pt idx="424">
                  <v>292.31</v>
                </pt>
                <pt idx="425">
                  <v>292.04</v>
                </pt>
                <pt idx="426">
                  <v>288.38</v>
                </pt>
                <pt idx="427">
                  <v>287.71</v>
                </pt>
                <pt idx="428">
                  <v>282.68</v>
                </pt>
                <pt idx="429">
                  <v>279.28</v>
                </pt>
                <pt idx="430">
                  <v>278.74</v>
                </pt>
                <pt idx="431">
                  <v>278.01</v>
                </pt>
                <pt idx="432">
                  <v>277.81</v>
                </pt>
                <pt idx="433">
                  <v>281.18</v>
                </pt>
                <pt idx="434">
                  <v>284.61</v>
                </pt>
                <pt idx="435">
                  <v>290.37</v>
                </pt>
                <pt idx="436">
                  <v>288.4</v>
                </pt>
                <pt idx="437">
                  <v>286.39</v>
                </pt>
                <pt idx="438">
                  <v>288.13</v>
                </pt>
                <pt idx="439">
                  <v>287.05</v>
                </pt>
                <pt idx="440">
                  <v>286.5</v>
                </pt>
                <pt idx="441">
                  <v>285.65</v>
                </pt>
                <pt idx="442">
                  <v>287.63</v>
                </pt>
                <pt idx="443">
                  <v>286.86</v>
                </pt>
                <pt idx="444">
                  <v>281.23</v>
                </pt>
                <pt idx="445">
                  <v>276.31</v>
                </pt>
                <pt idx="446">
                  <v>279.56</v>
                </pt>
                <pt idx="447">
                  <v>278.11</v>
                </pt>
                <pt idx="448">
                  <v>275.77</v>
                </pt>
                <pt idx="449">
                  <v>277</v>
                </pt>
                <pt idx="450">
                  <v>272.65</v>
                </pt>
                <pt idx="451">
                  <v>264.89</v>
                </pt>
                <pt idx="452">
                  <v>260.92</v>
                </pt>
                <pt idx="453">
                  <v>263.13</v>
                </pt>
                <pt idx="454">
                  <v>262.87</v>
                </pt>
                <pt idx="455">
                  <v>264.31</v>
                </pt>
                <pt idx="456">
                  <v>264.55</v>
                </pt>
                <pt idx="457">
                  <v>262.36</v>
                </pt>
                <pt idx="458">
                  <v>258.16</v>
                </pt>
                <pt idx="459">
                  <v>257.23</v>
                </pt>
                <pt idx="460">
                  <v>255.57</v>
                </pt>
                <pt idx="461">
                  <v>257.13</v>
                </pt>
                <pt idx="462">
                  <v>257.38</v>
                </pt>
                <pt idx="463">
                  <v>251.98</v>
                </pt>
                <pt idx="464">
                  <v>255.28</v>
                </pt>
                <pt idx="465">
                  <v>251.69</v>
                </pt>
                <pt idx="466">
                  <v>256.03</v>
                </pt>
                <pt idx="467">
                  <v>260.07</v>
                </pt>
                <pt idx="468">
                  <v>268.19</v>
                </pt>
                <pt idx="469">
                  <v>269.17</v>
                </pt>
                <pt idx="470">
                  <v>270.1</v>
                </pt>
                <pt idx="471">
                  <v>275.53</v>
                </pt>
                <pt idx="472">
                  <v>274.38</v>
                </pt>
                <pt idx="473">
                  <v>274.83</v>
                </pt>
                <pt idx="474">
                  <v>277.54</v>
                </pt>
                <pt idx="475">
                  <v>274.99</v>
                </pt>
                <pt idx="476">
                  <v>275.1</v>
                </pt>
                <pt idx="477">
                  <v>272.2</v>
                </pt>
                <pt idx="478">
                  <v>276.36</v>
                </pt>
                <pt idx="479">
                  <v>274.15</v>
                </pt>
                <pt idx="480">
                  <v>271.16</v>
                </pt>
                <pt idx="481">
                  <v>272.07</v>
                </pt>
                <pt idx="482">
                  <v>274.33</v>
                </pt>
                <pt idx="483">
                  <v>277.21</v>
                </pt>
                <pt idx="484">
                  <v>272.92</v>
                </pt>
                <pt idx="485">
                  <v>268.56</v>
                </pt>
                <pt idx="486">
                  <v>267.77</v>
                </pt>
                <pt idx="487">
                  <v>263.81</v>
                </pt>
                <pt idx="488">
                  <v>269.33</v>
                </pt>
                <pt idx="489">
                  <v>270.46</v>
                </pt>
                <pt idx="490">
                  <v>272.76</v>
                </pt>
                <pt idx="491">
                  <v>264.97</v>
                </pt>
                <pt idx="492">
                  <v>258.59</v>
                </pt>
                <pt idx="493">
                  <v>252.86</v>
                </pt>
                <pt idx="494">
                  <v>251.56</v>
                </pt>
                <pt idx="495">
                  <v>249.79</v>
                </pt>
                <pt idx="496">
                  <v>250.53</v>
                </pt>
                <pt idx="497">
                  <v>245.12</v>
                </pt>
                <pt idx="498">
                  <v>247.31</v>
                </pt>
                <pt idx="499">
                  <v>239.77</v>
                </pt>
                <pt idx="500">
                  <v>234.86</v>
                </pt>
                <pt idx="501">
                  <v>240.35</v>
                </pt>
                <pt idx="502">
                  <v>235.17</v>
                </pt>
                <pt idx="503">
                  <v>220.9</v>
                </pt>
                <pt idx="504">
                  <v>221.34</v>
                </pt>
                <pt idx="505">
                  <v>224.71</v>
                </pt>
                <pt idx="506">
                  <v>227.17</v>
                </pt>
                <pt idx="507">
                  <v>225.04</v>
                </pt>
                <pt idx="508">
                  <v>231.32</v>
                </pt>
                <pt idx="509">
                  <v>235.08</v>
                </pt>
                <pt idx="510">
                  <v>236.5</v>
                </pt>
                <pt idx="511">
                  <v>241.11</v>
                </pt>
                <pt idx="512">
                  <v>238.72</v>
                </pt>
                <pt idx="513">
                  <v>234.08</v>
                </pt>
                <pt idx="514">
                  <v>240.81</v>
                </pt>
                <pt idx="515">
                  <v>240.98</v>
                </pt>
                <pt idx="516">
                  <v>237.06</v>
                </pt>
                <pt idx="517">
                  <v>237.54</v>
                </pt>
                <pt idx="518">
                  <v>232.94</v>
                </pt>
                <pt idx="519">
                  <v>233.3</v>
                </pt>
                <pt idx="520">
                  <v>237.27</v>
                </pt>
                <pt idx="521">
                  <v>240.1</v>
                </pt>
                <pt idx="522">
                  <v>237.18</v>
                </pt>
                <pt idx="523">
                  <v>230.74</v>
                </pt>
                <pt idx="524">
                  <v>228.53</v>
                </pt>
                <pt idx="525">
                  <v>226.49</v>
                </pt>
                <pt idx="526">
                  <v>239.53</v>
                </pt>
                <pt idx="527">
                  <v>235.58</v>
                </pt>
                <pt idx="528">
                  <v>242.3</v>
                </pt>
                <pt idx="529">
                  <v>243.48</v>
                </pt>
                <pt idx="530">
                  <v>244.53</v>
                </pt>
                <pt idx="531">
                  <v>240.55</v>
                </pt>
                <pt idx="532">
                  <v>241.93</v>
                </pt>
                <pt idx="533">
                  <v>234.17</v>
                </pt>
                <pt idx="534">
                  <v>240.57</v>
                </pt>
                <pt idx="535">
                  <v>244.54</v>
                </pt>
                <pt idx="536">
                  <v>249.51</v>
                </pt>
                <pt idx="537">
                  <v>247.04</v>
                </pt>
                <pt idx="538">
                  <v>245.39</v>
                </pt>
                <pt idx="539">
                  <v>245.35</v>
                </pt>
                <pt idx="540">
                  <v>262.33</v>
                </pt>
                <pt idx="541">
                  <v>263.63</v>
                </pt>
                <pt idx="542">
                  <v>267.05</v>
                </pt>
                <pt idx="543">
                  <v>270.04</v>
                </pt>
                <pt idx="544">
                  <v>267.24</v>
                </pt>
                <pt idx="545">
                  <v>265.84</v>
                </pt>
                <pt idx="546">
                  <v>268.42</v>
                </pt>
                <pt idx="547">
                  <v>269.63</v>
                </pt>
                <pt idx="548">
                  <v>272.36</v>
                </pt>
                <pt idx="549">
                  <v>268.59</v>
                </pt>
                <pt idx="550">
                  <v>266.32</v>
                </pt>
                <pt idx="551">
                  <v>271.07</v>
                </pt>
                <pt idx="552">
                  <v>275.51</v>
                </pt>
                <pt idx="553">
                  <v>276.01</v>
                </pt>
                <pt idx="554">
                  <v>273.33</v>
                </pt>
                <pt idx="555">
                  <v>270.54</v>
                </pt>
                <pt idx="556">
                  <v>271.68</v>
                </pt>
                <pt idx="557">
                  <v>268.19</v>
                </pt>
                <pt idx="558">
                  <v>270.16</v>
                </pt>
                <pt idx="559">
                  <v>262.53</v>
                </pt>
                <pt idx="560">
                  <v>265.31</v>
                </pt>
                <pt idx="561">
                  <v>265.07</v>
                </pt>
                <pt idx="562">
                  <v>263.38</v>
                </pt>
                <pt idx="563">
                  <v>264.94</v>
                </pt>
                <pt idx="564">
                  <v>266.08</v>
                </pt>
                <pt idx="565">
                  <v>265.67</v>
                </pt>
                <pt idx="566">
                  <v>264.81</v>
                </pt>
                <pt idx="567">
                  <v>266</v>
                </pt>
                <pt idx="568">
                  <v>265.1</v>
                </pt>
                <pt idx="569">
                  <v>261.12</v>
                </pt>
                <pt idx="570">
                  <v>265.53</v>
                </pt>
                <pt idx="571">
                  <v>260.77</v>
                </pt>
                <pt idx="572">
                  <v>261.18</v>
                </pt>
                <pt idx="573">
                  <v>259.04</v>
                </pt>
                <pt idx="574">
                  <v>258.14</v>
                </pt>
                <pt idx="575">
                  <v>255.94</v>
                </pt>
                <pt idx="576">
                  <v>261.04</v>
                </pt>
                <pt idx="577">
                  <v>264.48</v>
                </pt>
                <pt idx="578">
                  <v>254.64</v>
                </pt>
                <pt idx="579">
                  <v>256.96</v>
                </pt>
                <pt idx="580">
                  <v>262.18</v>
                </pt>
                <pt idx="581">
                  <v>260.82</v>
                </pt>
                <pt idx="582">
                  <v>264.67</v>
                </pt>
                <pt idx="583">
                  <v>265.71</v>
                </pt>
                <pt idx="584">
                  <v>266.24</v>
                </pt>
                <pt idx="585">
                  <v>267</v>
                </pt>
                <pt idx="586">
                  <v>266.45</v>
                </pt>
                <pt idx="587">
                  <v>269.95</v>
                </pt>
                <pt idx="588">
                  <v>270.73</v>
                </pt>
                <pt idx="589">
                  <v>269</v>
                </pt>
                <pt idx="590">
                  <v>269.93</v>
                </pt>
                <pt idx="591">
                  <v>261.56</v>
                </pt>
                <pt idx="592">
                  <v>260.62</v>
                </pt>
                <pt idx="593">
                  <v>263.01</v>
                </pt>
                <pt idx="594">
                  <v>266.6</v>
                </pt>
                <pt idx="595">
                  <v>265.01</v>
                </pt>
                <pt idx="596">
                  <v>267.78</v>
                </pt>
                <pt idx="597">
                  <v>269.11</v>
                </pt>
                <pt idx="598">
                  <v>271.42</v>
                </pt>
                <pt idx="599">
                  <v>274.83</v>
                </pt>
                <pt idx="600">
                  <v>270.11</v>
                </pt>
                <pt idx="601">
                  <v>273.92</v>
                </pt>
                <pt idx="602">
                  <v>272.77</v>
                </pt>
                <pt idx="603">
                  <v>274.67</v>
                </pt>
                <pt idx="604">
                  <v>274.94</v>
                </pt>
                <pt idx="605">
                  <v>281.85</v>
                </pt>
                <pt idx="606">
                  <v>283.17</v>
                </pt>
                <pt idx="607">
                  <v>281.59</v>
                </pt>
                <pt idx="608">
                  <v>282.1</v>
                </pt>
                <pt idx="609">
                  <v>286.52</v>
                </pt>
                <pt idx="610">
                  <v>285.24</v>
                </pt>
                <pt idx="611">
                  <v>291.89</v>
                </pt>
                <pt idx="612">
                  <v>295.64</v>
                </pt>
                <pt idx="613">
                  <v>293.1</v>
                </pt>
                <pt idx="614">
                  <v>291.62</v>
                </pt>
                <pt idx="615">
                  <v>289.88</v>
                </pt>
                <pt idx="616">
                  <v>292.84</v>
                </pt>
                <pt idx="617">
                  <v>286.28</v>
                </pt>
                <pt idx="618">
                  <v>288.28</v>
                </pt>
                <pt idx="619">
                  <v>292.4</v>
                </pt>
                <pt idx="620">
                  <v>290.3</v>
                </pt>
                <pt idx="621">
                  <v>291.2</v>
                </pt>
                <pt idx="622">
                  <v>291.15</v>
                </pt>
                <pt idx="623">
                  <v>291.16</v>
                </pt>
                <pt idx="624">
                  <v>291.16</v>
                </pt>
                <pt idx="625">
                  <v>292.49</v>
                </pt>
                <pt idx="626">
                  <v>288.05</v>
                </pt>
                <pt idx="627">
                  <v>292.33</v>
                </pt>
                <pt idx="628">
                  <v>294.81</v>
                </pt>
                <pt idx="629">
                  <v>298.91</v>
                </pt>
                <pt idx="630">
                  <v>292.44</v>
                </pt>
                <pt idx="631">
                  <v>294.43</v>
                </pt>
                <pt idx="632">
                  <v>301.65</v>
                </pt>
                <pt idx="633">
                  <v>294.94</v>
                </pt>
                <pt idx="634">
                  <v>294.03</v>
                </pt>
                <pt idx="635">
                  <v>291.96</v>
                </pt>
                <pt idx="636">
                  <v>292.25</v>
                </pt>
                <pt idx="637">
                  <v>298.58</v>
                </pt>
                <pt idx="638">
                  <v>297.79</v>
                </pt>
                <pt idx="639">
                  <v>298.89</v>
                </pt>
                <pt idx="640">
                  <v>297.59</v>
                </pt>
                <pt idx="641">
                  <v>293.81</v>
                </pt>
                <pt idx="642">
                  <v>294.76</v>
                </pt>
                <pt idx="643">
                  <v>299.29</v>
                </pt>
                <pt idx="644">
                  <v>303.02</v>
                </pt>
                <pt idx="645">
                  <v>307.62</v>
                </pt>
                <pt idx="646">
                  <v>301.64</v>
                </pt>
                <pt idx="647">
                  <v>303.37</v>
                </pt>
                <pt idx="648">
                  <v>304.7</v>
                </pt>
                <pt idx="649">
                  <v>304.67</v>
                </pt>
                <pt idx="650">
                  <v>300.9</v>
                </pt>
                <pt idx="651">
                  <v>304.43</v>
                </pt>
                <pt idx="652">
                  <v>302.9</v>
                </pt>
                <pt idx="653">
                  <v>301.43</v>
                </pt>
                <pt idx="654">
                  <v>302.75</v>
                </pt>
                <pt idx="655">
                  <v>309.07</v>
                </pt>
                <pt idx="656">
                  <v>303.1</v>
                </pt>
                <pt idx="657">
                  <v>296.23</v>
                </pt>
                <pt idx="658">
                  <v>295.35</v>
                </pt>
                <pt idx="659">
                  <v>295.47</v>
                </pt>
                <pt idx="660">
                  <v>297.57</v>
                </pt>
                <pt idx="661">
                  <v>293.67</v>
                </pt>
                <pt idx="662">
                  <v>292.06</v>
                </pt>
                <pt idx="663">
                  <v>292.74</v>
                </pt>
                <pt idx="664">
                  <v>292.01</v>
                </pt>
                <pt idx="665">
                  <v>292.59</v>
                </pt>
                <pt idx="666">
                  <v>294.97</v>
                </pt>
                <pt idx="667">
                  <v>290</v>
                </pt>
                <pt idx="668">
                  <v>289.5</v>
                </pt>
                <pt idx="669">
                  <v>288.55</v>
                </pt>
                <pt idx="670">
                  <v>292.26</v>
                </pt>
                <pt idx="671">
                  <v>285.1</v>
                </pt>
                <pt idx="672">
                  <v>286.3</v>
                </pt>
                <pt idx="673">
                  <v>287.3</v>
                </pt>
                <pt idx="674">
                  <v>292.84</v>
                </pt>
                <pt idx="675">
                  <v>295.1</v>
                </pt>
                <pt idx="676">
                  <v>295.09</v>
                </pt>
                <pt idx="677">
                  <v>284.09</v>
                </pt>
                <pt idx="678">
                  <v>280.58</v>
                </pt>
                <pt idx="679">
                  <v>280.08</v>
                </pt>
                <pt idx="680">
                  <v>281.87</v>
                </pt>
                <pt idx="681">
                  <v>284.23</v>
                </pt>
                <pt idx="682">
                  <v>285.97</v>
                </pt>
                <pt idx="683">
                  <v>287.83</v>
                </pt>
                <pt idx="684">
                  <v>287.19</v>
                </pt>
                <pt idx="685">
                  <v>292.72</v>
                </pt>
                <pt idx="686">
                  <v>295.08</v>
                </pt>
                <pt idx="687">
                  <v>297.24</v>
                </pt>
                <pt idx="688">
                  <v>291.85</v>
                </pt>
                <pt idx="689">
                  <v>289.84</v>
                </pt>
                <pt idx="690">
                  <v>292.59</v>
                </pt>
                <pt idx="691">
                  <v>293.65</v>
                </pt>
                <pt idx="692">
                  <v>294.87</v>
                </pt>
                <pt idx="693">
                  <v>295.78</v>
                </pt>
                <pt idx="694">
                  <v>291.04</v>
                </pt>
                <pt idx="695">
                  <v>296.77</v>
                </pt>
                <pt idx="696">
                  <v>299.27</v>
                </pt>
                <pt idx="697">
                  <v>295.94</v>
                </pt>
                <pt idx="698">
                  <v>296.68</v>
                </pt>
                <pt idx="699">
                  <v>292.01</v>
                </pt>
                <pt idx="700">
                  <v>285.41</v>
                </pt>
                <pt idx="701">
                  <v>288.34</v>
                </pt>
                <pt idx="702">
                  <v>291.87</v>
                </pt>
                <pt idx="703">
                  <v>291.88</v>
                </pt>
                <pt idx="704">
                  <v>292.84</v>
                </pt>
                <pt idx="705">
                  <v>293.64</v>
                </pt>
                <pt idx="706">
                  <v>294.2</v>
                </pt>
                <pt idx="707">
                  <v>292.02</v>
                </pt>
                <pt idx="708">
                  <v>288.88</v>
                </pt>
                <pt idx="709">
                  <v>285.22</v>
                </pt>
                <pt idx="710">
                  <v>292.65</v>
                </pt>
                <pt idx="711">
                  <v>296.67</v>
                </pt>
                <pt idx="712">
                  <v>299.85</v>
                </pt>
                <pt idx="713">
                  <v>292.12</v>
                </pt>
                <pt idx="714">
                  <v>299.13</v>
                </pt>
                <pt idx="715">
                  <v>311.62</v>
                </pt>
                <pt idx="716">
                  <v>309.62</v>
                </pt>
                <pt idx="717">
                  <v>311.04</v>
                </pt>
                <pt idx="718">
                  <v>298.48</v>
                </pt>
                <pt idx="719">
                  <v>301.71</v>
                </pt>
                <pt idx="720">
                  <v>305.97</v>
                </pt>
                <pt idx="721">
                  <v>296.15</v>
                </pt>
                <pt idx="722">
                  <v>299.01</v>
                </pt>
                <pt idx="723">
                  <v>303.27</v>
                </pt>
                <pt idx="724">
                  <v>300.07</v>
                </pt>
                <pt idx="725">
                  <v>300.4</v>
                </pt>
                <pt idx="726">
                  <v>298.67</v>
                </pt>
                <pt idx="727">
                  <v>299.73</v>
                </pt>
                <pt idx="728">
                  <v>299.47</v>
                </pt>
                <pt idx="729">
                  <v>300.54</v>
                </pt>
                <pt idx="730">
                  <v>305.92</v>
                </pt>
                <pt idx="731">
                  <v>311.01</v>
                </pt>
                <pt idx="732">
                  <v>311.49</v>
                </pt>
                <pt idx="733">
                  <v>310.76</v>
                </pt>
                <pt idx="734">
                  <v>323.72</v>
                </pt>
                <pt idx="735">
                  <v>327.32</v>
                </pt>
                <pt idx="736">
                  <v>330.37</v>
                </pt>
                <pt idx="737">
                  <v>319.78</v>
                </pt>
                <pt idx="738">
                  <v>321.92</v>
                </pt>
                <pt idx="739">
                  <v>327.65</v>
                </pt>
                <pt idx="740">
                  <v>302.22</v>
                </pt>
                <pt idx="741">
                  <v>299.36</v>
                </pt>
                <pt idx="742">
                  <v>302.85</v>
                </pt>
                <pt idx="743">
                  <v>305.29</v>
                </pt>
                <pt idx="744">
                  <v>310.79</v>
                </pt>
                <pt idx="745">
                  <v>317.89</v>
                </pt>
                <pt idx="746">
                  <v>305.53</v>
                </pt>
                <pt idx="747">
                  <v>308.99</v>
                </pt>
                <pt idx="748">
                  <v>310</v>
                </pt>
                <pt idx="749">
                  <v>306.2</v>
                </pt>
                <pt idx="750">
                  <v>300</v>
                </pt>
                <pt idx="751">
                  <v>295.98</v>
                </pt>
              </numCache>
            </numRef>
          </val>
          <smooth val="0"/>
        </ser>
        <ser>
          <idx val="1"/>
          <order val="1"/>
          <tx>
            <strRef>
              <f>'Share Price Analysis'!$P$35</f>
              <strCache>
                <ptCount val="1"/>
                <pt idx="0">
                  <v>VMC EMA 200D</v>
                </pt>
              </strCache>
            </strRef>
          </tx>
          <spPr>
            <a:ln w="19050">
              <a:solidFill>
                <a:srgbClr val="FF7F0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Analysis'!$P$36:$P$787</f>
              <numCache>
                <formatCode>\$#,##0.00</formatCode>
                <ptCount val="752"/>
                <pt idx="0">
                  <v>179.79</v>
                </pt>
                <pt idx="1">
                  <v>179.7645273631841</v>
                </pt>
                <pt idx="2">
                  <v>179.756124105839</v>
                </pt>
                <pt idx="3">
                  <v>179.6995457565271</v>
                </pt>
                <pt idx="4">
                  <v>179.5959681868105</v>
                </pt>
                <pt idx="5">
                  <v>179.4604859162949</v>
                </pt>
                <pt idx="6">
                  <v>179.3415756086701</v>
                </pt>
                <pt idx="7">
                  <v>179.1770823190316</v>
                </pt>
                <pt idx="8">
                  <v>179.0480566243149</v>
                </pt>
                <pt idx="9">
                  <v>178.8686729763118</v>
                </pt>
                <pt idx="10">
                  <v>178.7134622999306</v>
                </pt>
                <pt idx="11">
                  <v>178.5883532223193</v>
                </pt>
                <pt idx="12">
                  <v>178.4403099066744</v>
                </pt>
                <pt idx="13">
                  <v>178.3016003553642</v>
                </pt>
                <pt idx="14">
                  <v>178.18118642148</v>
                </pt>
                <pt idx="15">
                  <v>178.0579905366891</v>
                </pt>
                <pt idx="16">
                  <v>177.9583090388117</v>
                </pt>
                <pt idx="17">
                  <v>177.8790223817091</v>
                </pt>
                <pt idx="18">
                  <v>177.8020171838811</v>
                </pt>
                <pt idx="19">
                  <v>177.7399075601609</v>
                </pt>
                <pt idx="20">
                  <v>177.6920477834429</v>
                </pt>
                <pt idx="21">
                  <v>177.6041667109708</v>
                </pt>
                <pt idx="22">
                  <v>177.469398883001</v>
                </pt>
                <pt idx="23">
                  <v>177.3446287448617</v>
                </pt>
                <pt idx="24">
                  <v>177.231846369291</v>
                </pt>
                <pt idx="25">
                  <v>177.1257583457159</v>
                </pt>
                <pt idx="26">
                  <v>177.0281886109327</v>
                </pt>
                <pt idx="27">
                  <v>176.9528832516199</v>
                </pt>
                <pt idx="28">
                  <v>176.8745461048376</v>
                </pt>
                <pt idx="29">
                  <v>176.8248491286701</v>
                </pt>
                <pt idx="30">
                  <v>176.7804227691809</v>
                </pt>
                <pt idx="31">
                  <v>176.7481797565522</v>
                </pt>
                <pt idx="32">
                  <v>176.705312296288</v>
                </pt>
                <pt idx="33">
                  <v>176.6499360545339</v>
                </pt>
                <pt idx="34">
                  <v>176.5977973873246</v>
                </pt>
                <pt idx="35">
                  <v>176.5288640799881</v>
                </pt>
                <pt idx="36">
                  <v>176.4305669249633</v>
                </pt>
                <pt idx="37">
                  <v>176.3962329257099</v>
                </pt>
                <pt idx="38">
                  <v>176.3835340906282</v>
                </pt>
                <pt idx="39">
                  <v>176.3947427066419</v>
                </pt>
                <pt idx="40">
                  <v>176.4233522319489</v>
                </pt>
                <pt idx="41">
                  <v>176.4452094236709</v>
                </pt>
                <pt idx="42">
                  <v>176.5823715189577</v>
                </pt>
                <pt idx="43">
                  <v>176.7514026481223</v>
                </pt>
                <pt idx="44">
                  <v>176.9113886914246</v>
                </pt>
                <pt idx="45">
                  <v>177.0725689034502</v>
                </pt>
                <pt idx="46">
                  <v>177.2617970735652</v>
                </pt>
                <pt idx="47">
                  <v>177.4366050628829</v>
                </pt>
                <pt idx="48">
                  <v>177.6151463060383</v>
                </pt>
                <pt idx="49">
                  <v>177.7997717159285</v>
                </pt>
                <pt idx="50">
                  <v>177.9710177685064</v>
                </pt>
                <pt idx="51">
                  <v>178.1554852533969</v>
                </pt>
                <pt idx="52">
                  <v>178.3371222160497</v>
                </pt>
                <pt idx="53">
                  <v>178.5250115472332</v>
                </pt>
                <pt idx="54">
                  <v>178.7114293427832</v>
                </pt>
                <pt idx="55">
                  <v>178.875494722457</v>
                </pt>
                <pt idx="56">
                  <v>179.0269823371589</v>
                </pt>
                <pt idx="57">
                  <v>179.1869128611673</v>
                </pt>
                <pt idx="58">
                  <v>179.3542072605587</v>
                </pt>
                <pt idx="59">
                  <v>179.5203345514984</v>
                </pt>
                <pt idx="60">
                  <v>179.6793361977521</v>
                </pt>
                <pt idx="61">
                  <v>179.8695915589686</v>
                </pt>
                <pt idx="62">
                  <v>180.0970583096256</v>
                </pt>
                <pt idx="63">
                  <v>180.3173860876392</v>
                </pt>
                <pt idx="64">
                  <v>180.5442777683593</v>
                </pt>
                <pt idx="65">
                  <v>180.7875187855895</v>
                </pt>
                <pt idx="66">
                  <v>181.0401802902105</v>
                </pt>
                <pt idx="67">
                  <v>181.2949048644373</v>
                </pt>
                <pt idx="68">
                  <v>181.539632179219</v>
                </pt>
                <pt idx="69">
                  <v>181.79993434659</v>
                </pt>
                <pt idx="70">
                  <v>182.0545618655294</v>
                </pt>
                <pt idx="71">
                  <v>182.3220786628873</v>
                </pt>
                <pt idx="72">
                  <v>182.5707146960924</v>
                </pt>
                <pt idx="73">
                  <v>182.8305085797134</v>
                </pt>
                <pt idx="74">
                  <v>183.1065234197163</v>
                </pt>
                <pt idx="75">
                  <v>183.4084485598186</v>
                </pt>
                <pt idx="76">
                  <v>183.7171207134523</v>
                </pt>
                <pt idx="77">
                  <v>184.0261045869503</v>
                </pt>
                <pt idx="78">
                  <v>184.3882328995179</v>
                </pt>
                <pt idx="79">
                  <v>184.7511360547466</v>
                </pt>
                <pt idx="80">
                  <v>185.1500302233561</v>
                </pt>
                <pt idx="81">
                  <v>185.5509254450143</v>
                </pt>
                <pt idx="82">
                  <v>185.9269361371037</v>
                </pt>
                <pt idx="83">
                  <v>186.2722402551424</v>
                </pt>
                <pt idx="84">
                  <v>186.5878398545938</v>
                </pt>
                <pt idx="85">
                  <v>186.8942295077819</v>
                </pt>
                <pt idx="86">
                  <v>187.2175705077045</v>
                </pt>
                <pt idx="87">
                  <v>187.579684233996</v>
                </pt>
                <pt idx="88">
                  <v>187.9050605102747</v>
                </pt>
                <pt idx="89">
                  <v>188.2578459778341</v>
                </pt>
                <pt idx="90">
                  <v>188.6209519880049</v>
                </pt>
                <pt idx="91">
                  <v>188.9700967443432</v>
                </pt>
                <pt idx="92">
                  <v>189.3176579707677</v>
                </pt>
                <pt idx="93">
                  <v>189.6362882397153</v>
                </pt>
                <pt idx="94">
                  <v>189.9546336303649</v>
                </pt>
                <pt idx="95">
                  <v>190.2764780718538</v>
                </pt>
                <pt idx="96">
                  <v>190.598105155716</v>
                </pt>
                <pt idx="97">
                  <v>190.9130493830223</v>
                </pt>
                <pt idx="98">
                  <v>191.2368996379176</v>
                </pt>
                <pt idx="99">
                  <v>191.5060847161473</v>
                </pt>
                <pt idx="100">
                  <v>191.7914968085239</v>
                </pt>
                <pt idx="101">
                  <v>192.0771535566978</v>
                </pt>
                <pt idx="102">
                  <v>192.3944953123525</v>
                </pt>
                <pt idx="103">
                  <v>192.6998237172048</v>
                </pt>
                <pt idx="104">
                  <v>193.0330593021082</v>
                </pt>
                <pt idx="105">
                  <v>193.3610885627838</v>
                </pt>
                <pt idx="106">
                  <v>193.7129185273332</v>
                </pt>
                <pt idx="107">
                  <v>194.0425412285538</v>
                </pt>
                <pt idx="108">
                  <v>194.334456241205</v>
                </pt>
                <pt idx="109">
                  <v>194.6327203582079</v>
                </pt>
                <pt idx="110">
                  <v>194.9241360760367</v>
                </pt>
                <pt idx="111">
                  <v>195.2246919359767</v>
                </pt>
                <pt idx="112">
                  <v>195.5124064440764</v>
                </pt>
                <pt idx="113">
                  <v>195.7809397132896</v>
                </pt>
                <pt idx="114">
                  <v>195.9555572285803</v>
                </pt>
                <pt idx="115">
                  <v>196.1132133755596</v>
                </pt>
                <pt idx="116">
                  <v>196.2769624962008</v>
                </pt>
                <pt idx="117">
                  <v>196.459082272358</v>
                </pt>
                <pt idx="118">
                  <v>196.6640665283545</v>
                </pt>
                <pt idx="119">
                  <v>196.8463146225997</v>
                </pt>
                <pt idx="120">
                  <v>197.0252567656584</v>
                </pt>
                <pt idx="121">
                  <v>197.2052044595325</v>
                </pt>
                <pt idx="122">
                  <v>197.417988494761</v>
                </pt>
                <pt idx="123">
                  <v>197.625172688843</v>
                </pt>
                <pt idx="124">
                  <v>197.8303948511431</v>
                </pt>
                <pt idx="125">
                  <v>198.0800426635695</v>
                </pt>
                <pt idx="126">
                  <v>198.2607387564694</v>
                </pt>
                <pt idx="127">
                  <v>198.429288619589</v>
                </pt>
                <pt idx="128">
                  <v>198.5997434591951</v>
                </pt>
                <pt idx="129">
                  <v>198.7753679023872</v>
                </pt>
                <pt idx="130">
                  <v>198.952627923259</v>
                </pt>
                <pt idx="131">
                  <v>199.1100147100923</v>
                </pt>
                <pt idx="132">
                  <v>199.2555867030267</v>
                </pt>
                <pt idx="133">
                  <v>199.4119490243896</v>
                </pt>
                <pt idx="134">
                  <v>199.5231734122066</v>
                </pt>
                <pt idx="135">
                  <v>199.644236363329</v>
                </pt>
                <pt idx="136">
                  <v>199.7460847577237</v>
                </pt>
                <pt idx="137">
                  <v>199.8436361531692</v>
                </pt>
                <pt idx="138">
                  <v>199.8685750969188</v>
                </pt>
                <pt idx="139">
                  <v>199.8760519616261</v>
                </pt>
                <pt idx="140">
                  <v>199.8975837829034</v>
                </pt>
                <pt idx="141">
                  <v>199.9120356855611</v>
                </pt>
                <pt idx="142">
                  <v>199.9487318478938</v>
                </pt>
                <pt idx="143">
                  <v>199.9992917300044</v>
                </pt>
                <pt idx="144">
                  <v>200.0193982799546</v>
                </pt>
                <pt idx="145">
                  <v>200.0284589935869</v>
                </pt>
                <pt idx="146">
                  <v>200.0280763170338</v>
                </pt>
                <pt idx="147">
                  <v>200.0778467019389</v>
                </pt>
                <pt idx="148">
                  <v>200.1462263367455</v>
                </pt>
                <pt idx="149">
                  <v>200.2681544328973</v>
                </pt>
                <pt idx="150">
                  <v>200.3674762793362</v>
                </pt>
                <pt idx="151">
                  <v>200.4732725352632</v>
                </pt>
                <pt idx="152">
                  <v>200.6154290274496</v>
                </pt>
                <pt idx="153">
                  <v>200.7150764998133</v>
                </pt>
                <pt idx="154">
                  <v>200.8003991217057</v>
                </pt>
                <pt idx="155">
                  <v>200.9221861951216</v>
                </pt>
                <pt idx="156">
                  <v>201.060174392185</v>
                </pt>
                <pt idx="157">
                  <v>201.0868393236061</v>
                </pt>
                <pt idx="158">
                  <v>201.1027911711324</v>
                </pt>
                <pt idx="159">
                  <v>201.1072410102256</v>
                </pt>
                <pt idx="160">
                  <v>201.1210993086314</v>
                </pt>
                <pt idx="161">
                  <v>201.1611878727246</v>
                </pt>
                <pt idx="162">
                  <v>201.1831661028467</v>
                </pt>
                <pt idx="163">
                  <v>201.1113933058035</v>
                </pt>
                <pt idx="164">
                  <v>201.037548596293</v>
                </pt>
                <pt idx="165">
                  <v>200.9873242321509</v>
                </pt>
                <pt idx="166">
                  <v>200.9425747373036</v>
                </pt>
                <pt idx="167">
                  <v>200.9710068294697</v>
                </pt>
                <pt idx="168">
                  <v>201.02920576649</v>
                </pt>
                <pt idx="169">
                  <v>201.0963778484154</v>
                </pt>
                <pt idx="170">
                  <v>201.1565133922123</v>
                </pt>
                <pt idx="171">
                  <v>201.2167470898023</v>
                </pt>
                <pt idx="172">
                  <v>201.2885207506002</v>
                </pt>
                <pt idx="173">
                  <v>201.3675404446241</v>
                </pt>
                <pt idx="174">
                  <v>201.4699529775134</v>
                </pt>
                <pt idx="175">
                  <v>201.55970468918</v>
                </pt>
                <pt idx="176">
                  <v>201.7087623539643</v>
                </pt>
                <pt idx="177">
                  <v>201.7999189474572</v>
                </pt>
                <pt idx="178">
                  <v>201.9040988584278</v>
                </pt>
                <pt idx="179">
                  <v>202.0080381732693</v>
                </pt>
                <pt idx="180">
                  <v>202.0913412760228</v>
                </pt>
                <pt idx="181">
                  <v>202.1684423578535</v>
                </pt>
                <pt idx="182">
                  <v>202.2652737771783</v>
                </pt>
                <pt idx="183">
                  <v>202.3589526450671</v>
                </pt>
                <pt idx="184">
                  <v>202.463341175962</v>
                </pt>
                <pt idx="185">
                  <v>202.5498750946091</v>
                </pt>
                <pt idx="186">
                  <v>202.6506723573494</v>
                </pt>
                <pt idx="187">
                  <v>202.7592228811568</v>
                </pt>
                <pt idx="188">
                  <v>202.8872903151752</v>
                </pt>
                <pt idx="189">
                  <v>203.0058247398998</v>
                </pt>
                <pt idx="190">
                  <v>203.09551802607</v>
                </pt>
                <pt idx="191">
                  <v>203.1834233193429</v>
                </pt>
                <pt idx="192">
                  <v>203.2927424902948</v>
                </pt>
                <pt idx="193">
                  <v>203.4194813709883</v>
                </pt>
                <pt idx="194">
                  <v>203.573118372272</v>
                </pt>
                <pt idx="195">
                  <v>203.7455251546375</v>
                </pt>
                <pt idx="196">
                  <v>203.9437786356859</v>
                </pt>
                <pt idx="197">
                  <v>204.1509052164253</v>
                </pt>
                <pt idx="198">
                  <v>204.3518912341723</v>
                </pt>
                <pt idx="199">
                  <v>204.5344594805985</v>
                </pt>
                <pt idx="200">
                  <v>204.7350121225826</v>
                </pt>
                <pt idx="201">
                  <v>204.8986438427559</v>
                </pt>
                <pt idx="202">
                  <v>205.0815429089972</v>
                </pt>
                <pt idx="203">
                  <v>205.2790399944798</v>
                </pt>
                <pt idx="204">
                  <v>205.4817361139378</v>
                </pt>
                <pt idx="205">
                  <v>205.6841068988737</v>
                </pt>
                <pt idx="206">
                  <v>205.8806829496312</v>
                </pt>
                <pt idx="207">
                  <v>206.0909249103314</v>
                </pt>
                <pt idx="208">
                  <v>206.2651445629649</v>
                </pt>
                <pt idx="209">
                  <v>206.3951431245274</v>
                </pt>
                <pt idx="210">
                  <v>206.5372810038854</v>
                </pt>
                <pt idx="211">
                  <v>206.6873578098169</v>
                </pt>
                <pt idx="212">
                  <v>206.8596229062366</v>
                </pt>
                <pt idx="213">
                  <v>207.0244027778164</v>
                </pt>
                <pt idx="214">
                  <v>207.2143092178381</v>
                </pt>
                <pt idx="215">
                  <v>207.3849131062178</v>
                </pt>
                <pt idx="216">
                  <v>207.5498393439669</v>
                </pt>
                <pt idx="217">
                  <v>207.6974031315891</v>
                </pt>
                <pt idx="218">
                  <v>207.8323543442102</v>
                </pt>
                <pt idx="219">
                  <v>208.0043707188946</v>
                </pt>
                <pt idx="220">
                  <v>208.1842277266668</v>
                </pt>
                <pt idx="221">
                  <v>208.3742354109786</v>
                </pt>
                <pt idx="222">
                  <v>208.517775357138</v>
                </pt>
                <pt idx="223">
                  <v>208.6300362988581</v>
                </pt>
                <pt idx="224">
                  <v>208.7771006142924</v>
                </pt>
                <pt idx="225">
                  <v>208.9122538420109</v>
                </pt>
                <pt idx="226">
                  <v>209.1158135052745</v>
                </pt>
                <pt idx="227">
                  <v>209.3340641171623</v>
                </pt>
                <pt idx="228">
                  <v>209.4999938274393</v>
                </pt>
                <pt idx="229">
                  <v>209.7075560779126</v>
                </pt>
                <pt idx="230">
                  <v>209.9536500472866</v>
                </pt>
                <pt idx="231">
                  <v>210.1496336289056</v>
                </pt>
                <pt idx="232">
                  <v>210.3628711052349</v>
                </pt>
                <pt idx="233">
                  <v>210.6231410444863</v>
                </pt>
                <pt idx="234">
                  <v>210.8999257107104</v>
                </pt>
                <pt idx="235">
                  <v>211.1894786887133</v>
                </pt>
                <pt idx="236">
                  <v>211.4774440748952</v>
                </pt>
                <pt idx="237">
                  <v>211.7325938850953</v>
                </pt>
                <pt idx="238">
                  <v>212.0248068812635</v>
                </pt>
                <pt idx="239">
                  <v>212.3276446237385</v>
                </pt>
                <pt idx="240">
                  <v>212.7537377120595</v>
                </pt>
                <pt idx="241">
                  <v>213.1380786303475</v>
                </pt>
                <pt idx="242">
                  <v>213.5389932708415</v>
                </pt>
                <pt idx="243">
                  <v>213.970844084067</v>
                </pt>
                <pt idx="244">
                  <v>214.4012834464146</v>
                </pt>
                <pt idx="245">
                  <v>214.8657482877438</v>
                </pt>
                <pt idx="246">
                  <v>215.3502682052787</v>
                </pt>
                <pt idx="247">
                  <v>215.817429715674</v>
                </pt>
                <pt idx="248">
                  <v>216.315266235916</v>
                </pt>
                <pt idx="249">
                  <v>216.8238705519766</v>
                </pt>
                <pt idx="250">
                  <v>217.3315932330515</v>
                </pt>
                <pt idx="251">
                  <v>217.8057067332201</v>
                </pt>
                <pt idx="252">
                  <v>218.2985852731881</v>
                </pt>
                <pt idx="253">
                  <v>218.8246690018131</v>
                </pt>
                <pt idx="254">
                  <v>219.3010404545314</v>
                </pt>
                <pt idx="255">
                  <v>219.7552589574714</v>
                </pt>
                <pt idx="256">
                  <v>220.2510275250587</v>
                </pt>
                <pt idx="257">
                  <v>220.7392760073964</v>
                </pt>
                <pt idx="258">
                  <v>221.2366961466263</v>
                </pt>
                <pt idx="259">
                  <v>221.6906593690479</v>
                </pt>
                <pt idx="260">
                  <v>222.1655781812962</v>
                </pt>
                <pt idx="261">
                  <v>222.6316918312336</v>
                </pt>
                <pt idx="262">
                  <v>223.1203317135099</v>
                </pt>
                <pt idx="263">
                  <v>223.6424179651168</v>
                </pt>
                <pt idx="264">
                  <v>224.1470705226778</v>
                </pt>
                <pt idx="265">
                  <v>224.6293882289199</v>
                </pt>
                <pt idx="266">
                  <v>225.1193445649505</v>
                </pt>
                <pt idx="267">
                  <v>225.5936794449013</v>
                </pt>
                <pt idx="268">
                  <v>226.064588107141</v>
                </pt>
                <pt idx="269">
                  <v>226.4986718075675</v>
                </pt>
                <pt idx="270">
                  <v>226.8942074114723</v>
                </pt>
                <pt idx="271">
                  <v>227.310881964592</v>
                </pt>
                <pt idx="272">
                  <v>227.6947537858399</v>
                </pt>
                <pt idx="273">
                  <v>228.1171940466773</v>
                </pt>
                <pt idx="274">
                  <v>228.5311523148696</v>
                </pt>
                <pt idx="275">
                  <v>228.9001955754182</v>
                </pt>
                <pt idx="276">
                  <v>229.2550195000409</v>
                </pt>
                <pt idx="277">
                  <v>229.6156660721798</v>
                </pt>
                <pt idx="278">
                  <v>229.9456594445959</v>
                </pt>
                <pt idx="279">
                  <v>230.2493842262417</v>
                </pt>
                <pt idx="280">
                  <v>230.5308828906572</v>
                </pt>
                <pt idx="281">
                  <v>230.8067945036856</v>
                </pt>
                <pt idx="282">
                  <v>231.0482194339971</v>
                </pt>
                <pt idx="283">
                  <v>231.2572918774399</v>
                </pt>
                <pt idx="284">
                  <v>231.4883636000525</v>
                </pt>
                <pt idx="285">
                  <v>231.7654943104997</v>
                </pt>
                <pt idx="286">
                  <v>232.0106137700967</v>
                </pt>
                <pt idx="287">
                  <v>232.2745877624341</v>
                </pt>
                <pt idx="288">
                  <v>232.5628008195243</v>
                </pt>
                <pt idx="289">
                  <v>232.8502356372405</v>
                </pt>
                <pt idx="290">
                  <v>233.0968004567704</v>
                </pt>
                <pt idx="291">
                  <v>233.3618074173996</v>
                </pt>
                <pt idx="292">
                  <v>233.6707446570275</v>
                </pt>
                <pt idx="293">
                  <v>233.9769064017337</v>
                </pt>
                <pt idx="294">
                  <v>234.3016138007214</v>
                </pt>
                <pt idx="295">
                  <v>234.640403713152</v>
                </pt>
                <pt idx="296">
                  <v>234.9716434772003</v>
                </pt>
                <pt idx="297">
                  <v>235.3270500097655</v>
                </pt>
                <pt idx="298">
                  <v>235.6926515022056</v>
                </pt>
                <pt idx="299">
                  <v>236.034913676313</v>
                </pt>
                <pt idx="300">
                  <v>236.3504866745587</v>
                </pt>
                <pt idx="301">
                  <v>236.6902828270506</v>
                </pt>
                <pt idx="302">
                  <v>236.9222203113586</v>
                </pt>
                <pt idx="303">
                  <v>237.1428947361212</v>
                </pt>
                <pt idx="304">
                  <v>237.3724181715827</v>
                </pt>
                <pt idx="305">
                  <v>237.6192597818157</v>
                </pt>
                <pt idx="306">
                  <v>237.8506104307529</v>
                </pt>
                <pt idx="307">
                  <v>238.0432411727355</v>
                </pt>
                <pt idx="308">
                  <v>238.2542536983799</v>
                </pt>
                <pt idx="309">
                  <v>238.4107287859582</v>
                </pt>
                <pt idx="310">
                  <v>238.5450498925656</v>
                </pt>
                <pt idx="311">
                  <v>238.69962651055</v>
                </pt>
                <pt idx="312">
                  <v>238.8694809731317</v>
                </pt>
                <pt idx="313">
                  <v>239.002023451011</v>
                </pt>
                <pt idx="314">
                  <v>239.1160331679163</v>
                </pt>
                <pt idx="315">
                  <v>239.2360726388823</v>
                </pt>
                <pt idx="316">
                  <v>239.3290470404855</v>
                </pt>
                <pt idx="317">
                  <v>239.4112455773961</v>
                </pt>
                <pt idx="318">
                  <v>239.4948152731434</v>
                </pt>
                <pt idx="319">
                  <v>239.5460111410723</v>
                </pt>
                <pt idx="320">
                  <v>239.6412747118079</v>
                </pt>
                <pt idx="321">
                  <v>239.7836500878099</v>
                </pt>
                <pt idx="322">
                  <v>239.9115739675331</v>
                </pt>
                <pt idx="323">
                  <v>240.0751403957169</v>
                </pt>
                <pt idx="324">
                  <v>240.2297161131725</v>
                </pt>
                <pt idx="325">
                  <v>240.2917089876683</v>
                </pt>
                <pt idx="326">
                  <v>240.3665178534627</v>
                </pt>
                <pt idx="327">
                  <v>240.4382937952193</v>
                </pt>
                <pt idx="328">
                  <v>240.4951266927793</v>
                </pt>
                <pt idx="329">
                  <v>240.5487075217069</v>
                </pt>
                <pt idx="330">
                  <v>240.6204616757198</v>
                </pt>
                <pt idx="331">
                  <v>240.7006560869066</v>
                </pt>
                <pt idx="332">
                  <v>240.7306993099225</v>
                </pt>
                <pt idx="333">
                  <v>240.7738764312168</v>
                </pt>
                <pt idx="334">
                  <v>240.805181143344</v>
                </pt>
                <pt idx="335">
                  <v>240.8390599379376</v>
                </pt>
                <pt idx="336">
                  <v>240.8503130728835</v>
                </pt>
                <pt idx="337">
                  <v>240.8642403059892</v>
                </pt>
                <pt idx="338">
                  <v>240.9324568203574</v>
                </pt>
                <pt idx="339">
                  <v>241.0693477972693</v>
                </pt>
                <pt idx="340">
                  <v>241.1831851326199</v>
                </pt>
                <pt idx="341">
                  <v>241.3097206039371</v>
                </pt>
                <pt idx="342">
                  <v>241.5236537322561</v>
                </pt>
                <pt idx="343">
                  <v>241.6657069289501</v>
                </pt>
                <pt idx="344">
                  <v>241.8092322331397</v>
                </pt>
                <pt idx="345">
                  <v>241.9518269372875</v>
                </pt>
                <pt idx="346">
                  <v>242.1374804005981</v>
                </pt>
                <pt idx="347">
                  <v>242.3167094513385</v>
                </pt>
                <pt idx="348">
                  <v>242.3982347304296</v>
                </pt>
                <pt idx="349">
                  <v>242.5113866236592</v>
                </pt>
                <pt idx="350">
                  <v>242.7024176025282</v>
                </pt>
                <pt idx="351">
                  <v>242.9196074771299</v>
                </pt>
                <pt idx="352">
                  <v>243.1890641191486</v>
                </pt>
                <pt idx="353">
                  <v>243.5007152224406</v>
                </pt>
                <pt idx="354">
                  <v>243.7756334789338</v>
                </pt>
                <pt idx="355">
                  <v>244.0001545388449</v>
                </pt>
                <pt idx="356">
                  <v>244.133784841941</v>
                </pt>
                <pt idx="357">
                  <v>244.1537471818222</v>
                </pt>
                <pt idx="358">
                  <v>244.1245556675752</v>
                </pt>
                <pt idx="359">
                  <v>244.1465003873008</v>
                </pt>
                <pt idx="360">
                  <v>244.1484257565814</v>
                </pt>
                <pt idx="361">
                  <v>244.1260533609936</v>
                </pt>
                <pt idx="362">
                  <v>244.1232070588941</v>
                </pt>
                <pt idx="363">
                  <v>244.1070557448753</v>
                </pt>
                <pt idx="364">
                  <v>244.1315626528865</v>
                </pt>
                <pt idx="365">
                  <v>244.1345321787284</v>
                </pt>
                <pt idx="366">
                  <v>244.1360791222237</v>
                </pt>
                <pt idx="367">
                  <v>244.150645499117</v>
                </pt>
                <pt idx="368">
                  <v>244.1873554941507</v>
                </pt>
                <pt idx="369">
                  <v>244.2250932504278</v>
                </pt>
                <pt idx="370">
                  <v>244.3312117255479</v>
                </pt>
                <pt idx="371">
                  <v>244.3943837481793</v>
                </pt>
                <pt idx="372">
                  <v>244.3547381387447</v>
                </pt>
                <pt idx="373">
                  <v>244.2693178587572</v>
                </pt>
                <pt idx="374">
                  <v>244.2395734024512</v>
                </pt>
                <pt idx="375">
                  <v>244.2492293884964</v>
                </pt>
                <pt idx="376">
                  <v>244.1971972552776</v>
                </pt>
                <pt idx="377">
                  <v>244.103991312439</v>
                </pt>
                <pt idx="378">
                  <v>243.9851456277381</v>
                </pt>
                <pt idx="379">
                  <v>243.8655919399</v>
                </pt>
                <pt idx="380">
                  <v>243.7458348061696</v>
                </pt>
                <pt idx="381">
                  <v>243.6384135643172</v>
                </pt>
                <pt idx="382">
                  <v>243.5320611905429</v>
                </pt>
                <pt idx="383">
                  <v>243.4598018752142</v>
                </pt>
                <pt idx="384">
                  <v>243.4002018565553</v>
                </pt>
                <pt idx="385">
                  <v>243.3949262161916</v>
                </pt>
                <pt idx="386">
                  <v>243.4120911294634</v>
                </pt>
                <pt idx="387">
                  <v>243.4219210684737</v>
                </pt>
                <pt idx="388">
                  <v>243.5238920031157</v>
                </pt>
                <pt idx="389">
                  <v>243.6087288986071</v>
                </pt>
                <pt idx="390">
                  <v>243.6955077155364</v>
                </pt>
                <pt idx="391">
                  <v>243.7569454497102</v>
                </pt>
                <pt idx="392">
                  <v>243.8153838034444</v>
                </pt>
                <pt idx="393">
                  <v>243.8826934173405</v>
                </pt>
                <pt idx="394">
                  <v>243.9459501992575</v>
                </pt>
                <pt idx="395">
                  <v>244.0104681077226</v>
                </pt>
                <pt idx="396">
                  <v>244.045090315606</v>
                </pt>
                <pt idx="397">
                  <v>244.0094177751522</v>
                </pt>
                <pt idx="398">
                  <v>243.9804683445537</v>
                </pt>
                <pt idx="399">
                  <v>243.9550905500805</v>
                </pt>
                <pt idx="400">
                  <v>243.8961344252041</v>
                </pt>
                <pt idx="401">
                  <v>243.8393569682369</v>
                </pt>
                <pt idx="402">
                  <v>243.8174728192992</v>
                </pt>
                <pt idx="403">
                  <v>243.8182939852764</v>
                </pt>
                <pt idx="404">
                  <v>243.8550273784577</v>
                </pt>
                <pt idx="405">
                  <v>243.9032360612592</v>
                </pt>
                <pt idx="406">
                  <v>243.9916615730874</v>
                </pt>
                <pt idx="407">
                  <v>244.1159236469871</v>
                </pt>
                <pt idx="408">
                  <v>244.2604418196539</v>
                </pt>
                <pt idx="409">
                  <v>244.434168766722</v>
                </pt>
                <pt idx="410">
                  <v>244.5884556446651</v>
                </pt>
                <pt idx="411">
                  <v>244.6793167825291</v>
                </pt>
                <pt idx="412">
                  <v>244.7677812921557</v>
                </pt>
                <pt idx="413">
                  <v>244.8809376972089</v>
                </pt>
                <pt idx="414">
                  <v>244.9969482673859</v>
                </pt>
                <pt idx="415">
                  <v>245.1313069910935</v>
                </pt>
                <pt idx="416">
                  <v>245.2747765732717</v>
                </pt>
                <pt idx="417">
                  <v>245.582788746672</v>
                </pt>
                <pt idx="418">
                  <v>245.8648505501877</v>
                </pt>
                <pt idx="419">
                  <v>246.1088818879968</v>
                </pt>
                <pt idx="420">
                  <v>246.3352611726934</v>
                </pt>
                <pt idx="421">
                  <v>246.5972983749551</v>
                </pt>
                <pt idx="422">
                  <v>247.0336436647565</v>
                </pt>
                <pt idx="423">
                  <v>247.4670402452067</v>
                </pt>
                <pt idx="424">
                  <v>247.913238849732</v>
                </pt>
                <pt idx="425">
                  <v>248.3523110999835</v>
                </pt>
                <pt idx="426">
                  <v>248.7505965616752</v>
                </pt>
                <pt idx="427">
                  <v>249.1382523172804</v>
                </pt>
                <pt idx="428">
                  <v>249.4720010504418</v>
                </pt>
                <pt idx="429">
                  <v>249.7685980549151</v>
                </pt>
                <pt idx="430">
                  <v>250.0568707110851</v>
                </pt>
                <pt idx="431">
                  <v>250.3350113010245</v>
                </pt>
                <pt idx="432">
                  <v>250.6083942731537</v>
                </pt>
                <pt idx="433">
                  <v>250.9125893550128</v>
                </pt>
                <pt idx="434">
                  <v>251.2478869733709</v>
                </pt>
                <pt idx="435">
                  <v>251.6371617298548</v>
                </pt>
                <pt idx="436">
                  <v>252.0029611156274</v>
                </pt>
                <pt idx="437">
                  <v>252.3451207065167</v>
                </pt>
                <pt idx="438">
                  <v>252.7011891571981</v>
                </pt>
                <pt idx="439">
                  <v>253.0429683695643</v>
                </pt>
                <pt idx="440">
                  <v>253.3758741569318</v>
                </pt>
                <pt idx="441">
                  <v>253.6970097374599</v>
                </pt>
                <pt idx="442">
                  <v>254.0346514316145</v>
                </pt>
                <pt idx="443">
                  <v>254.3612718153796</v>
                </pt>
                <pt idx="444">
                  <v>254.6286223445798</v>
                </pt>
                <pt idx="445">
                  <v>254.8443574456288</v>
                </pt>
                <pt idx="446">
                  <v>255.0902842372146</v>
                </pt>
                <pt idx="447">
                  <v>255.3193361353517</v>
                </pt>
                <pt idx="448">
                  <v>255.5228253280348</v>
                </pt>
                <pt idx="449">
                  <v>255.7365285586016</v>
                </pt>
                <pt idx="450">
                  <v>255.9048218067747</v>
                </pt>
                <pt idx="451">
                  <v>255.9942265649163</v>
                </pt>
                <pt idx="452">
                  <v>256.0432392359122</v>
                </pt>
                <pt idx="453">
                  <v>256.1137542683907</v>
                </pt>
                <pt idx="454">
                  <v>256.1809805940784</v>
                </pt>
                <pt idx="455">
                  <v>256.2618663593115</v>
                </pt>
                <pt idx="456">
                  <v>256.3443353507611</v>
                </pt>
                <pt idx="457">
                  <v>256.404192710455</v>
                </pt>
                <pt idx="458">
                  <v>256.4216634297539</v>
                </pt>
                <pt idx="459">
                  <v>256.4297065797066</v>
                </pt>
                <pt idx="460">
                  <v>256.4211522853812</v>
                </pt>
                <pt idx="461">
                  <v>256.4282054964719</v>
                </pt>
                <pt idx="462">
                  <v>256.4376760885469</v>
                </pt>
                <pt idx="463">
                  <v>256.3933211025912</v>
                </pt>
                <pt idx="464">
                  <v>256.3822432806749</v>
                </pt>
                <pt idx="465">
                  <v>256.3355542928074</v>
                </pt>
                <pt idx="466">
                  <v>256.3325139515855</v>
                </pt>
                <pt idx="467">
                  <v>256.3697028674901</v>
                </pt>
                <pt idx="468">
                  <v>256.487317764331</v>
                </pt>
                <pt idx="469">
                  <v>256.613513607472</v>
                </pt>
                <pt idx="470">
                  <v>256.747707501925</v>
                </pt>
                <pt idx="471">
                  <v>256.934595984493</v>
                </pt>
                <pt idx="472">
                  <v>257.1081820941001</v>
                </pt>
                <pt idx="473">
                  <v>257.2845185906762</v>
                </pt>
                <pt idx="474">
                  <v>257.4860656693759</v>
                </pt>
                <pt idx="475">
                  <v>257.6602341701782</v>
                </pt>
                <pt idx="476">
                  <v>257.8337641784351</v>
                </pt>
                <pt idx="477">
                  <v>257.9767117985502</v>
                </pt>
                <pt idx="478">
                  <v>258.1596300891119</v>
                </pt>
                <pt idx="479">
                  <v>258.3187382474292</v>
                </pt>
                <pt idx="480">
                  <v>258.446511996211</v>
                </pt>
                <pt idx="481">
                  <v>258.5820690907761</v>
                </pt>
                <pt idx="482">
                  <v>258.7387649207186</v>
                </pt>
                <pt idx="483">
                  <v>258.9225583045921</v>
                </pt>
                <pt idx="484">
                  <v>259.0618363314121</v>
                </pt>
                <pt idx="485">
                  <v>259.1563454226418</v>
                </pt>
                <pt idx="486">
                  <v>259.2420534283867</v>
                </pt>
                <pt idx="487">
                  <v>259.2875056330794</v>
                </pt>
                <pt idx="488">
                  <v>259.3874309501632</v>
                </pt>
                <pt idx="489">
                  <v>259.4976057665795</v>
                </pt>
                <pt idx="490">
                  <v>259.6295698883051</v>
                </pt>
                <pt idx="491">
                  <v>259.6827084963817</v>
                </pt>
                <pt idx="492">
                  <v>259.6718357750246</v>
                </pt>
                <pt idx="493">
                  <v>259.6040563145766</v>
                </pt>
                <pt idx="494">
                  <v>259.5240159532376</v>
                </pt>
                <pt idx="495">
                  <v>259.4271600731059</v>
                </pt>
                <pt idx="496">
                  <v>259.3386311171545</v>
                </pt>
                <pt idx="497">
                  <v>259.1971522005659</v>
                </pt>
                <pt idx="498">
                  <v>259.0788720791673</v>
                </pt>
                <pt idx="499">
                  <v>258.8867439987775</v>
                </pt>
                <pt idx="500">
                  <v>258.6476719191877</v>
                </pt>
                <pt idx="501">
                  <v>258.4656055319321</v>
                </pt>
                <pt idx="502">
                  <v>258.2338084619627</v>
                </pt>
                <pt idx="503">
                  <v>257.8623277807491</v>
                </pt>
                <pt idx="504">
                  <v>257.4989215341745</v>
                </pt>
                <pt idx="505">
                  <v>257.1726636084614</v>
                </pt>
                <pt idx="506">
                  <v>256.8741296422081</v>
                </pt>
                <pt idx="507">
                  <v>256.5573721333304</v>
                </pt>
                <pt idx="508">
                  <v>256.3062540026505</v>
                </pt>
                <pt idx="509">
                  <v>256.0950474951615</v>
                </pt>
                <pt idx="510">
                  <v>255.9000718981947</v>
                </pt>
                <pt idx="511">
                  <v>255.7529070036853</v>
                </pt>
                <pt idx="512">
                  <v>255.5834253419571</v>
                </pt>
                <pt idx="513">
                  <v>255.3694609106938</v>
                </pt>
                <pt idx="514">
                  <v>255.224590652876</v>
                </pt>
                <pt idx="515">
                  <v>255.0828534324494</v>
                </pt>
                <pt idx="516">
                  <v>254.9035215574996</v>
                </pt>
                <pt idx="517">
                  <v>254.7307501987185</v>
                </pt>
                <pt idx="518">
                  <v>254.5139268136567</v>
                </pt>
                <pt idx="519">
                  <v>254.3028429647646</v>
                </pt>
                <pt idx="520">
                  <v>254.1333619402396</v>
                </pt>
                <pt idx="521">
                  <v>253.9937264980481</v>
                </pt>
                <pt idx="522">
                  <v>253.8264257368735</v>
                </pt>
                <pt idx="523">
                  <v>253.5967100578997</v>
                </pt>
                <pt idx="524">
                  <v>253.3472900573236</v>
                </pt>
                <pt idx="525">
                  <v>253.0800533403353</v>
                </pt>
                <pt idx="526">
                  <v>252.9452269389389</v>
                </pt>
                <pt idx="527">
                  <v>252.7724386111883</v>
                </pt>
                <pt idx="528">
                  <v>252.6682352419228</v>
                </pt>
                <pt idx="529">
                  <v>252.576810015635</v>
                </pt>
                <pt idx="530">
                  <v>252.4967422542855</v>
                </pt>
                <pt idx="531">
                  <v>252.3778691970289</v>
                </pt>
                <pt idx="532">
                  <v>252.273910299546</v>
                </pt>
                <pt idx="533">
                  <v>252.0937718886053</v>
                </pt>
                <pt idx="534">
                  <v>251.9791074917038</v>
                </pt>
                <pt idx="535">
                  <v>251.9050865216371</v>
                </pt>
                <pt idx="536">
                  <v>251.8812548149541</v>
                </pt>
                <pt idx="537">
                  <v>251.8330831252531</v>
                </pt>
                <pt idx="538">
                  <v>251.7689728453998</v>
                </pt>
                <pt idx="539">
                  <v>251.7051024688287</v>
                </pt>
                <pt idx="540">
                  <v>251.8108228422732</v>
                </pt>
                <pt idx="541">
                  <v>251.9284265950864</v>
                </pt>
                <pt idx="542">
                  <v>252.0788900120507</v>
                </pt>
                <pt idx="543">
                  <v>252.2576075243686</v>
                </pt>
                <pt idx="544">
                  <v>252.4066860564645</v>
                </pt>
                <pt idx="545">
                  <v>252.5403508718231</v>
                </pt>
                <pt idx="546">
                  <v>252.6983573308099</v>
                </pt>
                <pt idx="547">
                  <v>252.8668313872197</v>
                </pt>
                <pt idx="548">
                  <v>253.0607932639639</v>
                </pt>
                <pt idx="549">
                  <v>253.2153127339742</v>
                </pt>
                <pt idx="550">
                  <v>253.3457076321436</v>
                </pt>
                <pt idx="551">
                  <v>253.5220687502317</v>
                </pt>
                <pt idx="552">
                  <v>253.7408541358016</v>
                </pt>
                <pt idx="553">
                  <v>253.9624376767389</v>
                </pt>
                <pt idx="554">
                  <v>254.1551497396569</v>
                </pt>
                <pt idx="555">
                  <v>254.3181830755807</v>
                </pt>
                <pt idx="556">
                  <v>254.4909374728387</v>
                </pt>
                <pt idx="557">
                  <v>254.6272465527109</v>
                </pt>
                <pt idx="558">
                  <v>254.7818013133805</v>
                </pt>
                <pt idx="559">
                  <v>254.858897817725</v>
                </pt>
                <pt idx="560">
                  <v>254.9628888842153</v>
                </pt>
                <pt idx="561">
                  <v>255.0634571540241</v>
                </pt>
                <pt idx="562">
                  <v>255.1462088241333</v>
                </pt>
                <pt idx="563">
                  <v>255.2436594825997</v>
                </pt>
                <pt idx="564">
                  <v>255.3514837663549</v>
                </pt>
                <pt idx="565">
                  <v>255.4541555696748</v>
                </pt>
                <pt idx="566">
                  <v>255.547248549081</v>
                </pt>
                <pt idx="567">
                  <v>255.6512560262046</v>
                </pt>
                <pt idx="568">
                  <v>255.7452733791777</v>
                </pt>
                <pt idx="569">
                  <v>255.7987532460515</v>
                </pt>
                <pt idx="570">
                  <v>255.8955815719615</v>
                </pt>
                <pt idx="571">
                  <v>255.9440832478624</v>
                </pt>
                <pt idx="572">
                  <v>255.996181922013</v>
                </pt>
                <pt idx="573">
                  <v>256.0264686690577</v>
                </pt>
                <pt idx="574">
                  <v>256.0474988315546</v>
                </pt>
                <pt idx="575">
                  <v>256.0464291914396</v>
                </pt>
                <pt idx="576">
                  <v>256.0961164631667</v>
                </pt>
                <pt idx="577">
                  <v>256.1795381899013</v>
                </pt>
                <pt idx="578">
                  <v>256.1642194019421</v>
                </pt>
                <pt idx="579">
                  <v>256.1721376168482</v>
                </pt>
                <pt idx="580">
                  <v>256.2319173420537</v>
                </pt>
                <pt idx="581">
                  <v>256.2775699058143</v>
                </pt>
                <pt idx="582">
                  <v>256.3610766729207</v>
                </pt>
                <pt idx="583">
                  <v>256.4541007856279</v>
                </pt>
                <pt idx="584">
                  <v>256.5514729171142</v>
                </pt>
                <pt idx="585">
                  <v>256.655438360725</v>
                </pt>
                <pt idx="586">
                  <v>256.752896685494</v>
                </pt>
                <pt idx="587">
                  <v>256.8842111463348</v>
                </pt>
                <pt idx="588">
                  <v>257.0219801896549</v>
                </pt>
                <pt idx="589">
                  <v>257.1411644663747</v>
                </pt>
                <pt idx="590">
                  <v>257.2684165612367</v>
                </pt>
                <pt idx="591">
                  <v>257.3111188840105</v>
                </pt>
                <pt idx="592">
                  <v>257.3440430742193</v>
                </pt>
                <pt idx="593">
                  <v>257.4004207550728</v>
                </pt>
                <pt idx="594">
                  <v>257.4919588570124</v>
                </pt>
                <pt idx="595">
                  <v>257.5667652365447</v>
                </pt>
                <pt idx="596">
                  <v>257.6683894630467</v>
                </pt>
                <pt idx="597">
                  <v>257.7822363340612</v>
                </pt>
                <pt idx="598">
                  <v>257.9179354750158</v>
                </pt>
                <pt idx="599">
                  <v>258.0862147240206</v>
                </pt>
                <pt idx="600">
                  <v>258.205854378508</v>
                </pt>
                <pt idx="601">
                  <v>258.3622140364333</v>
                </pt>
                <pt idx="602">
                  <v>258.5055750907971</v>
                </pt>
                <pt idx="603">
                  <v>258.6664151396449</v>
                </pt>
                <pt idx="604">
                  <v>258.8283413571609</v>
                </pt>
                <pt idx="605">
                  <v>259.0574125874379</v>
                </pt>
                <pt idx="606">
                  <v>259.2973388303489</v>
                </pt>
                <pt idx="607">
                  <v>259.519156354425</v>
                </pt>
                <pt idx="608">
                  <v>259.7438413658238</v>
                </pt>
                <pt idx="609">
                  <v>260.0102708049699</v>
                </pt>
                <pt idx="610">
                  <v>260.2613128865125</v>
                </pt>
                <pt idx="611">
                  <v>260.5760261911243</v>
                </pt>
                <pt idx="612">
                  <v>260.9249214529041</v>
                </pt>
                <pt idx="613">
                  <v>261.2450714881986</v>
                </pt>
                <pt idx="614">
                  <v>261.5473095828434</v>
                </pt>
                <pt idx="615">
                  <v>261.829226900427</v>
                </pt>
                <pt idx="616">
                  <v>262.1377918068904</v>
                </pt>
                <pt idx="617">
                  <v>262.3780127839363</v>
                </pt>
                <pt idx="618">
                  <v>262.6357440000165</v>
                </pt>
                <pt idx="619">
                  <v>262.9319057512602</v>
                </pt>
                <pt idx="620">
                  <v>263.2042250970188</v>
                </pt>
                <pt idx="621">
                  <v>263.4827900214266</v>
                </pt>
                <pt idx="622">
                  <v>263.7580856431039</v>
                </pt>
                <pt idx="623">
                  <v>264.0307415073516</v>
                </pt>
                <pt idx="624">
                  <v>264.3006843779253</v>
                </pt>
                <pt idx="625">
                  <v>264.5811750806325</v>
                </pt>
                <pt idx="626">
                  <v>264.8146957265963</v>
                </pt>
                <pt idx="627">
                  <v>265.0884798487197</v>
                </pt>
                <pt idx="628">
                  <v>265.3842163676379</v>
                </pt>
                <pt idx="629">
                  <v>265.7178062545271</v>
                </pt>
                <pt idx="630">
                  <v>265.9836987296064</v>
                </pt>
                <pt idx="631">
                  <v>266.2667465034412</v>
                </pt>
                <pt idx="632">
                  <v>266.6188186775363</v>
                </pt>
                <pt idx="633">
                  <v>266.9006214767648</v>
                </pt>
                <pt idx="634">
                  <v>267.1705655416726</v>
                </pt>
                <pt idx="635">
                  <v>267.4172265810589</v>
                </pt>
                <pt idx="636">
                  <v>267.6643188538842</v>
                </pt>
                <pt idx="637">
                  <v>267.971937571756</v>
                </pt>
                <pt idx="638">
                  <v>268.2686347103456</v>
                </pt>
                <pt idx="639">
                  <v>268.5733249122327</v>
                </pt>
                <pt idx="640">
                  <v>268.8620480474344</v>
                </pt>
                <pt idx="641">
                  <v>269.1102863753206</v>
                </pt>
                <pt idx="642">
                  <v>269.365507406412</v>
                </pt>
                <pt idx="643">
                  <v>269.6632635516218</v>
                </pt>
                <pt idx="644">
                  <v>269.9951713769788</v>
                </pt>
                <pt idx="645">
                  <v>270.369547781188</v>
                </pt>
                <pt idx="646">
                  <v>270.6806965594847</v>
                </pt>
                <pt idx="647">
                  <v>271.0059632603853</v>
                </pt>
                <pt idx="648">
                  <v>271.3412273075456</v>
                </pt>
                <pt idx="649">
                  <v>271.6728568865751</v>
                </pt>
                <pt idx="650">
                  <v>271.9636742309872</v>
                </pt>
                <pt idx="651">
                  <v>272.2867222485893</v>
                </pt>
                <pt idx="652">
                  <v>272.5913319774591</v>
                </pt>
                <pt idx="653">
                  <v>272.8782838980814</v>
                </pt>
                <pt idx="654">
                  <v>273.1755149040706</v>
                </pt>
                <pt idx="655">
                  <v>273.5326739597515</v>
                </pt>
                <pt idx="656">
                  <v>273.8268762089082</v>
                </pt>
                <pt idx="657">
                  <v>274.049792863546</v>
                </pt>
                <pt idx="658">
                  <v>274.2617352231127</v>
                </pt>
                <pt idx="659">
                  <v>274.4727627333305</v>
                </pt>
                <pt idx="660">
                  <v>274.7025859897153</v>
                </pt>
                <pt idx="661">
                  <v>274.8913164773798</v>
                </pt>
                <pt idx="662">
                  <v>275.0621491492467</v>
                </pt>
                <pt idx="663">
                  <v>275.2380481626871</v>
                </pt>
                <pt idx="664">
                  <v>275.4049332555957</v>
                </pt>
                <pt idx="665">
                  <v>275.5759289445947</v>
                </pt>
                <pt idx="666">
                  <v>275.7689047759918</v>
                </pt>
                <pt idx="667">
                  <v>275.9105077135441</v>
                </pt>
                <pt idx="668">
                  <v>276.0457265422651</v>
                </pt>
                <pt idx="669">
                  <v>276.1701471736853</v>
                </pt>
                <pt idx="670">
                  <v>276.3302452117582</v>
                </pt>
                <pt idx="671">
                  <v>276.4175064534322</v>
                </pt>
                <pt idx="672">
                  <v>276.5158397225523</v>
                </pt>
                <pt idx="673">
                  <v>276.6231447999398</v>
                </pt>
                <pt idx="674">
                  <v>276.784506543224</v>
                </pt>
                <pt idx="675">
                  <v>276.9667502592118</v>
                </pt>
                <pt idx="676">
                  <v>277.1470811024038</v>
                </pt>
                <pt idx="677">
                  <v>277.2161648725291</v>
                </pt>
                <pt idx="678">
                  <v>277.2496358688223</v>
                </pt>
                <pt idx="679">
                  <v>277.2777986959983</v>
                </pt>
                <pt idx="680">
                  <v>277.3234922413117</v>
                </pt>
                <pt idx="681">
                  <v>277.3922137115474</v>
                </pt>
                <pt idx="682">
                  <v>277.4775648188952</v>
                </pt>
                <pt idx="683">
                  <v>277.5805741241799</v>
                </pt>
                <pt idx="684">
                  <v>277.6761903020488</v>
                </pt>
                <pt idx="685">
                  <v>277.8258799507846</v>
                </pt>
                <pt idx="686">
                  <v>277.997562737344</v>
                </pt>
                <pt idx="687">
                  <v>278.1890297747834</v>
                </pt>
                <pt idx="688">
                  <v>278.3249598267756</v>
                </pt>
                <pt idx="689">
                  <v>278.439537340937</v>
                </pt>
                <pt idx="690">
                  <v>278.5803379644103</v>
                </pt>
                <pt idx="691">
                  <v>278.7302848503366</v>
                </pt>
                <pt idx="692">
                  <v>278.8908790309303</v>
                </pt>
                <pt idx="693">
                  <v>279.0589299858464</v>
                </pt>
                <pt idx="694">
                  <v>279.1781446128529</v>
                </pt>
                <pt idx="695">
                  <v>279.3531879500384</v>
                </pt>
                <pt idx="696">
                  <v>279.5513651843664</v>
                </pt>
                <pt idx="697">
                  <v>279.7144361775569</v>
                </pt>
                <pt idx="698">
                  <v>279.8832477578797</v>
                </pt>
                <pt idx="699">
                  <v>280.0039119592939</v>
                </pt>
                <pt idx="700">
                  <v>280.0577038800969</v>
                </pt>
                <pt idx="701">
                  <v>280.1401147867627</v>
                </pt>
                <pt idx="702">
                  <v>280.2568300625163</v>
                </pt>
                <pt idx="703">
                  <v>280.3724834947301</v>
                </pt>
                <pt idx="704">
                  <v>280.4965383853298</v>
                </pt>
                <pt idx="705">
                  <v>280.6273190979136</v>
                </pt>
                <pt idx="706">
                  <v>280.7623706491781</v>
                </pt>
                <pt idx="707">
                  <v>280.8743868616241</v>
                </pt>
                <pt idx="708">
                  <v>280.9540447037971</v>
                </pt>
                <pt idx="709">
                  <v>280.9964920201772</v>
                </pt>
                <pt idx="710">
                  <v>281.1124473234591</v>
                </pt>
                <pt idx="711">
                  <v>281.2672488426286</v>
                </pt>
                <pt idx="712">
                  <v>281.4521518392194</v>
                </pt>
                <pt idx="713">
                  <v>281.5582995821127</v>
                </pt>
                <pt idx="714">
                  <v>281.7331423723404</v>
                </pt>
                <pt idx="715">
                  <v>282.0305240402773</v>
                </pt>
                <pt idx="716">
                  <v>282.3050461891303</v>
                </pt>
                <pt idx="717">
                  <v>282.590966127547</v>
                </pt>
                <pt idx="718">
                  <v>282.7490659670739</v>
                </pt>
                <pt idx="719">
                  <v>282.9377319773519</v>
                </pt>
                <pt idx="720">
                  <v>283.1669087735971</v>
                </pt>
                <pt idx="721">
                  <v>283.2960937609245</v>
                </pt>
                <pt idx="722">
                  <v>283.4524510369353</v>
                </pt>
                <pt idx="723">
                  <v>283.6496405788563</v>
                </pt>
                <pt idx="724">
                  <v>283.8130272397632</v>
                </pt>
                <pt idx="725">
                  <v>283.9780717448402</v>
                </pt>
                <pt idx="726">
                  <v>284.1242600856875</v>
                </pt>
                <pt idx="727">
                  <v>284.2795410798598</v>
                </pt>
                <pt idx="728">
                  <v>284.4306899248363</v>
                </pt>
                <pt idx="729">
                  <v>284.5909815673753</v>
                </pt>
                <pt idx="730">
                  <v>284.803210606506</v>
                </pt>
                <pt idx="731">
                  <v>285.063974680073</v>
                </pt>
                <pt idx="732">
                  <v>285.3269202056445</v>
                </pt>
                <pt idx="733">
                  <v>285.5799856762351</v>
                </pt>
                <pt idx="734">
                  <v>285.9594883063223</v>
                </pt>
                <pt idx="735">
                  <v>286.3710356863589</v>
                </pt>
                <pt idx="736">
                  <v>286.8088363262956</v>
                </pt>
                <pt idx="737">
                  <v>287.1369076066309</v>
                </pt>
                <pt idx="738">
                  <v>287.4830080284555</v>
                </pt>
                <pt idx="739">
                  <v>287.8826795903614</v>
                </pt>
                <pt idx="740">
                  <v>288.0253394949349</v>
                </pt>
                <pt idx="741">
                  <v>288.1381221865277</v>
                </pt>
                <pt idx="742">
                  <v>288.2845090304428</v>
                </pt>
                <pt idx="743">
                  <v>288.4537178958116</v>
                </pt>
                <pt idx="744">
                  <v>288.6759694590373</v>
                </pt>
                <pt idx="745">
                  <v>288.9666563300917</v>
                </pt>
                <pt idx="746">
                  <v>289.1314657198421</v>
                </pt>
                <pt idx="747">
                  <v>289.3290630758636</v>
                </pt>
                <pt idx="748">
                  <v>289.5347440402829</v>
                </pt>
                <pt idx="749">
                  <v>289.7005674826681</v>
                </pt>
                <pt idx="750">
                  <v>289.8030493982635</v>
                </pt>
                <pt idx="751">
                  <v>289.8645115933057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10001"/>
        <axId val="50010002"/>
      </lineChart>
      <dateAx>
        <axId val="50010001"/>
        <scaling>
          <orientation val="minMax"/>
        </scaling>
        <delete val="0"/>
        <axPos val="b"/>
        <numFmt formatCode="yyyy\-mm\-dd" sourceLinked="1"/>
        <majorTickMark val="out"/>
        <minorTickMark val="none"/>
        <tickLblPos val="nextTo"/>
        <crossAx val="50010002"/>
        <crosses val="autoZero"/>
        <lblOffset val="100"/>
        <baseTimeUnit val="days"/>
      </dateAx>
      <valAx>
        <axId val="50010002"/>
        <scaling>
          <orientation val="minMax"/>
        </scaling>
        <delete val="0"/>
        <axPos val="l"/>
        <majorGridlines/>
        <numFmt formatCode="\$#,##0" sourceLinked="0"/>
        <majorTickMark val="out"/>
        <minorTickMark val="none"/>
        <tickLblPos val="nextTo"/>
        <crossAx val="50010001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Normalized Performance (Base 100)</a:t>
            </a:r>
          </a:p>
        </rich>
      </tx>
      <layout>
        <manualLayout>
          <xMode val="edge"/>
          <yMode val="edge"/>
          <wMode val="factor"/>
          <hMode val="factor"/>
          <x val="0.3231419951461428"/>
          <y val="0.08561718261988933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08337497328277867"/>
          <y val="0.215056057766858"/>
          <w val="0.8871317029381744"/>
          <h val="0.6397848531005533"/>
        </manualLayout>
      </layout>
      <lineChart>
        <grouping val="standard"/>
        <varyColors val="0"/>
        <ser>
          <idx val="0"/>
          <order val="0"/>
          <tx>
            <strRef>
              <f>'Share Price Analysis'!$K$35</f>
              <strCache>
                <ptCount val="1"/>
                <pt idx="0">
                  <v>VMC Normalized</v>
                </pt>
              </strCache>
            </strRef>
          </tx>
          <spPr>
            <a:ln w="1905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Analysis'!$K$36:$K$787</f>
              <numCache>
                <formatCode>#,##0.0</formatCode>
                <ptCount val="752"/>
                <pt idx="0">
                  <v>100</v>
                </pt>
                <pt idx="1">
                  <v>98.57611658045498</v>
                </pt>
                <pt idx="2">
                  <v>99.51610211913899</v>
                </pt>
                <pt idx="3">
                  <v>96.81851048445409</v>
                </pt>
                <pt idx="4">
                  <v>94.15985316202236</v>
                </pt>
                <pt idx="5">
                  <v>92.31881639690749</v>
                </pt>
                <pt idx="6">
                  <v>93.16980922186995</v>
                </pt>
                <pt idx="7">
                  <v>90.55564825629902</v>
                </pt>
                <pt idx="8">
                  <v>92.44674342288226</v>
                </pt>
                <pt idx="9">
                  <v>89.56004227153903</v>
                </pt>
                <pt idx="10">
                  <v>90.81150230824852</v>
                </pt>
                <pt idx="11">
                  <v>92.40780911062907</v>
                </pt>
                <pt idx="12">
                  <v>91.05623227098282</v>
                </pt>
                <pt idx="13">
                  <v>91.49563379498305</v>
                </pt>
                <pt idx="14">
                  <v>92.44118137827465</v>
                </pt>
                <pt idx="15">
                  <v>92.21869959397075</v>
                </pt>
                <pt idx="16">
                  <v>93.46459758607264</v>
                </pt>
                <pt idx="17">
                  <v>94.54919628455421</v>
                </pt>
                <pt idx="18">
                  <v>94.63262695366817</v>
                </pt>
                <pt idx="19">
                  <v>95.42243728794706</v>
                </pt>
                <pt idx="20">
                  <v>96.18443739918796</v>
                </pt>
                <pt idx="21">
                  <v>93.92068524389566</v>
                </pt>
                <pt idx="22">
                  <v>91.25090383224874</v>
                </pt>
                <pt idx="23">
                  <v>91.73480171310975</v>
                </pt>
                <pt idx="24">
                  <v>92.3355025307303</v>
                </pt>
                <pt idx="25">
                  <v>92.64697702875577</v>
                </pt>
                <pt idx="26">
                  <v>93.0641303743256</v>
                </pt>
                <pt idx="27">
                  <v>94.25440792035154</v>
                </pt>
                <pt idx="28">
                  <v>94.04305022526282</v>
                </pt>
                <pt idx="29">
                  <v>95.60042271539018</v>
                </pt>
                <pt idx="30">
                  <v>95.86740085655488</v>
                </pt>
                <pt idx="31">
                  <v>96.52372212025141</v>
                </pt>
                <pt idx="32">
                  <v>95.91189721341566</v>
                </pt>
                <pt idx="33">
                  <v>95.18883141442794</v>
                </pt>
                <pt idx="34">
                  <v>95.33900661883308</v>
                </pt>
                <pt idx="35">
                  <v>94.37121085711108</v>
                </pt>
                <pt idx="36">
                  <v>92.69147338561656</v>
                </pt>
                <pt idx="37">
                  <v>96.21224762222593</v>
                </pt>
                <pt idx="38">
                  <v>97.40252516825186</v>
                </pt>
                <pt idx="39">
                  <v>98.73185382946771</v>
                </pt>
                <pt idx="40">
                  <v>99.71077368040493</v>
                </pt>
                <pt idx="41">
                  <v>99.34924078091107</v>
                </pt>
                <pt idx="42">
                  <v>105.8067745703321</v>
                </pt>
                <pt idx="43">
                  <v>107.6644974692697</v>
                </pt>
                <pt idx="44">
                  <v>107.2529061683075</v>
                </pt>
                <pt idx="45">
                  <v>107.4086434173202</v>
                </pt>
                <pt idx="46">
                  <v>109.0661327103844</v>
                </pt>
                <pt idx="47">
                  <v>108.365315089827</v>
                </pt>
                <pt idx="48">
                  <v>108.6712275432449</v>
                </pt>
                <pt idx="49">
                  <v>109.1106290672451</v>
                </pt>
                <pt idx="50">
                  <v>108.4654318927638</v>
                </pt>
                <pt idx="51">
                  <v>109.2997385839034</v>
                </pt>
                <pt idx="52">
                  <v>109.2441181378275</v>
                </pt>
                <pt idx="53">
                  <v>109.6946437510429</v>
                </pt>
                <pt idx="54">
                  <v>109.7168919294733</v>
                </pt>
                <pt idx="55">
                  <v>108.5711107403081</v>
                </pt>
                <pt idx="56">
                  <v>107.9592858334724</v>
                </pt>
                <pt idx="57">
                  <v>108.5154902942322</v>
                </pt>
                <pt idx="58">
                  <v>109.016074308916</v>
                </pt>
                <pt idx="59">
                  <v>109.0438845319539</v>
                </pt>
                <pt idx="60">
                  <v>108.7379720785361</v>
                </pt>
                <pt idx="61">
                  <v>110.5734467990433</v>
                </pt>
                <pt idx="62">
                  <v>112.7593303298293</v>
                </pt>
                <pt idx="63">
                  <v>112.486790144057</v>
                </pt>
                <pt idx="64">
                  <v>112.9762500695256</v>
                </pt>
                <pt idx="65">
                  <v>114.0163524111463</v>
                </pt>
                <pt idx="66">
                  <v>114.6782357194505</v>
                </pt>
                <pt idx="67">
                  <v>114.9340897714</v>
                </pt>
                <pt idx="68">
                  <v>114.5169364258301</v>
                </pt>
                <pt idx="69">
                  <v>115.5236664998053</v>
                </pt>
                <pt idx="70">
                  <v>115.3512431169698</v>
                </pt>
                <pt idx="71">
                  <v>116.2133600311475</v>
                </pt>
                <pt idx="72">
                  <v>115.306746760109</v>
                </pt>
                <pt idx="73">
                  <v>116.0687468713499</v>
                </pt>
                <pt idx="74">
                  <v>117.1199733021859</v>
                </pt>
                <pt idx="75">
                  <v>118.721842149174</v>
                </pt>
                <pt idx="76">
                  <v>119.2669225207186</v>
                </pt>
                <pt idx="77">
                  <v>119.456032037377</v>
                </pt>
                <pt idx="78">
                  <v>122.5985872406697</v>
                </pt>
                <pt idx="79">
                  <v>122.843317203404</v>
                </pt>
                <pt idx="80">
                  <v>125.0570109572279</v>
                </pt>
                <pt idx="81">
                  <v>125.3907336336837</v>
                </pt>
                <pt idx="82">
                  <v>124.2227042660882</v>
                </pt>
                <pt idx="83">
                  <v>122.7153901774292</v>
                </pt>
                <pt idx="84">
                  <v>121.2470104010234</v>
                </pt>
                <pt idx="85">
                  <v>120.90772567996</v>
                </pt>
                <pt idx="86">
                  <v>122.0256966460871</v>
                </pt>
                <pt idx="87">
                  <v>124.3728794704934</v>
                </pt>
                <pt idx="88">
                  <v>122.5207186161633</v>
                </pt>
                <pt idx="89">
                  <v>124.2338283553034</v>
                </pt>
                <pt idx="90">
                  <v>125.0069525557595</v>
                </pt>
                <pt idx="91">
                  <v>124.4284999165694</v>
                </pt>
                <pt idx="92">
                  <v>124.5341787641137</v>
                </pt>
                <pt idx="93">
                  <v>123.1102953445687</v>
                </pt>
                <pt idx="94">
                  <v>123.271594638189</v>
                </pt>
                <pt idx="95">
                  <v>123.6442516268981</v>
                </pt>
                <pt idx="96">
                  <v>123.811112965126</v>
                </pt>
                <pt idx="97">
                  <v>123.6164414038601</v>
                </pt>
                <pt idx="98">
                  <v>124.2894488013794</v>
                </pt>
                <pt idx="99">
                  <v>121.4138717392514</v>
                </pt>
                <pt idx="100">
                  <v>122.4706602146949</v>
                </pt>
                <pt idx="101">
                  <v>122.6430835975305</v>
                </pt>
                <pt idx="102">
                  <v>124.5731130763669</v>
                </pt>
                <pt idx="103">
                  <v>124.0780911062907</v>
                </pt>
                <pt idx="104">
                  <v>125.8078869792536</v>
                </pt>
                <pt idx="105">
                  <v>125.7022081317092</v>
                </pt>
                <pt idx="106">
                  <v>127.2150842649758</v>
                </pt>
                <pt idx="107">
                  <v>126.1694198787474</v>
                </pt>
                <pt idx="108">
                  <v>124.2449524445186</v>
                </pt>
                <pt idx="109">
                  <v>124.7622225930252</v>
                </pt>
                <pt idx="110">
                  <v>124.5453028533289</v>
                </pt>
                <pt idx="111">
                  <v>125.2183102508482</v>
                </pt>
                <pt idx="112">
                  <v>124.667667834696</v>
                </pt>
                <pt idx="113">
                  <v>123.75549251905</v>
                </pt>
                <pt idx="114">
                  <v>118.6550976138829</v>
                </pt>
                <pt idx="115">
                  <v>117.8041047889204</v>
                </pt>
                <pt idx="116">
                  <v>118.2323822237054</v>
                </pt>
                <pt idx="117">
                  <v>119.3503531898326</v>
                </pt>
                <pt idx="118">
                  <v>120.7297402525168</v>
                </pt>
                <pt idx="119">
                  <v>119.5728349741365</v>
                </pt>
                <pt idx="120">
                  <v>119.4894043050225</v>
                </pt>
                <pt idx="121">
                  <v>119.6451415540353</v>
                </pt>
                <pt idx="122">
                  <v>121.5807330774793</v>
                </pt>
                <pt idx="123">
                  <v>121.3860615162134</v>
                </pt>
                <pt idx="124">
                  <v>121.391623560821</v>
                </pt>
                <pt idx="125">
                  <v>123.9890983925691</v>
                </pt>
                <pt idx="126">
                  <v>120.2736525946938</v>
                </pt>
                <pt idx="127">
                  <v>119.6951999555036</v>
                </pt>
                <pt idx="128">
                  <v>119.8954335613772</v>
                </pt>
                <pt idx="129">
                  <v>120.2792146393014</v>
                </pt>
                <pt idx="130">
                  <v>120.4683241559597</v>
                </pt>
                <pt idx="131">
                  <v>119.456032037377</v>
                </pt>
                <pt idx="132">
                  <v>118.8831414427944</v>
                </pt>
                <pt idx="133">
                  <v>119.5672729295289</v>
                </pt>
                <pt idx="134">
                  <v>117.1310973914011</v>
                </pt>
                <pt idx="135">
                  <v>117.7429222982368</v>
                </pt>
                <pt idx="136">
                  <v>116.7361922242616</v>
                </pt>
                <pt idx="137">
                  <v>116.5526447522109</v>
                </pt>
                <pt idx="138">
                  <v>112.5479726347405</v>
                </pt>
                <pt idx="139">
                  <v>111.5857389176261</v>
                </pt>
                <pt idx="140">
                  <v>112.375549251905</v>
                </pt>
                <pt idx="141">
                  <v>111.9917681739808</v>
                </pt>
                <pt idx="142">
                  <v>113.2432282106903</v>
                </pt>
                <pt idx="143">
                  <v>114.0386005895767</v>
                </pt>
                <pt idx="144">
                  <v>112.3644251626898</v>
                </pt>
                <pt idx="145">
                  <v>111.7581623004616</v>
                </pt>
                <pt idx="146">
                  <v>111.2353301073475</v>
                </pt>
                <pt idx="147">
                  <v>114.0386005895767</v>
                </pt>
                <pt idx="148">
                  <v>115.1065131542355</v>
                </pt>
                <pt idx="149">
                  <v>118.1378274653763</v>
                </pt>
                <pt idx="150">
                  <v>116.9419878747428</v>
                </pt>
                <pt idx="151">
                  <v>117.3591412203126</v>
                </pt>
                <pt idx="152">
                  <v>119.4504699927693</v>
                </pt>
                <pt idx="153">
                  <v>117.1533455698315</v>
                </pt>
                <pt idx="154">
                  <v>116.4080315924134</v>
                </pt>
                <pt idx="155">
                  <v>118.4937983202625</v>
                </pt>
                <pt idx="156">
                  <v>119.4671561265921</v>
                </pt>
                <pt idx="157">
                  <v>113.3210968351966</v>
                </pt>
                <pt idx="158">
                  <v>112.7370821513989</v>
                </pt>
                <pt idx="159">
                  <v>112.1030090661327</v>
                </pt>
                <pt idx="160">
                  <v>112.6314033038545</v>
                </pt>
                <pt idx="161">
                  <v>114.1053451248679</v>
                </pt>
                <pt idx="162">
                  <v>113.1153011847155</v>
                </pt>
                <pt idx="163">
                  <v>107.8869792535736</v>
                </pt>
                <pt idx="164">
                  <v>107.7312420045609</v>
                </pt>
                <pt idx="165">
                  <v>109.0105122643084</v>
                </pt>
                <pt idx="166">
                  <v>109.2886144946882</v>
                </pt>
                <pt idx="167">
                  <v>113.3544691028422</v>
                </pt>
                <pt idx="168">
                  <v>115.0342065743367</v>
                </pt>
                <pt idx="169">
                  <v>115.5681628566661</v>
                </pt>
                <pt idx="170">
                  <v>115.2121920017799</v>
                </pt>
                <pt idx="171">
                  <v>115.251126314033</v>
                </pt>
                <pt idx="172">
                  <v>115.92969575616</v>
                </pt>
                <pt idx="173">
                  <v>116.3746593247678</v>
                </pt>
                <pt idx="174">
                  <v>117.726236164414</v>
                </pt>
                <pt idx="175">
                  <v>117.0754769453251</v>
                </pt>
                <pt idx="176">
                  <v>120.4405139329217</v>
                </pt>
                <pt idx="177">
                  <v>117.2868346404138</v>
                </pt>
                <pt idx="178">
                  <v>118.0655208854775</v>
                </pt>
                <pt idx="179">
                  <v>118.1100172423383</v>
                </pt>
                <pt idx="180">
                  <v>117.0142944546415</v>
                </pt>
                <pt idx="181">
                  <v>116.7139440458313</v>
                </pt>
                <pt idx="182">
                  <v>117.8597252349964</v>
                </pt>
                <pt idx="183">
                  <v>117.7373602536292</v>
                </pt>
                <pt idx="184">
                  <v>118.3881194727182</v>
                </pt>
                <pt idx="185">
                  <v>117.4481339340341</v>
                </pt>
                <pt idx="186">
                  <v>118.293564714389</v>
                </pt>
                <pt idx="187">
                  <v>118.7830246398576</v>
                </pt>
                <pt idx="188">
                  <v>119.9343678736304</v>
                </pt>
                <pt idx="189">
                  <v>119.4727181711998</v>
                </pt>
                <pt idx="190">
                  <v>117.9264697702876</v>
                </pt>
                <pt idx="191">
                  <v>117.8764113688192</v>
                </pt>
                <pt idx="192">
                  <v>119.1223093609211</v>
                </pt>
                <pt idx="193">
                  <v>120.1568496579343</v>
                </pt>
                <pt idx="194">
                  <v>121.7309082818844</v>
                </pt>
                <pt idx="195">
                  <v>122.8655653818344</v>
                </pt>
                <pt idx="196">
                  <v>124.4062517381389</v>
                </pt>
                <pt idx="197">
                  <v>125.0125146003671</v>
                </pt>
                <pt idx="198">
                  <v>124.7844707714556</v>
                </pt>
                <pt idx="199">
                  <v>123.866733411202</v>
                </pt>
                <pt idx="200">
                  <v>124.9735802881139</v>
                </pt>
                <pt idx="201">
                  <v>123.0213026308471</v>
                </pt>
                <pt idx="202">
                  <v>124.1893319984426</v>
                </pt>
                <pt idx="203">
                  <v>125.1070693586963</v>
                </pt>
                <pt idx="204">
                  <v>125.5075365704433</v>
                </pt>
                <pt idx="205">
                  <v>125.6020913287725</v>
                </pt>
                <pt idx="206">
                  <v>125.3907336336837</v>
                </pt>
                <pt idx="207">
                  <v>126.2639746370766</v>
                </pt>
                <pt idx="208">
                  <v>124.3673174258858</v>
                </pt>
                <pt idx="209">
                  <v>121.9923243784415</v>
                </pt>
                <pt idx="210">
                  <v>122.7432004004672</v>
                </pt>
                <pt idx="211">
                  <v>123.2660325935814</v>
                </pt>
                <pt idx="212">
                  <v>124.5897992101897</v>
                </pt>
                <pt idx="213">
                  <v>124.267200622949</v>
                </pt>
                <pt idx="214">
                  <v>125.7633906223928</v>
                </pt>
                <pt idx="215">
                  <v>124.7900328160632</v>
                </pt>
                <pt idx="216">
                  <v>124.5675510317593</v>
                </pt>
                <pt idx="217">
                  <v>123.6887479837588</v>
                </pt>
                <pt idx="218">
                  <v>123.0657989877079</v>
                </pt>
                <pt idx="219">
                  <v>125.2127482062406</v>
                </pt>
                <pt idx="220">
                  <v>125.74670448857</v>
                </pt>
                <pt idx="221">
                  <v>126.4141498414817</v>
                </pt>
                <pt idx="222">
                  <v>123.9223538572779</v>
                </pt>
                <pt idx="223">
                  <v>122.2537404749986</v>
                </pt>
                <pt idx="224">
                  <v>124.2616385783414</v>
                </pt>
                <pt idx="225">
                  <v>123.6776238945436</v>
                </pt>
                <pt idx="226">
                  <v>127.5766171644697</v>
                </pt>
                <pt idx="227">
                  <v>128.5110406585461</v>
                </pt>
                <pt idx="228">
                  <v>125.7077701763168</v>
                </pt>
                <pt idx="229">
                  <v>128.1272595806219</v>
                </pt>
                <pt idx="230">
                  <v>130.3965737805217</v>
                </pt>
                <pt idx="231">
                  <v>127.7323544134824</v>
                </pt>
                <pt idx="232">
                  <v>128.8058290227488</v>
                </pt>
                <pt idx="233">
                  <v>131.5534790589021</v>
                </pt>
                <pt idx="234">
                  <v>132.6213916235608</v>
                </pt>
                <pt idx="235">
                  <v>133.4890705823461</v>
                </pt>
                <pt idx="236">
                  <v>133.5613771622449</v>
                </pt>
                <pt idx="237">
                  <v>131.8872017353579</v>
                </pt>
                <pt idx="238">
                  <v>134.1008954891818</v>
                </pt>
                <pt idx="239">
                  <v>134.8573335558151</v>
                </pt>
                <pt idx="240">
                  <v>141.9155681628567</v>
                </pt>
                <pt idx="241">
                  <v>139.8186773457923</v>
                </pt>
                <pt idx="242">
                  <v>140.9588964903499</v>
                </pt>
                <pt idx="243">
                  <v>142.9111741476167</v>
                </pt>
                <pt idx="244">
                  <v>143.072473441237</v>
                </pt>
                <pt idx="245">
                  <v>145.2138606151621</v>
                </pt>
                <pt idx="246">
                  <v>146.5932476778464</v>
                </pt>
                <pt idx="247">
                  <v>145.8924300572891</v>
                </pt>
                <pt idx="248">
                  <v>147.8669558929863</v>
                </pt>
                <pt idx="249">
                  <v>148.7457589409867</v>
                </pt>
                <pt idx="250">
                  <v>148.9793648145058</v>
                </pt>
                <pt idx="251">
                  <v>147.3830580121253</v>
                </pt>
                <pt idx="252">
                  <v>148.6957005395183</v>
                </pt>
                <pt idx="253">
                  <v>150.8259636242283</v>
                </pt>
                <pt idx="254">
                  <v>148.3397296846321</v>
                </pt>
                <pt idx="255">
                  <v>147.3663718783025</v>
                </pt>
                <pt idx="256">
                  <v>149.9415985316202</v>
                </pt>
                <pt idx="257">
                  <v>149.7969853718227</v>
                </pt>
                <pt idx="258">
                  <v>150.581233661494</v>
                </pt>
                <pt idx="259">
                  <v>148.4287223983536</v>
                </pt>
                <pt idx="260">
                  <v>149.8526058178987</v>
                </pt>
                <pt idx="261">
                  <v>149.6245619889872</v>
                </pt>
                <pt idx="262">
                  <v>151.1430001668614</v>
                </pt>
                <pt idx="263">
                  <v>153.2843873407865</v>
                </pt>
                <pt idx="264">
                  <v>152.600255854052</v>
                </pt>
                <pt idx="265">
                  <v>151.6324600923299</v>
                </pt>
                <pt idx="266">
                  <v>152.3277156682797</v>
                </pt>
                <pt idx="267">
                  <v>151.7270148506591</v>
                </pt>
                <pt idx="268">
                  <v>151.7993214305579</v>
                </pt>
                <pt idx="269">
                  <v>150.0027810223038</v>
                </pt>
                <pt idx="270">
                  <v>148.0894376772902</v>
                </pt>
                <pt idx="271">
                  <v>149.4910729184048</v>
                </pt>
                <pt idx="272">
                  <v>147.8892040714167</v>
                </pt>
                <pt idx="273">
                  <v>150.2586350742533</v>
                </pt>
                <pt idx="274">
                  <v>150.0194671561266</v>
                </pt>
                <pt idx="275">
                  <v>147.7390288670115</v>
                </pt>
                <pt idx="276">
                  <v>147.1494521386062</v>
                </pt>
                <pt idx="277">
                  <v>147.6722843317204</v>
                </pt>
                <pt idx="278">
                  <v>146.1594081984537</v>
                </pt>
                <pt idx="279">
                  <v>144.8745758940987</v>
                </pt>
                <pt idx="280">
                  <v>143.8011012848323</v>
                </pt>
                <pt idx="281">
                  <v>143.6453640358196</v>
                </pt>
                <pt idx="282">
                  <v>141.8710718059959</v>
                </pt>
                <pt idx="283">
                  <v>140.196896379109</v>
                </pt>
                <pt idx="284">
                  <v>141.5429111741476</v>
                </pt>
                <pt idx="285">
                  <v>144.2460648534401</v>
                </pt>
                <pt idx="286">
                  <v>142.6108237388064</v>
                </pt>
                <pt idx="287">
                  <v>143.8011012848323</v>
                </pt>
                <pt idx="288">
                  <v>145.3028533288837</v>
                </pt>
                <pt idx="289">
                  <v>145.4196562656433</v>
                </pt>
                <pt idx="290">
                  <v>143.2949552255409</v>
                </pt>
                <pt idx="291">
                  <v>144.4629845931364</v>
                </pt>
                <pt idx="292">
                  <v>147.0660214694922</v>
                </pt>
                <pt idx="293">
                  <v>147.082707603315</v>
                </pt>
                <pt idx="294">
                  <v>148.2896712831637</v>
                </pt>
                <pt idx="295">
                  <v>149.2574670448857</v>
                </pt>
                <pt idx="296">
                  <v>149.0238611713666</v>
                </pt>
                <pt idx="297">
                  <v>150.5589854830636</v>
                </pt>
                <pt idx="298">
                  <v>151.3265476389121</v>
                </pt>
                <pt idx="299">
                  <v>150.2252628066077</v>
                </pt>
                <pt idx="300">
                  <v>148.9237443684298</v>
                </pt>
                <pt idx="301">
                  <v>150.4533066355192</v>
                </pt>
                <pt idx="302">
                  <v>144.6131597975416</v>
                </pt>
                <pt idx="303">
                  <v>144.1125757828578</v>
                </pt>
                <pt idx="304">
                  <v>144.7299627343011</v>
                </pt>
                <pt idx="305">
                  <v>145.8256855219979</v>
                </pt>
                <pt idx="306">
                  <v>145.0970576784026</v>
                </pt>
                <pt idx="307">
                  <v>143.0613493520218</v>
                </pt>
                <pt idx="308">
                  <v>144.1960064519718</v>
                </pt>
                <pt idx="309">
                  <v>141.2648089437677</v>
                </pt>
                <pt idx="310">
                  <v>140.113465709995</v>
                </pt>
                <pt idx="311">
                  <v>141.3204293898437</v>
                </pt>
                <pt idx="312">
                  <v>142.2604149285278</v>
                </pt>
                <pt idx="313">
                  <v>140.2692029590077</v>
                </pt>
                <pt idx="314">
                  <v>139.3069692418933</v>
                </pt>
                <pt idx="315">
                  <v>139.7074364536404</v>
                </pt>
                <pt idx="316">
                  <v>138.2613048556649</v>
                </pt>
                <pt idx="317">
                  <v>137.7106624395128</v>
                </pt>
                <pt idx="318">
                  <v>137.8330274208799</v>
                </pt>
                <pt idx="319">
                  <v>136.0698592802714</v>
                </pt>
                <pt idx="320">
                  <v>138.5616552644752</v>
                </pt>
                <pt idx="321">
                  <v>141.2481228099449</v>
                </pt>
                <pt idx="322">
                  <v>140.5194949663496</v>
                </pt>
                <pt idx="323">
                  <v>142.5830135157684</v>
                </pt>
                <pt idx="324">
                  <v>142.1714222148062</v>
                </pt>
                <pt idx="325">
                  <v>137.0821513988542</v>
                </pt>
                <pt idx="326">
                  <v>137.8330274208799</v>
                </pt>
                <pt idx="327">
                  <v>137.7051003949052</v>
                </pt>
                <pt idx="328">
                  <v>136.9097280160187</v>
                </pt>
                <pt idx="329">
                  <v>136.7595528116136</v>
                </pt>
                <pt idx="330">
                  <v>137.8052171978419</v>
                </pt>
                <pt idx="331">
                  <v>138.3169253017409</v>
                </pt>
                <pt idx="332">
                  <v>135.5581511763724</v>
                </pt>
                <pt idx="333">
                  <v>136.3090271983981</v>
                </pt>
                <pt idx="334">
                  <v>135.6693920685244</v>
                </pt>
                <pt idx="335">
                  <v>135.8306913621447</v>
                </pt>
                <pt idx="336">
                  <v>134.5847933700428</v>
                </pt>
                <pt idx="337">
                  <v>134.7405306190556</v>
                </pt>
                <pt idx="338">
                  <v>137.7829690194116</v>
                </pt>
                <pt idx="339">
                  <v>141.6597141109072</v>
                </pt>
                <pt idx="340">
                  <v>140.4471883864508</v>
                </pt>
                <pt idx="341">
                  <v>141.2203125869069</v>
                </pt>
                <pt idx="342">
                  <v>146.1760943322766</v>
                </pt>
                <pt idx="343">
                  <v>142.2771010623505</v>
                </pt>
                <pt idx="344">
                  <v>142.4384003559708</v>
                </pt>
                <pt idx="345">
                  <v>142.4662105790088</v>
                </pt>
                <pt idx="346">
                  <v>144.9524445186051</v>
                </pt>
                <pt idx="347">
                  <v>144.6965904666555</v>
                </pt>
                <pt idx="348">
                  <v>139.3347794649313</v>
                </pt>
                <pt idx="349">
                  <v>141.1480060070082</v>
                </pt>
                <pt idx="350">
                  <v>145.5642694254408</v>
                </pt>
                <pt idx="351">
                  <v>147.1327660047833</v>
                </pt>
                <pt idx="352">
                  <v>150.1752044051393</v>
                </pt>
                <pt idx="353">
                  <v>152.6836865231659</v>
                </pt>
                <pt idx="354">
                  <v>150.8037154457979</v>
                </pt>
                <pt idx="355">
                  <v>148.1394960787585</v>
                </pt>
                <pt idx="356">
                  <v>143.183714333389</v>
                </pt>
                <pt idx="357">
                  <v>136.9041659714111</v>
                </pt>
                <pt idx="358">
                  <v>134.167640024473</v>
                </pt>
                <pt idx="359">
                  <v>137.0098448189555</v>
                </pt>
                <pt idx="360">
                  <v>135.9029979420435</v>
                </pt>
                <pt idx="361">
                  <v>134.5458590577897</v>
                </pt>
                <pt idx="362">
                  <v>135.6248957116636</v>
                </pt>
                <pt idx="363">
                  <v>134.8795817342455</v>
                </pt>
                <pt idx="364">
                  <v>137.1433338895378</v>
                </pt>
                <pt idx="365">
                  <v>135.9530563435119</v>
                </pt>
                <pt idx="366">
                  <v>135.8751877190055</v>
                </pt>
                <pt idx="367">
                  <v>136.6038155626008</v>
                </pt>
                <pt idx="368">
                  <v>137.8497135547027</v>
                </pt>
                <pt idx="369">
                  <v>137.9275821792091</v>
                </pt>
                <pt idx="370">
                  <v>141.7709550030591</v>
                </pt>
                <pt idx="371">
                  <v>139.4293342232605</v>
                </pt>
                <pt idx="372">
                  <v>133.7171144112576</v>
                </pt>
                <pt idx="373">
                  <v>131.1363257133322</v>
                </pt>
                <pt idx="374">
                  <v>134.2010122921186</v>
                </pt>
                <pt idx="375">
                  <v>136.3868958229045</v>
                </pt>
                <pt idx="376">
                  <v>132.9439902108015</v>
                </pt>
                <pt idx="377">
                  <v>130.613493520218</v>
                </pt>
                <pt idx="378">
                  <v>129.1284276099894</v>
                </pt>
                <pt idx="379">
                  <v>129.0227487624451</v>
                </pt>
                <pt idx="380">
                  <v>128.9448801379387</v>
                </pt>
                <pt idx="381">
                  <v>129.5678291339896</v>
                </pt>
                <pt idx="382">
                  <v>129.5678291339896</v>
                </pt>
                <pt idx="383">
                  <v>131.4144279437121</v>
                </pt>
                <pt idx="384">
                  <v>132.0818732966239</v>
                </pt>
                <pt idx="385">
                  <v>135.0853773847266</v>
                </pt>
                <pt idx="386">
                  <v>136.3368374214361</v>
                </pt>
                <pt idx="387">
                  <v>135.9363702096891</v>
                </pt>
                <pt idx="388">
                  <v>141.0923855609322</v>
                </pt>
                <pt idx="389">
                  <v>140.1913343345014</v>
                </pt>
                <pt idx="390">
                  <v>140.3470715835141</v>
                </pt>
                <pt idx="391">
                  <v>138.9788086100451</v>
                </pt>
                <pt idx="392">
                  <v>138.8453195394627</v>
                </pt>
                <pt idx="393">
                  <v>139.3737137771845</v>
                </pt>
                <pt idx="394">
                  <v>139.1846042605262</v>
                </pt>
                <pt idx="395">
                  <v>139.2902831080706</v>
                </pt>
                <pt idx="396">
                  <v>137.6550419934368</v>
                </pt>
                <pt idx="397">
                  <v>133.7449246342956</v>
                </pt>
                <pt idx="398">
                  <v>134.1008954891818</v>
                </pt>
                <pt idx="399">
                  <v>134.2844429612326</v>
                </pt>
                <pt idx="400">
                  <v>132.3933477946493</v>
                </pt>
                <pt idx="401">
                  <v>132.4823405083709</v>
                </pt>
                <pt idx="402">
                  <v>134.4012458979921</v>
                </pt>
                <pt idx="403">
                  <v>135.6582679793092</v>
                </pt>
                <pt idx="404">
                  <v>137.666166082652</v>
                </pt>
                <pt idx="405">
                  <v>138.3280493909561</v>
                </pt>
                <pt idx="406">
                  <v>140.6029256354636</v>
                </pt>
                <pt idx="407">
                  <v>142.6553200956672</v>
                </pt>
                <pt idx="408">
                  <v>143.8567217309083</v>
                </pt>
                <pt idx="409">
                  <v>145.5698314700484</v>
                </pt>
                <pt idx="410">
                  <v>144.579787529896</v>
                </pt>
                <pt idx="411">
                  <v>141.1201957839702</v>
                </pt>
                <pt idx="412">
                  <v>141.0367651148562</v>
                </pt>
                <pt idx="413">
                  <v>142.4662105790088</v>
                </pt>
                <pt idx="414">
                  <v>142.6886923633128</v>
                </pt>
                <pt idx="415">
                  <v>143.7788531064019</v>
                </pt>
                <pt idx="416">
                  <v>144.3628677901997</v>
                </pt>
                <pt idx="417">
                  <v>153.6403581956727</v>
                </pt>
                <pt idx="418">
                  <v>152.3610879359253</v>
                </pt>
                <pt idx="419">
                  <v>150.3921241448356</v>
                </pt>
                <pt idx="420">
                  <v>149.5411313198732</v>
                </pt>
                <pt idx="421">
                  <v>151.6602703153679</v>
                </pt>
                <pt idx="422">
                  <v>161.5495856276767</v>
                </pt>
                <pt idx="423">
                  <v>161.6274542521831</v>
                </pt>
                <pt idx="424">
                  <v>162.5841259246899</v>
                </pt>
                <pt idx="425">
                  <v>162.4339507202848</v>
                </pt>
                <pt idx="426">
                  <v>160.398242393904</v>
                </pt>
                <pt idx="427">
                  <v>160.0255854051949</v>
                </pt>
                <pt idx="428">
                  <v>157.2278769675733</v>
                </pt>
                <pt idx="429">
                  <v>155.3367818009901</v>
                </pt>
                <pt idx="430">
                  <v>155.0364313921798</v>
                </pt>
                <pt idx="431">
                  <v>154.6304021358251</v>
                </pt>
                <pt idx="432">
                  <v>154.5191612436732</v>
                </pt>
                <pt idx="433">
                  <v>156.3935702764336</v>
                </pt>
                <pt idx="434">
                  <v>158.3013515768397</v>
                </pt>
                <pt idx="435">
                  <v>161.505089270816</v>
                </pt>
                <pt idx="436">
                  <v>160.4093664831192</v>
                </pt>
                <pt idx="437">
                  <v>159.2913955169921</v>
                </pt>
                <pt idx="438">
                  <v>160.2591912787141</v>
                </pt>
                <pt idx="439">
                  <v>159.6584904610935</v>
                </pt>
                <pt idx="440">
                  <v>159.3525780076756</v>
                </pt>
                <pt idx="441">
                  <v>158.8798042160298</v>
                </pt>
                <pt idx="442">
                  <v>159.9810890483342</v>
                </pt>
                <pt idx="443">
                  <v>159.5528116135492</v>
                </pt>
                <pt idx="444">
                  <v>156.4213804994716</v>
                </pt>
                <pt idx="445">
                  <v>153.6848545525335</v>
                </pt>
                <pt idx="446">
                  <v>155.4925190500028</v>
                </pt>
                <pt idx="447">
                  <v>154.6860225819011</v>
                </pt>
                <pt idx="448">
                  <v>153.3845041437232</v>
                </pt>
                <pt idx="449">
                  <v>154.0686356304577</v>
                </pt>
                <pt idx="450">
                  <v>151.6491462261527</v>
                </pt>
                <pt idx="451">
                  <v>147.3329996106569</v>
                </pt>
                <pt idx="452">
                  <v>145.1248679014406</v>
                </pt>
                <pt idx="453">
                  <v>146.3540797597197</v>
                </pt>
                <pt idx="454">
                  <v>146.2094665999221</v>
                </pt>
                <pt idx="455">
                  <v>147.0104010234162</v>
                </pt>
                <pt idx="456">
                  <v>147.1438900939986</v>
                </pt>
                <pt idx="457">
                  <v>145.9258023249347</v>
                </pt>
                <pt idx="458">
                  <v>143.5897435897436</v>
                </pt>
                <pt idx="459">
                  <v>143.072473441237</v>
                </pt>
                <pt idx="460">
                  <v>142.1491740363758</v>
                </pt>
                <pt idx="461">
                  <v>143.016852995161</v>
                </pt>
                <pt idx="462">
                  <v>143.155904110351</v>
                </pt>
                <pt idx="463">
                  <v>140.1524000222482</v>
                </pt>
                <pt idx="464">
                  <v>141.9878747427555</v>
                </pt>
                <pt idx="465">
                  <v>139.9911007286278</v>
                </pt>
                <pt idx="466">
                  <v>142.4050280883253</v>
                </pt>
                <pt idx="467">
                  <v>144.6520941097947</v>
                </pt>
                <pt idx="468">
                  <v>149.1684743311641</v>
                </pt>
                <pt idx="469">
                  <v>149.7135547027087</v>
                </pt>
                <pt idx="470">
                  <v>150.2308248512153</v>
                </pt>
                <pt idx="471">
                  <v>153.2510150731409</v>
                </pt>
                <pt idx="472">
                  <v>152.6113799432671</v>
                </pt>
                <pt idx="473">
                  <v>152.861671950609</v>
                </pt>
                <pt idx="474">
                  <v>154.3689860392681</v>
                </pt>
                <pt idx="475">
                  <v>152.9506646643306</v>
                </pt>
                <pt idx="476">
                  <v>153.0118471550142</v>
                </pt>
                <pt idx="477">
                  <v>151.3988542188108</v>
                </pt>
                <pt idx="478">
                  <v>153.7126647755715</v>
                </pt>
                <pt idx="479">
                  <v>152.4834529172924</v>
                </pt>
                <pt idx="480">
                  <v>150.8204015796207</v>
                </pt>
                <pt idx="481">
                  <v>151.3265476389121</v>
                </pt>
                <pt idx="482">
                  <v>152.5835697202291</v>
                </pt>
                <pt idx="483">
                  <v>154.1854385672173</v>
                </pt>
                <pt idx="484">
                  <v>151.7993214305579</v>
                </pt>
                <pt idx="485">
                  <v>149.3742699816453</v>
                </pt>
                <pt idx="486">
                  <v>148.934868457645</v>
                </pt>
                <pt idx="487">
                  <v>146.7322987930363</v>
                </pt>
                <pt idx="488">
                  <v>149.8025474164303</v>
                </pt>
                <pt idx="489">
                  <v>150.4310584570888</v>
                </pt>
                <pt idx="490">
                  <v>151.7103287168363</v>
                </pt>
                <pt idx="491">
                  <v>147.3774959675177</v>
                </pt>
                <pt idx="492">
                  <v>143.8289115078703</v>
                </pt>
                <pt idx="493">
                  <v>140.6418599477168</v>
                </pt>
                <pt idx="494">
                  <v>139.9187941487291</v>
                </pt>
                <pt idx="495">
                  <v>138.9343122531843</v>
                </pt>
                <pt idx="496">
                  <v>139.3459035541465</v>
                </pt>
                <pt idx="497">
                  <v>136.3368374214361</v>
                </pt>
                <pt idx="498">
                  <v>137.5549251905</v>
                </pt>
                <pt idx="499">
                  <v>133.3611435563713</v>
                </pt>
                <pt idx="500">
                  <v>130.6301796540409</v>
                </pt>
                <pt idx="501">
                  <v>133.683742143612</v>
                </pt>
                <pt idx="502">
                  <v>130.8026030368764</v>
                </pt>
                <pt idx="503">
                  <v>122.8655653818344</v>
                </pt>
                <pt idx="504">
                  <v>123.1102953445687</v>
                </pt>
                <pt idx="505">
                  <v>124.9847043773291</v>
                </pt>
                <pt idx="506">
                  <v>126.3529673507982</v>
                </pt>
                <pt idx="507">
                  <v>125.1682518493798</v>
                </pt>
                <pt idx="508">
                  <v>128.6612158629512</v>
                </pt>
                <pt idx="509">
                  <v>130.752544635408</v>
                </pt>
                <pt idx="510">
                  <v>131.5423549696869</v>
                </pt>
                <pt idx="511">
                  <v>134.1064575337894</v>
                </pt>
                <pt idx="512">
                  <v>132.7771288725736</v>
                </pt>
                <pt idx="513">
                  <v>130.1963401746482</v>
                </pt>
                <pt idx="514">
                  <v>133.9395961955615</v>
                </pt>
                <pt idx="515">
                  <v>134.0341509538906</v>
                </pt>
                <pt idx="516">
                  <v>131.8538294677123</v>
                </pt>
                <pt idx="517">
                  <v>132.120807608877</v>
                </pt>
                <pt idx="518">
                  <v>129.5622670893821</v>
                </pt>
                <pt idx="519">
                  <v>129.7625006952556</v>
                </pt>
                <pt idx="520">
                  <v>131.9706324044719</v>
                </pt>
                <pt idx="521">
                  <v>133.5446910284221</v>
                </pt>
                <pt idx="522">
                  <v>131.9205740030035</v>
                </pt>
                <pt idx="523">
                  <v>128.3386172757106</v>
                </pt>
                <pt idx="524">
                  <v>127.1094054174314</v>
                </pt>
                <pt idx="525">
                  <v>125.9747483174815</v>
                </pt>
                <pt idx="526">
                  <v>133.227654485789</v>
                </pt>
                <pt idx="527">
                  <v>131.0306468657879</v>
                </pt>
                <pt idx="528">
                  <v>134.7683408420936</v>
                </pt>
                <pt idx="529">
                  <v>135.4246621057901</v>
                </pt>
                <pt idx="530">
                  <v>136.0086767895879</v>
                </pt>
                <pt idx="531">
                  <v>133.7949830357639</v>
                </pt>
                <pt idx="532">
                  <v>134.5625451916124</v>
                </pt>
                <pt idx="533">
                  <v>130.2463985761166</v>
                </pt>
                <pt idx="534">
                  <v>133.8061071249791</v>
                </pt>
                <pt idx="535">
                  <v>136.0142388341955</v>
                </pt>
                <pt idx="536">
                  <v>138.7785750041716</v>
                </pt>
                <pt idx="537">
                  <v>137.4047499860949</v>
                </pt>
                <pt idx="538">
                  <v>136.4870126258413</v>
                </pt>
                <pt idx="539">
                  <v>136.4647644474109</v>
                </pt>
                <pt idx="540">
                  <v>145.9091161911118</v>
                </pt>
                <pt idx="541">
                  <v>146.6321819900996</v>
                </pt>
                <pt idx="542">
                  <v>148.534401245898</v>
                </pt>
                <pt idx="543">
                  <v>150.1974525835697</v>
                </pt>
                <pt idx="544">
                  <v>148.6400800934424</v>
                </pt>
                <pt idx="545">
                  <v>147.8613938483787</v>
                </pt>
                <pt idx="546">
                  <v>149.2964013571389</v>
                </pt>
                <pt idx="547">
                  <v>149.9694087546582</v>
                </pt>
                <pt idx="548">
                  <v>151.4878469325324</v>
                </pt>
                <pt idx="549">
                  <v>149.390956115468</v>
                </pt>
                <pt idx="550">
                  <v>148.1283719895434</v>
                </pt>
                <pt idx="551">
                  <v>150.7703431781523</v>
                </pt>
                <pt idx="552">
                  <v>153.2398909839257</v>
                </pt>
                <pt idx="553">
                  <v>153.5179932143056</v>
                </pt>
                <pt idx="554">
                  <v>152.0273652594694</v>
                </pt>
                <pt idx="555">
                  <v>150.4755548139496</v>
                </pt>
                <pt idx="556">
                  <v>151.1096278992158</v>
                </pt>
                <pt idx="557">
                  <v>149.1684743311641</v>
                </pt>
                <pt idx="558">
                  <v>150.2641971188609</v>
                </pt>
                <pt idx="559">
                  <v>146.0203570832638</v>
                </pt>
                <pt idx="560">
                  <v>147.566605484176</v>
                </pt>
                <pt idx="561">
                  <v>147.4331164135936</v>
                </pt>
                <pt idx="562">
                  <v>146.4931308749096</v>
                </pt>
                <pt idx="563">
                  <v>147.3608098336949</v>
                </pt>
                <pt idx="564">
                  <v>147.994882918961</v>
                </pt>
                <pt idx="565">
                  <v>147.7668390900495</v>
                </pt>
                <pt idx="566">
                  <v>147.2885032537961</v>
                </pt>
                <pt idx="567">
                  <v>147.9503865621002</v>
                </pt>
                <pt idx="568">
                  <v>147.4498025474165</v>
                </pt>
                <pt idx="569">
                  <v>145.2361087935925</v>
                </pt>
                <pt idx="570">
                  <v>147.6889704655431</v>
                </pt>
                <pt idx="571">
                  <v>145.0414372323266</v>
                </pt>
                <pt idx="572">
                  <v>145.2694810612381</v>
                </pt>
                <pt idx="573">
                  <v>144.0792035152122</v>
                </pt>
                <pt idx="574">
                  <v>143.5786195005284</v>
                </pt>
                <pt idx="575">
                  <v>142.3549696868569</v>
                </pt>
                <pt idx="576">
                  <v>145.1916124367318</v>
                </pt>
                <pt idx="577">
                  <v>147.1049557817454</v>
                </pt>
                <pt idx="578">
                  <v>141.6319038878692</v>
                </pt>
                <pt idx="579">
                  <v>142.9222982368318</v>
                </pt>
                <pt idx="580">
                  <v>145.8256855219979</v>
                </pt>
                <pt idx="581">
                  <v>145.0692474553646</v>
                </pt>
                <pt idx="582">
                  <v>147.2106346292897</v>
                </pt>
                <pt idx="583">
                  <v>147.7890872684799</v>
                </pt>
                <pt idx="584">
                  <v>148.0838756326826</v>
                </pt>
                <pt idx="585">
                  <v>148.50659102286</v>
                </pt>
                <pt idx="586">
                  <v>148.2006785694421</v>
                </pt>
                <pt idx="587">
                  <v>150.1473941821014</v>
                </pt>
                <pt idx="588">
                  <v>150.581233661494</v>
                </pt>
                <pt idx="589">
                  <v>149.6189999443796</v>
                </pt>
                <pt idx="590">
                  <v>150.1362700928861</v>
                </pt>
                <pt idx="591">
                  <v>145.4808387563268</v>
                </pt>
                <pt idx="592">
                  <v>144.9580065632126</v>
                </pt>
                <pt idx="593">
                  <v>146.2873352244285</v>
                </pt>
                <pt idx="594">
                  <v>148.2841092385561</v>
                </pt>
                <pt idx="595">
                  <v>147.3997441459481</v>
                </pt>
                <pt idx="596">
                  <v>148.9404305022526</v>
                </pt>
                <pt idx="597">
                  <v>149.6801824350631</v>
                </pt>
                <pt idx="598">
                  <v>150.9650147394182</v>
                </pt>
                <pt idx="599">
                  <v>152.861671950609</v>
                </pt>
                <pt idx="600">
                  <v>150.2363868958229</v>
                </pt>
                <pt idx="601">
                  <v>152.3555258913177</v>
                </pt>
                <pt idx="602">
                  <v>151.7158907614439</v>
                </pt>
                <pt idx="603">
                  <v>152.7726792368875</v>
                </pt>
                <pt idx="604">
                  <v>152.9228544412926</v>
                </pt>
                <pt idx="605">
                  <v>156.7662272651427</v>
                </pt>
                <pt idx="606">
                  <v>157.5004171533456</v>
                </pt>
                <pt idx="607">
                  <v>156.6216141053451</v>
                </pt>
                <pt idx="608">
                  <v>156.9052783803326</v>
                </pt>
                <pt idx="609">
                  <v>159.3637020968908</v>
                </pt>
                <pt idx="610">
                  <v>158.6517603871183</v>
                </pt>
                <pt idx="611">
                  <v>162.3505200511708</v>
                </pt>
                <pt idx="612">
                  <v>164.43628677902</v>
                </pt>
                <pt idx="613">
                  <v>163.0235274486901</v>
                </pt>
                <pt idx="614">
                  <v>162.2003448467657</v>
                </pt>
                <pt idx="615">
                  <v>161.2325490850437</v>
                </pt>
                <pt idx="616">
                  <v>162.8789142888926</v>
                </pt>
                <pt idx="617">
                  <v>159.2302130263085</v>
                </pt>
                <pt idx="618">
                  <v>160.342621947828</v>
                </pt>
                <pt idx="619">
                  <v>162.6341843261583</v>
                </pt>
                <pt idx="620">
                  <v>161.4661549585628</v>
                </pt>
                <pt idx="621">
                  <v>161.9667389732465</v>
                </pt>
                <pt idx="622">
                  <v>161.9389287502086</v>
                </pt>
                <pt idx="623">
                  <v>161.9444907948162</v>
                </pt>
                <pt idx="624">
                  <v>161.9444907948162</v>
                </pt>
                <pt idx="625">
                  <v>162.6842427276267</v>
                </pt>
                <pt idx="626">
                  <v>160.2146949218533</v>
                </pt>
                <pt idx="627">
                  <v>162.5952500139051</v>
                </pt>
                <pt idx="628">
                  <v>163.9746370765894</v>
                </pt>
                <pt idx="629">
                  <v>166.2550753657044</v>
                </pt>
                <pt idx="630">
                  <v>162.6564325045887</v>
                </pt>
                <pt idx="631">
                  <v>163.7632793815007</v>
                </pt>
                <pt idx="632">
                  <v>167.7790755881862</v>
                </pt>
                <pt idx="633">
                  <v>164.0469436564881</v>
                </pt>
                <pt idx="634">
                  <v>163.5407975971967</v>
                </pt>
                <pt idx="635">
                  <v>162.389454363424</v>
                </pt>
                <pt idx="636">
                  <v>162.5507536570443</v>
                </pt>
                <pt idx="637">
                  <v>166.0715278936537</v>
                </pt>
                <pt idx="638">
                  <v>165.6321263696535</v>
                </pt>
                <pt idx="639">
                  <v>166.2439512764892</v>
                </pt>
                <pt idx="640">
                  <v>165.5208854775015</v>
                </pt>
                <pt idx="641">
                  <v>163.4184326158296</v>
                </pt>
                <pt idx="642">
                  <v>163.9468268535514</v>
                </pt>
                <pt idx="643">
                  <v>166.4664330607932</v>
                </pt>
                <pt idx="644">
                  <v>168.5410756994271</v>
                </pt>
                <pt idx="645">
                  <v>171.0996162189221</v>
                </pt>
                <pt idx="646">
                  <v>167.7735135435786</v>
                </pt>
                <pt idx="647">
                  <v>168.735747260693</v>
                </pt>
                <pt idx="648">
                  <v>169.4754991935035</v>
                </pt>
                <pt idx="649">
                  <v>169.4588130596808</v>
                </pt>
                <pt idx="650">
                  <v>167.3619222426164</v>
                </pt>
                <pt idx="651">
                  <v>169.3253239890984</v>
                </pt>
                <pt idx="652">
                  <v>168.4743311641359</v>
                </pt>
                <pt idx="653">
                  <v>167.6567106068191</v>
                </pt>
                <pt idx="654">
                  <v>168.390900495022</v>
                </pt>
                <pt idx="655">
                  <v>171.9061126870238</v>
                </pt>
                <pt idx="656">
                  <v>168.5855720562879</v>
                </pt>
                <pt idx="657">
                  <v>164.7644474108682</v>
                </pt>
                <pt idx="658">
                  <v>164.2749874853997</v>
                </pt>
                <pt idx="659">
                  <v>164.3417320206908</v>
                </pt>
                <pt idx="660">
                  <v>165.5097613882863</v>
                </pt>
                <pt idx="661">
                  <v>163.3405639913232</v>
                </pt>
                <pt idx="662">
                  <v>162.4450748095</v>
                </pt>
                <pt idx="663">
                  <v>162.8232938428166</v>
                </pt>
                <pt idx="664">
                  <v>162.417264586462</v>
                </pt>
                <pt idx="665">
                  <v>162.7398631737026</v>
                </pt>
                <pt idx="666">
                  <v>164.063629790311</v>
                </pt>
                <pt idx="667">
                  <v>161.2992936203349</v>
                </pt>
                <pt idx="668">
                  <v>161.021191389955</v>
                </pt>
                <pt idx="669">
                  <v>160.4927971522332</v>
                </pt>
                <pt idx="670">
                  <v>162.5563157016519</v>
                </pt>
                <pt idx="671">
                  <v>158.573891762612</v>
                </pt>
                <pt idx="672">
                  <v>159.2413371155237</v>
                </pt>
                <pt idx="673">
                  <v>159.7975415762835</v>
                </pt>
                <pt idx="674">
                  <v>162.8789142888926</v>
                </pt>
                <pt idx="675">
                  <v>164.1359363702097</v>
                </pt>
                <pt idx="676">
                  <v>164.1303743256021</v>
                </pt>
                <pt idx="677">
                  <v>158.0121252572445</v>
                </pt>
                <pt idx="678">
                  <v>156.0598475999778</v>
                </pt>
                <pt idx="679">
                  <v>155.7817453695978</v>
                </pt>
                <pt idx="680">
                  <v>156.7773513543579</v>
                </pt>
                <pt idx="681">
                  <v>158.089993881751</v>
                </pt>
                <pt idx="682">
                  <v>159.057789643473</v>
                </pt>
                <pt idx="683">
                  <v>160.0923299404861</v>
                </pt>
                <pt idx="684">
                  <v>159.7363590855999</v>
                </pt>
                <pt idx="685">
                  <v>162.8121697536014</v>
                </pt>
                <pt idx="686">
                  <v>164.1248122809945</v>
                </pt>
                <pt idx="687">
                  <v>165.3262139162356</v>
                </pt>
                <pt idx="688">
                  <v>162.3282718727404</v>
                </pt>
                <pt idx="689">
                  <v>161.2103009066133</v>
                </pt>
                <pt idx="690">
                  <v>162.7398631737026</v>
                </pt>
                <pt idx="691">
                  <v>163.329439902108</v>
                </pt>
                <pt idx="692">
                  <v>164.0080093442349</v>
                </pt>
                <pt idx="693">
                  <v>164.5141554035263</v>
                </pt>
                <pt idx="694">
                  <v>161.877746259525</v>
                </pt>
                <pt idx="695">
                  <v>165.0647978196785</v>
                </pt>
                <pt idx="696">
                  <v>166.4553089715779</v>
                </pt>
                <pt idx="697">
                  <v>164.6031481172479</v>
                </pt>
                <pt idx="698">
                  <v>165.0147394182102</v>
                </pt>
                <pt idx="699">
                  <v>162.417264586462</v>
                </pt>
                <pt idx="700">
                  <v>158.7463151454475</v>
                </pt>
                <pt idx="701">
                  <v>160.3759942154736</v>
                </pt>
                <pt idx="702">
                  <v>162.3393959619556</v>
                </pt>
                <pt idx="703">
                  <v>162.3449580065632</v>
                </pt>
                <pt idx="704">
                  <v>162.8789142888926</v>
                </pt>
                <pt idx="705">
                  <v>163.3238778575004</v>
                </pt>
                <pt idx="706">
                  <v>163.6353523555259</v>
                </pt>
                <pt idx="707">
                  <v>162.4228266310696</v>
                </pt>
                <pt idx="708">
                  <v>160.6763446242839</v>
                </pt>
                <pt idx="709">
                  <v>158.6406362979031</v>
                </pt>
                <pt idx="710">
                  <v>162.7732354413482</v>
                </pt>
                <pt idx="711">
                  <v>165.0091773736025</v>
                </pt>
                <pt idx="712">
                  <v>166.7779075588186</v>
                </pt>
                <pt idx="713">
                  <v>162.4784470771456</v>
                </pt>
                <pt idx="714">
                  <v>166.3774403470716</v>
                </pt>
                <pt idx="715">
                  <v>173.3244340619612</v>
                </pt>
                <pt idx="716">
                  <v>172.2120251404416</v>
                </pt>
                <pt idx="717">
                  <v>173.0018354747205</v>
                </pt>
                <pt idx="718">
                  <v>166.0159074475777</v>
                </pt>
                <pt idx="719">
                  <v>167.8124478558318</v>
                </pt>
                <pt idx="720">
                  <v>170.1818788586685</v>
                </pt>
                <pt idx="721">
                  <v>164.7199510540075</v>
                </pt>
                <pt idx="722">
                  <v>166.3106958117804</v>
                </pt>
                <pt idx="723">
                  <v>168.6801268146171</v>
                </pt>
                <pt idx="724">
                  <v>166.9002725401858</v>
                </pt>
                <pt idx="725">
                  <v>167.0838200122365</v>
                </pt>
                <pt idx="726">
                  <v>166.1215862951221</v>
                </pt>
                <pt idx="727">
                  <v>166.7111630235275</v>
                </pt>
                <pt idx="728">
                  <v>166.5665498637299</v>
                </pt>
                <pt idx="729">
                  <v>167.1616886367429</v>
                </pt>
                <pt idx="730">
                  <v>170.1540686356305</v>
                </pt>
                <pt idx="731">
                  <v>172.9851493408977</v>
                </pt>
                <pt idx="732">
                  <v>173.2521274820624</v>
                </pt>
                <pt idx="733">
                  <v>172.8460982257078</v>
                </pt>
                <pt idx="734">
                  <v>180.0545080371545</v>
                </pt>
                <pt idx="735">
                  <v>182.0568440958897</v>
                </pt>
                <pt idx="736">
                  <v>183.753267701207</v>
                </pt>
                <pt idx="737">
                  <v>177.8630624617609</v>
                </pt>
                <pt idx="738">
                  <v>179.0533400077869</v>
                </pt>
                <pt idx="739">
                  <v>182.2403915679403</v>
                </pt>
                <pt idx="740">
                  <v>168.0961121308193</v>
                </pt>
                <pt idx="741">
                  <v>166.5053673730463</v>
                </pt>
                <pt idx="742">
                  <v>168.446520941098</v>
                </pt>
                <pt idx="743">
                  <v>169.8036598253518</v>
                </pt>
                <pt idx="744">
                  <v>172.8627843595306</v>
                </pt>
                <pt idx="745">
                  <v>176.811836030925</v>
                </pt>
                <pt idx="746">
                  <v>169.9371488959341</v>
                </pt>
                <pt idx="747">
                  <v>171.861616330163</v>
                </pt>
                <pt idx="748">
                  <v>172.4233828355304</v>
                </pt>
                <pt idx="749">
                  <v>170.3098058846432</v>
                </pt>
                <pt idx="750">
                  <v>166.8613382279326</v>
                </pt>
                <pt idx="751">
                  <v>164.6253962956783</v>
                </pt>
              </numCache>
            </numRef>
          </val>
          <smooth val="0"/>
        </ser>
        <ser>
          <idx val="1"/>
          <order val="1"/>
          <tx>
            <strRef>
              <f>'Share Price Analysis'!$L$35</f>
              <strCache>
                <ptCount val="1"/>
                <pt idx="0">
                  <v>SPY Normalized</v>
                </pt>
              </strCache>
            </strRef>
          </tx>
          <spPr>
            <a:ln w="1905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Analysis'!$L$36:$L$787</f>
              <numCache>
                <formatCode>#,##0.0</formatCode>
                <ptCount val="752"/>
                <pt idx="0">
                  <v>100</v>
                </pt>
                <pt idx="1">
                  <v>98.4671298242144</v>
                </pt>
                <pt idx="2">
                  <v>98.62783395554676</v>
                </pt>
                <pt idx="3">
                  <v>96.80816871461418</v>
                </pt>
                <pt idx="4">
                  <v>95.41127895764828</v>
                </pt>
                <pt idx="5">
                  <v>95.27529853882859</v>
                </pt>
                <pt idx="6">
                  <v>96.85019902588573</v>
                </pt>
                <pt idx="7">
                  <v>96.24446806932528</v>
                </pt>
                <pt idx="8">
                  <v>97.93309763394072</v>
                </pt>
                <pt idx="9">
                  <v>96.42000642816525</v>
                </pt>
                <pt idx="10">
                  <v>97.34714564739041</v>
                </pt>
                <pt idx="11">
                  <v>98.6253615842955</v>
                </pt>
                <pt idx="12">
                  <v>96.94414913343388</v>
                </pt>
                <pt idx="13">
                  <v>97.20622048606819</v>
                </pt>
                <pt idx="14">
                  <v>97.84409226889508</v>
                </pt>
                <pt idx="15">
                  <v>98.02704774148886</v>
                </pt>
                <pt idx="16">
                  <v>97.80700670012608</v>
                </pt>
                <pt idx="17">
                  <v>99.22862016960467</v>
                </pt>
                <pt idx="18">
                  <v>99.80962741365242</v>
                </pt>
                <pt idx="19">
                  <v>101.2164066556234</v>
                </pt>
                <pt idx="20">
                  <v>101.6020965708211</v>
                </pt>
                <pt idx="21">
                  <v>101.0383959255322</v>
                </pt>
                <pt idx="22">
                  <v>100.7738522016466</v>
                </pt>
                <pt idx="23">
                  <v>101.1669592305981</v>
                </pt>
                <pt idx="24">
                  <v>101.2707988231513</v>
                </pt>
                <pt idx="25">
                  <v>101.2979949069152</v>
                </pt>
                <pt idx="26">
                  <v>100.8851089079536</v>
                </pt>
                <pt idx="27">
                  <v>102.2251341261404</v>
                </pt>
                <pt idx="28">
                  <v>101.9754246297624</v>
                </pt>
                <pt idx="29">
                  <v>102.3413355749499</v>
                </pt>
                <pt idx="30">
                  <v>102.4080895987341</v>
                </pt>
                <pt idx="31">
                  <v>102.3907829999753</v>
                </pt>
                <pt idx="32">
                  <v>101.8320270971889</v>
                </pt>
                <pt idx="33">
                  <v>101.9111429772294</v>
                </pt>
                <pt idx="34">
                  <v>102.0174549410339</v>
                </pt>
                <pt idx="35">
                  <v>100.398051771454</v>
                </pt>
                <pt idx="36">
                  <v>99.97280391623606</v>
                </pt>
                <pt idx="37">
                  <v>101.9630627735061</v>
                </pt>
                <pt idx="38">
                  <v>102.8333374539521</v>
                </pt>
                <pt idx="39">
                  <v>102.7294978613989</v>
                </pt>
                <pt idx="40">
                  <v>101.5749004870571</v>
                </pt>
                <pt idx="41">
                  <v>100.8776917941998</v>
                </pt>
                <pt idx="42">
                  <v>100.1631765025836</v>
                </pt>
                <pt idx="43">
                  <v>102.0174549410339</v>
                </pt>
                <pt idx="44">
                  <v>102.0446510247979</v>
                </pt>
                <pt idx="45">
                  <v>101.5971518283185</v>
                </pt>
                <pt idx="46">
                  <v>102.0718471085618</v>
                </pt>
                <pt idx="47">
                  <v>101.8938363784706</v>
                </pt>
                <pt idx="48">
                  <v>101.7603283309022</v>
                </pt>
                <pt idx="49">
                  <v>102.1114050485821</v>
                </pt>
                <pt idx="50">
                  <v>101.4290305832324</v>
                </pt>
                <pt idx="51">
                  <v>102.6602714663634</v>
                </pt>
                <pt idx="52">
                  <v>103.6492199668702</v>
                </pt>
                <pt idx="53">
                  <v>103.4984053205429</v>
                </pt>
                <pt idx="54">
                  <v>103.5404356318145</v>
                </pt>
                <pt idx="55">
                  <v>102.3784211437189</v>
                </pt>
                <pt idx="56">
                  <v>101.6367097683388</v>
                </pt>
                <pt idx="57">
                  <v>102.5168739337899</v>
                </pt>
                <pt idx="58">
                  <v>103.8445372957203</v>
                </pt>
                <pt idx="59">
                  <v>103.8840952357406</v>
                </pt>
                <pt idx="60">
                  <v>103.3080327341954</v>
                </pt>
                <pt idx="61">
                  <v>104.2895641209484</v>
                </pt>
                <pt idx="62">
                  <v>105.7977105842213</v>
                </pt>
                <pt idx="63">
                  <v>105.5949761416174</v>
                </pt>
                <pt idx="64">
                  <v>105.8249066679852</v>
                </pt>
                <pt idx="65">
                  <v>105.4589957227977</v>
                </pt>
                <pt idx="66">
                  <v>106.0968675056246</v>
                </pt>
                <pt idx="67">
                  <v>106.2872400919722</v>
                </pt>
                <pt idx="68">
                  <v>107.2514648799664</v>
                </pt>
                <pt idx="69">
                  <v>107.9585630578288</v>
                </pt>
                <pt idx="70">
                  <v>108.0871263628946</v>
                </pt>
                <pt idx="71">
                  <v>109.4271515810814</v>
                </pt>
                <pt idx="72">
                  <v>108.6508270081835</v>
                </pt>
                <pt idx="73">
                  <v>108.0871263628946</v>
                </pt>
                <pt idx="74">
                  <v>107.5333152026108</v>
                </pt>
                <pt idx="75">
                  <v>107.9214774890598</v>
                </pt>
                <pt idx="76">
                  <v>107.1055949761416</v>
                </pt>
                <pt idx="77">
                  <v>106.6679852646673</v>
                </pt>
                <pt idx="78">
                  <v>107.8374168665167</v>
                </pt>
                <pt idx="79">
                  <v>107.8918090340445</v>
                </pt>
                <pt idx="80">
                  <v>108.3170568892625</v>
                </pt>
                <pt idx="81">
                  <v>109.5952728261676</v>
                </pt>
                <pt idx="82">
                  <v>109.7213637599822</v>
                </pt>
                <pt idx="83">
                  <v>109.5581872573986</v>
                </pt>
                <pt idx="84">
                  <v>108.7002744332089</v>
                </pt>
                <pt idx="85">
                  <v>108.4258412243182</v>
                </pt>
                <pt idx="86">
                  <v>108.7002744332089</v>
                </pt>
                <pt idx="87">
                  <v>109.3925383835637</v>
                </pt>
                <pt idx="88">
                  <v>110.2727025490148</v>
                </pt>
                <pt idx="89">
                  <v>111.1479219719633</v>
                </pt>
                <pt idx="90">
                  <v>111.0786955769278</v>
                </pt>
                <pt idx="91">
                  <v>111.4643854921255</v>
                </pt>
                <pt idx="92">
                  <v>112.2926298613</v>
                </pt>
                <pt idx="93">
                  <v>112.5423393576779</v>
                </pt>
                <pt idx="94">
                  <v>111.7956832397953</v>
                </pt>
                <pt idx="95">
                  <v>111.7956832397953</v>
                </pt>
                <pt idx="96">
                  <v>112.2951022325512</v>
                </pt>
                <pt idx="97">
                  <v>112.6016762677084</v>
                </pt>
                <pt idx="98">
                  <v>112.6189828664672</v>
                </pt>
                <pt idx="99">
                  <v>111.8723267485846</v>
                </pt>
                <pt idx="100">
                  <v>112.9675872128959</v>
                </pt>
                <pt idx="101">
                  <v>113.1826835117561</v>
                </pt>
                <pt idx="102">
                  <v>112.8588028778401</v>
                </pt>
                <pt idx="103">
                  <v>111.2888471332855</v>
                </pt>
                <pt idx="104">
                  <v>110.9699112418721</v>
                </pt>
                <pt idx="105">
                  <v>110.4680198778648</v>
                </pt>
                <pt idx="106">
                  <v>111.432244665859</v>
                </pt>
                <pt idx="107">
                  <v>110.9476599006107</v>
                </pt>
                <pt idx="108">
                  <v>110.2059485252305</v>
                </pt>
                <pt idx="109">
                  <v>110.2455064652508</v>
                </pt>
                <pt idx="110">
                  <v>110.1812248127179</v>
                </pt>
                <pt idx="111">
                  <v>110.7894281405296</v>
                </pt>
                <pt idx="112">
                  <v>109.4988503473681</v>
                </pt>
                <pt idx="113">
                  <v>108.6953296907063</v>
                </pt>
                <pt idx="114">
                  <v>107.8670853215319</v>
                </pt>
                <pt idx="115">
                  <v>107.9190051178085</v>
                </pt>
                <pt idx="116">
                  <v>108.6211585531683</v>
                </pt>
                <pt idx="117">
                  <v>108.3269463742675</v>
                </pt>
                <pt idx="118">
                  <v>109.5334635448859</v>
                </pt>
                <pt idx="119">
                  <v>108.0154275966079</v>
                </pt>
                <pt idx="120">
                  <v>108.7769179419982</v>
                </pt>
                <pt idx="121">
                  <v>109.4667095211017</v>
                </pt>
                <pt idx="122">
                  <v>111.0490271219126</v>
                </pt>
                <pt idx="123">
                  <v>111.506415803397</v>
                </pt>
                <pt idx="124">
                  <v>111.3432393008134</v>
                </pt>
                <pt idx="125">
                  <v>111.5509184859199</v>
                </pt>
                <pt idx="126">
                  <v>111.0688060919228</v>
                </pt>
                <pt idx="127">
                  <v>110.3221499740401</v>
                </pt>
                <pt idx="128">
                  <v>109.9834351126165</v>
                </pt>
                <pt idx="129">
                  <v>110.1490839864514</v>
                </pt>
                <pt idx="130">
                  <v>110.8734887630727</v>
                </pt>
                <pt idx="131">
                  <v>110.2652854352609</v>
                </pt>
                <pt idx="132">
                  <v>110.3938487403268</v>
                </pt>
                <pt idx="133">
                  <v>111.3457116720647</v>
                </pt>
                <pt idx="134">
                  <v>109.617524167429</v>
                </pt>
                <pt idx="135">
                  <v>109.6818058199619</v>
                </pt>
                <pt idx="136">
                  <v>109.4543476648453</v>
                </pt>
                <pt idx="137">
                  <v>108.4480925655796</v>
                </pt>
                <pt idx="138">
                  <v>106.655623408411</v>
                </pt>
                <pt idx="139">
                  <v>106.4158033970381</v>
                </pt>
                <pt idx="140">
                  <v>106.8633025935174</v>
                </pt>
                <pt idx="141">
                  <v>105.2933468489628</v>
                </pt>
                <pt idx="142">
                  <v>105.3353771602344</v>
                </pt>
                <pt idx="143">
                  <v>105.9460528592973</v>
                </pt>
                <pt idx="144">
                  <v>105.6889262491656</v>
                </pt>
                <pt idx="145">
                  <v>105.646895937894</v>
                </pt>
                <pt idx="146">
                  <v>104.2326995821692</v>
                </pt>
                <pt idx="147">
                  <v>104.9917175563082</v>
                </pt>
                <pt idx="148">
                  <v>104.952159616288</v>
                </pt>
                <pt idx="149">
                  <v>106.1982347269266</v>
                </pt>
                <pt idx="150">
                  <v>106.8781368210251</v>
                </pt>
                <pt idx="151">
                  <v>107.4344203525601</v>
                </pt>
                <pt idx="152">
                  <v>107.8745024352857</v>
                </pt>
                <pt idx="153">
                  <v>107.2168516824486</v>
                </pt>
                <pt idx="154">
                  <v>106.6828194921749</v>
                </pt>
                <pt idx="155">
                  <v>107.8052760402502</v>
                </pt>
                <pt idx="156">
                  <v>107.8003312977477</v>
                </pt>
                <pt idx="157">
                  <v>106.3638836007615</v>
                </pt>
                <pt idx="158">
                  <v>105.4293272677825</v>
                </pt>
                <pt idx="159">
                  <v>104.1338047321186</v>
                </pt>
                <pt idx="160">
                  <v>103.9533216307761</v>
                </pt>
                <pt idx="161">
                  <v>104.7370633174277</v>
                </pt>
                <pt idx="162">
                  <v>103.2338615966573</v>
                </pt>
                <pt idx="163">
                  <v>101.9976759710238</v>
                </pt>
                <pt idx="164">
                  <v>101.5353425470369</v>
                </pt>
                <pt idx="165">
                  <v>102.749276831409</v>
                </pt>
                <pt idx="166">
                  <v>103.3945657279897</v>
                </pt>
                <pt idx="167">
                  <v>104.4972433060548</v>
                </pt>
                <pt idx="168">
                  <v>106.4998640195812</v>
                </pt>
                <pt idx="169">
                  <v>107.4715059213291</v>
                </pt>
                <pt idx="170">
                  <v>107.7187430464559</v>
                </pt>
                <pt idx="171">
                  <v>108.025317081613</v>
                </pt>
                <pt idx="172">
                  <v>108.1044329616535</v>
                </pt>
                <pt idx="173">
                  <v>107.2613543649714</v>
                </pt>
                <pt idx="174">
                  <v>108.9351497020793</v>
                </pt>
                <pt idx="175">
                  <v>108.831310109526</v>
                </pt>
                <pt idx="176">
                  <v>110.9427151581081</v>
                </pt>
                <pt idx="177">
                  <v>111.1775904269785</v>
                </pt>
                <pt idx="178">
                  <v>111.3135708457982</v>
                </pt>
                <pt idx="179">
                  <v>111.4520236358692</v>
                </pt>
                <pt idx="180">
                  <v>112.3099364600588</v>
                </pt>
                <pt idx="181">
                  <v>112.0651717061834</v>
                </pt>
                <pt idx="182">
                  <v>112.4978366751551</v>
                </pt>
                <pt idx="183">
                  <v>112.5670630701906</v>
                </pt>
                <pt idx="184">
                  <v>112.3643286275867</v>
                </pt>
                <pt idx="185">
                  <v>112.4755853338937</v>
                </pt>
                <pt idx="186">
                  <v>112.3964694538532</v>
                </pt>
                <pt idx="187">
                  <v>112.83902390783</v>
                </pt>
                <pt idx="188">
                  <v>113.5065641456721</v>
                </pt>
                <pt idx="189">
                  <v>112.9107226741168</v>
                </pt>
                <pt idx="190">
                  <v>112.8884713328553</v>
                </pt>
                <pt idx="191">
                  <v>112.4335550226222</v>
                </pt>
                <pt idx="192">
                  <v>113.2914678468119</v>
                </pt>
                <pt idx="193">
                  <v>113.7785249833115</v>
                </pt>
                <pt idx="194">
                  <v>114.2210794372883</v>
                </pt>
                <pt idx="195">
                  <v>114.7427497713057</v>
                </pt>
                <pt idx="196">
                  <v>116.3250673721166</v>
                </pt>
                <pt idx="197">
                  <v>116.6983954310579</v>
                </pt>
                <pt idx="198">
                  <v>116.0357999357183</v>
                </pt>
                <pt idx="199">
                  <v>116.6885059460529</v>
                </pt>
                <pt idx="200">
                  <v>117.3980764951665</v>
                </pt>
                <pt idx="201">
                  <v>115.7712562118327</v>
                </pt>
                <pt idx="202">
                  <v>116.8689890473954</v>
                </pt>
                <pt idx="203">
                  <v>117.1038643162657</v>
                </pt>
                <pt idx="204">
                  <v>117.5983385665191</v>
                </pt>
                <pt idx="205">
                  <v>117.8109624941281</v>
                </pt>
                <pt idx="206">
                  <v>117.8554651766509</v>
                </pt>
                <pt idx="207">
                  <v>117.5142779439761</v>
                </pt>
                <pt idx="208">
                  <v>116.856627191139</v>
                </pt>
                <pt idx="209">
                  <v>115.9022918881499</v>
                </pt>
                <pt idx="210">
                  <v>115.5289638292086</v>
                </pt>
                <pt idx="211">
                  <v>115.6871955892897</v>
                </pt>
                <pt idx="212">
                  <v>117.3387395851361</v>
                </pt>
                <pt idx="213">
                  <v>117.1607288550449</v>
                </pt>
                <pt idx="214">
                  <v>117.8233243503845</v>
                </pt>
                <pt idx="215">
                  <v>117.7714045541078</v>
                </pt>
                <pt idx="216">
                  <v>117.8529928053997</v>
                </pt>
                <pt idx="217">
                  <v>117.4203278364279</v>
                </pt>
                <pt idx="218">
                  <v>116.7676218260934</v>
                </pt>
                <pt idx="219">
                  <v>117.8060177516256</v>
                </pt>
                <pt idx="220">
                  <v>119.2746062748782</v>
                </pt>
                <pt idx="221">
                  <v>119.5267881425075</v>
                </pt>
                <pt idx="222">
                  <v>119.8753924889361</v>
                </pt>
                <pt idx="223">
                  <v>120.0064281652533</v>
                </pt>
                <pt idx="224">
                  <v>120.6591341755878</v>
                </pt>
                <pt idx="225">
                  <v>120.5058471580092</v>
                </pt>
                <pt idx="226">
                  <v>121.4601824609983</v>
                </pt>
                <pt idx="227">
                  <v>121.3662323534502</v>
                </pt>
                <pt idx="228">
                  <v>119.3858629811853</v>
                </pt>
                <pt idx="229">
                  <v>120.948401611986</v>
                </pt>
                <pt idx="230">
                  <v>122.2216728063886</v>
                </pt>
                <pt idx="231">
                  <v>121.7766459811605</v>
                </pt>
                <pt idx="232">
                  <v>122.1301950700917</v>
                </pt>
                <pt idx="233">
                  <v>123.1488120256138</v>
                </pt>
                <pt idx="234">
                  <v>123.2032041931416</v>
                </pt>
                <pt idx="235">
                  <v>123.9152471135065</v>
                </pt>
                <pt idx="236">
                  <v>123.8608549459787</v>
                </pt>
                <pt idx="237">
                  <v>122.1549187826044</v>
                </pt>
                <pt idx="238">
                  <v>123.2650134744233</v>
                </pt>
                <pt idx="239">
                  <v>124.1155091848592</v>
                </pt>
                <pt idx="240">
                  <v>123.4974163720424</v>
                </pt>
                <pt idx="241">
                  <v>122.817514277944</v>
                </pt>
                <pt idx="242">
                  <v>122.928770984251</v>
                </pt>
                <pt idx="243">
                  <v>125.4728410018048</v>
                </pt>
                <pt idx="244">
                  <v>125.5593739955992</v>
                </pt>
                <pt idx="245">
                  <v>125.0995129428635</v>
                </pt>
                <pt idx="246">
                  <v>125.3319158404826</v>
                </pt>
                <pt idx="247">
                  <v>125.1662669666477</v>
                </pt>
                <pt idx="248">
                  <v>125.6162385343783</v>
                </pt>
                <pt idx="249">
                  <v>126.7955596212327</v>
                </pt>
                <pt idx="250">
                  <v>126.659579202413</v>
                </pt>
                <pt idx="251">
                  <v>125.3937251217643</v>
                </pt>
                <pt idx="252">
                  <v>126.0291245333399</v>
                </pt>
                <pt idx="253">
                  <v>127.2801443864811</v>
                </pt>
                <pt idx="254">
                  <v>126.5161816698395</v>
                </pt>
                <pt idx="255">
                  <v>126.4073973347838</v>
                </pt>
                <pt idx="256">
                  <v>127.7672015229807</v>
                </pt>
                <pt idx="257">
                  <v>127.566939451628</v>
                </pt>
                <pt idx="258">
                  <v>127.3147575839988</v>
                </pt>
                <pt idx="259">
                  <v>126.04890350335</v>
                </pt>
                <pt idx="260">
                  <v>126.798031992484</v>
                </pt>
                <pt idx="261">
                  <v>127.5026577990951</v>
                </pt>
                <pt idx="262">
                  <v>128.6819788859495</v>
                </pt>
                <pt idx="263">
                  <v>129.1072267411675</v>
                </pt>
                <pt idx="264">
                  <v>128.862461987292</v>
                </pt>
                <pt idx="265">
                  <v>128.5064405271095</v>
                </pt>
                <pt idx="266">
                  <v>128.2690928869879</v>
                </pt>
                <pt idx="267">
                  <v>129.3470467525403</v>
                </pt>
                <pt idx="268">
                  <v>129.3223230400277</v>
                </pt>
                <pt idx="269">
                  <v>129.0973372561624</v>
                </pt>
                <pt idx="270">
                  <v>128.2765100007417</v>
                </pt>
                <pt idx="271">
                  <v>128.4174351620639</v>
                </pt>
                <pt idx="272">
                  <v>126.8499517887606</v>
                </pt>
                <pt idx="273">
                  <v>128.1751427794397</v>
                </pt>
                <pt idx="274">
                  <v>128.2468415457265</v>
                </pt>
                <pt idx="275">
                  <v>128.3951838208025</v>
                </pt>
                <pt idx="276">
                  <v>127.1095507701436</v>
                </pt>
                <pt idx="277">
                  <v>128.0688308156353</v>
                </pt>
                <pt idx="278">
                  <v>126.3010853709793</v>
                </pt>
                <pt idx="279">
                  <v>124.7187677701683</v>
                </pt>
                <pt idx="280">
                  <v>124.4913096150518</v>
                </pt>
                <pt idx="281">
                  <v>123.7545429821742</v>
                </pt>
                <pt idx="282">
                  <v>123.4998887432937</v>
                </pt>
                <pt idx="283">
                  <v>122.4219348777413</v>
                </pt>
                <pt idx="284">
                  <v>123.549336168319</v>
                </pt>
                <pt idx="285">
                  <v>125.0154523203204</v>
                </pt>
                <pt idx="286">
                  <v>124.95611541029</v>
                </pt>
                <pt idx="287">
                  <v>124.4814201300467</v>
                </pt>
                <pt idx="288">
                  <v>125.6607412169011</v>
                </pt>
                <pt idx="289">
                  <v>126.1057680421292</v>
                </pt>
                <pt idx="290">
                  <v>124.1080920711054</v>
                </pt>
                <pt idx="291">
                  <v>123.7050955571489</v>
                </pt>
                <pt idx="292">
                  <v>124.8621653027418</v>
                </pt>
                <pt idx="293">
                  <v>126.4098697060351</v>
                </pt>
                <pt idx="294">
                  <v>127.7152817267041</v>
                </pt>
                <pt idx="295">
                  <v>127.8562068880263</v>
                </pt>
                <pt idx="296">
                  <v>127.8685687442827</v>
                </pt>
                <pt idx="297">
                  <v>128.6053353771602</v>
                </pt>
                <pt idx="298">
                  <v>128.7709842509951</v>
                </pt>
                <pt idx="299">
                  <v>128.788290849754</v>
                </pt>
                <pt idx="300">
                  <v>129.3791875788068</v>
                </pt>
                <pt idx="301">
                  <v>130.9812841496279</v>
                </pt>
                <pt idx="302">
                  <v>130.7117956832398</v>
                </pt>
                <pt idx="303">
                  <v>130.8996958983361</v>
                </pt>
                <pt idx="304">
                  <v>131.0505105446634</v>
                </pt>
                <pt idx="305">
                  <v>131.3719188073281</v>
                </pt>
                <pt idx="306">
                  <v>130.9936460058842</v>
                </pt>
                <pt idx="307">
                  <v>130.0368383316439</v>
                </pt>
                <pt idx="308">
                  <v>130.8972235270848</v>
                </pt>
                <pt idx="309">
                  <v>130.9887012633817</v>
                </pt>
                <pt idx="310">
                  <v>130.0714515291616</v>
                </pt>
                <pt idx="311">
                  <v>129.2085939624694</v>
                </pt>
                <pt idx="312">
                  <v>130.3854426780725</v>
                </pt>
                <pt idx="313">
                  <v>130.491754641877</v>
                </pt>
                <pt idx="314">
                  <v>130.6376245457018</v>
                </pt>
                <pt idx="315">
                  <v>132.1902736914975</v>
                </pt>
                <pt idx="316">
                  <v>132.1878013202462</v>
                </pt>
                <pt idx="317">
                  <v>132.0270971889139</v>
                </pt>
                <pt idx="318">
                  <v>132.435038445373</v>
                </pt>
                <pt idx="319">
                  <v>132.7539743367864</v>
                </pt>
                <pt idx="320">
                  <v>133.8442900585952</v>
                </pt>
                <pt idx="321">
                  <v>134.1137785249833</v>
                </pt>
                <pt idx="322">
                  <v>134.1953667762751</v>
                </pt>
                <pt idx="323">
                  <v>135.2634311568225</v>
                </pt>
                <pt idx="324">
                  <v>135.6070907607486</v>
                </pt>
                <pt idx="325">
                  <v>135.2387074443098</v>
                </pt>
                <pt idx="326">
                  <v>134.6230870027443</v>
                </pt>
                <pt idx="327">
                  <v>134.18547729127</v>
                </pt>
                <pt idx="328">
                  <v>134.7022028827849</v>
                </pt>
                <pt idx="329">
                  <v>134.870324127871</v>
                </pt>
                <pt idx="330">
                  <v>135.08294805548</v>
                </pt>
                <pt idx="331">
                  <v>134.5513882364576</v>
                </pt>
                <pt idx="332">
                  <v>134.8282938165995</v>
                </pt>
                <pt idx="333">
                  <v>135.7356540658145</v>
                </pt>
                <pt idx="334">
                  <v>136.341385022375</v>
                </pt>
                <pt idx="335">
                  <v>137.1275990802779</v>
                </pt>
                <pt idx="336">
                  <v>137.285830840359</v>
                </pt>
                <pt idx="337">
                  <v>137.4193388879274</v>
                </pt>
                <pt idx="338">
                  <v>138.7791430761243</v>
                </pt>
                <pt idx="339">
                  <v>137.582515390511</v>
                </pt>
                <pt idx="340">
                  <v>138.4503176997058</v>
                </pt>
                <pt idx="341">
                  <v>138.8310628724009</v>
                </pt>
                <pt idx="342">
                  <v>139.6543624990728</v>
                </pt>
                <pt idx="343">
                  <v>137.6962444680694</v>
                </pt>
                <pt idx="344">
                  <v>136.638069572527</v>
                </pt>
                <pt idx="345">
                  <v>135.730709323312</v>
                </pt>
                <pt idx="346">
                  <v>137.1300714515291</v>
                </pt>
                <pt idx="347">
                  <v>136.9149751526689</v>
                </pt>
                <pt idx="348">
                  <v>133.8121492323287</v>
                </pt>
                <pt idx="349">
                  <v>133.1149405394714</v>
                </pt>
                <pt idx="350">
                  <v>134.6057804039855</v>
                </pt>
                <pt idx="351">
                  <v>134.684896284026</v>
                </pt>
                <pt idx="352">
                  <v>134.0025218186763</v>
                </pt>
                <pt idx="353">
                  <v>136.1806808910426</v>
                </pt>
                <pt idx="354">
                  <v>134.2522313150542</v>
                </pt>
                <pt idx="355">
                  <v>131.7526639800232</v>
                </pt>
                <pt idx="356">
                  <v>127.9155437980567</v>
                </pt>
                <pt idx="357">
                  <v>129.0948648849111</v>
                </pt>
                <pt idx="358">
                  <v>128.2320073182189</v>
                </pt>
                <pt idx="359">
                  <v>131.1963804484881</v>
                </pt>
                <pt idx="360">
                  <v>131.7749153212847</v>
                </pt>
                <pt idx="361">
                  <v>131.8441417163201</v>
                </pt>
                <pt idx="362">
                  <v>134.0124113036813</v>
                </pt>
                <pt idx="363">
                  <v>134.435186787648</v>
                </pt>
                <pt idx="364">
                  <v>136.739436793829</v>
                </pt>
                <pt idx="365">
                  <v>137.0460108289861</v>
                </pt>
                <pt idx="366">
                  <v>138.3563675921576</v>
                </pt>
                <pt idx="367">
                  <v>138.1313818082923</v>
                </pt>
                <pt idx="368">
                  <v>138.6060770885356</v>
                </pt>
                <pt idx="369">
                  <v>137.5182337379781</v>
                </pt>
                <pt idx="370">
                  <v>138.9794051474769</v>
                </pt>
                <pt idx="371">
                  <v>138.6481073998071</v>
                </pt>
                <pt idx="372">
                  <v>138.8384799861547</v>
                </pt>
                <pt idx="373">
                  <v>138.0324869582416</v>
                </pt>
                <pt idx="374">
                  <v>138.044848814498</v>
                </pt>
                <pt idx="375">
                  <v>139.3626226914233</v>
                </pt>
                <pt idx="376">
                  <v>136.4946720399535</v>
                </pt>
                <pt idx="377">
                  <v>136.2152940885603</v>
                </pt>
                <pt idx="378">
                  <v>135.8839963408905</v>
                </pt>
                <pt idx="379">
                  <v>133.5970529334685</v>
                </pt>
                <pt idx="380">
                  <v>135.0928375404851</v>
                </pt>
                <pt idx="381">
                  <v>135.6812618982866</v>
                </pt>
                <pt idx="382">
                  <v>137.07320691275</v>
                </pt>
                <pt idx="383">
                  <v>138.2278042870917</v>
                </pt>
                <pt idx="384">
                  <v>138.9497366924617</v>
                </pt>
                <pt idx="385">
                  <v>139.1549435063169</v>
                </pt>
                <pt idx="386">
                  <v>139.2118080450961</v>
                </pt>
                <pt idx="387">
                  <v>138.7989220461344</v>
                </pt>
                <pt idx="388">
                  <v>141.1674537048483</v>
                </pt>
                <pt idx="389">
                  <v>140.4924963532524</v>
                </pt>
                <pt idx="390">
                  <v>140.8435730709323</v>
                </pt>
                <pt idx="391">
                  <v>141.2465695848888</v>
                </pt>
                <pt idx="392">
                  <v>140.9350508072292</v>
                </pt>
                <pt idx="393">
                  <v>141.4938067100155</v>
                </pt>
                <pt idx="394">
                  <v>141.2885998961604</v>
                </pt>
                <pt idx="395">
                  <v>141.8547729127006</v>
                </pt>
                <pt idx="396">
                  <v>140.5839740895493</v>
                </pt>
                <pt idx="397">
                  <v>140.6433109995797</v>
                </pt>
                <pt idx="398">
                  <v>140.3861843894479</v>
                </pt>
                <pt idx="399">
                  <v>141.6619279551017</v>
                </pt>
                <pt idx="400">
                  <v>140.3812396469453</v>
                </pt>
                <pt idx="401">
                  <v>141.7089030088758</v>
                </pt>
                <pt idx="402">
                  <v>142.6904343956288</v>
                </pt>
                <pt idx="403">
                  <v>142.4407248992509</v>
                </pt>
                <pt idx="404">
                  <v>143.293692980938</v>
                </pt>
                <pt idx="405">
                  <v>144.4655969540386</v>
                </pt>
                <pt idx="406">
                  <v>143.3431404059633</v>
                </pt>
                <pt idx="407">
                  <v>143.9661779612826</v>
                </pt>
                <pt idx="408">
                  <v>143.978539817539</v>
                </pt>
                <pt idx="409">
                  <v>144.5323509778228</v>
                </pt>
                <pt idx="410">
                  <v>144.2950033377012</v>
                </pt>
                <pt idx="411">
                  <v>144.2183598289119</v>
                </pt>
                <pt idx="412">
                  <v>142.9005859519865</v>
                </pt>
                <pt idx="413">
                  <v>143.2096323583949</v>
                </pt>
                <pt idx="414">
                  <v>143.1601849333696</v>
                </pt>
                <pt idx="415">
                  <v>143.6027393873464</v>
                </pt>
                <pt idx="416">
                  <v>143.8351422849655</v>
                </pt>
                <pt idx="417">
                  <v>143.4000049447425</v>
                </pt>
                <pt idx="418">
                  <v>140.5889188320518</v>
                </pt>
                <pt idx="419">
                  <v>141.1822879323559</v>
                </pt>
                <pt idx="420">
                  <v>140.8781862684501</v>
                </pt>
                <pt idx="421">
                  <v>142.5816500605731</v>
                </pt>
                <pt idx="422">
                  <v>146.1270304348901</v>
                </pt>
                <pt idx="423">
                  <v>147.2569040967192</v>
                </pt>
                <pt idx="424">
                  <v>147.8947758795461</v>
                </pt>
                <pt idx="425">
                  <v>148.0357010408683</v>
                </pt>
                <pt idx="426">
                  <v>147.5758399881326</v>
                </pt>
                <pt idx="427">
                  <v>147.6475387544194</v>
                </pt>
                <pt idx="428">
                  <v>146.6981481939328</v>
                </pt>
                <pt idx="429">
                  <v>144.8191460429698</v>
                </pt>
                <pt idx="430">
                  <v>145.4125151432739</v>
                </pt>
                <pt idx="431">
                  <v>145.9440749622963</v>
                </pt>
                <pt idx="432">
                  <v>145.9935223873217</v>
                </pt>
                <pt idx="433">
                  <v>146.7772640739733</v>
                </pt>
                <pt idx="434">
                  <v>147.2321803842065</v>
                </pt>
                <pt idx="435">
                  <v>147.7315993769624</v>
                </pt>
                <pt idx="436">
                  <v>148.5029792073578</v>
                </pt>
                <pt idx="437">
                  <v>148.0530076396272</v>
                </pt>
                <pt idx="438">
                  <v>148.9727297450985</v>
                </pt>
                <pt idx="439">
                  <v>149.2397458402354</v>
                </pt>
                <pt idx="440">
                  <v>149.3089722352708</v>
                </pt>
                <pt idx="441">
                  <v>150.236111454496</v>
                </pt>
                <pt idx="442">
                  <v>149.9888743293693</v>
                </pt>
                <pt idx="443">
                  <v>150.273197023265</v>
                </pt>
                <pt idx="444">
                  <v>149.4993448216184</v>
                </pt>
                <pt idx="445">
                  <v>149.0345390263802</v>
                </pt>
                <pt idx="446">
                  <v>150.1866640294707</v>
                </pt>
                <pt idx="447">
                  <v>149.4128118278241</v>
                </pt>
                <pt idx="448">
                  <v>149.3831433728089</v>
                </pt>
                <pt idx="449">
                  <v>150.0210151556358</v>
                </pt>
                <pt idx="450">
                  <v>149.402922342819</v>
                </pt>
                <pt idx="451">
                  <v>144.9501817192869</v>
                </pt>
                <pt idx="452">
                  <v>144.9056790367642</v>
                </pt>
                <pt idx="453">
                  <v>146.154226518654</v>
                </pt>
                <pt idx="454">
                  <v>147.0294459416026</v>
                </pt>
                <pt idx="455">
                  <v>148.6636833386901</v>
                </pt>
                <pt idx="456">
                  <v>148.6735728236952</v>
                </pt>
                <pt idx="457">
                  <v>147.1085618216431</v>
                </pt>
                <pt idx="458">
                  <v>145.4298217420328</v>
                </pt>
                <pt idx="459">
                  <v>144.9007342942616</v>
                </pt>
                <pt idx="460">
                  <v>144.5447128340791</v>
                </pt>
                <pt idx="461">
                  <v>146.3520162187554</v>
                </pt>
                <pt idx="462">
                  <v>147.1950948154375</v>
                </pt>
                <pt idx="463">
                  <v>145.5311889633347</v>
                </pt>
                <pt idx="464">
                  <v>145.7438128909437</v>
                </pt>
                <pt idx="465">
                  <v>143.5186787648033</v>
                </pt>
                <pt idx="466">
                  <v>143.7411921774173</v>
                </pt>
                <pt idx="467">
                  <v>143.9389818775187</v>
                </pt>
                <pt idx="468">
                  <v>146.5572230326106</v>
                </pt>
                <pt idx="469">
                  <v>146.2753727099661</v>
                </pt>
                <pt idx="470">
                  <v>147.7439612332188</v>
                </pt>
                <pt idx="471">
                  <v>149.0963483076619</v>
                </pt>
                <pt idx="472">
                  <v>149.9344821618414</v>
                </pt>
                <pt idx="473">
                  <v>150.7528370460108</v>
                </pt>
                <pt idx="474">
                  <v>150.3127549632853</v>
                </pt>
                <pt idx="475">
                  <v>148.1865156871956</v>
                </pt>
                <pt idx="476">
                  <v>149.4597868815981</v>
                </pt>
                <pt idx="477">
                  <v>148.7897742725047</v>
                </pt>
                <pt idx="478">
                  <v>149.588350186664</v>
                </pt>
                <pt idx="479">
                  <v>148.792246643756</v>
                </pt>
                <pt idx="480">
                  <v>147.7909362869929</v>
                </pt>
                <pt idx="481">
                  <v>148.782357158751</v>
                </pt>
                <pt idx="482">
                  <v>149.3856157440601</v>
                </pt>
                <pt idx="483">
                  <v>149.9048137068262</v>
                </pt>
                <pt idx="484">
                  <v>148.532647662373</v>
                </pt>
                <pt idx="485">
                  <v>149.54137513289</v>
                </pt>
                <pt idx="486">
                  <v>149.6551042104482</v>
                </pt>
                <pt idx="487">
                  <v>149.1729918164512</v>
                </pt>
                <pt idx="488">
                  <v>150.7478923035083</v>
                </pt>
                <pt idx="489">
                  <v>150.7404751897545</v>
                </pt>
                <pt idx="490">
                  <v>151.1830296437313</v>
                </pt>
                <pt idx="491">
                  <v>151.5390511039137</v>
                </pt>
                <pt idx="492">
                  <v>150.9085964348407</v>
                </pt>
                <pt idx="493">
                  <v>148.3274408485178</v>
                </pt>
                <pt idx="494">
                  <v>147.6524834969219</v>
                </pt>
                <pt idx="495">
                  <v>146.9181892352956</v>
                </pt>
                <pt idx="496">
                  <v>146.9923603728336</v>
                </pt>
                <pt idx="497">
                  <v>144.6460800553811</v>
                </pt>
                <pt idx="498">
                  <v>146.903355007788</v>
                </pt>
                <pt idx="499">
                  <v>144.3296165352189</v>
                </pt>
                <pt idx="500">
                  <v>142.6212080005934</v>
                </pt>
                <pt idx="501">
                  <v>144.154078176379</v>
                </pt>
                <pt idx="502">
                  <v>141.5951739313175</v>
                </pt>
                <pt idx="503">
                  <v>142.3888051029743</v>
                </pt>
                <pt idx="504">
                  <v>138.5961876035306</v>
                </pt>
                <pt idx="505">
                  <v>137.4440626004401</v>
                </pt>
                <pt idx="506">
                  <v>138.1734121195639</v>
                </pt>
                <pt idx="507">
                  <v>136.3314955373699</v>
                </pt>
                <pt idx="508">
                  <v>139.1475263925631</v>
                </pt>
                <pt idx="509">
                  <v>140.220535515613</v>
                </pt>
                <pt idx="510">
                  <v>138.7049719385863</v>
                </pt>
                <pt idx="511">
                  <v>140.2155907731105</v>
                </pt>
                <pt idx="512">
                  <v>139.8101218879027</v>
                </pt>
                <pt idx="513">
                  <v>139.4367938289614</v>
                </pt>
                <pt idx="514">
                  <v>141.9338887927411</v>
                </pt>
                <pt idx="515">
                  <v>142.275076025416</v>
                </pt>
                <pt idx="516">
                  <v>140.5765569757955</v>
                </pt>
                <pt idx="517">
                  <v>140.2032289168542</v>
                </pt>
                <pt idx="518">
                  <v>137.3797809479071</v>
                </pt>
                <pt idx="519">
                  <v>138.3019754246297</v>
                </pt>
                <pt idx="520">
                  <v>138.69261008233</v>
                </pt>
                <pt idx="521">
                  <v>139.5703018765298</v>
                </pt>
                <pt idx="522">
                  <v>132.6921650555047</v>
                </pt>
                <pt idx="523">
                  <v>124.9239745840235</v>
                </pt>
                <pt idx="524">
                  <v>124.7014611714095</v>
                </pt>
                <pt idx="525">
                  <v>122.7482878829085</v>
                </pt>
                <pt idx="526">
                  <v>135.6392315870151</v>
                </pt>
                <pt idx="527">
                  <v>129.695651098969</v>
                </pt>
                <pt idx="528">
                  <v>132.009790590155</v>
                </pt>
                <pt idx="529">
                  <v>133.2904788983114</v>
                </pt>
                <pt idx="530">
                  <v>132.91715083937</v>
                </pt>
                <pt idx="531">
                  <v>129.9626671941058</v>
                </pt>
                <pt idx="532">
                  <v>130.1480950379509</v>
                </pt>
                <pt idx="533">
                  <v>127.0502138601132</v>
                </pt>
                <pt idx="534">
                  <v>130.3557742230573</v>
                </pt>
                <pt idx="535">
                  <v>132.3757015353425</v>
                </pt>
                <pt idx="536">
                  <v>135.1620639355206</v>
                </pt>
                <pt idx="537">
                  <v>136.138650579771</v>
                </pt>
                <pt idx="538">
                  <v>136.1905703760477</v>
                </pt>
                <pt idx="539">
                  <v>137.0484832002373</v>
                </pt>
                <pt idx="540">
                  <v>137.1028753677652</v>
                </pt>
                <pt idx="541">
                  <v>138.0745172695132</v>
                </pt>
                <pt idx="542">
                  <v>140.1241130368136</v>
                </pt>
                <pt idx="543">
                  <v>139.3205923801518</v>
                </pt>
                <pt idx="544">
                  <v>138.156105520805</v>
                </pt>
                <pt idx="545">
                  <v>138.7371127648528</v>
                </pt>
                <pt idx="546">
                  <v>139.7038099240982</v>
                </pt>
                <pt idx="547">
                  <v>139.525799194007</v>
                </pt>
                <pt idx="548">
                  <v>144.1367715776201</v>
                </pt>
                <pt idx="549">
                  <v>145.0886345093579</v>
                </pt>
                <pt idx="550">
                  <v>145.2740623532029</v>
                </pt>
                <pt idx="551">
                  <v>145.9836329023166</v>
                </pt>
                <pt idx="552">
                  <v>146.9082997502905</v>
                </pt>
                <pt idx="553">
                  <v>147.0690038816228</v>
                </pt>
                <pt idx="554">
                  <v>146.5745296313694</v>
                </pt>
                <pt idx="555">
                  <v>144.1046307513536</v>
                </pt>
                <pt idx="556">
                  <v>144.1614952901328</v>
                </pt>
                <pt idx="557">
                  <v>143.1774915321285</v>
                </pt>
                <pt idx="558">
                  <v>146.154226518654</v>
                </pt>
                <pt idx="559">
                  <v>145.3086755507207</v>
                </pt>
                <pt idx="560">
                  <v>145.8822656810146</v>
                </pt>
                <pt idx="561">
                  <v>145.719089178431</v>
                </pt>
                <pt idx="562">
                  <v>146.5399164338517</v>
                </pt>
                <pt idx="563">
                  <v>147.37557791678</v>
                </pt>
                <pt idx="564">
                  <v>147.3360199767597</v>
                </pt>
                <pt idx="565">
                  <v>146.6239770563948</v>
                </pt>
                <pt idx="566">
                  <v>148.1296511484164</v>
                </pt>
                <pt idx="567">
                  <v>148.2631591959849</v>
                </pt>
                <pt idx="568">
                  <v>149.1037654214157</v>
                </pt>
                <pt idx="569">
                  <v>148.6785175661977</v>
                </pt>
                <pt idx="570">
                  <v>149.2694142952506</v>
                </pt>
                <pt idx="571">
                  <v>147.6005637006453</v>
                </pt>
                <pt idx="572">
                  <v>149.004870571365</v>
                </pt>
                <pt idx="573">
                  <v>147.7315993769624</v>
                </pt>
                <pt idx="574">
                  <v>147.709348035701</v>
                </pt>
                <pt idx="575">
                  <v>146.9280787203006</v>
                </pt>
                <pt idx="576">
                  <v>148.3793606447944</v>
                </pt>
                <pt idx="577">
                  <v>150.0185427843845</v>
                </pt>
                <pt idx="578">
                  <v>150.1026034069276</v>
                </pt>
                <pt idx="579">
                  <v>151.2769797512794</v>
                </pt>
                <pt idx="580">
                  <v>152.0285806116646</v>
                </pt>
                <pt idx="581">
                  <v>152.7554577595372</v>
                </pt>
                <pt idx="582">
                  <v>152.7060103345118</v>
                </pt>
                <pt idx="583">
                  <v>153.3982742848666</v>
                </pt>
                <pt idx="584">
                  <v>154.6072638267362</v>
                </pt>
                <pt idx="585">
                  <v>153.4551388236457</v>
                </pt>
                <pt idx="586">
                  <v>153.3710782011027</v>
                </pt>
                <pt idx="587">
                  <v>154.290800306574</v>
                </pt>
                <pt idx="588">
                  <v>154.7259376467971</v>
                </pt>
                <pt idx="589">
                  <v>154.1820159715183</v>
                </pt>
                <pt idx="590">
                  <v>154.476228150419</v>
                </pt>
                <pt idx="591">
                  <v>153.8161050263307</v>
                </pt>
                <pt idx="592">
                  <v>154.3303582465943</v>
                </pt>
                <pt idx="593">
                  <v>155.2748040645783</v>
                </pt>
                <pt idx="594">
                  <v>155.16107498702</v>
                </pt>
                <pt idx="595">
                  <v>155.4552871659208</v>
                </pt>
                <pt idx="596">
                  <v>155.4775385071822</v>
                </pt>
                <pt idx="597">
                  <v>156.8002571266101</v>
                </pt>
                <pt idx="598">
                  <v>156.8521769228867</v>
                </pt>
                <pt idx="599">
                  <v>157.5147724182263</v>
                </pt>
                <pt idx="600">
                  <v>157.4752144782061</v>
                </pt>
                <pt idx="601">
                  <v>157.0598561079932</v>
                </pt>
                <pt idx="602">
                  <v>156.8620664078918</v>
                </pt>
                <pt idx="603">
                  <v>156.2736420500902</v>
                </pt>
                <pt idx="604">
                  <v>153.7122654337775</v>
                </pt>
                <pt idx="605">
                  <v>156.0486562662249</v>
                </pt>
                <pt idx="606">
                  <v>155.2574974658195</v>
                </pt>
                <pt idx="607">
                  <v>156.4467080376789</v>
                </pt>
                <pt idx="608">
                  <v>156.3156723613618</v>
                </pt>
                <pt idx="609">
                  <v>157.5345513882365</v>
                </pt>
                <pt idx="610">
                  <v>157.2230326105768</v>
                </pt>
                <pt idx="611">
                  <v>158.8968279476846</v>
                </pt>
                <pt idx="612">
                  <v>159.4407496229634</v>
                </pt>
                <pt idx="613">
                  <v>159.455583850471</v>
                </pt>
                <pt idx="614">
                  <v>159.0822557915297</v>
                </pt>
                <pt idx="615">
                  <v>159.0476425940119</v>
                </pt>
                <pt idx="616">
                  <v>158.1847850273197</v>
                </pt>
                <pt idx="617">
                  <v>157.7644819146043</v>
                </pt>
                <pt idx="618">
                  <v>157.1315548742799</v>
                </pt>
                <pt idx="619">
                  <v>159.5445892155166</v>
                </pt>
                <pt idx="620">
                  <v>158.8424357801568</v>
                </pt>
                <pt idx="621">
                  <v>159.5075036467476</v>
                </pt>
                <pt idx="622">
                  <v>159.8709422206838</v>
                </pt>
                <pt idx="623">
                  <v>160.437115237224</v>
                </pt>
                <pt idx="624">
                  <v>159.4803075629836</v>
                </pt>
                <pt idx="625">
                  <v>158.298514104878</v>
                </pt>
                <pt idx="626">
                  <v>159.1564269290677</v>
                </pt>
                <pt idx="627">
                  <v>160.4865626622494</v>
                </pt>
                <pt idx="628">
                  <v>160.0217568670111</v>
                </pt>
                <pt idx="629">
                  <v>160.4148638959626</v>
                </pt>
                <pt idx="630">
                  <v>160.7857195836527</v>
                </pt>
                <pt idx="631">
                  <v>161.2505253788909</v>
                </pt>
                <pt idx="632">
                  <v>162.5905505970777</v>
                </pt>
                <pt idx="633">
                  <v>162.5361584295498</v>
                </pt>
                <pt idx="634">
                  <v>163.4014883674932</v>
                </pt>
                <pt idx="635">
                  <v>163.176502583628</v>
                </pt>
                <pt idx="636">
                  <v>162.973768141024</v>
                </pt>
                <pt idx="637">
                  <v>163.7352584864143</v>
                </pt>
                <pt idx="638">
                  <v>164.0912799465968</v>
                </pt>
                <pt idx="639">
                  <v>164.8676045194946</v>
                </pt>
                <pt idx="640">
                  <v>163.9701337552847</v>
                </pt>
                <pt idx="641">
                  <v>163.4484634212673</v>
                </pt>
                <pt idx="642">
                  <v>162.6943901896309</v>
                </pt>
                <pt idx="643">
                  <v>163.6264741513586</v>
                </pt>
                <pt idx="644">
                  <v>164.0863352040942</v>
                </pt>
                <pt idx="645">
                  <v>164.704428016911</v>
                </pt>
                <pt idx="646">
                  <v>165.2656562909486</v>
                </pt>
                <pt idx="647">
                  <v>165.4560288772962</v>
                </pt>
                <pt idx="648">
                  <v>165.4535565060449</v>
                </pt>
                <pt idx="649">
                  <v>166.046925606349</v>
                </pt>
                <pt idx="650">
                  <v>165.4313051647835</v>
                </pt>
                <pt idx="651">
                  <v>166.4177812940391</v>
                </pt>
                <pt idx="652">
                  <v>165.935668900042</v>
                </pt>
                <pt idx="653">
                  <v>161.4507874502435</v>
                </pt>
                <pt idx="654">
                  <v>163.9281034440131</v>
                </pt>
                <pt idx="655">
                  <v>163.7278413726605</v>
                </pt>
                <pt idx="656">
                  <v>164.454718520533</v>
                </pt>
                <pt idx="657">
                  <v>163.334734343709</v>
                </pt>
                <pt idx="658">
                  <v>164.2618735629342</v>
                </pt>
                <pt idx="659">
                  <v>165.9702820975598</v>
                </pt>
                <pt idx="660">
                  <v>165.9678097263085</v>
                </pt>
                <pt idx="661">
                  <v>165.1049521596163</v>
                </pt>
                <pt idx="662">
                  <v>166.084011175118</v>
                </pt>
                <pt idx="663">
                  <v>167.4413429920637</v>
                </pt>
                <pt idx="664">
                  <v>169.4167676218261</v>
                </pt>
                <pt idx="665">
                  <v>169.8667391895567</v>
                </pt>
                <pt idx="666">
                  <v>169.9483274408485</v>
                </pt>
                <pt idx="667">
                  <v>168.0792147748906</v>
                </pt>
                <pt idx="668">
                  <v>168.6305535639231</v>
                </pt>
                <pt idx="669">
                  <v>168.9470170840854</v>
                </pt>
                <pt idx="670">
                  <v>166.944396370559</v>
                </pt>
                <pt idx="671">
                  <v>167.5229312433555</v>
                </pt>
                <pt idx="672">
                  <v>165.7255173436843</v>
                </pt>
                <pt idx="673">
                  <v>165.888693846268</v>
                </pt>
                <pt idx="674">
                  <v>168.4772665463446</v>
                </pt>
                <pt idx="675">
                  <v>168.8629564615423</v>
                </pt>
                <pt idx="676">
                  <v>168.9569065690904</v>
                </pt>
                <pt idx="677">
                  <v>166.1532375701535</v>
                </pt>
                <pt idx="678">
                  <v>166.1260414863896</v>
                </pt>
                <pt idx="679">
                  <v>164.5783370830964</v>
                </pt>
                <pt idx="680">
                  <v>163.1962815536381</v>
                </pt>
                <pt idx="681">
                  <v>163.8267362227112</v>
                </pt>
                <pt idx="682">
                  <v>161.3296412589314</v>
                </pt>
                <pt idx="683">
                  <v>162.9366825722551</v>
                </pt>
                <pt idx="684">
                  <v>165.3348826859841</v>
                </pt>
                <pt idx="685">
                  <v>166.8900042030311</v>
                </pt>
                <pt idx="686">
                  <v>168.0421292061216</v>
                </pt>
                <pt idx="687">
                  <v>168.9593789403417</v>
                </pt>
                <pt idx="688">
                  <v>168.1879991099463</v>
                </pt>
                <pt idx="689">
                  <v>168.499517887606</v>
                </pt>
                <pt idx="690">
                  <v>169.082997502905</v>
                </pt>
                <pt idx="691">
                  <v>169.2066160654684</v>
                </pt>
                <pt idx="692">
                  <v>169.5280243281331</v>
                </pt>
                <pt idx="693">
                  <v>169.0187158503721</v>
                </pt>
                <pt idx="694">
                  <v>168.8728459465473</v>
                </pt>
                <pt idx="695">
                  <v>169.9928301233713</v>
                </pt>
                <pt idx="696">
                  <v>170.388409523574</v>
                </pt>
                <pt idx="697">
                  <v>168.5563824263851</v>
                </pt>
                <pt idx="698">
                  <v>168.3017281875046</v>
                </pt>
                <pt idx="699">
                  <v>167.8418671347689</v>
                </pt>
                <pt idx="700">
                  <v>165.9950058100724</v>
                </pt>
                <pt idx="701">
                  <v>167.2484980344648</v>
                </pt>
                <pt idx="702">
                  <v>168.2671149899869</v>
                </pt>
                <pt idx="703">
                  <v>169.3154004005241</v>
                </pt>
                <pt idx="704">
                  <v>170.0892526021707</v>
                </pt>
                <pt idx="705">
                  <v>170.6875664449774</v>
                </pt>
                <pt idx="706">
                  <v>170.6702598462185</v>
                </pt>
                <pt idx="707">
                  <v>170.0620565184068</v>
                </pt>
                <pt idx="708">
                  <v>169.8543773333004</v>
                </pt>
                <pt idx="709">
                  <v>168.5959403664054</v>
                </pt>
                <pt idx="710">
                  <v>168.9049867728138</v>
                </pt>
                <pt idx="711">
                  <v>170.0299156921403</v>
                </pt>
                <pt idx="712">
                  <v>171.0411155339085</v>
                </pt>
                <pt idx="713">
                  <v>170.489776744876</v>
                </pt>
                <pt idx="714">
                  <v>170.4724701461171</v>
                </pt>
                <pt idx="715">
                  <v>171.5998714366949</v>
                </pt>
                <pt idx="716">
                  <v>171.869359903083</v>
                </pt>
                <pt idx="717">
                  <v>171.5257002991569</v>
                </pt>
                <pt idx="718">
                  <v>170.6826217024748</v>
                </pt>
                <pt idx="719">
                  <v>171.1474274977131</v>
                </pt>
                <pt idx="720">
                  <v>171.0040299651396</v>
                </pt>
                <pt idx="721">
                  <v>167.5229312433555</v>
                </pt>
                <pt idx="722">
                  <v>169.4563255618463</v>
                </pt>
                <pt idx="723">
                  <v>170.3414344698</v>
                </pt>
                <pt idx="724">
                  <v>170.4032437510816</v>
                </pt>
                <pt idx="725">
                  <v>171.2685736890251</v>
                </pt>
                <pt idx="726">
                  <v>171.9509481543749</v>
                </pt>
                <pt idx="727">
                  <v>171.933641555616</v>
                </pt>
                <pt idx="728">
                  <v>171.5924543229411</v>
                </pt>
                <pt idx="729">
                  <v>171.0806734739288</v>
                </pt>
                <pt idx="730">
                  <v>171.9311691843647</v>
                </pt>
                <pt idx="731">
                  <v>170.4774148886196</v>
                </pt>
                <pt idx="732">
                  <v>169.6516428906965</v>
                </pt>
                <pt idx="733">
                  <v>167.5328207283605</v>
                </pt>
                <pt idx="734">
                  <v>170.7469033550078</v>
                </pt>
                <pt idx="735">
                  <v>171.5702029816797</v>
                </pt>
                <pt idx="736">
                  <v>171.1177590426978</v>
                </pt>
                <pt idx="737">
                  <v>171.0782011026776</v>
                </pt>
                <pt idx="738">
                  <v>168.435236235073</v>
                </pt>
                <pt idx="739">
                  <v>168.5539100551339</v>
                </pt>
                <pt idx="740">
                  <v>168.8258708927733</v>
                </pt>
                <pt idx="741">
                  <v>169.6763666032091</v>
                </pt>
                <pt idx="742">
                  <v>169.2288674067298</v>
                </pt>
                <pt idx="743">
                  <v>170.452691176107</v>
                </pt>
                <pt idx="744">
                  <v>168.712141815215</v>
                </pt>
                <pt idx="745">
                  <v>169.9384379558435</v>
                </pt>
                <pt idx="746">
                  <v>171.3724132815784</v>
                </pt>
                <pt idx="747">
                  <v>170.4205503498405</v>
                </pt>
                <pt idx="748">
                  <v>169.6021954656711</v>
                </pt>
                <pt idx="749">
                  <v>169.6986179444705</v>
                </pt>
                <pt idx="750">
                  <v>168.202833337454</v>
                </pt>
                <pt idx="751">
                  <v>169.3895715380621</v>
                </pt>
              </numCache>
            </numRef>
          </val>
          <smooth val="0"/>
        </ser>
        <ser>
          <idx val="2"/>
          <order val="2"/>
          <tx>
            <strRef>
              <f>'Share Price Analysis'!$M$35</f>
              <strCache>
                <ptCount val="1"/>
                <pt idx="0">
                  <v>XLB Normalized</v>
                </pt>
              </strCache>
            </strRef>
          </tx>
          <spPr>
            <a:ln w="1905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Analysis'!$M$36:$M$787</f>
              <numCache>
                <formatCode>#,##0.0</formatCode>
                <ptCount val="752"/>
                <pt idx="0">
                  <v>100</v>
                </pt>
                <pt idx="1">
                  <v>98.02955665024631</v>
                </pt>
                <pt idx="2">
                  <v>98.51015258921061</v>
                </pt>
                <pt idx="3">
                  <v>95.97500901117385</v>
                </pt>
                <pt idx="4">
                  <v>93.93247627057552</v>
                </pt>
                <pt idx="5">
                  <v>92.97128439264687</v>
                </pt>
                <pt idx="6">
                  <v>94.16075934158357</v>
                </pt>
                <pt idx="7">
                  <v>91.10897512916016</v>
                </pt>
                <pt idx="8">
                  <v>92.15427129640754</v>
                </pt>
                <pt idx="9">
                  <v>90.72449837798871</v>
                </pt>
                <pt idx="10">
                  <v>92.19031599182988</v>
                </pt>
                <pt idx="11">
                  <v>93.3077015499219</v>
                </pt>
                <pt idx="12">
                  <v>91.649645560495</v>
                </pt>
                <pt idx="13">
                  <v>91.54151147422803</v>
                </pt>
                <pt idx="14">
                  <v>92.28643517962273</v>
                </pt>
                <pt idx="15">
                  <v>92.97128439264687</v>
                </pt>
                <pt idx="16">
                  <v>93.41583563618887</v>
                </pt>
                <pt idx="17">
                  <v>94.71344467139252</v>
                </pt>
                <pt idx="18">
                  <v>95.36224918899435</v>
                </pt>
                <pt idx="19">
                  <v>96.91217109215427</v>
                </pt>
                <pt idx="20">
                  <v>97.52493091433378</v>
                </pt>
                <pt idx="21">
                  <v>96.11918779286314</v>
                </pt>
                <pt idx="22">
                  <v>95.9029196203292</v>
                </pt>
                <pt idx="23">
                  <v>95.67463654932115</v>
                </pt>
                <pt idx="24">
                  <v>96.13120269133726</v>
                </pt>
                <pt idx="25">
                  <v>96.87612639673195</v>
                </pt>
                <pt idx="26">
                  <v>96.94821578757659</v>
                </pt>
                <pt idx="27">
                  <v>97.94545236092755</v>
                </pt>
                <pt idx="28">
                  <v>97.2365733509552</v>
                </pt>
                <pt idx="29">
                  <v>97.80127357923826</v>
                </pt>
                <pt idx="30">
                  <v>98.20978012735792</v>
                </pt>
                <pt idx="31">
                  <v>97.93343746245344</v>
                </pt>
                <pt idx="32">
                  <v>97.82530337618647</v>
                </pt>
                <pt idx="33">
                  <v>96.96023068605069</v>
                </pt>
                <pt idx="34">
                  <v>97.62105010212663</v>
                </pt>
                <pt idx="35">
                  <v>95.50642797068363</v>
                </pt>
                <pt idx="36">
                  <v>94.3770275141175</v>
                </pt>
                <pt idx="37">
                  <v>95.66262165084704</v>
                </pt>
                <pt idx="38">
                  <v>96.78000720893908</v>
                </pt>
                <pt idx="39">
                  <v>96.73194761504266</v>
                </pt>
                <pt idx="40">
                  <v>95.79478553406223</v>
                </pt>
                <pt idx="41">
                  <v>94.73747446834074</v>
                </pt>
                <pt idx="42">
                  <v>94.12471464616125</v>
                </pt>
                <pt idx="43">
                  <v>95.71068124474348</v>
                </pt>
                <pt idx="44">
                  <v>95.39829388441667</v>
                </pt>
                <pt idx="45">
                  <v>94.53322119428091</v>
                </pt>
                <pt idx="46">
                  <v>94.59329568665144</v>
                </pt>
                <pt idx="47">
                  <v>93.66814850414514</v>
                </pt>
                <pt idx="48">
                  <v>93.83635708278264</v>
                </pt>
                <pt idx="49">
                  <v>94.62934038207376</v>
                </pt>
                <pt idx="50">
                  <v>93.06740358043973</v>
                </pt>
                <pt idx="51">
                  <v>93.68016340261924</v>
                </pt>
                <pt idx="52">
                  <v>94.23284873242821</v>
                </pt>
                <pt idx="53">
                  <v>94.47314670191037</v>
                </pt>
                <pt idx="54">
                  <v>93.98053586447193</v>
                </pt>
                <pt idx="55">
                  <v>92.52673314910489</v>
                </pt>
                <pt idx="56">
                  <v>91.46942208338339</v>
                </pt>
                <pt idx="57">
                  <v>91.14501982458248</v>
                </pt>
                <pt idx="58">
                  <v>91.60158596659858</v>
                </pt>
                <pt idx="59">
                  <v>91.10897512916016</v>
                </pt>
                <pt idx="60">
                  <v>90.13576835275741</v>
                </pt>
                <pt idx="61">
                  <v>91.33725820016821</v>
                </pt>
                <pt idx="62">
                  <v>94.4010573110657</v>
                </pt>
                <pt idx="63">
                  <v>94.32896792022107</v>
                </pt>
                <pt idx="64">
                  <v>94.92971284392647</v>
                </pt>
                <pt idx="65">
                  <v>96.0591133004926</v>
                </pt>
                <pt idx="66">
                  <v>95.71068124474348</v>
                </pt>
                <pt idx="67">
                  <v>94.91769794545236</v>
                </pt>
                <pt idx="68">
                  <v>95.35023429052025</v>
                </pt>
                <pt idx="69">
                  <v>97.5609756097561</v>
                </pt>
                <pt idx="70">
                  <v>97.15246906163642</v>
                </pt>
                <pt idx="71">
                  <v>97.98149705634987</v>
                </pt>
                <pt idx="72">
                  <v>98.22179502583202</v>
                </pt>
                <pt idx="73">
                  <v>96.41956025471585</v>
                </pt>
                <pt idx="74">
                  <v>96.73194761504266</v>
                </pt>
                <pt idx="75">
                  <v>96.50366454403459</v>
                </pt>
                <pt idx="76">
                  <v>95.72269614321759</v>
                </pt>
                <pt idx="77">
                  <v>96.71993271656854</v>
                </pt>
                <pt idx="78">
                  <v>98.08963114261684</v>
                </pt>
                <pt idx="79">
                  <v>97.41679682806679</v>
                </pt>
                <pt idx="80">
                  <v>98.64231647242579</v>
                </pt>
                <pt idx="81">
                  <v>99.56746365493213</v>
                </pt>
                <pt idx="82">
                  <v>99.93992550762947</v>
                </pt>
                <pt idx="83">
                  <v>97.47687132043733</v>
                </pt>
                <pt idx="84">
                  <v>96.76799231046498</v>
                </pt>
                <pt idx="85">
                  <v>97.60903520365251</v>
                </pt>
                <pt idx="86">
                  <v>97.58500540670431</v>
                </pt>
                <pt idx="87">
                  <v>98.54619728463292</v>
                </pt>
                <pt idx="88">
                  <v>99.84380631983657</v>
                </pt>
                <pt idx="89">
                  <v>100.6247747206536</v>
                </pt>
                <pt idx="90">
                  <v>100.0360446954223</v>
                </pt>
                <pt idx="91">
                  <v>100.1321638832152</v>
                </pt>
                <pt idx="92">
                  <v>100.9131322840322</v>
                </pt>
                <pt idx="93">
                  <v>100.3724618526973</v>
                </pt>
                <pt idx="94">
                  <v>100.6127598221795</v>
                </pt>
                <pt idx="95">
                  <v>100.6247747206536</v>
                </pt>
                <pt idx="96">
                  <v>100.9371620809804</v>
                </pt>
                <pt idx="97">
                  <v>102.7514117505707</v>
                </pt>
                <pt idx="98">
                  <v>102.4029796948216</v>
                </pt>
                <pt idx="99">
                  <v>101.7421602787457</v>
                </pt>
                <pt idx="100">
                  <v>102.451039288718</v>
                </pt>
                <pt idx="101">
                  <v>102.9917097200529</v>
                </pt>
                <pt idx="102">
                  <v>102.5351435780368</v>
                </pt>
                <pt idx="103">
                  <v>101.2615643397813</v>
                </pt>
                <pt idx="104">
                  <v>100.6367896191277</v>
                </pt>
                <pt idx="105">
                  <v>100.4085065481197</v>
                </pt>
                <pt idx="106">
                  <v>101.0693259641956</v>
                </pt>
                <pt idx="107">
                  <v>100</v>
                </pt>
                <pt idx="108">
                  <v>99.59149345188032</v>
                </pt>
                <pt idx="109">
                  <v>99.66358284272498</v>
                </pt>
                <pt idx="110">
                  <v>99.38724017782049</v>
                </pt>
                <pt idx="111">
                  <v>99.60350835035445</v>
                </pt>
                <pt idx="112">
                  <v>97.98149705634987</v>
                </pt>
                <pt idx="113">
                  <v>97.32067764027393</v>
                </pt>
                <pt idx="114">
                  <v>97.12843926468821</v>
                </pt>
                <pt idx="115">
                  <v>97.11642436621409</v>
                </pt>
                <pt idx="116">
                  <v>97.12843926468821</v>
                </pt>
                <pt idx="117">
                  <v>97.04433497536945</v>
                </pt>
                <pt idx="118">
                  <v>97.20052865553286</v>
                </pt>
                <pt idx="119">
                  <v>96.79202210741319</v>
                </pt>
                <pt idx="120">
                  <v>97.08037967079177</v>
                </pt>
                <pt idx="121">
                  <v>97.78925868076415</v>
                </pt>
                <pt idx="122">
                  <v>99.4112699747687</v>
                </pt>
                <pt idx="123">
                  <v>99.63955304577676</v>
                </pt>
                <pt idx="124">
                  <v>99.59149345188032</v>
                </pt>
                <pt idx="125">
                  <v>100.7088790099724</v>
                </pt>
                <pt idx="126">
                  <v>98.84656974648564</v>
                </pt>
                <pt idx="127">
                  <v>98.6303015739517</v>
                </pt>
                <pt idx="128">
                  <v>98.1857503304097</v>
                </pt>
                <pt idx="129">
                  <v>98.28186951820256</v>
                </pt>
                <pt idx="130">
                  <v>98.70239096479635</v>
                </pt>
                <pt idx="131">
                  <v>98.47410789378829</v>
                </pt>
                <pt idx="132">
                  <v>97.89739276703112</v>
                </pt>
                <pt idx="133">
                  <v>99.27910609155352</v>
                </pt>
                <pt idx="134">
                  <v>98.17373543193558</v>
                </pt>
                <pt idx="135">
                  <v>97.29664784332573</v>
                </pt>
                <pt idx="136">
                  <v>97.21254355400696</v>
                </pt>
                <pt idx="137">
                  <v>96.1912771837078</v>
                </pt>
                <pt idx="138">
                  <v>94.25687852937644</v>
                </pt>
                <pt idx="139">
                  <v>94.16075934158357</v>
                </pt>
                <pt idx="140">
                  <v>94.90568304697824</v>
                </pt>
                <pt idx="141">
                  <v>93.53598462092995</v>
                </pt>
                <pt idx="142">
                  <v>93.52396972245585</v>
                </pt>
                <pt idx="143">
                  <v>94.53322119428091</v>
                </pt>
                <pt idx="144">
                  <v>94.3770275141175</v>
                </pt>
                <pt idx="145">
                  <v>93.12747807281029</v>
                </pt>
                <pt idx="146">
                  <v>92.87516520485401</v>
                </pt>
                <pt idx="147">
                  <v>93.96852096599783</v>
                </pt>
                <pt idx="148">
                  <v>92.82710561095759</v>
                </pt>
                <pt idx="149">
                  <v>93.70419319956746</v>
                </pt>
                <pt idx="150">
                  <v>93.82434218430853</v>
                </pt>
                <pt idx="151">
                  <v>94.82157875765949</v>
                </pt>
                <pt idx="152">
                  <v>95.04986182866755</v>
                </pt>
                <pt idx="153">
                  <v>93.63210380872282</v>
                </pt>
                <pt idx="154">
                  <v>93.28367175297369</v>
                </pt>
                <pt idx="155">
                  <v>94.19680403700589</v>
                </pt>
                <pt idx="156">
                  <v>95.1219512195122</v>
                </pt>
                <pt idx="157">
                  <v>92.65889703232007</v>
                </pt>
                <pt idx="158">
                  <v>91.57755616965036</v>
                </pt>
                <pt idx="159">
                  <v>90.47218551003243</v>
                </pt>
                <pt idx="160">
                  <v>89.46293403820737</v>
                </pt>
                <pt idx="161">
                  <v>90.52024510392887</v>
                </pt>
                <pt idx="162">
                  <v>89.46293403820737</v>
                </pt>
                <pt idx="163">
                  <v>90.08770875886098</v>
                </pt>
                <pt idx="164">
                  <v>90.05166406343866</v>
                </pt>
                <pt idx="165">
                  <v>90.97681124594497</v>
                </pt>
                <pt idx="166">
                  <v>91.38531779406463</v>
                </pt>
                <pt idx="167">
                  <v>91.43337738796106</v>
                </pt>
                <pt idx="168">
                  <v>93.19956746365492</v>
                </pt>
                <pt idx="169">
                  <v>94.6653850774961</v>
                </pt>
                <pt idx="170">
                  <v>94.19680403700589</v>
                </pt>
                <pt idx="171">
                  <v>92.37053946894149</v>
                </pt>
                <pt idx="172">
                  <v>92.65889703232007</v>
                </pt>
                <pt idx="173">
                  <v>91.86591373302895</v>
                </pt>
                <pt idx="174">
                  <v>92.94725459569865</v>
                </pt>
                <pt idx="175">
                  <v>92.81509071248347</v>
                </pt>
                <pt idx="176">
                  <v>95.55448756458007</v>
                </pt>
                <pt idx="177">
                  <v>95.97500901117385</v>
                </pt>
                <pt idx="178">
                  <v>96.26336657455245</v>
                </pt>
                <pt idx="179">
                  <v>96.44359005166405</v>
                </pt>
                <pt idx="180">
                  <v>96.61179863030156</v>
                </pt>
                <pt idx="181">
                  <v>96.98426048299891</v>
                </pt>
                <pt idx="182">
                  <v>97.04433497536945</v>
                </pt>
                <pt idx="183">
                  <v>97.46485642196323</v>
                </pt>
                <pt idx="184">
                  <v>97.34470743722214</v>
                </pt>
                <pt idx="185">
                  <v>97.53694581280789</v>
                </pt>
                <pt idx="186">
                  <v>98.0415715487204</v>
                </pt>
                <pt idx="187">
                  <v>99.01477832512315</v>
                </pt>
                <pt idx="188">
                  <v>100.1441787816893</v>
                </pt>
                <pt idx="189">
                  <v>98.97873362970083</v>
                </pt>
                <pt idx="190">
                  <v>97.62105010212663</v>
                </pt>
                <pt idx="191">
                  <v>97.41679682806679</v>
                </pt>
                <pt idx="192">
                  <v>98.07761624414273</v>
                </pt>
                <pt idx="193">
                  <v>98.43806319836598</v>
                </pt>
                <pt idx="194">
                  <v>99.13492730986422</v>
                </pt>
                <pt idx="195">
                  <v>99.71164243662139</v>
                </pt>
                <pt idx="196">
                  <v>100.9251471825063</v>
                </pt>
                <pt idx="197">
                  <v>102.5952180704073</v>
                </pt>
                <pt idx="198">
                  <v>102.3308903039769</v>
                </pt>
                <pt idx="199">
                  <v>101.778204974168</v>
                </pt>
                <pt idx="200">
                  <v>102.7153670551484</v>
                </pt>
                <pt idx="201">
                  <v>101.1414153550402</v>
                </pt>
                <pt idx="202">
                  <v>102.2107413192358</v>
                </pt>
                <pt idx="203">
                  <v>102.8475309383636</v>
                </pt>
                <pt idx="204">
                  <v>103.3281268773279</v>
                </pt>
                <pt idx="205">
                  <v>103.5804397452842</v>
                </pt>
                <pt idx="206">
                  <v>103.1839480956386</v>
                </pt>
                <pt idx="207">
                  <v>102.7754415475189</v>
                </pt>
                <pt idx="208">
                  <v>102.5952180704073</v>
                </pt>
                <pt idx="209">
                  <v>101.4898474107894</v>
                </pt>
                <pt idx="210">
                  <v>101.1654451519885</v>
                </pt>
                <pt idx="211">
                  <v>101.333653730626</v>
                </pt>
                <pt idx="212">
                  <v>101.7661900756939</v>
                </pt>
                <pt idx="213">
                  <v>100.6007449237054</v>
                </pt>
                <pt idx="214">
                  <v>100.4685810404902</v>
                </pt>
                <pt idx="215">
                  <v>100.1682085786375</v>
                </pt>
                <pt idx="216">
                  <v>100.2643277664304</v>
                </pt>
                <pt idx="217">
                  <v>99.11089751291601</v>
                </pt>
                <pt idx="218">
                  <v>98.39000360446953</v>
                </pt>
                <pt idx="219">
                  <v>98.70239096479635</v>
                </pt>
                <pt idx="220">
                  <v>98.79851015258922</v>
                </pt>
                <pt idx="221">
                  <v>99.0868677159678</v>
                </pt>
                <pt idx="222">
                  <v>99.4112699747687</v>
                </pt>
                <pt idx="223">
                  <v>98.06560134566863</v>
                </pt>
                <pt idx="224">
                  <v>99.09888261444191</v>
                </pt>
                <pt idx="225">
                  <v>99.13492730986422</v>
                </pt>
                <pt idx="226">
                  <v>99.62753814730266</v>
                </pt>
                <pt idx="227">
                  <v>100.0841042893188</v>
                </pt>
                <pt idx="228">
                  <v>98.77448035564097</v>
                </pt>
                <pt idx="229">
                  <v>100.4205214465938</v>
                </pt>
                <pt idx="230">
                  <v>99.8317914213625</v>
                </pt>
                <pt idx="231">
                  <v>97.29664784332573</v>
                </pt>
                <pt idx="232">
                  <v>99.01477832512315</v>
                </pt>
                <pt idx="233">
                  <v>99.80776162441425</v>
                </pt>
                <pt idx="234">
                  <v>99.67559774119907</v>
                </pt>
                <pt idx="235">
                  <v>99.89186591373303</v>
                </pt>
                <pt idx="236">
                  <v>100.6848492130241</v>
                </pt>
                <pt idx="237">
                  <v>99.26709119307941</v>
                </pt>
                <pt idx="238">
                  <v>99.90388081220713</v>
                </pt>
                <pt idx="239">
                  <v>101.7902198726421</v>
                </pt>
                <pt idx="240">
                  <v>102.3308903039769</v>
                </pt>
                <pt idx="241">
                  <v>102.114622131443</v>
                </pt>
                <pt idx="242">
                  <v>102.6793223597261</v>
                </pt>
                <pt idx="243">
                  <v>103.7126036284993</v>
                </pt>
                <pt idx="244">
                  <v>104.3253634506789</v>
                </pt>
                <pt idx="245">
                  <v>103.7005887300252</v>
                </pt>
                <pt idx="246">
                  <v>104.0850654811967</v>
                </pt>
                <pt idx="247">
                  <v>104.4094677399976</v>
                </pt>
                <pt idx="248">
                  <v>105.2024510392887</v>
                </pt>
                <pt idx="249">
                  <v>105.683046978253</v>
                </pt>
                <pt idx="250">
                  <v>106.4520004805959</v>
                </pt>
                <pt idx="251">
                  <v>105.8873002523129</v>
                </pt>
                <pt idx="252">
                  <v>106.6682686531299</v>
                </pt>
                <pt idx="253">
                  <v>107.9778925868076</v>
                </pt>
                <pt idx="254">
                  <v>107.353117866154</v>
                </pt>
                <pt idx="255">
                  <v>108.5666226120389</v>
                </pt>
                <pt idx="256">
                  <v>108.5546077135648</v>
                </pt>
                <pt idx="257">
                  <v>109.6239336777604</v>
                </pt>
                <pt idx="258">
                  <v>109.0472185510033</v>
                </pt>
                <pt idx="259">
                  <v>109.0952781448997</v>
                </pt>
                <pt idx="260">
                  <v>108.9030397693139</v>
                </pt>
                <pt idx="261">
                  <v>108.9150546677881</v>
                </pt>
                <pt idx="262">
                  <v>110.0084104289319</v>
                </pt>
                <pt idx="263">
                  <v>110.464976570948</v>
                </pt>
                <pt idx="264">
                  <v>109.7801273579238</v>
                </pt>
                <pt idx="265">
                  <v>109.8161720533462</v>
                </pt>
                <pt idx="266">
                  <v>109.7320677640274</v>
                </pt>
                <pt idx="267">
                  <v>111.3060194641355</v>
                </pt>
                <pt idx="268">
                  <v>111.6063919259882</v>
                </pt>
                <pt idx="269">
                  <v>111.3420641595579</v>
                </pt>
                <pt idx="270">
                  <v>110.9335576114382</v>
                </pt>
                <pt idx="271">
                  <v>111.5943770275141</v>
                </pt>
                <pt idx="272">
                  <v>110.464976570948</v>
                </pt>
                <pt idx="273">
                  <v>111.4622131442989</v>
                </pt>
                <pt idx="274">
                  <v>111.5463174336177</v>
                </pt>
                <pt idx="275">
                  <v>111.8106452000481</v>
                </pt>
                <pt idx="276">
                  <v>110.0684849213024</v>
                </pt>
                <pt idx="277">
                  <v>109.9843806319837</v>
                </pt>
                <pt idx="278">
                  <v>108.0379670791782</v>
                </pt>
                <pt idx="279">
                  <v>107.5213264447915</v>
                </pt>
                <pt idx="280">
                  <v>106.6922984500781</v>
                </pt>
                <pt idx="281">
                  <v>106.9325964195603</v>
                </pt>
                <pt idx="282">
                  <v>106.9686411149826</v>
                </pt>
                <pt idx="283">
                  <v>106.8845368256638</v>
                </pt>
                <pt idx="284">
                  <v>106.9926709119308</v>
                </pt>
                <pt idx="285">
                  <v>106.0675237294245</v>
                </pt>
                <pt idx="286">
                  <v>106.1396131202691</v>
                </pt>
                <pt idx="287">
                  <v>106.8965517241379</v>
                </pt>
                <pt idx="288">
                  <v>107.5573711402139</v>
                </pt>
                <pt idx="289">
                  <v>108.458488525772</v>
                </pt>
                <pt idx="290">
                  <v>106.4880451760182</v>
                </pt>
                <pt idx="291">
                  <v>107.0407305058272</v>
                </pt>
                <pt idx="292">
                  <v>106.4880451760182</v>
                </pt>
                <pt idx="293">
                  <v>107.569386038688</v>
                </pt>
                <pt idx="294">
                  <v>108.2181905562898</v>
                </pt>
                <pt idx="295">
                  <v>109.5037846930193</v>
                </pt>
                <pt idx="296">
                  <v>108.9991589571068</v>
                </pt>
                <pt idx="297">
                  <v>110.2126637029917</v>
                </pt>
                <pt idx="298">
                  <v>110.3448275862069</v>
                </pt>
                <pt idx="299">
                  <v>110.2727381953623</v>
                </pt>
                <pt idx="300">
                  <v>110.3808722816292</v>
                </pt>
                <pt idx="301">
                  <v>110.5731106572149</v>
                </pt>
                <pt idx="302">
                  <v>109.7801273579238</v>
                </pt>
                <pt idx="303">
                  <v>110.7172894389042</v>
                </pt>
                <pt idx="304">
                  <v>110.8734831190676</v>
                </pt>
                <pt idx="305">
                  <v>110.8734831190676</v>
                </pt>
                <pt idx="306">
                  <v>109.7921422563979</v>
                </pt>
                <pt idx="307">
                  <v>108.8189354799952</v>
                </pt>
                <pt idx="308">
                  <v>109.7681124594497</v>
                </pt>
                <pt idx="309">
                  <v>109.3475910128559</v>
                </pt>
                <pt idx="310">
                  <v>107.7856542112219</v>
                </pt>
                <pt idx="311">
                  <v>108.6627417998318</v>
                </pt>
                <pt idx="312">
                  <v>109.9723657335095</v>
                </pt>
                <pt idx="313">
                  <v>109.3235612159077</v>
                </pt>
                <pt idx="314">
                  <v>108.1100564700228</v>
                </pt>
                <pt idx="315">
                  <v>108.8549801754175</v>
                </pt>
                <pt idx="316">
                  <v>108.9751291601586</v>
                </pt>
                <pt idx="317">
                  <v>107.8817733990148</v>
                </pt>
                <pt idx="318">
                  <v>107.7736393127478</v>
                </pt>
                <pt idx="319">
                  <v>107.7375946173255</v>
                </pt>
                <pt idx="320">
                  <v>107.9418478913853</v>
                </pt>
                <pt idx="321">
                  <v>107.905803195963</v>
                </pt>
                <pt idx="322">
                  <v>106.908566622612</v>
                </pt>
                <pt idx="323">
                  <v>107.7015499219032</v>
                </pt>
                <pt idx="324">
                  <v>107.5814009371621</v>
                </pt>
                <pt idx="325">
                  <v>107.689535023429</v>
                </pt>
                <pt idx="326">
                  <v>107.7015499219032</v>
                </pt>
                <pt idx="327">
                  <v>107.8817733990148</v>
                </pt>
                <pt idx="328">
                  <v>106.5120749729665</v>
                </pt>
                <pt idx="329">
                  <v>106.4399855821218</v>
                </pt>
                <pt idx="330">
                  <v>106.1396131202691</v>
                </pt>
                <pt idx="331">
                  <v>106.1035684248468</v>
                </pt>
                <pt idx="332">
                  <v>104.4695422323681</v>
                </pt>
                <pt idx="333">
                  <v>104.6617806079539</v>
                </pt>
                <pt idx="334">
                  <v>105.4427490087709</v>
                </pt>
                <pt idx="335">
                  <v>105.6109575874084</v>
                </pt>
                <pt idx="336">
                  <v>105.9233449477352</v>
                </pt>
                <pt idx="337">
                  <v>104.8420040850655</v>
                </pt>
                <pt idx="338">
                  <v>106.2477472065361</v>
                </pt>
                <pt idx="339">
                  <v>107.7015499219032</v>
                </pt>
                <pt idx="340">
                  <v>108.7348311906764</v>
                </pt>
                <pt idx="341">
                  <v>108.458488525772</v>
                </pt>
                <pt idx="342">
                  <v>110.5610957587408</v>
                </pt>
                <pt idx="343">
                  <v>110.3328126877328</v>
                </pt>
                <pt idx="344">
                  <v>109.239456926589</v>
                </pt>
                <pt idx="345">
                  <v>108.2662501501862</v>
                </pt>
                <pt idx="346">
                  <v>108.6266971044095</v>
                </pt>
                <pt idx="347">
                  <v>109.0592334494773</v>
                </pt>
                <pt idx="348">
                  <v>107.6655052264808</v>
                </pt>
                <pt idx="349">
                  <v>107.9658776883335</v>
                </pt>
                <pt idx="350">
                  <v>109.7320677640274</v>
                </pt>
                <pt idx="351">
                  <v>109.9243061396131</v>
                </pt>
                <pt idx="352">
                  <v>109.5638591853899</v>
                </pt>
                <pt idx="353">
                  <v>110.7052745404301</v>
                </pt>
                <pt idx="354">
                  <v>110.2607232968881</v>
                </pt>
                <pt idx="355">
                  <v>108.1821458608675</v>
                </pt>
                <pt idx="356">
                  <v>105.7671512675718</v>
                </pt>
                <pt idx="357">
                  <v>106.3078216989067</v>
                </pt>
                <pt idx="358">
                  <v>104.8660338820137</v>
                </pt>
                <pt idx="359">
                  <v>106.4880451760182</v>
                </pt>
                <pt idx="360">
                  <v>106.4039408866995</v>
                </pt>
                <pt idx="361">
                  <v>105.9353598462093</v>
                </pt>
                <pt idx="362">
                  <v>106.9926709119308</v>
                </pt>
                <pt idx="363">
                  <v>106.9926709119308</v>
                </pt>
                <pt idx="364">
                  <v>108.68677159678</v>
                </pt>
                <pt idx="365">
                  <v>108.8189354799952</v>
                </pt>
                <pt idx="366">
                  <v>109.3355761143818</v>
                </pt>
                <pt idx="367">
                  <v>108.9390844647363</v>
                </pt>
                <pt idx="368">
                  <v>110.1886339060435</v>
                </pt>
                <pt idx="369">
                  <v>109.9603508350354</v>
                </pt>
                <pt idx="370">
                  <v>111.4141535504025</v>
                </pt>
                <pt idx="371">
                  <v>111.9067643878409</v>
                </pt>
                <pt idx="372">
                  <v>111.918779286315</v>
                </pt>
                <pt idx="373">
                  <v>111.4381833473507</v>
                </pt>
                <pt idx="374">
                  <v>112.0509431695302</v>
                </pt>
                <pt idx="375">
                  <v>113.2764628138892</v>
                </pt>
                <pt idx="376">
                  <v>110.7052745404301</v>
                </pt>
                <pt idx="377">
                  <v>110.248708398414</v>
                </pt>
                <pt idx="378">
                  <v>109.3836357082783</v>
                </pt>
                <pt idx="379">
                  <v>108.0019223837559</v>
                </pt>
                <pt idx="380">
                  <v>109.0472185510033</v>
                </pt>
                <pt idx="381">
                  <v>109.0952781448997</v>
                </pt>
                <pt idx="382">
                  <v>109.35960591133</v>
                </pt>
                <pt idx="383">
                  <v>110.3688573831551</v>
                </pt>
                <pt idx="384">
                  <v>111.366093956506</v>
                </pt>
                <pt idx="385">
                  <v>112.3993752252793</v>
                </pt>
                <pt idx="386">
                  <v>112.6156433978133</v>
                </pt>
                <pt idx="387">
                  <v>112.135047458849</v>
                </pt>
                <pt idx="388">
                  <v>113.8291481436982</v>
                </pt>
                <pt idx="389">
                  <v>113.0241499459329</v>
                </pt>
                <pt idx="390">
                  <v>113.5047458848973</v>
                </pt>
                <pt idx="391">
                  <v>115.0546677880572</v>
                </pt>
                <pt idx="392">
                  <v>114.2857142857143</v>
                </pt>
                <pt idx="393">
                  <v>116.6526492851135</v>
                </pt>
                <pt idx="394">
                  <v>116.4483960110537</v>
                </pt>
                <pt idx="395">
                  <v>115.7995914934519</v>
                </pt>
                <pt idx="396">
                  <v>115.5112339300733</v>
                </pt>
                <pt idx="397">
                  <v>115.0666826865313</v>
                </pt>
                <pt idx="398">
                  <v>113.7931034482758</v>
                </pt>
                <pt idx="399">
                  <v>114.3457887780848</v>
                </pt>
                <pt idx="400">
                  <v>114.0093716208098</v>
                </pt>
                <pt idx="401">
                  <v>113.480716087949</v>
                </pt>
                <pt idx="402">
                  <v>114.2016099963955</v>
                </pt>
                <pt idx="403">
                  <v>114.4659377628259</v>
                </pt>
                <pt idx="404">
                  <v>115.2108614682206</v>
                </pt>
                <pt idx="405">
                  <v>115.8716808842965</v>
                </pt>
                <pt idx="406">
                  <v>115.7515318995554</v>
                </pt>
                <pt idx="407">
                  <v>116.6526492851135</v>
                </pt>
                <pt idx="408">
                  <v>116.8328727622251</v>
                </pt>
                <pt idx="409">
                  <v>117.3014538027153</v>
                </pt>
                <pt idx="410">
                  <v>116.4003364171573</v>
                </pt>
                <pt idx="411">
                  <v>115.3310104529617</v>
                </pt>
                <pt idx="412">
                  <v>115.0186230926349</v>
                </pt>
                <pt idx="413">
                  <v>113.6128799711642</v>
                </pt>
                <pt idx="414">
                  <v>112.8919860627177</v>
                </pt>
                <pt idx="415">
                  <v>113.8291481436982</v>
                </pt>
                <pt idx="416">
                  <v>113.0962393367776</v>
                </pt>
                <pt idx="417">
                  <v>113.7089991589571</v>
                </pt>
                <pt idx="418">
                  <v>112.2071368496936</v>
                </pt>
                <pt idx="419">
                  <v>111.8947494893668</v>
                </pt>
                <pt idx="420">
                  <v>112.3873603268052</v>
                </pt>
                <pt idx="421">
                  <v>112.5555689054428</v>
                </pt>
                <pt idx="422">
                  <v>114.1054908086027</v>
                </pt>
                <pt idx="423">
                  <v>114.5500420521446</v>
                </pt>
                <pt idx="424">
                  <v>113.5047458848973</v>
                </pt>
                <pt idx="425">
                  <v>113.0121350474588</v>
                </pt>
                <pt idx="426">
                  <v>111.0897512916016</v>
                </pt>
                <pt idx="427">
                  <v>111.354079058032</v>
                </pt>
                <pt idx="428">
                  <v>110.4409467739998</v>
                </pt>
                <pt idx="429">
                  <v>109.6719932716568</v>
                </pt>
                <pt idx="430">
                  <v>110.5250510633185</v>
                </pt>
                <pt idx="431">
                  <v>110.1646041090953</v>
                </pt>
                <pt idx="432">
                  <v>111.0657214946534</v>
                </pt>
                <pt idx="433">
                  <v>112.4234050222275</v>
                </pt>
                <pt idx="434">
                  <v>113.0481797428812</v>
                </pt>
                <pt idx="435">
                  <v>114.2136248948696</v>
                </pt>
                <pt idx="436">
                  <v>113.360567103208</v>
                </pt>
                <pt idx="437">
                  <v>113.3004926108374</v>
                </pt>
                <pt idx="438">
                  <v>113.8772077375946</v>
                </pt>
                <pt idx="439">
                  <v>113.8051183467499</v>
                </pt>
                <pt idx="440">
                  <v>113.4446713925267</v>
                </pt>
                <pt idx="441">
                  <v>112.3393007329088</v>
                </pt>
                <pt idx="442">
                  <v>110.8614682205935</v>
                </pt>
                <pt idx="443">
                  <v>110.4289318755256</v>
                </pt>
                <pt idx="444">
                  <v>110.4049020785774</v>
                </pt>
                <pt idx="445">
                  <v>109.2755016220113</v>
                </pt>
                <pt idx="446">
                  <v>108.8910248708398</v>
                </pt>
                <pt idx="447">
                  <v>108.134086266971</v>
                </pt>
                <pt idx="448">
                  <v>107.2089390844647</v>
                </pt>
                <pt idx="449">
                  <v>106.2597621050102</v>
                </pt>
                <pt idx="450">
                  <v>105.6710320797789</v>
                </pt>
                <pt idx="451">
                  <v>102.6673074612519</v>
                </pt>
                <pt idx="452">
                  <v>101.561936801634</v>
                </pt>
                <pt idx="453">
                  <v>102.8235011414153</v>
                </pt>
                <pt idx="454">
                  <v>102.2107413192358</v>
                </pt>
                <pt idx="455">
                  <v>102.7634266490448</v>
                </pt>
                <pt idx="456">
                  <v>102.6072329688814</v>
                </pt>
                <pt idx="457">
                  <v>102.0545476390724</v>
                </pt>
                <pt idx="458">
                  <v>100.6848492130241</v>
                </pt>
                <pt idx="459">
                  <v>101.0933557611438</v>
                </pt>
                <pt idx="460">
                  <v>99.97597020305177</v>
                </pt>
                <pt idx="461">
                  <v>99.95194040610356</v>
                </pt>
                <pt idx="462">
                  <v>100.6247747206536</v>
                </pt>
                <pt idx="463">
                  <v>100.5647002282831</v>
                </pt>
                <pt idx="464">
                  <v>101.117385558092</v>
                </pt>
                <pt idx="465">
                  <v>100.0841042893188</v>
                </pt>
                <pt idx="466">
                  <v>102.3188754055028</v>
                </pt>
                <pt idx="467">
                  <v>103.5924546437583</v>
                </pt>
                <pt idx="468">
                  <v>104.5776763186351</v>
                </pt>
                <pt idx="469">
                  <v>105.4427490087709</v>
                </pt>
                <pt idx="470">
                  <v>106.127598221795</v>
                </pt>
                <pt idx="471">
                  <v>107.4852817493692</v>
                </pt>
                <pt idx="472">
                  <v>106.6202090592334</v>
                </pt>
                <pt idx="473">
                  <v>107.2089390844647</v>
                </pt>
                <pt idx="474">
                  <v>106.9325964195603</v>
                </pt>
                <pt idx="475">
                  <v>106.9926709119308</v>
                </pt>
                <pt idx="476">
                  <v>106.6442388561817</v>
                </pt>
                <pt idx="477">
                  <v>106.4520004805959</v>
                </pt>
                <pt idx="478">
                  <v>107.461251952421</v>
                </pt>
                <pt idx="479">
                  <v>106.680283551604</v>
                </pt>
                <pt idx="480">
                  <v>106.7884176378709</v>
                </pt>
                <pt idx="481">
                  <v>107.1008049981978</v>
                </pt>
                <pt idx="482">
                  <v>107.016700708879</v>
                </pt>
                <pt idx="483">
                  <v>107.3891625615763</v>
                </pt>
                <pt idx="484">
                  <v>106.0795386278986</v>
                </pt>
                <pt idx="485">
                  <v>106.6202090592334</v>
                </pt>
                <pt idx="486">
                  <v>107.2449837798871</v>
                </pt>
                <pt idx="487">
                  <v>106.4760302775442</v>
                </pt>
                <pt idx="488">
                  <v>108.3263246425568</v>
                </pt>
                <pt idx="489">
                  <v>107.9538627898594</v>
                </pt>
                <pt idx="490">
                  <v>109.3235612159077</v>
                </pt>
                <pt idx="491">
                  <v>108.0379670791782</v>
                </pt>
                <pt idx="492">
                  <v>107.7856542112219</v>
                </pt>
                <pt idx="493">
                  <v>105.8152108614682</v>
                </pt>
                <pt idx="494">
                  <v>105.6950618767271</v>
                </pt>
                <pt idx="495">
                  <v>106.5120749729665</v>
                </pt>
                <pt idx="496">
                  <v>106.46401537907</v>
                </pt>
                <pt idx="497">
                  <v>105.7431214706236</v>
                </pt>
                <pt idx="498">
                  <v>106.6442388561817</v>
                </pt>
                <pt idx="499">
                  <v>104.5055869277905</v>
                </pt>
                <pt idx="500">
                  <v>103.0878289078457</v>
                </pt>
                <pt idx="501">
                  <v>105.7791661660459</v>
                </pt>
                <pt idx="502">
                  <v>105.2264808362369</v>
                </pt>
                <pt idx="503">
                  <v>105.5148383996155</v>
                </pt>
                <pt idx="504">
                  <v>103.3161119788538</v>
                </pt>
                <pt idx="505">
                  <v>102.5231286795627</v>
                </pt>
                <pt idx="506">
                  <v>102.0425327405983</v>
                </pt>
                <pt idx="507">
                  <v>101.9704433497537</v>
                </pt>
                <pt idx="508">
                  <v>103.3040970803797</v>
                </pt>
                <pt idx="509">
                  <v>104.6017061155833</v>
                </pt>
                <pt idx="510">
                  <v>104.4214826384717</v>
                </pt>
                <pt idx="511">
                  <v>104.7699146942208</v>
                </pt>
                <pt idx="512">
                  <v>104.1090952781449</v>
                </pt>
                <pt idx="513">
                  <v>103.0758140093716</v>
                </pt>
                <pt idx="514">
                  <v>103.9769313949297</v>
                </pt>
                <pt idx="515">
                  <v>103.9529015979815</v>
                </pt>
                <pt idx="516">
                  <v>104.1451399735672</v>
                </pt>
                <pt idx="517">
                  <v>104.0970803796708</v>
                </pt>
                <pt idx="518">
                  <v>102.1867115222876</v>
                </pt>
                <pt idx="519">
                  <v>103.3040970803797</v>
                </pt>
                <pt idx="520">
                  <v>103.6885738315511</v>
                </pt>
                <pt idx="521">
                  <v>104.5416316232128</v>
                </pt>
                <pt idx="522">
                  <v>99.81977652288838</v>
                </pt>
                <pt idx="523">
                  <v>93.57202931635227</v>
                </pt>
                <pt idx="524">
                  <v>92.07016700708877</v>
                </pt>
                <pt idx="525">
                  <v>89.23465096719931</v>
                </pt>
                <pt idx="526">
                  <v>97.03232007689535</v>
                </pt>
                <pt idx="527">
                  <v>93.93247627057552</v>
                </pt>
                <pt idx="528">
                  <v>96.71993271656854</v>
                </pt>
                <pt idx="529">
                  <v>97.885377868557</v>
                </pt>
                <pt idx="530">
                  <v>97.11642436621409</v>
                </pt>
                <pt idx="531">
                  <v>96.35948576234532</v>
                </pt>
                <pt idx="532">
                  <v>97.02030517842124</v>
                </pt>
                <pt idx="533">
                  <v>95.54247266610597</v>
                </pt>
                <pt idx="534">
                  <v>97.77724378229003</v>
                </pt>
                <pt idx="535">
                  <v>97.89739276703112</v>
                </pt>
                <pt idx="536">
                  <v>100.0120148984741</v>
                </pt>
                <pt idx="537">
                  <v>99.26709119307941</v>
                </pt>
                <pt idx="538">
                  <v>99.44731467019102</v>
                </pt>
                <pt idx="539">
                  <v>100.2763426649045</v>
                </pt>
                <pt idx="540">
                  <v>100.7929832992911</v>
                </pt>
                <pt idx="541">
                  <v>100.3484320557491</v>
                </pt>
                <pt idx="542">
                  <v>102.0425327405983</v>
                </pt>
                <pt idx="543">
                  <v>101.2855941367295</v>
                </pt>
                <pt idx="544">
                  <v>100.552685329809</v>
                </pt>
                <pt idx="545">
                  <v>100</v>
                </pt>
                <pt idx="546">
                  <v>101.333653730626</v>
                </pt>
                <pt idx="547">
                  <v>101.5979814970563</v>
                </pt>
                <pt idx="548">
                  <v>103.9529015979815</v>
                </pt>
                <pt idx="549">
                  <v>103.4362609635949</v>
                </pt>
                <pt idx="550">
                  <v>102.4870839841403</v>
                </pt>
                <pt idx="551">
                  <v>103.5323801513877</v>
                </pt>
                <pt idx="552">
                  <v>104.5896912171092</v>
                </pt>
                <pt idx="553">
                  <v>104.8540189835396</v>
                </pt>
                <pt idx="554">
                  <v>104.673795506428</v>
                </pt>
                <pt idx="555">
                  <v>103.2800672834314</v>
                </pt>
                <pt idx="556">
                  <v>103.1719331971645</v>
                </pt>
                <pt idx="557">
                  <v>102.9676799231047</v>
                </pt>
                <pt idx="558">
                  <v>104.7699146942208</v>
                </pt>
                <pt idx="559">
                  <v>103.340141775802</v>
                </pt>
                <pt idx="560">
                  <v>103.7246185269734</v>
                </pt>
                <pt idx="561">
                  <v>103.7366334254476</v>
                </pt>
                <pt idx="562">
                  <v>104.349393247627</v>
                </pt>
                <pt idx="563">
                  <v>105.4187192118226</v>
                </pt>
                <pt idx="564">
                  <v>105.8152108614682</v>
                </pt>
                <pt idx="565">
                  <v>105.1904361408146</v>
                </pt>
                <pt idx="566">
                  <v>105.4667788057191</v>
                </pt>
                <pt idx="567">
                  <v>106.1756578156915</v>
                </pt>
                <pt idx="568">
                  <v>106.8364772317674</v>
                </pt>
                <pt idx="569">
                  <v>105.7791661660459</v>
                </pt>
                <pt idx="570">
                  <v>106.2237174095879</v>
                </pt>
                <pt idx="571">
                  <v>104.9861828667548</v>
                </pt>
                <pt idx="572">
                  <v>105.8752853538388</v>
                </pt>
                <pt idx="573">
                  <v>104.8420040850655</v>
                </pt>
                <pt idx="574">
                  <v>104.5416316232128</v>
                </pt>
                <pt idx="575">
                  <v>103.8327526132404</v>
                </pt>
                <pt idx="576">
                  <v>104.457527333894</v>
                </pt>
                <pt idx="577">
                  <v>105.3226000240298</v>
                </pt>
                <pt idx="578">
                  <v>104.3133485522047</v>
                </pt>
                <pt idx="579">
                  <v>105.4667788057191</v>
                </pt>
                <pt idx="580">
                  <v>105.5989426889343</v>
                </pt>
                <pt idx="581">
                  <v>105.5028235011414</v>
                </pt>
                <pt idx="582">
                  <v>108.2302054547639</v>
                </pt>
                <pt idx="583">
                  <v>109.8522167487685</v>
                </pt>
                <pt idx="584">
                  <v>109.7801273579238</v>
                </pt>
                <pt idx="585">
                  <v>108.7228162922023</v>
                </pt>
                <pt idx="586">
                  <v>109.6119187792863</v>
                </pt>
                <pt idx="587">
                  <v>110.2727381953623</v>
                </pt>
                <pt idx="588">
                  <v>110.8614682205935</v>
                </pt>
                <pt idx="589">
                  <v>109.9603508350354</v>
                </pt>
                <pt idx="590">
                  <v>109.3475910128559</v>
                </pt>
                <pt idx="591">
                  <v>107.1008049981978</v>
                </pt>
                <pt idx="592">
                  <v>107.3891625615763</v>
                </pt>
                <pt idx="593">
                  <v>108.1461011654452</v>
                </pt>
                <pt idx="594">
                  <v>108.3984140334014</v>
                </pt>
                <pt idx="595">
                  <v>108.9510993632104</v>
                </pt>
                <pt idx="596">
                  <v>110.4529616724739</v>
                </pt>
                <pt idx="597">
                  <v>110.8254235251712</v>
                </pt>
                <pt idx="598">
                  <v>109.684008170131</v>
                </pt>
                <pt idx="599">
                  <v>110.9816172053346</v>
                </pt>
                <pt idx="600">
                  <v>109.3716208098042</v>
                </pt>
                <pt idx="601">
                  <v>108.9510993632104</v>
                </pt>
                <pt idx="602">
                  <v>106.7523729424486</v>
                </pt>
                <pt idx="603">
                  <v>105.4067043133486</v>
                </pt>
                <pt idx="604">
                  <v>104.1931995674637</v>
                </pt>
                <pt idx="605">
                  <v>105.5749128919861</v>
                </pt>
                <pt idx="606">
                  <v>106.3198365973807</v>
                </pt>
                <pt idx="607">
                  <v>105.1664063438664</v>
                </pt>
                <pt idx="608">
                  <v>105.6229724858825</v>
                </pt>
                <pt idx="609">
                  <v>106.1516280187432</v>
                </pt>
                <pt idx="610">
                  <v>105.9113300492611</v>
                </pt>
                <pt idx="611">
                  <v>107.2930433737835</v>
                </pt>
                <pt idx="612">
                  <v>109.3115463174336</v>
                </pt>
                <pt idx="613">
                  <v>108.1701309623934</v>
                </pt>
                <pt idx="614">
                  <v>108.1701309623934</v>
                </pt>
                <pt idx="615">
                  <v>107.5453562417398</v>
                </pt>
                <pt idx="616">
                  <v>108.1941607593416</v>
                </pt>
                <pt idx="617">
                  <v>108.2782650486603</v>
                </pt>
                <pt idx="618">
                  <v>108.6026673074612</v>
                </pt>
                <pt idx="619">
                  <v>110.7533341343266</v>
                </pt>
                <pt idx="620">
                  <v>110.1405743121471</v>
                </pt>
                <pt idx="621">
                  <v>110.4409467739998</v>
                </pt>
                <pt idx="622">
                  <v>110.7172894389042</v>
                </pt>
                <pt idx="623">
                  <v>110.7172894389042</v>
                </pt>
                <pt idx="624">
                  <v>110.8734831190676</v>
                </pt>
                <pt idx="625">
                  <v>110.0444551243542</v>
                </pt>
                <pt idx="626">
                  <v>109.2995314189595</v>
                </pt>
                <pt idx="627">
                  <v>109.7200528655533</v>
                </pt>
                <pt idx="628">
                  <v>110.4890063678962</v>
                </pt>
                <pt idx="629">
                  <v>110.585125555689</v>
                </pt>
                <pt idx="630">
                  <v>108.7828907845729</v>
                </pt>
                <pt idx="631">
                  <v>108.9871440586327</v>
                </pt>
                <pt idx="632">
                  <v>111.2699747687132</v>
                </pt>
                <pt idx="633">
                  <v>110.1525892106212</v>
                </pt>
                <pt idx="634">
                  <v>109.2634867235372</v>
                </pt>
                <pt idx="635">
                  <v>108.9270695662621</v>
                </pt>
                <pt idx="636">
                  <v>109.1793824342184</v>
                </pt>
                <pt idx="637">
                  <v>109.1793824342184</v>
                </pt>
                <pt idx="638">
                  <v>109.131322840322</v>
                </pt>
                <pt idx="639">
                  <v>108.578637510513</v>
                </pt>
                <pt idx="640">
                  <v>108.2302054547639</v>
                </pt>
                <pt idx="641">
                  <v>106.908566622612</v>
                </pt>
                <pt idx="642">
                  <v>105.5148383996155</v>
                </pt>
                <pt idx="643">
                  <v>106.7403580439745</v>
                </pt>
                <pt idx="644">
                  <v>107.1488645920942</v>
                </pt>
                <pt idx="645">
                  <v>107.677520124955</v>
                </pt>
                <pt idx="646">
                  <v>106.5481196683888</v>
                </pt>
                <pt idx="647">
                  <v>107.7856542112219</v>
                </pt>
                <pt idx="648">
                  <v>107.9658776883335</v>
                </pt>
                <pt idx="649">
                  <v>107.8697585005407</v>
                </pt>
                <pt idx="650">
                  <v>107.4372221554728</v>
                </pt>
                <pt idx="651">
                  <v>108.01393728223</v>
                </pt>
                <pt idx="652">
                  <v>106.5361047699147</v>
                </pt>
                <pt idx="653">
                  <v>104.349393247627</v>
                </pt>
                <pt idx="654">
                  <v>106.0074492370539</v>
                </pt>
                <pt idx="655">
                  <v>107.0647603027754</v>
                </pt>
                <pt idx="656">
                  <v>106.5841643638111</v>
                </pt>
                <pt idx="657">
                  <v>105.79118106452</v>
                </pt>
                <pt idx="658">
                  <v>105.5869277904602</v>
                </pt>
                <pt idx="659">
                  <v>106.8484921302415</v>
                </pt>
                <pt idx="660">
                  <v>106.4399855821218</v>
                </pt>
                <pt idx="661">
                  <v>106.1155833233209</v>
                </pt>
                <pt idx="662">
                  <v>107.3891625615763</v>
                </pt>
                <pt idx="663">
                  <v>106.9446113180344</v>
                </pt>
                <pt idx="664">
                  <v>106.8965517241379</v>
                </pt>
                <pt idx="665">
                  <v>107.0407305058272</v>
                </pt>
                <pt idx="666">
                  <v>104.9381232728583</v>
                </pt>
                <pt idx="667">
                  <v>103.5323801513877</v>
                </pt>
                <pt idx="668">
                  <v>102.9316352276823</v>
                </pt>
                <pt idx="669">
                  <v>102.2948456085546</v>
                </pt>
                <pt idx="670">
                  <v>101.7902198726421</v>
                </pt>
                <pt idx="671">
                  <v>102.3909647963475</v>
                </pt>
                <pt idx="672">
                  <v>101.8863390604349</v>
                </pt>
                <pt idx="673">
                  <v>103.1118587047939</v>
                </pt>
                <pt idx="674">
                  <v>104.0850654811967</v>
                </pt>
                <pt idx="675">
                  <v>105.1664063438664</v>
                </pt>
                <pt idx="676">
                  <v>105.9113300492611</v>
                </pt>
                <pt idx="677">
                  <v>105.2144659377628</v>
                </pt>
                <pt idx="678">
                  <v>104.2532740598342</v>
                </pt>
                <pt idx="679">
                  <v>102.6673074612519</v>
                </pt>
                <pt idx="680">
                  <v>102.7514117505707</v>
                </pt>
                <pt idx="681">
                  <v>103.0157395170011</v>
                </pt>
                <pt idx="682">
                  <v>101.4778325123153</v>
                </pt>
                <pt idx="683">
                  <v>103.7486483239217</v>
                </pt>
                <pt idx="684">
                  <v>103.9529015979815</v>
                </pt>
                <pt idx="685">
                  <v>105.5028235011414</v>
                </pt>
                <pt idx="686">
                  <v>106.8004325363451</v>
                </pt>
                <pt idx="687">
                  <v>107.4131923585246</v>
                </pt>
                <pt idx="688">
                  <v>107.1488645920942</v>
                </pt>
                <pt idx="689">
                  <v>106.1756578156915</v>
                </pt>
                <pt idx="690">
                  <v>106.9205815210861</v>
                </pt>
                <pt idx="691">
                  <v>106.2958068004325</v>
                </pt>
                <pt idx="692">
                  <v>105.9473747446834</v>
                </pt>
                <pt idx="693">
                  <v>104.4815571308422</v>
                </pt>
                <pt idx="694">
                  <v>104.2652889583083</v>
                </pt>
                <pt idx="695">
                  <v>106.3078216989067</v>
                </pt>
                <pt idx="696">
                  <v>108.4224438303496</v>
                </pt>
                <pt idx="697">
                  <v>108.4945332211943</v>
                </pt>
                <pt idx="698">
                  <v>108.4224438303496</v>
                </pt>
                <pt idx="699">
                  <v>108.134086266971</v>
                </pt>
                <pt idx="700">
                  <v>108.5906524089871</v>
                </pt>
                <pt idx="701">
                  <v>108.5425928150907</v>
                </pt>
                <pt idx="702">
                  <v>109.023188754055</v>
                </pt>
                <pt idx="703">
                  <v>109.7440826625015</v>
                </pt>
                <pt idx="704">
                  <v>109.9363210380872</v>
                </pt>
                <pt idx="705">
                  <v>110.1525892106212</v>
                </pt>
                <pt idx="706">
                  <v>110.801393728223</v>
                </pt>
                <pt idx="707">
                  <v>109.912291241139</v>
                </pt>
                <pt idx="708">
                  <v>109.8882614441908</v>
                </pt>
                <pt idx="709">
                  <v>108.9751291601586</v>
                </pt>
                <pt idx="710">
                  <v>110.8254235251712</v>
                </pt>
                <pt idx="711">
                  <v>111.9307941847891</v>
                </pt>
                <pt idx="712">
                  <v>114.141535504025</v>
                </pt>
                <pt idx="713">
                  <v>112.1710921542713</v>
                </pt>
                <pt idx="714">
                  <v>114.141535504025</v>
                </pt>
                <pt idx="715">
                  <v>115.9678000720894</v>
                </pt>
                <pt idx="716">
                  <v>116.592574792743</v>
                </pt>
                <pt idx="717">
                  <v>117.0972005286555</v>
                </pt>
                <pt idx="718">
                  <v>117.1452601225519</v>
                </pt>
                <pt idx="719">
                  <v>117.6498858584645</v>
                </pt>
                <pt idx="720">
                  <v>116.9770515439144</v>
                </pt>
                <pt idx="721">
                  <v>115.7995914934519</v>
                </pt>
                <pt idx="722">
                  <v>118.3227201730145</v>
                </pt>
                <pt idx="723">
                  <v>118.9955544875646</v>
                </pt>
                <pt idx="724">
                  <v>120.0768953502343</v>
                </pt>
                <pt idx="725">
                  <v>120.2210741319236</v>
                </pt>
                <pt idx="726">
                  <v>120.1009251471825</v>
                </pt>
                <pt idx="727">
                  <v>120.0288357563379</v>
                </pt>
                <pt idx="728">
                  <v>120.1489847410789</v>
                </pt>
                <pt idx="729">
                  <v>118.3948095638592</v>
                </pt>
                <pt idx="730">
                  <v>119.3079418478914</v>
                </pt>
                <pt idx="731">
                  <v>121.8310705274541</v>
                </pt>
                <pt idx="732">
                  <v>124.6906163642917</v>
                </pt>
                <pt idx="733">
                  <v>121.3504745884897</v>
                </pt>
                <pt idx="734">
                  <v>123.7774840802595</v>
                </pt>
                <pt idx="735">
                  <v>125.38748047579</v>
                </pt>
                <pt idx="736">
                  <v>127.1416556530097</v>
                </pt>
                <pt idx="737">
                  <v>128.847771236333</v>
                </pt>
                <pt idx="738">
                  <v>126.949417277424</v>
                </pt>
                <pt idx="739">
                  <v>128.1028475309384</v>
                </pt>
                <pt idx="740">
                  <v>126.6370299170972</v>
                </pt>
                <pt idx="741">
                  <v>127.4059834194401</v>
                </pt>
                <pt idx="742">
                  <v>126.949417277424</v>
                </pt>
                <pt idx="743">
                  <v>127.2618046377508</v>
                </pt>
                <pt idx="744">
                  <v>127.2618046377508</v>
                </pt>
                <pt idx="745">
                  <v>128.2229965156794</v>
                </pt>
                <pt idx="746">
                  <v>127.502102607233</v>
                </pt>
                <pt idx="747">
                  <v>127.3579238255437</v>
                </pt>
                <pt idx="748">
                  <v>128.3431455004205</v>
                </pt>
                <pt idx="749">
                  <v>127.9586687492491</v>
                </pt>
                <pt idx="750">
                  <v>124.8107653490328</v>
                </pt>
                <pt idx="751">
                  <v>124.7627057551364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20001"/>
        <axId val="50020002"/>
      </lineChart>
      <dateAx>
        <axId val="50020001"/>
        <scaling>
          <orientation val="minMax"/>
        </scaling>
        <delete val="0"/>
        <axPos val="b"/>
        <numFmt formatCode="yyyy\-mm\-dd" sourceLinked="1"/>
        <majorTickMark val="out"/>
        <minorTickMark val="none"/>
        <tickLblPos val="nextTo"/>
        <txPr>
          <a:bodyPr/>
          <a:lstStyle/>
          <a:p>
            <a:pPr>
              <a:defRPr sz="800"/>
            </a:pPr>
            <a:r>
              <a:t>None</a:t>
            </a:r>
            <a:endParaRPr lang="en-VN"/>
          </a:p>
        </txPr>
        <crossAx val="50020002"/>
        <crosses val="autoZero"/>
        <lblOffset val="100"/>
        <baseTimeUnit val="days"/>
        <majorUnit val="2"/>
        <majorTimeUnit val="months"/>
        <minorUnit val="2"/>
        <minorTimeUnit val="months"/>
      </dateAx>
      <valAx>
        <axId val="50020002"/>
        <scaling>
          <orientation val="minMax"/>
        </scaling>
        <delete val="0"/>
        <axPos val="l"/>
        <majorGridlines/>
        <numFmt formatCode="#,##0.0" sourceLinked="1"/>
        <majorTickMark val="out"/>
        <minorTickMark val="none"/>
        <tickLblPos val="nextTo"/>
        <crossAx val="50020001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5775328715715834"/>
          <y val="0.03130589954255834"/>
          <w val="0.1376959505972045"/>
          <h val="0.1563363914914358"/>
        </manualLayout>
      </layout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Cumulative Return Comparison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'Share Price Analysis'!$H$35</f>
              <strCache>
                <ptCount val="1"/>
                <pt idx="0">
                  <v>VMC Cumulative Return</v>
                </pt>
              </strCache>
            </strRef>
          </tx>
          <spPr>
            <a:ln w="1905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Analysis'!$H$36:$H$787</f>
              <numCache>
                <formatCode>0.00%</formatCode>
                <ptCount val="752"/>
                <pt idx="0">
                  <v>0</v>
                </pt>
                <pt idx="1">
                  <v>-0.01423883419545025</v>
                </pt>
                <pt idx="2">
                  <v>-0.004838978808610173</v>
                </pt>
                <pt idx="3">
                  <v>-0.03181489515545921</v>
                </pt>
                <pt idx="4">
                  <v>-0.05840146837977644</v>
                </pt>
                <pt idx="5">
                  <v>-0.07681183603092501</v>
                </pt>
                <pt idx="6">
                  <v>-0.06830190778130052</v>
                </pt>
                <pt idx="7">
                  <v>-0.09444351743700996</v>
                </pt>
                <pt idx="8">
                  <v>-0.07553256577117751</v>
                </pt>
                <pt idx="9">
                  <v>-0.1043995772846098</v>
                </pt>
                <pt idx="10">
                  <v>-0.09188497691751485</v>
                </pt>
                <pt idx="11">
                  <v>-0.07592190889370942</v>
                </pt>
                <pt idx="12">
                  <v>-0.08943767729017182</v>
                </pt>
                <pt idx="13">
                  <v>-0.08504366205016967</v>
                </pt>
                <pt idx="14">
                  <v>-0.07558818621725361</v>
                </pt>
                <pt idx="15">
                  <v>-0.07781300406029257</v>
                </pt>
                <pt idx="16">
                  <v>-0.06535402413927371</v>
                </pt>
                <pt idx="17">
                  <v>-0.05450803715445796</v>
                </pt>
                <pt idx="18">
                  <v>-0.05367373046331836</v>
                </pt>
                <pt idx="19">
                  <v>-0.04577562712052952</v>
                </pt>
                <pt idx="20">
                  <v>-0.03815562600812061</v>
                </pt>
                <pt idx="21">
                  <v>-0.06079314756104348</v>
                </pt>
                <pt idx="22">
                  <v>-0.0874909616775128</v>
                </pt>
                <pt idx="23">
                  <v>-0.08265198286890274</v>
                </pt>
                <pt idx="24">
                  <v>-0.07664497469269727</v>
                </pt>
                <pt idx="25">
                  <v>-0.0735302297124425</v>
                </pt>
                <pt idx="26">
                  <v>-0.06935869625674429</v>
                </pt>
                <pt idx="27">
                  <v>-0.05745592079648509</v>
                </pt>
                <pt idx="28">
                  <v>-0.05956949774737219</v>
                </pt>
                <pt idx="29">
                  <v>-0.04399577284609846</v>
                </pt>
                <pt idx="30">
                  <v>-0.04132599143445148</v>
                </pt>
                <pt idx="31">
                  <v>-0.03476277879748635</v>
                </pt>
                <pt idx="32">
                  <v>-0.04088102786584391</v>
                </pt>
                <pt idx="33">
                  <v>-0.04811168585572101</v>
                </pt>
                <pt idx="34">
                  <v>-0.04660993381166967</v>
                </pt>
                <pt idx="35">
                  <v>-0.05628789142888979</v>
                </pt>
                <pt idx="36">
                  <v>-0.07308526614383482</v>
                </pt>
                <pt idx="37">
                  <v>-0.03787752377774112</v>
                </pt>
                <pt idx="38">
                  <v>-0.0259747483174817</v>
                </pt>
                <pt idx="39">
                  <v>-0.01268146170532314</v>
                </pt>
                <pt idx="40">
                  <v>-0.002892263195950928</v>
                </pt>
                <pt idx="41">
                  <v>-0.006507592190889477</v>
                </pt>
                <pt idx="42">
                  <v>0.05806774570332029</v>
                </pt>
                <pt idx="43">
                  <v>0.07664497469269671</v>
                </pt>
                <pt idx="44">
                  <v>0.07252906168307449</v>
                </pt>
                <pt idx="45">
                  <v>0.07408643417320193</v>
                </pt>
                <pt idx="46">
                  <v>0.090661327103843</v>
                </pt>
                <pt idx="47">
                  <v>0.08365315089826986</v>
                </pt>
                <pt idx="48">
                  <v>0.08671227543244853</v>
                </pt>
                <pt idx="49">
                  <v>0.09110629067245068</v>
                </pt>
                <pt idx="50">
                  <v>0.0846543189276372</v>
                </pt>
                <pt idx="51">
                  <v>0.09299738583903383</v>
                </pt>
                <pt idx="52">
                  <v>0.09244118137827417</v>
                </pt>
                <pt idx="53">
                  <v>0.09694643751042831</v>
                </pt>
                <pt idx="54">
                  <v>0.09716891929473204</v>
                </pt>
                <pt idx="55">
                  <v>0.08571110740308052</v>
                </pt>
                <pt idx="56">
                  <v>0.07959285833472296</v>
                </pt>
                <pt idx="57">
                  <v>0.08515490294232064</v>
                </pt>
                <pt idx="58">
                  <v>0.09016074308915867</v>
                </pt>
                <pt idx="59">
                  <v>0.09043884531953861</v>
                </pt>
                <pt idx="60">
                  <v>0.08737972078535972</v>
                </pt>
                <pt idx="61">
                  <v>0.1057344679904324</v>
                </pt>
                <pt idx="62">
                  <v>0.1275933032982914</v>
                </pt>
                <pt idx="63">
                  <v>0.1248679014405687</v>
                </pt>
                <pt idx="64">
                  <v>0.1297625006952547</v>
                </pt>
                <pt idx="65">
                  <v>0.1401635241114627</v>
                </pt>
                <pt idx="66">
                  <v>0.1467823571945039</v>
                </pt>
                <pt idx="67">
                  <v>0.1493408977139989</v>
                </pt>
                <pt idx="68">
                  <v>0.1451693642583007</v>
                </pt>
                <pt idx="69">
                  <v>0.1552366649980528</v>
                </pt>
                <pt idx="70">
                  <v>0.1535124311696976</v>
                </pt>
                <pt idx="71">
                  <v>0.1621336003114739</v>
                </pt>
                <pt idx="72">
                  <v>0.1530674676010897</v>
                </pt>
                <pt idx="73">
                  <v>0.1606874687134985</v>
                </pt>
                <pt idx="74">
                  <v>0.1711997330218582</v>
                </pt>
                <pt idx="75">
                  <v>0.1872184214917398</v>
                </pt>
                <pt idx="76">
                  <v>0.1926692252071858</v>
                </pt>
                <pt idx="77">
                  <v>0.1945603203737689</v>
                </pt>
                <pt idx="78">
                  <v>0.2259858724066961</v>
                </pt>
                <pt idx="79">
                  <v>0.2284331720340391</v>
                </pt>
                <pt idx="80">
                  <v>0.2505701095722783</v>
                </pt>
                <pt idx="81">
                  <v>0.2539073363368369</v>
                </pt>
                <pt idx="82">
                  <v>0.2422270426608817</v>
                </pt>
                <pt idx="83">
                  <v>0.2271539017742918</v>
                </pt>
                <pt idx="84">
                  <v>0.2124701040102339</v>
                </pt>
                <pt idx="85">
                  <v>0.2090772567995993</v>
                </pt>
                <pt idx="86">
                  <v>0.2202569664608709</v>
                </pt>
                <pt idx="87">
                  <v>0.2437287947049336</v>
                </pt>
                <pt idx="88">
                  <v>0.2252071861616329</v>
                </pt>
                <pt idx="89">
                  <v>0.2423382835530339</v>
                </pt>
                <pt idx="90">
                  <v>0.2500695255575947</v>
                </pt>
                <pt idx="91">
                  <v>0.244284999165693</v>
                </pt>
                <pt idx="92">
                  <v>0.2453417876411366</v>
                </pt>
                <pt idx="93">
                  <v>0.2311029534456863</v>
                </pt>
                <pt idx="94">
                  <v>0.2327159463818897</v>
                </pt>
                <pt idx="95">
                  <v>0.2364425162689805</v>
                </pt>
                <pt idx="96">
                  <v>0.2381111296512597</v>
                </pt>
                <pt idx="97">
                  <v>0.2361644140386006</v>
                </pt>
                <pt idx="98">
                  <v>0.2428944880137938</v>
                </pt>
                <pt idx="99">
                  <v>0.2141387173925133</v>
                </pt>
                <pt idx="100">
                  <v>0.224706602146949</v>
                </pt>
                <pt idx="101">
                  <v>0.2264308359753044</v>
                </pt>
                <pt idx="102">
                  <v>0.2457311307636687</v>
                </pt>
                <pt idx="103">
                  <v>0.2407809110629069</v>
                </pt>
                <pt idx="104">
                  <v>0.2580788697925358</v>
                </pt>
                <pt idx="105">
                  <v>0.2570220813170923</v>
                </pt>
                <pt idx="106">
                  <v>0.2721508426497581</v>
                </pt>
                <pt idx="107">
                  <v>0.2616941987874744</v>
                </pt>
                <pt idx="108">
                  <v>0.2424495244451861</v>
                </pt>
                <pt idx="109">
                  <v>0.2476222259302518</v>
                </pt>
                <pt idx="110">
                  <v>0.2454530285332888</v>
                </pt>
                <pt idx="111">
                  <v>0.2521831025084822</v>
                </pt>
                <pt idx="112">
                  <v>0.2466766783469603</v>
                </pt>
                <pt idx="113">
                  <v>0.2375549251905</v>
                </pt>
                <pt idx="114">
                  <v>0.1865509761388287</v>
                </pt>
                <pt idx="115">
                  <v>0.1780410478892041</v>
                </pt>
                <pt idx="116">
                  <v>0.1823238222370542</v>
                </pt>
                <pt idx="117">
                  <v>0.1935035318983258</v>
                </pt>
                <pt idx="118">
                  <v>0.2072974025251682</v>
                </pt>
                <pt idx="119">
                  <v>0.1957283497413647</v>
                </pt>
                <pt idx="120">
                  <v>0.1948940430502251</v>
                </pt>
                <pt idx="121">
                  <v>0.1964514155403525</v>
                </pt>
                <pt idx="122">
                  <v>0.2158073307747927</v>
                </pt>
                <pt idx="123">
                  <v>0.2138606151621336</v>
                </pt>
                <pt idx="124">
                  <v>0.2139162356082096</v>
                </pt>
                <pt idx="125">
                  <v>0.2398909839256911</v>
                </pt>
                <pt idx="126">
                  <v>0.2027365259469383</v>
                </pt>
                <pt idx="127">
                  <v>0.1969519995550364</v>
                </pt>
                <pt idx="128">
                  <v>0.1989543356137715</v>
                </pt>
                <pt idx="129">
                  <v>0.202792146393014</v>
                </pt>
                <pt idx="130">
                  <v>0.2046832415595972</v>
                </pt>
                <pt idx="131">
                  <v>0.1945603203737694</v>
                </pt>
                <pt idx="132">
                  <v>0.1888314144279437</v>
                </pt>
                <pt idx="133">
                  <v>0.1956727292952889</v>
                </pt>
                <pt idx="134">
                  <v>0.1713109739140106</v>
                </pt>
                <pt idx="135">
                  <v>0.177429222982368</v>
                </pt>
                <pt idx="136">
                  <v>0.1673619222426161</v>
                </pt>
                <pt idx="137">
                  <v>0.165526447522109</v>
                </pt>
                <pt idx="138">
                  <v>0.1254797263474052</v>
                </pt>
                <pt idx="139">
                  <v>0.1158573891762611</v>
                </pt>
                <pt idx="140">
                  <v>0.1237554925190498</v>
                </pt>
                <pt idx="141">
                  <v>0.1199176817398073</v>
                </pt>
                <pt idx="142">
                  <v>0.1324322821069024</v>
                </pt>
                <pt idx="143">
                  <v>0.1403860058957671</v>
                </pt>
                <pt idx="144">
                  <v>0.1236442516268978</v>
                </pt>
                <pt idx="145">
                  <v>0.1175816230046163</v>
                </pt>
                <pt idx="146">
                  <v>0.1123533010734743</v>
                </pt>
                <pt idx="147">
                  <v>0.1403860058957669</v>
                </pt>
                <pt idx="148">
                  <v>0.1510651315423546</v>
                </pt>
                <pt idx="149">
                  <v>0.1813782746537624</v>
                </pt>
                <pt idx="150">
                  <v>0.1694198787474273</v>
                </pt>
                <pt idx="151">
                  <v>0.1735914122031255</v>
                </pt>
                <pt idx="152">
                  <v>0.1945046999276929</v>
                </pt>
                <pt idx="153">
                  <v>0.1715334556983144</v>
                </pt>
                <pt idx="154">
                  <v>0.1640803159241333</v>
                </pt>
                <pt idx="155">
                  <v>0.184937983202625</v>
                </pt>
                <pt idx="156">
                  <v>0.1946715612659211</v>
                </pt>
                <pt idx="157">
                  <v>0.133210968351966</v>
                </pt>
                <pt idx="158">
                  <v>0.1273708215139882</v>
                </pt>
                <pt idx="159">
                  <v>0.1210300906613269</v>
                </pt>
                <pt idx="160">
                  <v>0.1263140330385446</v>
                </pt>
                <pt idx="161">
                  <v>0.1410534512486787</v>
                </pt>
                <pt idx="162">
                  <v>0.1311530118471547</v>
                </pt>
                <pt idx="163">
                  <v>0.07886979253573578</v>
                </pt>
                <pt idx="164">
                  <v>0.07731242004560834</v>
                </pt>
                <pt idx="165">
                  <v>0.09010512264308312</v>
                </pt>
                <pt idx="166">
                  <v>0.09288614494688208</v>
                </pt>
                <pt idx="167">
                  <v>0.1335446910284215</v>
                </pt>
                <pt idx="168">
                  <v>0.1503420657433665</v>
                </pt>
                <pt idx="169">
                  <v>0.1556816285666605</v>
                </pt>
                <pt idx="170">
                  <v>0.1521219200177977</v>
                </pt>
                <pt idx="171">
                  <v>0.1525112631403298</v>
                </pt>
                <pt idx="172">
                  <v>0.159296957561599</v>
                </pt>
                <pt idx="173">
                  <v>0.1637465932476769</v>
                </pt>
                <pt idx="174">
                  <v>0.1772623616441396</v>
                </pt>
                <pt idx="175">
                  <v>0.1707547694532503</v>
                </pt>
                <pt idx="176">
                  <v>0.2044051393292166</v>
                </pt>
                <pt idx="177">
                  <v>0.1728683464041374</v>
                </pt>
                <pt idx="178">
                  <v>0.1806552088547744</v>
                </pt>
                <pt idx="179">
                  <v>0.1811001724233821</v>
                </pt>
                <pt idx="180">
                  <v>0.1701429445464144</v>
                </pt>
                <pt idx="181">
                  <v>0.1671394404583117</v>
                </pt>
                <pt idx="182">
                  <v>0.1785972523499633</v>
                </pt>
                <pt idx="183">
                  <v>0.1773736025362918</v>
                </pt>
                <pt idx="184">
                  <v>0.183881194727181</v>
                </pt>
                <pt idx="185">
                  <v>0.1744813393403408</v>
                </pt>
                <pt idx="186">
                  <v>0.1829356471438894</v>
                </pt>
                <pt idx="187">
                  <v>0.1878302463985755</v>
                </pt>
                <pt idx="188">
                  <v>0.1993436787363028</v>
                </pt>
                <pt idx="189">
                  <v>0.1947271817119967</v>
                </pt>
                <pt idx="190">
                  <v>0.1792646977028749</v>
                </pt>
                <pt idx="191">
                  <v>0.178764113688191</v>
                </pt>
                <pt idx="192">
                  <v>0.1912230936092099</v>
                </pt>
                <pt idx="193">
                  <v>0.2015684965793416</v>
                </pt>
                <pt idx="194">
                  <v>0.2173090828188433</v>
                </pt>
                <pt idx="195">
                  <v>0.2286556538183429</v>
                </pt>
                <pt idx="196">
                  <v>0.2440625173813884</v>
                </pt>
                <pt idx="197">
                  <v>0.25012514600367</v>
                </pt>
                <pt idx="198">
                  <v>0.2478447077145549</v>
                </pt>
                <pt idx="199">
                  <v>0.2386673341120185</v>
                </pt>
                <pt idx="200">
                  <v>0.2497358028811381</v>
                </pt>
                <pt idx="201">
                  <v>0.2302130263084698</v>
                </pt>
                <pt idx="202">
                  <v>0.2418933199844249</v>
                </pt>
                <pt idx="203">
                  <v>0.2510706935869613</v>
                </pt>
                <pt idx="204">
                  <v>0.2550753657044316</v>
                </pt>
                <pt idx="205">
                  <v>0.2560209132877231</v>
                </pt>
                <pt idx="206">
                  <v>0.253907336336836</v>
                </pt>
                <pt idx="207">
                  <v>0.2626397463707644</v>
                </pt>
                <pt idx="208">
                  <v>0.243673174258856</v>
                </pt>
                <pt idx="209">
                  <v>0.2199232437844136</v>
                </pt>
                <pt idx="210">
                  <v>0.2274320040046707</v>
                </pt>
                <pt idx="211">
                  <v>0.2326603259358127</v>
                </pt>
                <pt idx="212">
                  <v>0.2458979921018951</v>
                </pt>
                <pt idx="213">
                  <v>0.2426720062294885</v>
                </pt>
                <pt idx="214">
                  <v>0.2576339062239266</v>
                </pt>
                <pt idx="215">
                  <v>0.2479003281606305</v>
                </pt>
                <pt idx="216">
                  <v>0.2456755103175914</v>
                </pt>
                <pt idx="217">
                  <v>0.2368874798375868</v>
                </pt>
                <pt idx="218">
                  <v>0.2306579898770773</v>
                </pt>
                <pt idx="219">
                  <v>0.2521274820624047</v>
                </pt>
                <pt idx="220">
                  <v>0.2574670448856986</v>
                </pt>
                <pt idx="221">
                  <v>0.2641414984148158</v>
                </pt>
                <pt idx="222">
                  <v>0.2392235385727779</v>
                </pt>
                <pt idx="223">
                  <v>0.2225374047499846</v>
                </pt>
                <pt idx="224">
                  <v>0.2426163857834123</v>
                </pt>
                <pt idx="225">
                  <v>0.2367762389454349</v>
                </pt>
                <pt idx="226">
                  <v>0.2757661716446949</v>
                </pt>
                <pt idx="227">
                  <v>0.2851104065854591</v>
                </pt>
                <pt idx="228">
                  <v>0.2570777017631662</v>
                </pt>
                <pt idx="229">
                  <v>0.2812725958062166</v>
                </pt>
                <pt idx="230">
                  <v>0.3039657378052154</v>
                </pt>
                <pt idx="231">
                  <v>0.2773235441348221</v>
                </pt>
                <pt idx="232">
                  <v>0.2880582902274857</v>
                </pt>
                <pt idx="233">
                  <v>0.3155347905890187</v>
                </pt>
                <pt idx="234">
                  <v>0.3262139162356064</v>
                </pt>
                <pt idx="235">
                  <v>0.3348907058234589</v>
                </pt>
                <pt idx="236">
                  <v>0.3356137716224465</v>
                </pt>
                <pt idx="237">
                  <v>0.3188720173535773</v>
                </pt>
                <pt idx="238">
                  <v>0.3410089548918163</v>
                </pt>
                <pt idx="239">
                  <v>0.3485733355581493</v>
                </pt>
                <pt idx="240">
                  <v>0.4191556816285646</v>
                </pt>
                <pt idx="241">
                  <v>0.3981867734579212</v>
                </pt>
                <pt idx="242">
                  <v>0.4095889649034965</v>
                </pt>
                <pt idx="243">
                  <v>0.4291117414761645</v>
                </pt>
                <pt idx="244">
                  <v>0.4307247344123679</v>
                </pt>
                <pt idx="245">
                  <v>0.452138606151619</v>
                </pt>
                <pt idx="246">
                  <v>0.4659324767784616</v>
                </pt>
                <pt idx="247">
                  <v>0.4589243005728885</v>
                </pt>
                <pt idx="248">
                  <v>0.4786695589298606</v>
                </pt>
                <pt idx="249">
                  <v>0.4874575894098649</v>
                </pt>
                <pt idx="250">
                  <v>0.489793648145056</v>
                </pt>
                <pt idx="251">
                  <v>0.4738305801212503</v>
                </pt>
                <pt idx="252">
                  <v>0.4869570053951806</v>
                </pt>
                <pt idx="253">
                  <v>0.5082596362422802</v>
                </pt>
                <pt idx="254">
                  <v>0.483397296846318</v>
                </pt>
                <pt idx="255">
                  <v>0.4736637187830222</v>
                </pt>
                <pt idx="256">
                  <v>0.4994159853161997</v>
                </pt>
                <pt idx="257">
                  <v>0.4979698537182242</v>
                </pt>
                <pt idx="258">
                  <v>0.5058123366149372</v>
                </pt>
                <pt idx="259">
                  <v>0.4842872239835339</v>
                </pt>
                <pt idx="260">
                  <v>0.4985260581789841</v>
                </pt>
                <pt idx="261">
                  <v>0.4962456198898688</v>
                </pt>
                <pt idx="262">
                  <v>0.5114300016686106</v>
                </pt>
                <pt idx="263">
                  <v>0.532843873407862</v>
                </pt>
                <pt idx="264">
                  <v>0.526002558540517</v>
                </pt>
                <pt idx="265">
                  <v>0.5163246009232969</v>
                </pt>
                <pt idx="266">
                  <v>0.5232771566827941</v>
                </pt>
                <pt idx="267">
                  <v>0.5172701485065887</v>
                </pt>
                <pt idx="268">
                  <v>0.5179932143055763</v>
                </pt>
                <pt idx="269">
                  <v>0.5000278102230356</v>
                </pt>
                <pt idx="270">
                  <v>0.4808943767728993</v>
                </pt>
                <pt idx="271">
                  <v>0.4949107291840453</v>
                </pt>
                <pt idx="272">
                  <v>0.4788920407141639</v>
                </pt>
                <pt idx="273">
                  <v>0.5025863507425303</v>
                </pt>
                <pt idx="274">
                  <v>0.5001946715612635</v>
                </pt>
                <pt idx="275">
                  <v>0.4773902886701127</v>
                </pt>
                <pt idx="276">
                  <v>0.4714945213860591</v>
                </pt>
                <pt idx="277">
                  <v>0.4767228433172011</v>
                </pt>
                <pt idx="278">
                  <v>0.461594081984535</v>
                </pt>
                <pt idx="279">
                  <v>0.4487457589409845</v>
                </pt>
                <pt idx="280">
                  <v>0.4380110128483208</v>
                </pt>
                <pt idx="281">
                  <v>0.4364536403581931</v>
                </pt>
                <pt idx="282">
                  <v>0.4187107180599563</v>
                </pt>
                <pt idx="283">
                  <v>0.401968963791087</v>
                </pt>
                <pt idx="284">
                  <v>0.4154291117414735</v>
                </pt>
                <pt idx="285">
                  <v>0.4424606485343985</v>
                </pt>
                <pt idx="286">
                  <v>0.4261082373880611</v>
                </pt>
                <pt idx="287">
                  <v>0.4380110128483206</v>
                </pt>
                <pt idx="288">
                  <v>0.4530285332888344</v>
                </pt>
                <pt idx="289">
                  <v>0.4541965626564299</v>
                </pt>
                <pt idx="290">
                  <v>0.4329495522554065</v>
                </pt>
                <pt idx="291">
                  <v>0.4446298459313618</v>
                </pt>
                <pt idx="292">
                  <v>0.4706602146949193</v>
                </pt>
                <pt idx="293">
                  <v>0.470827076033147</v>
                </pt>
                <pt idx="294">
                  <v>0.4828967128316342</v>
                </pt>
                <pt idx="295">
                  <v>0.4925746704488543</v>
                </pt>
                <pt idx="296">
                  <v>0.4902386117136632</v>
                </pt>
                <pt idx="297">
                  <v>0.505589854830633</v>
                </pt>
                <pt idx="298">
                  <v>0.513265476389118</v>
                </pt>
                <pt idx="299">
                  <v>0.5022526280660744</v>
                </pt>
                <pt idx="300">
                  <v>0.4892374436842959</v>
                </pt>
                <pt idx="301">
                  <v>0.5045330663551897</v>
                </pt>
                <pt idx="302">
                  <v>0.4461315979754132</v>
                </pt>
                <pt idx="303">
                  <v>0.4411257578285754</v>
                </pt>
                <pt idx="304">
                  <v>0.4472996273430085</v>
                </pt>
                <pt idx="305">
                  <v>0.4582568552199762</v>
                </pt>
                <pt idx="306">
                  <v>0.4509705767840231</v>
                </pt>
                <pt idx="307">
                  <v>0.4306134935202153</v>
                </pt>
                <pt idx="308">
                  <v>0.4419600645197148</v>
                </pt>
                <pt idx="309">
                  <v>0.4126480894376747</v>
                </pt>
                <pt idx="310">
                  <v>0.4011346570999474</v>
                </pt>
                <pt idx="311">
                  <v>0.4132042938984346</v>
                </pt>
                <pt idx="312">
                  <v>0.4226041492852748</v>
                </pt>
                <pt idx="313">
                  <v>0.4026920295900749</v>
                </pt>
                <pt idx="314">
                  <v>0.3930696924189307</v>
                </pt>
                <pt idx="315">
                  <v>0.397074364536401</v>
                </pt>
                <pt idx="316">
                  <v>0.382613048556647</v>
                </pt>
                <pt idx="317">
                  <v>0.3771066243951251</v>
                </pt>
                <pt idx="318">
                  <v>0.3783302742087968</v>
                </pt>
                <pt idx="319">
                  <v>0.360698592802712</v>
                </pt>
                <pt idx="320">
                  <v>0.3856165526447499</v>
                </pt>
                <pt idx="321">
                  <v>0.412481228099447</v>
                </pt>
                <pt idx="322">
                  <v>0.4051949496634939</v>
                </pt>
                <pt idx="323">
                  <v>0.4258301351576819</v>
                </pt>
                <pt idx="324">
                  <v>0.4217142221480596</v>
                </pt>
                <pt idx="325">
                  <v>0.3708215139885402</v>
                </pt>
                <pt idx="326">
                  <v>0.3783302742087973</v>
                </pt>
                <pt idx="327">
                  <v>0.3770510039490498</v>
                </pt>
                <pt idx="328">
                  <v>0.3690972801601851</v>
                </pt>
                <pt idx="329">
                  <v>0.3675955281161336</v>
                </pt>
                <pt idx="330">
                  <v>0.3780521719784173</v>
                </pt>
                <pt idx="331">
                  <v>0.3831692530174073</v>
                </pt>
                <pt idx="332">
                  <v>0.3555815117637224</v>
                </pt>
                <pt idx="333">
                  <v>0.3630902719839793</v>
                </pt>
                <pt idx="334">
                  <v>0.3566939206852417</v>
                </pt>
                <pt idx="335">
                  <v>0.3583069136214452</v>
                </pt>
                <pt idx="336">
                  <v>0.3458479337004261</v>
                </pt>
                <pt idx="337">
                  <v>0.3474053061905535</v>
                </pt>
                <pt idx="338">
                  <v>0.3778296901941132</v>
                </pt>
                <pt idx="339">
                  <v>0.4165971411090694</v>
                </pt>
                <pt idx="340">
                  <v>0.4044718838645063</v>
                </pt>
                <pt idx="341">
                  <v>0.4122031258690673</v>
                </pt>
                <pt idx="342">
                  <v>0.4617609433227632</v>
                </pt>
                <pt idx="343">
                  <v>0.4227710106235032</v>
                </pt>
                <pt idx="344">
                  <v>0.4243840035597064</v>
                </pt>
                <pt idx="345">
                  <v>0.4246621057900863</v>
                </pt>
                <pt idx="346">
                  <v>0.4495244451860483</v>
                </pt>
                <pt idx="347">
                  <v>0.4469659046665531</v>
                </pt>
                <pt idx="348">
                  <v>0.3933477946493109</v>
                </pt>
                <pt idx="349">
                  <v>0.4114800600700796</v>
                </pt>
                <pt idx="350">
                  <v>0.4556426942544056</v>
                </pt>
                <pt idx="351">
                  <v>0.4713276600478311</v>
                </pt>
                <pt idx="352">
                  <v>0.501752044051391</v>
                </pt>
                <pt idx="353">
                  <v>0.5268368652316566</v>
                </pt>
                <pt idx="354">
                  <v>0.5080371544579763</v>
                </pt>
                <pt idx="355">
                  <v>0.4813949607875829</v>
                </pt>
                <pt idx="356">
                  <v>0.4318371433338872</v>
                </pt>
                <pt idx="357">
                  <v>0.3690416597141086</v>
                </pt>
                <pt idx="358">
                  <v>0.3416764002447279</v>
                </pt>
                <pt idx="359">
                  <v>0.3700984481895524</v>
                </pt>
                <pt idx="360">
                  <v>0.3590299794204328</v>
                </pt>
                <pt idx="361">
                  <v>0.3454585905778944</v>
                </pt>
                <pt idx="362">
                  <v>0.3562489571166341</v>
                </pt>
                <pt idx="363">
                  <v>0.348795817342453</v>
                </pt>
                <pt idx="364">
                  <v>0.3714333388953759</v>
                </pt>
                <pt idx="365">
                  <v>0.3595305634351167</v>
                </pt>
                <pt idx="366">
                  <v>0.3587518771900529</v>
                </pt>
                <pt idx="367">
                  <v>0.3660381556260059</v>
                </pt>
                <pt idx="368">
                  <v>0.3784971355470248</v>
                </pt>
                <pt idx="369">
                  <v>0.3792758217920884</v>
                </pt>
                <pt idx="370">
                  <v>0.4177095500305887</v>
                </pt>
                <pt idx="371">
                  <v>0.3942933422326023</v>
                </pt>
                <pt idx="372">
                  <v>0.3371711441125733</v>
                </pt>
                <pt idx="373">
                  <v>0.31136325713332</v>
                </pt>
                <pt idx="374">
                  <v>0.3420101229211834</v>
                </pt>
                <pt idx="375">
                  <v>0.3638689582290424</v>
                </pt>
                <pt idx="376">
                  <v>0.3294399021080123</v>
                </pt>
                <pt idx="377">
                  <v>0.3061349352021778</v>
                </pt>
                <pt idx="378">
                  <v>0.2912842760998917</v>
                </pt>
                <pt idx="379">
                  <v>0.2902274876244482</v>
                </pt>
                <pt idx="380">
                  <v>0.2894488013793846</v>
                </pt>
                <pt idx="381">
                  <v>0.2956782913398939</v>
                </pt>
                <pt idx="382">
                  <v>0.2956782913398939</v>
                </pt>
                <pt idx="383">
                  <v>0.3141442794371183</v>
                </pt>
                <pt idx="384">
                  <v>0.3208187329662355</v>
                </pt>
                <pt idx="385">
                  <v>0.3508537738472635</v>
                </pt>
                <pt idx="386">
                  <v>0.3633683742143583</v>
                </pt>
                <pt idx="387">
                  <v>0.3593637020968881</v>
                </pt>
                <pt idx="388">
                  <v>0.4109238556093191</v>
                </pt>
                <pt idx="389">
                  <v>0.4019133433450108</v>
                </pt>
                <pt idx="390">
                  <v>0.4034707158351383</v>
                </pt>
                <pt idx="391">
                  <v>0.3897880861004479</v>
                </pt>
                <pt idx="392">
                  <v>0.3884531953946244</v>
                </pt>
                <pt idx="393">
                  <v>0.3937371377718424</v>
                </pt>
                <pt idx="394">
                  <v>0.3918460426052592</v>
                </pt>
                <pt idx="395">
                  <v>0.3929028310807028</v>
                </pt>
                <pt idx="396">
                  <v>0.3765504199343654</v>
                </pt>
                <pt idx="397">
                  <v>0.3374492463429533</v>
                </pt>
                <pt idx="398">
                  <v>0.3410089548918158</v>
                </pt>
                <pt idx="399">
                  <v>0.342844429612323</v>
                </pt>
                <pt idx="400">
                  <v>0.3239334779464906</v>
                </pt>
                <pt idx="401">
                  <v>0.3248234050837062</v>
                </pt>
                <pt idx="402">
                  <v>0.3440124589799185</v>
                </pt>
                <pt idx="403">
                  <v>0.3565826797930896</v>
                </pt>
                <pt idx="404">
                  <v>0.3766616608265172</v>
                </pt>
                <pt idx="405">
                  <v>0.3832804939095584</v>
                </pt>
                <pt idx="406">
                  <v>0.4060292563546333</v>
                </pt>
                <pt idx="407">
                  <v>0.426553200956669</v>
                </pt>
                <pt idx="408">
                  <v>0.43856721730908</v>
                </pt>
                <pt idx="409">
                  <v>0.4556983147004812</v>
                </pt>
                <pt idx="410">
                  <v>0.4457978752989571</v>
                </pt>
                <pt idx="411">
                  <v>0.4112019578396993</v>
                </pt>
                <pt idx="412">
                  <v>0.4103676511485597</v>
                </pt>
                <pt idx="413">
                  <v>0.4246621057900859</v>
                </pt>
                <pt idx="414">
                  <v>0.426886923633125</v>
                </pt>
                <pt idx="415">
                  <v>0.4377885310640164</v>
                </pt>
                <pt idx="416">
                  <v>0.443628677901994</v>
                </pt>
                <pt idx="417">
                  <v>0.5364035819567243</v>
                </pt>
                <pt idx="418">
                  <v>0.5236108793592495</v>
                </pt>
                <pt idx="419">
                  <v>0.5039212414483534</v>
                </pt>
                <pt idx="420">
                  <v>0.495411313198729</v>
                </pt>
                <pt idx="421">
                  <v>0.5166027031536762</v>
                </pt>
                <pt idx="422">
                  <v>0.6154958562767638</v>
                </pt>
                <pt idx="423">
                  <v>0.6162745425218275</v>
                </pt>
                <pt idx="424">
                  <v>0.6258412592468956</v>
                </pt>
                <pt idx="425">
                  <v>0.6243395072028444</v>
                </pt>
                <pt idx="426">
                  <v>0.6039824239390366</v>
                </pt>
                <pt idx="427">
                  <v>0.600255854051946</v>
                </pt>
                <pt idx="428">
                  <v>0.5722787696757294</v>
                </pt>
                <pt idx="429">
                  <v>0.5533678180098971</v>
                </pt>
                <pt idx="430">
                  <v>0.5503643139217946</v>
                </pt>
                <pt idx="431">
                  <v>0.5463040213582482</v>
                </pt>
                <pt idx="432">
                  <v>0.5451916124367286</v>
                </pt>
                <pt idx="433">
                  <v>0.563935702764333</v>
                </pt>
                <pt idx="434">
                  <v>0.5830135157683931</v>
                </pt>
                <pt idx="435">
                  <v>0.6150508927081559</v>
                </pt>
                <pt idx="436">
                  <v>0.6040936648311883</v>
                </pt>
                <pt idx="437">
                  <v>0.592913955169917</v>
                </pt>
                <pt idx="438">
                  <v>0.6025919127871371</v>
                </pt>
                <pt idx="439">
                  <v>0.5965849046109315</v>
                </pt>
                <pt idx="440">
                  <v>0.5935257800767528</v>
                </pt>
                <pt idx="441">
                  <v>0.5887980421602947</v>
                </pt>
                <pt idx="442">
                  <v>0.5998108904833384</v>
                </pt>
                <pt idx="443">
                  <v>0.5955281161354882</v>
                </pt>
                <pt idx="444">
                  <v>0.564213804994713</v>
                </pt>
                <pt idx="445">
                  <v>0.536848545525332</v>
                </pt>
                <pt idx="446">
                  <v>0.5549251905000248</v>
                </pt>
                <pt idx="447">
                  <v>0.5468602258190081</v>
                </pt>
                <pt idx="448">
                  <v>0.5338450414372291</v>
                </pt>
                <pt idx="449">
                  <v>0.5406863563045745</v>
                </pt>
                <pt idx="450">
                  <v>0.5164914622615242</v>
                </pt>
                <pt idx="451">
                  <v>0.4733299961065658</v>
                </pt>
                <pt idx="452">
                  <v>0.4512486790144028</v>
                </pt>
                <pt idx="453">
                  <v>0.4635407975971939</v>
                </pt>
                <pt idx="454">
                  <v>0.4620946659992187</v>
                </pt>
                <pt idx="455">
                  <v>0.4701040102341596</v>
                </pt>
                <pt idx="456">
                  <v>0.4714389009399831</v>
                </pt>
                <pt idx="457">
                  <v>0.4592580232493442</v>
                </pt>
                <pt idx="458">
                  <v>0.4358974358974337</v>
                </pt>
                <pt idx="459">
                  <v>0.4307247344123677</v>
                </pt>
                <pt idx="460">
                  <v>0.4214917403637555</v>
                </pt>
                <pt idx="461">
                  <v>0.430168529951608</v>
                </pt>
                <pt idx="462">
                  <v>0.4315590411035075</v>
                </pt>
                <pt idx="463">
                  <v>0.4015240002224796</v>
                </pt>
                <pt idx="464">
                  <v>0.4198787474275523</v>
                </pt>
                <pt idx="465">
                  <v>0.3999110072862764</v>
                </pt>
                <pt idx="466">
                  <v>0.4240502808832505</v>
                </pt>
                <pt idx="467">
                  <v>0.4465209410979456</v>
                </pt>
                <pt idx="468">
                  <v>0.4916847433116394</v>
                </pt>
                <pt idx="469">
                  <v>0.4971355470270853</v>
                </pt>
                <pt idx="470">
                  <v>0.5023082485121513</v>
                </pt>
                <pt idx="471">
                  <v>0.532510150731407</v>
                </pt>
                <pt idx="472">
                  <v>0.5261137994326697</v>
                </pt>
                <pt idx="473">
                  <v>0.5286167195060885</v>
                </pt>
                <pt idx="474">
                  <v>0.5436898603926785</v>
                </pt>
                <pt idx="475">
                  <v>0.529506646643304</v>
                </pt>
                <pt idx="476">
                  <v>0.5301184715501397</v>
                </pt>
                <pt idx="477">
                  <v>0.5139885421881061</v>
                </pt>
                <pt idx="478">
                  <v>0.5371266477557126</v>
                </pt>
                <pt idx="479">
                  <v>0.5248345291729215</v>
                </pt>
                <pt idx="480">
                  <v>0.5082040157962044</v>
                </pt>
                <pt idx="481">
                  <v>0.5132654763891182</v>
                </pt>
                <pt idx="482">
                  <v>0.5258356972022891</v>
                </pt>
                <pt idx="483">
                  <v>0.5418543856721707</v>
                </pt>
                <pt idx="484">
                  <v>0.5179932143055765</v>
                </pt>
                <pt idx="485">
                  <v>0.4937426998164502</v>
                </pt>
                <pt idx="486">
                  <v>0.4893486845764479</v>
                </pt>
                <pt idx="487">
                  <v>0.4673229879303609</v>
                </pt>
                <pt idx="488">
                  <v>0.4980254741643002</v>
                </pt>
                <pt idx="489">
                  <v>0.5043105845708857</v>
                </pt>
                <pt idx="490">
                  <v>0.5171032871683605</v>
                </pt>
                <pt idx="491">
                  <v>0.4737749596751744</v>
                </pt>
                <pt idx="492">
                  <v>0.4382891150787003</v>
                </pt>
                <pt idx="493">
                  <v>0.4064185994771654</v>
                </pt>
                <pt idx="494">
                  <v>0.3991879414872883</v>
                </pt>
                <pt idx="495">
                  <v>0.3893431225318402</v>
                </pt>
                <pt idx="496">
                  <v>0.3934590355414624</v>
                </pt>
                <pt idx="497">
                  <v>0.3633683742143587</v>
                </pt>
                <pt idx="498">
                  <v>0.3755492519049979</v>
                </pt>
                <pt idx="499">
                  <v>0.333611435563711</v>
                </pt>
                <pt idx="500">
                  <v>0.306301796540406</v>
                </pt>
                <pt idx="501">
                  <v>0.3368374214361174</v>
                </pt>
                <pt idx="502">
                  <v>0.308026030368761</v>
                </pt>
                <pt idx="503">
                  <v>0.2286556538183413</v>
                </pt>
                <pt idx="504">
                  <v>0.2311029534456843</v>
                </pt>
                <pt idx="505">
                  <v>0.2498470437732887</v>
                </pt>
                <pt idx="506">
                  <v>0.2635296735079791</v>
                </pt>
                <pt idx="507">
                  <v>0.2516825184937959</v>
                </pt>
                <pt idx="508">
                  <v>0.2866121586295096</v>
                </pt>
                <pt idx="509">
                  <v>0.3075254463540773</v>
                </pt>
                <pt idx="510">
                  <v>0.315423549696866</v>
                </pt>
                <pt idx="511">
                  <v>0.3410645753378918</v>
                </pt>
                <pt idx="512">
                  <v>0.3277712887257331</v>
                </pt>
                <pt idx="513">
                  <v>0.3019634017464796</v>
                </pt>
                <pt idx="514">
                  <v>0.3393959619556124</v>
                </pt>
                <pt idx="515">
                  <v>0.340341509538904</v>
                </pt>
                <pt idx="516">
                  <v>0.3185382946771209</v>
                </pt>
                <pt idx="517">
                  <v>0.3212080760887679</v>
                </pt>
                <pt idx="518">
                  <v>0.2956226708938183</v>
                </pt>
                <pt idx="519">
                  <v>0.2976250069525535</v>
                </pt>
                <pt idx="520">
                  <v>0.3197063240447164</v>
                </pt>
                <pt idx="521">
                  <v>0.3354469102842181</v>
                </pt>
                <pt idx="522">
                  <v>0.3192057400300328</v>
                </pt>
                <pt idx="523">
                  <v>0.2833861727571034</v>
                </pt>
                <pt idx="524">
                  <v>0.2710940541743123</v>
                </pt>
                <pt idx="525">
                  <v>0.259747483174813</v>
                </pt>
                <pt idx="526">
                  <v>0.3322765448578875</v>
                </pt>
                <pt idx="527">
                  <v>0.3103064686578765</v>
                </pt>
                <pt idx="528">
                  <v>0.3476834084209333</v>
                </pt>
                <pt idx="529">
                  <v>0.3542466210578985</v>
                </pt>
                <pt idx="530">
                  <v>0.3600867678958763</v>
                </pt>
                <pt idx="531">
                  <v>0.3379498303576374</v>
                </pt>
                <pt idx="532">
                  <v>0.3456254519161222</v>
                </pt>
                <pt idx="533">
                  <v>0.3024639857611637</v>
                </pt>
                <pt idx="534">
                  <v>0.3380610712497893</v>
                </pt>
                <pt idx="535">
                  <v>0.3601423883419523</v>
                </pt>
                <pt idx="536">
                  <v>0.387785750041713</v>
                </pt>
                <pt idx="537">
                  <v>0.3740474998609467</v>
                </pt>
                <pt idx="538">
                  <v>0.3648701262584104</v>
                </pt>
                <pt idx="539">
                  <v>0.3646476444741065</v>
                </pt>
                <pt idx="540">
                  <v>0.459091161911116</v>
                </pt>
                <pt idx="541">
                  <v>0.4663218199009931</v>
                </pt>
                <pt idx="542">
                  <v>0.4853440124589774</v>
                </pt>
                <pt idx="543">
                  <v>0.5019745258356947</v>
                </pt>
                <pt idx="544">
                  <v>0.486400800934421</v>
                </pt>
                <pt idx="545">
                  <v>0.478613938483784</v>
                </pt>
                <pt idx="546">
                  <v>0.4929640135713862</v>
                </pt>
                <pt idx="547">
                  <v>0.4996940875465792</v>
                </pt>
                <pt idx="548">
                  <v>0.514878469325321</v>
                </pt>
                <pt idx="549">
                  <v>0.4939095611546773</v>
                </pt>
                <pt idx="550">
                  <v>0.4812837198954305</v>
                </pt>
                <pt idx="551">
                  <v>0.5077034317815197</v>
                </pt>
                <pt idx="552">
                  <v>0.5323989098392536</v>
                </pt>
                <pt idx="553">
                  <v>0.5351799321430526</v>
                </pt>
                <pt idx="554">
                  <v>0.5202736525946907</v>
                </pt>
                <pt idx="555">
                  <v>0.5047555481394932</v>
                </pt>
                <pt idx="556">
                  <v>0.5110962789921547</v>
                </pt>
                <pt idx="557">
                  <v>0.4916847433116387</v>
                </pt>
                <pt idx="558">
                  <v>0.5026419711886065</v>
                </pt>
                <pt idx="559">
                  <v>0.4602035708326353</v>
                </pt>
                <pt idx="560">
                  <v>0.4756660548417573</v>
                </pt>
                <pt idx="561">
                  <v>0.4743311641359338</v>
                </pt>
                <pt idx="562">
                  <v>0.4649313087490936</v>
                </pt>
                <pt idx="563">
                  <v>0.4736080983369462</v>
                </pt>
                <pt idx="564">
                  <v>0.4799488291896075</v>
                </pt>
                <pt idx="565">
                  <v>0.4776683909004926</v>
                </pt>
                <pt idx="566">
                  <v>0.4728850325379585</v>
                </pt>
                <pt idx="567">
                  <v>0.4795038656209998</v>
                </pt>
                <pt idx="568">
                  <v>0.474498025474162</v>
                </pt>
                <pt idx="569">
                  <v>0.4523610879359228</v>
                </pt>
                <pt idx="570">
                  <v>0.4768897046554288</v>
                </pt>
                <pt idx="571">
                  <v>0.4504143723232636</v>
                </pt>
                <pt idx="572">
                  <v>0.4526948106123787</v>
                </pt>
                <pt idx="573">
                  <v>0.4407920351521195</v>
                </pt>
                <pt idx="574">
                  <v>0.4357861950052813</v>
                </pt>
                <pt idx="575">
                  <v>0.4235496968685664</v>
                </pt>
                <pt idx="576">
                  <v>0.4519161243673151</v>
                </pt>
                <pt idx="577">
                  <v>0.4710495578174514</v>
                </pt>
                <pt idx="578">
                  <v>0.4163190388786895</v>
                </pt>
                <pt idx="579">
                  <v>0.4292229823683162</v>
                </pt>
                <pt idx="580">
                  <v>0.4582568552199766</v>
                </pt>
                <pt idx="581">
                  <v>0.4506924745536436</v>
                </pt>
                <pt idx="582">
                  <v>0.4721063462928949</v>
                </pt>
                <pt idx="583">
                  <v>0.4778908726847964</v>
                </pt>
                <pt idx="584">
                  <v>0.4808387563268235</v>
                </pt>
                <pt idx="585">
                  <v>0.4850659102285977</v>
                </pt>
                <pt idx="586">
                  <v>0.482006785694419</v>
                </pt>
                <pt idx="587">
                  <v>0.5014739418210112</v>
                </pt>
                <pt idx="588">
                  <v>0.5058123366149379</v>
                </pt>
                <pt idx="589">
                  <v>0.4961899994437937</v>
                </pt>
                <pt idx="590">
                  <v>0.5013627009288595</v>
                </pt>
                <pt idx="591">
                  <v>0.4548083875632662</v>
                </pt>
                <pt idx="592">
                  <v>0.4495800656321243</v>
                </pt>
                <pt idx="593">
                  <v>0.4628733522442827</v>
                </pt>
                <pt idx="594">
                  <v>0.4828410923855588</v>
                </pt>
                <pt idx="595">
                  <v>0.4739974414594783</v>
                </pt>
                <pt idx="596">
                  <v>0.4894043050225239</v>
                </pt>
                <pt idx="597">
                  <v>0.4968018243506289</v>
                </pt>
                <pt idx="598">
                  <v>0.5096501473941797</v>
                </pt>
                <pt idx="599">
                  <v>0.5286167195060878</v>
                </pt>
                <pt idx="600">
                  <v>0.5023638689582266</v>
                </pt>
                <pt idx="601">
                  <v>0.523555258913174</v>
                </pt>
                <pt idx="602">
                  <v>0.5171589076144365</v>
                </pt>
                <pt idx="603">
                  <v>0.5277267923688724</v>
                </pt>
                <pt idx="604">
                  <v>0.5292285444129237</v>
                </pt>
                <pt idx="605">
                  <v>0.567662272651424</v>
                </pt>
                <pt idx="606">
                  <v>0.5750041715334531</v>
                </pt>
                <pt idx="607">
                  <v>0.5662161410534483</v>
                </pt>
                <pt idx="608">
                  <v>0.5690527838033235</v>
                </pt>
                <pt idx="609">
                  <v>0.5936370209689052</v>
                </pt>
                <pt idx="610">
                  <v>0.5865176038711801</v>
                </pt>
                <pt idx="611">
                  <v>0.6235052005117048</v>
                </pt>
                <pt idx="612">
                  <v>0.6443628677901962</v>
                </pt>
                <pt idx="613">
                  <v>0.6302352744868982</v>
                </pt>
                <pt idx="614">
                  <v>0.6220034484676535</v>
                </pt>
                <pt idx="615">
                  <v>0.6123254908504334</v>
                </pt>
                <pt idx="616">
                  <v>0.6287891428889227</v>
                </pt>
                <pt idx="617">
                  <v>0.5923021302630815</v>
                </pt>
                <pt idx="618">
                  <v>0.6034262194782771</v>
                </pt>
                <pt idx="619">
                  <v>0.6263418432615799</v>
                </pt>
                <pt idx="620">
                  <v>0.6146615495856249</v>
                </pt>
                <pt idx="621">
                  <v>0.6196673897324627</v>
                </pt>
                <pt idx="622">
                  <v>0.6193892875020828</v>
                </pt>
                <pt idx="623">
                  <v>0.619444907948159</v>
                </pt>
                <pt idx="624">
                  <v>0.619444907948159</v>
                </pt>
                <pt idx="625">
                  <v>0.626842427276264</v>
                </pt>
                <pt idx="626">
                  <v>0.6021469492185301</v>
                </pt>
                <pt idx="627">
                  <v>0.6259525001390482</v>
                </pt>
                <pt idx="628">
                  <v>0.6397463707658906</v>
                </pt>
                <pt idx="629">
                  <v>0.6625507536570412</v>
                </pt>
                <pt idx="630">
                  <v>0.6265643250458837</v>
                </pt>
                <pt idx="631">
                  <v>0.637632793815003</v>
                </pt>
                <pt idx="632">
                  <v>0.6777907558818586</v>
                </pt>
                <pt idx="633">
                  <v>0.6404694365648778</v>
                </pt>
                <pt idx="634">
                  <v>0.6354079759719637</v>
                </pt>
                <pt idx="635">
                  <v>0.6238945436342365</v>
                </pt>
                <pt idx="636">
                  <v>0.6255075365704399</v>
                </pt>
                <pt idx="637">
                  <v>0.6607152789365336</v>
                </pt>
                <pt idx="638">
                  <v>0.6563212636965314</v>
                </pt>
                <pt idx="639">
                  <v>0.6624395127648888</v>
                </pt>
                <pt idx="640">
                  <v>0.6552088547750117</v>
                </pt>
                <pt idx="641">
                  <v>0.6341843261582925</v>
                </pt>
                <pt idx="642">
                  <v>0.6394682685355102</v>
                </pt>
                <pt idx="643">
                  <v>0.6646643306079283</v>
                </pt>
                <pt idx="644">
                  <v>0.6854107569942676</v>
                </pt>
                <pt idx="645">
                  <v>0.7109961621892171</v>
                </pt>
                <pt idx="646">
                  <v>0.6777351354357826</v>
                </pt>
                <pt idx="647">
                  <v>0.6873574726069269</v>
                </pt>
                <pt idx="648">
                  <v>0.694754991935032</v>
                </pt>
                <pt idx="649">
                  <v>0.6945881305968042</v>
                </pt>
                <pt idx="650">
                  <v>0.6736192224261606</v>
                </pt>
                <pt idx="651">
                  <v>0.693253239890981</v>
                </pt>
                <pt idx="652">
                  <v>0.6847433116413564</v>
                </pt>
                <pt idx="653">
                  <v>0.6765671060681879</v>
                </pt>
                <pt idx="654">
                  <v>0.6839090049502168</v>
                </pt>
                <pt idx="655">
                  <v>0.7190611268702347</v>
                </pt>
                <pt idx="656">
                  <v>0.6858557205628764</v>
                </pt>
                <pt idx="657">
                  <v>0.64764447410868</v>
                </pt>
                <pt idx="658">
                  <v>0.6427498748539939</v>
                </pt>
                <pt idx="659">
                  <v>0.6434173202069056</v>
                </pt>
                <pt idx="660">
                  <v>0.6550976138828606</v>
                </pt>
                <pt idx="661">
                  <v>0.6334056399132295</v>
                </pt>
                <pt idx="662">
                  <v>0.624450748094997</v>
                </pt>
                <pt idx="663">
                  <v>0.6282329384281635</v>
                </pt>
                <pt idx="664">
                  <v>0.6241726458646171</v>
                </pt>
                <pt idx="665">
                  <v>0.6273986317370239</v>
                </pt>
                <pt idx="666">
                  <v>0.6406362979031071</v>
                </pt>
                <pt idx="667">
                  <v>0.6129929362033459</v>
                </pt>
                <pt idx="668">
                  <v>0.6102119138995472</v>
                </pt>
                <pt idx="669">
                  <v>0.6049279715223295</v>
                </pt>
                <pt idx="670">
                  <v>0.625563157016517</v>
                </pt>
                <pt idx="671">
                  <v>0.5857389176261174</v>
                </pt>
                <pt idx="672">
                  <v>0.5924133711552348</v>
                </pt>
                <pt idx="673">
                  <v>0.5979754157628325</v>
                </pt>
                <pt idx="674">
                  <v>0.6287891428889238</v>
                </pt>
                <pt idx="675">
                  <v>0.6413593637020949</v>
                </pt>
                <pt idx="676">
                  <v>0.6413037432560187</v>
                </pt>
                <pt idx="677">
                  <v>0.5801212525724435</v>
                </pt>
                <pt idx="678">
                  <v>0.5605984759997753</v>
                </pt>
                <pt idx="679">
                  <v>0.5578174536959764</v>
                </pt>
                <pt idx="680">
                  <v>0.5677735135435766</v>
                </pt>
                <pt idx="681">
                  <v>0.5808999388175076</v>
                </pt>
                <pt idx="682">
                  <v>0.5905778964347275</v>
                </pt>
                <pt idx="683">
                  <v>0.6009232994048592</v>
                </pt>
                <pt idx="684">
                  <v>0.5973635908559969</v>
                </pt>
                <pt idx="685">
                  <v>0.6281216975360127</v>
                </pt>
                <pt idx="686">
                  <v>0.6412481228099431</v>
                </pt>
                <pt idx="687">
                  <v>0.6532621391623543</v>
                </pt>
                <pt idx="688">
                  <v>0.6232827187274026</v>
                </pt>
                <pt idx="689">
                  <v>0.6121030090661308</v>
                </pt>
                <pt idx="690">
                  <v>0.6273986317370246</v>
                </pt>
                <pt idx="691">
                  <v>0.6332943990210782</v>
                </pt>
                <pt idx="692">
                  <v>0.6400800934423476</v>
                </pt>
                <pt idx="693">
                  <v>0.6451415540352612</v>
                </pt>
                <pt idx="694">
                  <v>0.618777462595248</v>
                </pt>
                <pt idx="695">
                  <v>0.6506479781967829</v>
                </pt>
                <pt idx="696">
                  <v>0.6645530897157772</v>
                </pt>
                <pt idx="697">
                  <v>0.6460314811724768</v>
                </pt>
                <pt idx="698">
                  <v>0.650147394182099</v>
                </pt>
                <pt idx="699">
                  <v>0.6241726458646175</v>
                </pt>
                <pt idx="700">
                  <v>0.5874631514544726</v>
                </pt>
                <pt idx="701">
                  <v>0.6037599421547337</v>
                </pt>
                <pt idx="702">
                  <v>0.6233939596195539</v>
                </pt>
                <pt idx="703">
                  <v>0.6234495800656299</v>
                </pt>
                <pt idx="704">
                  <v>0.6287891428889236</v>
                </pt>
                <pt idx="705">
                  <v>0.633238778575002</v>
                </pt>
                <pt idx="706">
                  <v>0.6363535235552569</v>
                </pt>
                <pt idx="707">
                  <v>0.6242282663106937</v>
                </pt>
                <pt idx="708">
                  <v>0.6067634462428368</v>
                </pt>
                <pt idx="709">
                  <v>0.5864063629790293</v>
                </pt>
                <pt idx="710">
                  <v>0.6277323544134801</v>
                </pt>
                <pt idx="711">
                  <v>0.6500917737360234</v>
                </pt>
                <pt idx="712">
                  <v>0.6677790755881843</v>
                </pt>
                <pt idx="713">
                  <v>0.6247844707714536</v>
                </pt>
                <pt idx="714">
                  <v>0.6637744034707136</v>
                </pt>
                <pt idx="715">
                  <v>0.7332443406196094</v>
                </pt>
                <pt idx="716">
                  <v>0.7221202514044138</v>
                </pt>
                <pt idx="717">
                  <v>0.7300183547472028</v>
                </pt>
                <pt idx="718">
                  <v>0.660159074475775</v>
                </pt>
                <pt idx="719">
                  <v>0.6781244785583154</v>
                </pt>
                <pt idx="720">
                  <v>0.7018187885866822</v>
                </pt>
                <pt idx="721">
                  <v>0.6471995105400721</v>
                </pt>
                <pt idx="722">
                  <v>0.6631069581178017</v>
                </pt>
                <pt idx="723">
                  <v>0.6868012681461682</v>
                </pt>
                <pt idx="724">
                  <v>0.6690027254018553</v>
                </pt>
                <pt idx="725">
                  <v>0.6708382001223627</v>
                </pt>
                <pt idx="726">
                  <v>0.661215862951219</v>
                </pt>
                <pt idx="727">
                  <v>0.6671116302352729</v>
                </pt>
                <pt idx="728">
                  <v>0.6656654986372974</v>
                </pt>
                <pt idx="729">
                  <v>0.671616886367427</v>
                </pt>
                <pt idx="730">
                  <v>0.7015406863563027</v>
                </pt>
                <pt idx="731">
                  <v>0.729851493408975</v>
                </pt>
                <pt idx="732">
                  <v>0.7325212748206222</v>
                </pt>
                <pt idx="733">
                  <v>0.7284609822570758</v>
                </pt>
                <pt idx="734">
                  <v>0.8005450803715428</v>
                </pt>
                <pt idx="735">
                  <v>0.8205684409588947</v>
                </pt>
                <pt idx="736">
                  <v>0.8375326770120681</v>
                </pt>
                <pt idx="737">
                  <v>0.7786306246176078</v>
                </pt>
                <pt idx="738">
                  <v>0.7905334000778674</v>
                </pt>
                <pt idx="739">
                  <v>0.8224039156794025</v>
                </pt>
                <pt idx="740">
                  <v>0.6809611213081921</v>
                </pt>
                <pt idx="741">
                  <v>0.6650536737304624</v>
                </pt>
                <pt idx="742">
                  <v>0.6844652094109787</v>
                </pt>
                <pt idx="743">
                  <v>0.698036598253517</v>
                </pt>
                <pt idx="744">
                  <v>0.7286278435953049</v>
                </pt>
                <pt idx="745">
                  <v>0.7681183603092485</v>
                </pt>
                <pt idx="746">
                  <v>0.6993714889593403</v>
                </pt>
                <pt idx="747">
                  <v>0.7186161633016288</v>
                </pt>
                <pt idx="748">
                  <v>0.7242338283553025</v>
                </pt>
                <pt idx="749">
                  <v>0.7030980588464308</v>
                </pt>
                <pt idx="750">
                  <v>0.668613382279325</v>
                </pt>
                <pt idx="751">
                  <v>0.6462539629567821</v>
                </pt>
              </numCache>
            </numRef>
          </val>
          <smooth val="0"/>
        </ser>
        <ser>
          <idx val="1"/>
          <order val="1"/>
          <tx>
            <strRef>
              <f>'Share Price Analysis'!$I$35</f>
              <strCache>
                <ptCount val="1"/>
                <pt idx="0">
                  <v>SPY Cumulative Return</v>
                </pt>
              </strCache>
            </strRef>
          </tx>
          <spPr>
            <a:ln w="1905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Analysis'!$I$36:$I$787</f>
              <numCache>
                <formatCode>0.00%</formatCode>
                <ptCount val="752"/>
                <pt idx="0">
                  <v>0</v>
                </pt>
                <pt idx="1">
                  <v>-0.01532870175785606</v>
                </pt>
                <pt idx="2">
                  <v>-0.01372166044453227</v>
                </pt>
                <pt idx="3">
                  <v>-0.03191831285385804</v>
                </pt>
                <pt idx="4">
                  <v>-0.04588721042351707</v>
                </pt>
                <pt idx="5">
                  <v>-0.04724701461171399</v>
                </pt>
                <pt idx="6">
                  <v>-0.03149800974114247</v>
                </pt>
                <pt idx="7">
                  <v>-0.03755531930674694</v>
                </pt>
                <pt idx="8">
                  <v>-0.02066902366059253</v>
                </pt>
                <pt idx="9">
                  <v>-0.03579993571834716</v>
                </pt>
                <pt idx="10">
                  <v>-0.02652854352609557</v>
                </pt>
                <pt idx="11">
                  <v>-0.01374638415704466</v>
                </pt>
                <pt idx="12">
                  <v>-0.0305585086656609</v>
                </pt>
                <pt idx="13">
                  <v>-0.02793779513931782</v>
                </pt>
                <pt idx="14">
                  <v>-0.02155907731104878</v>
                </pt>
                <pt idx="15">
                  <v>-0.01972952258511118</v>
                </pt>
                <pt idx="16">
                  <v>-0.02192993299873891</v>
                </pt>
                <pt idx="17">
                  <v>-0.007713798303953134</v>
                </pt>
                <pt idx="18">
                  <v>-0.001903725863475536</v>
                </pt>
                <pt idx="19">
                  <v>0.01216406655623414</v>
                </pt>
                <pt idx="20">
                  <v>0.01602096570821088</v>
                </pt>
                <pt idx="21">
                  <v>0.01038395925532209</v>
                </pt>
                <pt idx="22">
                  <v>0.007738522016466298</v>
                </pt>
                <pt idx="23">
                  <v>0.01166959230598086</v>
                </pt>
                <pt idx="24">
                  <v>0.01270798823151287</v>
                </pt>
                <pt idx="25">
                  <v>0.01297994906915223</v>
                </pt>
                <pt idx="26">
                  <v>0.008851089079536134</v>
                </pt>
                <pt idx="27">
                  <v>0.02225134126140382</v>
                </pt>
                <pt idx="28">
                  <v>0.0197542462976239</v>
                </pt>
                <pt idx="29">
                  <v>0.0234133557494991</v>
                </pt>
                <pt idx="30">
                  <v>0.02408089598734131</v>
                </pt>
                <pt idx="31">
                  <v>0.02390782999975261</v>
                </pt>
                <pt idx="32">
                  <v>0.01832027097188904</v>
                </pt>
                <pt idx="33">
                  <v>0.01911142977229452</v>
                </pt>
                <pt idx="34">
                  <v>0.02017454941033936</v>
                </pt>
                <pt idx="35">
                  <v>0.003980517714539777</v>
                </pt>
                <pt idx="36">
                  <v>-0.0002719608376395843</v>
                </pt>
                <pt idx="37">
                  <v>0.01963062773506041</v>
                </pt>
                <pt idx="38">
                  <v>0.02833337453952045</v>
                </pt>
                <pt idx="39">
                  <v>0.02729497861398822</v>
                </pt>
                <pt idx="40">
                  <v>0.01574900487057085</v>
                </pt>
                <pt idx="41">
                  <v>0.008776917941997642</v>
                </pt>
                <pt idx="42">
                  <v>0.00163176502583573</v>
                </pt>
                <pt idx="43">
                  <v>0.02017454941033892</v>
                </pt>
                <pt idx="44">
                  <v>0.02044651024797828</v>
                </pt>
                <pt idx="45">
                  <v>0.01597151828318477</v>
                </pt>
                <pt idx="46">
                  <v>0.02071847108561764</v>
                </pt>
                <pt idx="47">
                  <v>0.01893836378470537</v>
                </pt>
                <pt idx="48">
                  <v>0.01760328330902117</v>
                </pt>
                <pt idx="49">
                  <v>0.02111405048582049</v>
                </pt>
                <pt idx="50">
                  <v>0.01429030583232338</v>
                </pt>
                <pt idx="51">
                  <v>0.0266027146636334</v>
                </pt>
                <pt idx="52">
                  <v>0.03649219966870176</v>
                </pt>
                <pt idx="53">
                  <v>0.03498405320542886</v>
                </pt>
                <pt idx="54">
                  <v>0.03540435631814431</v>
                </pt>
                <pt idx="55">
                  <v>0.0237842114371889</v>
                </pt>
                <pt idx="56">
                  <v>0.01636709768338762</v>
                </pt>
                <pt idx="57">
                  <v>0.02516873933789854</v>
                </pt>
                <pt idx="58">
                  <v>0.03844537295720274</v>
                </pt>
                <pt idx="59">
                  <v>0.03884095235740559</v>
                </pt>
                <pt idx="60">
                  <v>0.03308032734195332</v>
                </pt>
                <pt idx="61">
                  <v>0.04289564120948364</v>
                </pt>
                <pt idx="62">
                  <v>0.05797710584221294</v>
                </pt>
                <pt idx="63">
                  <v>0.05594976141617392</v>
                </pt>
                <pt idx="64">
                  <v>0.0582490666798523</v>
                </pt>
                <pt idx="65">
                  <v>0.0545899572279771</v>
                </pt>
                <pt idx="66">
                  <v>0.06096867505624615</v>
                </pt>
                <pt idx="67">
                  <v>0.06287240091972168</v>
                </pt>
                <pt idx="68">
                  <v>0.07251464879966352</v>
                </pt>
                <pt idx="69">
                  <v>0.07958563057828738</v>
                </pt>
                <pt idx="70">
                  <v>0.08087126362894614</v>
                </pt>
                <pt idx="71">
                  <v>0.09427151581081383</v>
                </pt>
                <pt idx="72">
                  <v>0.08650827008183515</v>
                </pt>
                <pt idx="73">
                  <v>0.08087126362894614</v>
                </pt>
                <pt idx="74">
                  <v>0.0753331520261078</v>
                </pt>
                <pt idx="75">
                  <v>0.07921477489059714</v>
                </pt>
                <pt idx="76">
                  <v>0.07105594976141583</v>
                </pt>
                <pt idx="77">
                  <v>0.0666798526466732</v>
                </pt>
                <pt idx="78">
                  <v>0.07837416866516644</v>
                </pt>
                <pt idx="79">
                  <v>0.07891809034044495</v>
                </pt>
                <pt idx="80">
                  <v>0.08317056889262431</v>
                </pt>
                <pt idx="81">
                  <v>0.095952728261675</v>
                </pt>
                <pt idx="82">
                  <v>0.09721363759982116</v>
                </pt>
                <pt idx="83">
                  <v>0.09558187257398476</v>
                </pt>
                <pt idx="84">
                  <v>0.08700274433208799</v>
                </pt>
                <pt idx="85">
                  <v>0.08425841224318154</v>
                </pt>
                <pt idx="86">
                  <v>0.08700274433208799</v>
                </pt>
                <pt idx="87">
                  <v>0.09392538383563576</v>
                </pt>
                <pt idx="88">
                  <v>0.1027270254901465</v>
                </pt>
                <pt idx="89">
                  <v>0.1114792197196321</v>
                </pt>
                <pt idx="90">
                  <v>0.1107869557692773</v>
                </pt>
                <pt idx="91">
                  <v>0.1146438549212541</v>
                </pt>
                <pt idx="92">
                  <v>0.1229262986129989</v>
                </pt>
                <pt idx="93">
                  <v>0.1254233935767786</v>
                </pt>
                <pt idx="94">
                  <v>0.1179568323979521</v>
                </pt>
                <pt idx="95">
                  <v>0.1179568323979521</v>
                </pt>
                <pt idx="96">
                  <v>0.1229510223255115</v>
                </pt>
                <pt idx="97">
                  <v>0.1260167626770827</v>
                </pt>
                <pt idx="98">
                  <v>0.1261898286646712</v>
                </pt>
                <pt idx="99">
                  <v>0.1187232674858447</v>
                </pt>
                <pt idx="100">
                  <v>0.1296758721289579</v>
                </pt>
                <pt idx="101">
                  <v>0.1318268351175602</v>
                </pt>
                <pt idx="102">
                  <v>0.1285880287784003</v>
                </pt>
                <pt idx="103">
                  <v>0.1128884713328542</v>
                </pt>
                <pt idx="104">
                  <v>0.1096991124187194</v>
                </pt>
                <pt idx="105">
                  <v>0.1046801987786472</v>
                </pt>
                <pt idx="106">
                  <v>0.1143224466585888</v>
                </pt>
                <pt idx="107">
                  <v>0.1094765990061053</v>
                </pt>
                <pt idx="108">
                  <v>0.102059485252304</v>
                </pt>
                <pt idx="109">
                  <v>0.1024550646525066</v>
                </pt>
                <pt idx="110">
                  <v>0.101812248127177</v>
                </pt>
                <pt idx="111">
                  <v>0.1078942814052941</v>
                </pt>
                <pt idx="112">
                  <v>0.09498850347367993</v>
                </pt>
                <pt idx="113">
                  <v>0.08695329690706188</v>
                </pt>
                <pt idx="114">
                  <v>0.07867085321531708</v>
                </pt>
                <pt idx="115">
                  <v>0.0791900511780832</v>
                </pt>
                <pt idx="116">
                  <v>0.08621158553168184</v>
                </pt>
                <pt idx="117">
                  <v>0.08326946374267408</v>
                </pt>
                <pt idx="118">
                  <v>0.09533463544885756</v>
                </pt>
                <pt idx="119">
                  <v>0.0801542759660776</v>
                </pt>
                <pt idx="120">
                  <v>0.08776917941998019</v>
                </pt>
                <pt idx="121">
                  <v>0.09466709521101535</v>
                </pt>
                <pt idx="122">
                  <v>0.1104902712191247</v>
                </pt>
                <pt idx="123">
                  <v>0.1150641580339686</v>
                </pt>
                <pt idx="124">
                  <v>0.1134323930081325</v>
                </pt>
                <pt idx="125">
                  <v>0.1155091848591969</v>
                </pt>
                <pt idx="126">
                  <v>0.110688060919226</v>
                </pt>
                <pt idx="127">
                  <v>0.1032214997403995</v>
                </pt>
                <pt idx="128">
                  <v>0.09983435112616346</v>
                </pt>
                <pt idx="129">
                  <v>0.1014908398645122</v>
                </pt>
                <pt idx="130">
                  <v>0.1087348876307248</v>
                </pt>
                <pt idx="131">
                  <v>0.102652854352608</v>
                </pt>
                <pt idx="132">
                  <v>0.1039384874032667</v>
                </pt>
                <pt idx="133">
                  <v>0.1134571167206451</v>
                </pt>
                <pt idx="134">
                  <v>0.09617524167428804</v>
                </pt>
                <pt idx="135">
                  <v>0.09681805819961742</v>
                </pt>
                <pt idx="136">
                  <v>0.09454347664845164</v>
                </pt>
                <pt idx="137">
                  <v>0.08448092565579457</v>
                </pt>
                <pt idx="138">
                  <v>0.06655623408410816</v>
                </pt>
                <pt idx="139">
                  <v>0.06415803397037911</v>
                </pt>
                <pt idx="140">
                  <v>0.06863302593517262</v>
                </pt>
                <pt idx="141">
                  <v>0.05293346848962655</v>
                </pt>
                <pt idx="142">
                  <v>0.053353771602342</v>
                </pt>
                <pt idx="143">
                  <v>0.05946052859297168</v>
                </pt>
                <pt idx="144">
                  <v>0.05688926249165416</v>
                </pt>
                <pt idx="145">
                  <v>0.0564689593789387</v>
                </pt>
                <pt idx="146">
                  <v>0.04232699582169097</v>
                </pt>
                <pt idx="147">
                  <v>0.04991717556308095</v>
                </pt>
                <pt idx="148">
                  <v>0.0495215961628781</v>
                </pt>
                <pt idx="149">
                  <v>0.06198234726926444</v>
                </pt>
                <pt idx="150">
                  <v>0.06878136821024894</v>
                </pt>
                <pt idx="151">
                  <v>0.07434420352559989</v>
                </pt>
                <pt idx="152">
                  <v>0.07874502435285513</v>
                </pt>
                <pt idx="153">
                  <v>0.07216851682448477</v>
                </pt>
                <pt idx="154">
                  <v>0.06682819492174774</v>
                </pt>
                <pt idx="155">
                  <v>0.07805276040250053</v>
                </pt>
                <pt idx="156">
                  <v>0.07800331297747509</v>
                </pt>
                <pt idx="157">
                  <v>0.06363883600761344</v>
                </pt>
                <pt idx="158">
                  <v>0.05429327267782402</v>
                </pt>
                <pt idx="159">
                  <v>0.0413380473211844</v>
                </pt>
                <pt idx="160">
                  <v>0.0395332163077593</v>
                </pt>
                <pt idx="161">
                  <v>0.04737063317427581</v>
                </pt>
                <pt idx="162">
                  <v>0.03233861596657195</v>
                </pt>
                <pt idx="163">
                  <v>0.01997675971023649</v>
                </pt>
                <pt idx="164">
                  <v>0.01535342547036711</v>
                </pt>
                <pt idx="165">
                  <v>0.02749276831408842</v>
                </pt>
                <pt idx="166">
                  <v>0.03394565727989551</v>
                </pt>
                <pt idx="167">
                  <v>0.04497243306054677</v>
                </pt>
                <pt idx="168">
                  <v>0.06499864019581003</v>
                </pt>
                <pt idx="169">
                  <v>0.07471505921328991</v>
                </pt>
                <pt idx="170">
                  <v>0.07718743046455678</v>
                </pt>
                <pt idx="171">
                  <v>0.08025317081612804</v>
                </pt>
                <pt idx="172">
                  <v>0.08104432961653329</v>
                </pt>
                <pt idx="173">
                  <v>0.0726135436497124</v>
                </pt>
                <pt idx="174">
                  <v>0.0893514970207907</v>
                </pt>
                <pt idx="175">
                  <v>0.08831310109525847</v>
                </pt>
                <pt idx="176">
                  <v>0.1094271515810794</v>
                </pt>
                <pt idx="177">
                  <v>0.1117759042697832</v>
                </pt>
                <pt idx="178">
                  <v>0.11313570845798</v>
                </pt>
                <pt idx="179">
                  <v>0.1145202363586895</v>
                </pt>
                <pt idx="180">
                  <v>0.1230993646005862</v>
                </pt>
                <pt idx="181">
                  <v>0.1206517170618318</v>
                </pt>
                <pt idx="182">
                  <v>0.1249783667515492</v>
                </pt>
                <pt idx="183">
                  <v>0.1256706307019042</v>
                </pt>
                <pt idx="184">
                  <v>0.1236432862758652</v>
                </pt>
                <pt idx="185">
                  <v>0.1247558533389355</v>
                </pt>
                <pt idx="186">
                  <v>0.12396469453853</v>
                </pt>
                <pt idx="187">
                  <v>0.1283902390782981</v>
                </pt>
                <pt idx="188">
                  <v>0.1350656414567195</v>
                </pt>
                <pt idx="189">
                  <v>0.1291072267411659</v>
                </pt>
                <pt idx="190">
                  <v>0.128884713328552</v>
                </pt>
                <pt idx="191">
                  <v>0.1243355502262204</v>
                </pt>
                <pt idx="192">
                  <v>0.1329146784681174</v>
                </pt>
                <pt idx="193">
                  <v>0.1377852498331136</v>
                </pt>
                <pt idx="194">
                  <v>0.1422107943728816</v>
                </pt>
                <pt idx="195">
                  <v>0.1474274977130552</v>
                </pt>
                <pt idx="196">
                  <v>0.1632506737211645</v>
                </pt>
                <pt idx="197">
                  <v>0.1669839543105778</v>
                </pt>
                <pt idx="198">
                  <v>0.160357999357182</v>
                </pt>
                <pt idx="199">
                  <v>0.1668850594605273</v>
                </pt>
                <pt idx="200">
                  <v>0.1739807649516638</v>
                </pt>
                <pt idx="201">
                  <v>0.1577125621183264</v>
                </pt>
                <pt idx="202">
                  <v>0.1686898904739522</v>
                </pt>
                <pt idx="203">
                  <v>0.171038643162656</v>
                </pt>
                <pt idx="204">
                  <v>0.1759833856651902</v>
                </pt>
                <pt idx="205">
                  <v>0.1781096249412799</v>
                </pt>
                <pt idx="206">
                  <v>0.178554651766508</v>
                </pt>
                <pt idx="207">
                  <v>0.1751427794397593</v>
                </pt>
                <pt idx="208">
                  <v>0.1685662719113887</v>
                </pt>
                <pt idx="209">
                  <v>0.1590229188814978</v>
                </pt>
                <pt idx="210">
                  <v>0.1552896382920843</v>
                </pt>
                <pt idx="211">
                  <v>0.1568719558928955</v>
                </pt>
                <pt idx="212">
                  <v>0.1733873958513596</v>
                </pt>
                <pt idx="213">
                  <v>0.1716072885504474</v>
                </pt>
                <pt idx="214">
                  <v>0.1782332435038432</v>
                </pt>
                <pt idx="215">
                  <v>0.1777140455410771</v>
                </pt>
                <pt idx="216">
                  <v>0.1785299280539951</v>
                </pt>
                <pt idx="217">
                  <v>0.1742032783642777</v>
                </pt>
                <pt idx="218">
                  <v>0.1676762182609326</v>
                </pt>
                <pt idx="219">
                  <v>0.1780601775162542</v>
                </pt>
                <pt idx="220">
                  <v>0.1927460627487807</v>
                </pt>
                <pt idx="221">
                  <v>0.195267881425073</v>
                </pt>
                <pt idx="222">
                  <v>0.1987539248893597</v>
                </pt>
                <pt idx="223">
                  <v>0.2000642816525311</v>
                </pt>
                <pt idx="224">
                  <v>0.2065913417558762</v>
                </pt>
                <pt idx="225">
                  <v>0.2050584715800907</v>
                </pt>
                <pt idx="226">
                  <v>0.2146018246099815</v>
                </pt>
                <pt idx="227">
                  <v>0.2136623235344999</v>
                </pt>
                <pt idx="228">
                  <v>0.1938586298118505</v>
                </pt>
                <pt idx="229">
                  <v>0.2094840161198583</v>
                </pt>
                <pt idx="230">
                  <v>0.222216728063884</v>
                </pt>
                <pt idx="231">
                  <v>0.2177664598116034</v>
                </pt>
                <pt idx="232">
                  <v>0.2213019507009155</v>
                </pt>
                <pt idx="233">
                  <v>0.2314881202561359</v>
                </pt>
                <pt idx="234">
                  <v>0.2320320419314146</v>
                </pt>
                <pt idx="235">
                  <v>0.2391524711350639</v>
                </pt>
                <pt idx="236">
                  <v>0.2386085494597852</v>
                </pt>
                <pt idx="237">
                  <v>0.2215491878260423</v>
                </pt>
                <pt idx="238">
                  <v>0.2326501347442316</v>
                </pt>
                <pt idx="239">
                  <v>0.2411550918485903</v>
                </pt>
                <pt idx="240">
                  <v>0.2349741637204226</v>
                </pt>
                <pt idx="241">
                  <v>0.2281751427794381</v>
                </pt>
                <pt idx="242">
                  <v>0.2292877098425083</v>
                </pt>
                <pt idx="243">
                  <v>0.2547284100180467</v>
                </pt>
                <pt idx="244">
                  <v>0.2555937399559902</v>
                </pt>
                <pt idx="245">
                  <v>0.2509951294286334</v>
                </pt>
                <pt idx="246">
                  <v>0.2533191584048244</v>
                </pt>
                <pt idx="247">
                  <v>0.2516626696664754</v>
                </pt>
                <pt idx="248">
                  <v>0.2561623853437816</v>
                </pt>
                <pt idx="249">
                  <v>0.2679555962123259</v>
                </pt>
                <pt idx="250">
                  <v>0.2665957920241289</v>
                </pt>
                <pt idx="251">
                  <v>0.2539372512176414</v>
                </pt>
                <pt idx="252">
                  <v>0.2602912453333979</v>
                </pt>
                <pt idx="253">
                  <v>0.2728014438648092</v>
                </pt>
                <pt idx="254">
                  <v>0.265161816698394</v>
                </pt>
                <pt idx="255">
                  <v>0.2640739733478363</v>
                </pt>
                <pt idx="256">
                  <v>0.2776720152298053</v>
                </pt>
                <pt idx="257">
                  <v>0.2756693945162791</v>
                </pt>
                <pt idx="258">
                  <v>0.2731475758399868</v>
                </pt>
                <pt idx="259">
                  <v>0.2604890350334992</v>
                </pt>
                <pt idx="260">
                  <v>0.2679803199248385</v>
                </pt>
                <pt idx="261">
                  <v>0.2750265779909498</v>
                </pt>
                <pt idx="262">
                  <v>0.2868197888594937</v>
                </pt>
                <pt idx="263">
                  <v>0.2910722674116732</v>
                </pt>
                <pt idx="264">
                  <v>0.2886246198729188</v>
                </pt>
                <pt idx="265">
                  <v>0.285064405271094</v>
                </pt>
                <pt idx="266">
                  <v>0.2826909288698776</v>
                </pt>
                <pt idx="267">
                  <v>0.2934704675254023</v>
                </pt>
                <pt idx="268">
                  <v>0.2932232304002758</v>
                </pt>
                <pt idx="269">
                  <v>0.2909733725616226</v>
                </pt>
                <pt idx="270">
                  <v>0.2827651000074161</v>
                </pt>
                <pt idx="271">
                  <v>0.2841743516206381</v>
                </pt>
                <pt idx="272">
                  <v>0.2684995178876051</v>
                </pt>
                <pt idx="273">
                  <v>0.2817514277943964</v>
                </pt>
                <pt idx="274">
                  <v>0.2824684154572641</v>
                </pt>
                <pt idx="275">
                  <v>0.2839518382080246</v>
                </pt>
                <pt idx="276">
                  <v>0.2710955077014356</v>
                </pt>
                <pt idx="277">
                  <v>0.2806883081563518</v>
                </pt>
                <pt idx="278">
                  <v>0.2630108537097922</v>
                </pt>
                <pt idx="279">
                  <v>0.2471876777016826</v>
                </pt>
                <pt idx="280">
                  <v>0.2449130961505168</v>
                </pt>
                <pt idx="281">
                  <v>0.237545429821741</v>
                </pt>
                <pt idx="282">
                  <v>0.2349988874329358</v>
                </pt>
                <pt idx="283">
                  <v>0.2242193487774116</v>
                </pt>
                <pt idx="284">
                  <v>0.2354933616831894</v>
                </pt>
                <pt idx="285">
                  <v>0.250154523203203</v>
                </pt>
                <pt idx="286">
                  <v>0.249561154102899</v>
                </pt>
                <pt idx="287">
                  <v>0.2448142013004662</v>
                </pt>
                <pt idx="288">
                  <v>0.2566074121690101</v>
                </pt>
                <pt idx="289">
                  <v>0.2610576804212907</v>
                </pt>
                <pt idx="290">
                  <v>0.2410809207110527</v>
                </pt>
                <pt idx="291">
                  <v>0.2370509555714875</v>
                </pt>
                <pt idx="292">
                  <v>0.2486216530274175</v>
                </pt>
                <pt idx="293">
                  <v>0.2640986970603496</v>
                </pt>
                <pt idx="294">
                  <v>0.2771528172670399</v>
                </pt>
                <pt idx="295">
                  <v>0.2785620688802619</v>
                </pt>
                <pt idx="296">
                  <v>0.2786856874428254</v>
                </pt>
                <pt idx="297">
                  <v>0.2860533537716012</v>
                </pt>
                <pt idx="298">
                  <v>0.2877098425099502</v>
                </pt>
                <pt idx="299">
                  <v>0.2878829084975389</v>
                </pt>
                <pt idx="300">
                  <v>0.2937918757880673</v>
                </pt>
                <pt idx="301">
                  <v>0.309812841496278</v>
                </pt>
                <pt idx="302">
                  <v>0.307117956832397</v>
                </pt>
                <pt idx="303">
                  <v>0.3089969589833599</v>
                </pt>
                <pt idx="304">
                  <v>0.3105051054466326</v>
                </pt>
                <pt idx="305">
                  <v>0.3137191880732799</v>
                </pt>
                <pt idx="306">
                  <v>0.3099364600588415</v>
                </pt>
                <pt idx="307">
                  <v>0.3003683833164379</v>
                </pt>
                <pt idx="308">
                  <v>0.3089722352708475</v>
                </pt>
                <pt idx="309">
                  <v>0.309887012633816</v>
                </pt>
                <pt idx="310">
                  <v>0.3007145152916153</v>
                </pt>
                <pt idx="311">
                  <v>0.2920859396246931</v>
                </pt>
                <pt idx="312">
                  <v>0.3038544267807244</v>
                </pt>
                <pt idx="313">
                  <v>0.304917546418769</v>
                </pt>
                <pt idx="314">
                  <v>0.3063762454570167</v>
                </pt>
                <pt idx="315">
                  <v>0.3219027369149741</v>
                </pt>
                <pt idx="316">
                  <v>0.3218780132024615</v>
                </pt>
                <pt idx="317">
                  <v>0.3202709718891379</v>
                </pt>
                <pt idx="318">
                  <v>0.3243503844537285</v>
                </pt>
                <pt idx="319">
                  <v>0.3275397433678631</v>
                </pt>
                <pt idx="320">
                  <v>0.3384429005859508</v>
                </pt>
                <pt idx="321">
                  <v>0.3411377852498321</v>
                </pt>
                <pt idx="322">
                  <v>0.3419536677627499</v>
                </pt>
                <pt idx="323">
                  <v>0.352634311568224</v>
                </pt>
                <pt idx="324">
                  <v>0.3560709076074853</v>
                </pt>
                <pt idx="325">
                  <v>0.3523870744430972</v>
                </pt>
                <pt idx="326">
                  <v>0.3462308700274421</v>
                </pt>
                <pt idx="327">
                  <v>0.3418547729126995</v>
                </pt>
                <pt idx="328">
                  <v>0.3470220288278478</v>
                </pt>
                <pt idx="329">
                  <v>0.3487032412787092</v>
                </pt>
                <pt idx="330">
                  <v>0.3508294805547989</v>
                </pt>
                <pt idx="331">
                  <v>0.3455138823645747</v>
                </pt>
                <pt idx="332">
                  <v>0.348282938165994</v>
                </pt>
                <pt idx="333">
                  <v>0.357356540658144</v>
                </pt>
                <pt idx="334">
                  <v>0.3634138502237487</v>
                </pt>
                <pt idx="335">
                  <v>0.3712759908027781</v>
                </pt>
                <pt idx="336">
                  <v>0.372858308403589</v>
                </pt>
                <pt idx="337">
                  <v>0.3741933888792732</v>
                </pt>
                <pt idx="338">
                  <v>0.3877914307612422</v>
                </pt>
                <pt idx="339">
                  <v>0.3758251539051094</v>
                </pt>
                <pt idx="340">
                  <v>0.3845031769970566</v>
                </pt>
                <pt idx="341">
                  <v>0.3883106287240077</v>
                </pt>
                <pt idx="342">
                  <v>0.396543624990727</v>
                </pt>
                <pt idx="343">
                  <v>0.3769624446806918</v>
                </pt>
                <pt idx="344">
                  <v>0.3663806957252684</v>
                </pt>
                <pt idx="345">
                  <v>0.3573070932331184</v>
                </pt>
                <pt idx="346">
                  <v>0.3713007145152898</v>
                </pt>
                <pt idx="347">
                  <v>0.3691497515266873</v>
                </pt>
                <pt idx="348">
                  <v>0.3381214923232854</v>
                </pt>
                <pt idx="349">
                  <v>0.3311494053947119</v>
                </pt>
                <pt idx="350">
                  <v>0.3460578040398525</v>
                </pt>
                <pt idx="351">
                  <v>0.346848962840258</v>
                </pt>
                <pt idx="352">
                  <v>0.3400252181867609</v>
                </pt>
                <pt idx="353">
                  <v>0.3618068089104238</v>
                </pt>
                <pt idx="354">
                  <v>0.3425223131505406</v>
                </pt>
                <pt idx="355">
                  <v>0.3175266398002303</v>
                </pt>
                <pt idx="356">
                  <v>0.2791554379805652</v>
                </pt>
                <pt idx="357">
                  <v>0.2909486488491091</v>
                </pt>
                <pt idx="358">
                  <v>0.2823200731821869</v>
                </pt>
                <pt idx="359">
                  <v>0.3119638044848791</v>
                </pt>
                <pt idx="360">
                  <v>0.3177491532128442</v>
                </pt>
                <pt idx="361">
                  <v>0.3184414171631988</v>
                </pt>
                <pt idx="362">
                  <v>0.3401241130368111</v>
                </pt>
                <pt idx="363">
                  <v>0.3443518678764781</v>
                </pt>
                <pt idx="364">
                  <v>0.3673943679382874</v>
                </pt>
                <pt idx="365">
                  <v>0.3704601082898584</v>
                </pt>
                <pt idx="366">
                  <v>0.3835636759215741</v>
                </pt>
                <pt idx="367">
                  <v>0.3813138180829212</v>
                </pt>
                <pt idx="368">
                  <v>0.3860607708853538</v>
                </pt>
                <pt idx="369">
                  <v>0.3751823373797787</v>
                </pt>
                <pt idx="370">
                  <v>0.3897940514747671</v>
                </pt>
                <pt idx="371">
                  <v>0.3864810739980691</v>
                </pt>
                <pt idx="372">
                  <v>0.3883847998615446</v>
                </pt>
                <pt idx="373">
                  <v>0.380324869582414</v>
                </pt>
                <pt idx="374">
                  <v>0.3804484881449774</v>
                </pt>
                <pt idx="375">
                  <v>0.3936262269142308</v>
                </pt>
                <pt idx="376">
                  <v>0.3649467203995327</v>
                </pt>
                <pt idx="377">
                  <v>0.362152940885601</v>
                </pt>
                <pt idx="378">
                  <v>0.358839963408903</v>
                </pt>
                <pt idx="379">
                  <v>0.3359705293346824</v>
                </pt>
                <pt idx="380">
                  <v>0.3509283754048482</v>
                </pt>
                <pt idx="381">
                  <v>0.3568126189828638</v>
                </pt>
                <pt idx="382">
                  <v>0.3707320691274976</v>
                </pt>
                <pt idx="383">
                  <v>0.3822780428709152</v>
                </pt>
                <pt idx="384">
                  <v>0.3894973669246151</v>
                </pt>
                <pt idx="385">
                  <v>0.3915494350631668</v>
                </pt>
                <pt idx="386">
                  <v>0.3921180804509581</v>
                </pt>
                <pt idx="387">
                  <v>0.3879892204613418</v>
                </pt>
                <pt idx="388">
                  <v>0.4116745370484804</v>
                </pt>
                <pt idx="389">
                  <v>0.4049249635325212</v>
                </pt>
                <pt idx="390">
                  <v>0.4084357307093205</v>
                </pt>
                <pt idx="391">
                  <v>0.4124656958488859</v>
                </pt>
                <pt idx="392">
                  <v>0.4093505080722895</v>
                </pt>
                <pt idx="393">
                  <v>0.4149380671001532</v>
                </pt>
                <pt idx="394">
                  <v>0.4128859989616016</v>
                </pt>
                <pt idx="395">
                  <v>0.4185477291270032</v>
                </pt>
                <pt idx="396">
                  <v>0.4058397408954904</v>
                </pt>
                <pt idx="397">
                  <v>0.4064331099957943</v>
                </pt>
                <pt idx="398">
                  <v>0.4038618438944765</v>
                </pt>
                <pt idx="399">
                  <v>0.4166192795510144</v>
                </pt>
                <pt idx="400">
                  <v>0.4038123964694507</v>
                </pt>
                <pt idx="401">
                  <v>0.4170890300887549</v>
                </pt>
                <pt idx="402">
                  <v>0.4269043439562852</v>
                </pt>
                <pt idx="403">
                  <v>0.4244072489925055</v>
                </pt>
                <pt idx="404">
                  <v>0.432936929809377</v>
                </pt>
                <pt idx="405">
                  <v>0.4446559695403831</v>
                </pt>
                <pt idx="406">
                  <v>0.4334314040596303</v>
                </pt>
                <pt idx="407">
                  <v>0.4396617796128235</v>
                </pt>
                <pt idx="408">
                  <v>0.439785398175387</v>
                </pt>
                <pt idx="409">
                  <v>0.4453235097782251</v>
                </pt>
                <pt idx="410">
                  <v>0.4429500333770084</v>
                </pt>
                <pt idx="411">
                  <v>0.4421835982891158</v>
                </pt>
                <pt idx="412">
                  <v>0.429005859519862</v>
                </pt>
                <pt idx="413">
                  <v>0.4320963235839459</v>
                </pt>
                <pt idx="414">
                  <v>0.4316018493336924</v>
                </pt>
                <pt idx="415">
                  <v>0.4360273938734607</v>
                </pt>
                <pt idx="416">
                  <v>0.4383514228496517</v>
                </pt>
                <pt idx="417">
                  <v>0.4340000494474217</v>
                </pt>
                <pt idx="418">
                  <v>0.4058891883205149</v>
                </pt>
                <pt idx="419">
                  <v>0.4118228793235561</v>
                </pt>
                <pt idx="420">
                  <v>0.4087818626844977</v>
                </pt>
                <pt idx="421">
                  <v>0.4258165006057282</v>
                </pt>
                <pt idx="422">
                  <v>0.4612703043488979</v>
                </pt>
                <pt idx="423">
                  <v>0.4725690409671885</v>
                </pt>
                <pt idx="424">
                  <v>0.4789477587954578</v>
                </pt>
                <pt idx="425">
                  <v>0.4803570104086801</v>
                </pt>
                <pt idx="426">
                  <v>0.4757583998813233</v>
                </pt>
                <pt idx="427">
                  <v>0.4764753875441909</v>
                </pt>
                <pt idx="428">
                  <v>0.4669814819393252</v>
                </pt>
                <pt idx="429">
                  <v>0.4481914604296953</v>
                </pt>
                <pt idx="430">
                  <v>0.4541251514327362</v>
                </pt>
                <pt idx="431">
                  <v>0.4594407496229604</v>
                </pt>
                <pt idx="432">
                  <v>0.4599352238732139</v>
                </pt>
                <pt idx="433">
                  <v>0.4677726407397305</v>
                </pt>
                <pt idx="434">
                  <v>0.4723218038420618</v>
                </pt>
                <pt idx="435">
                  <v>0.4773159937696212</v>
                </pt>
                <pt idx="436">
                  <v>0.4850297920735744</v>
                </pt>
                <pt idx="437">
                  <v>0.4805300763962685</v>
                </pt>
                <pt idx="438">
                  <v>0.4897272974509819</v>
                </pt>
                <pt idx="439">
                  <v>0.4923974584023503</v>
                </pt>
                <pt idx="440">
                  <v>0.4930897223527051</v>
                </pt>
                <pt idx="441">
                  <v>0.5023611145449565</v>
                </pt>
                <pt idx="442">
                  <v>0.4998887432936894</v>
                </pt>
                <pt idx="443">
                  <v>0.5027319702326465</v>
                </pt>
                <pt idx="444">
                  <v>0.4949934482161804</v>
                </pt>
                <pt idx="445">
                  <v>0.4903453902637982</v>
                </pt>
                <pt idx="446">
                  <v>0.501866640294703</v>
                </pt>
                <pt idx="447">
                  <v>0.4941281182782369</v>
                </pt>
                <pt idx="448">
                  <v>0.4938314337280849</v>
                </pt>
                <pt idx="449">
                  <v>0.5002101515563537</v>
                </pt>
                <pt idx="450">
                  <v>0.494029223428186</v>
                </pt>
                <pt idx="451">
                  <v>0.449501817192866</v>
                </pt>
                <pt idx="452">
                  <v>0.4490567903676381</v>
                </pt>
                <pt idx="453">
                  <v>0.4615422651865366</v>
                </pt>
                <pt idx="454">
                  <v>0.4702944594160221</v>
                </pt>
                <pt idx="455">
                  <v>0.4866368333868973</v>
                </pt>
                <pt idx="456">
                  <v>0.4867357282369482</v>
                </pt>
                <pt idx="457">
                  <v>0.4710856182164274</v>
                </pt>
                <pt idx="458">
                  <v>0.4542982174203241</v>
                </pt>
                <pt idx="459">
                  <v>0.4490073429426127</v>
                </pt>
                <pt idx="460">
                  <v>0.4454471283407879</v>
                </pt>
                <pt idx="461">
                  <v>0.4635201621875504</v>
                </pt>
                <pt idx="462">
                  <v>0.4719509481543709</v>
                </pt>
                <pt idx="463">
                  <v>0.4553118896333432</v>
                </pt>
                <pt idx="464">
                  <v>0.4574381289094329</v>
                </pt>
                <pt idx="465">
                  <v>0.4351867876480291</v>
                </pt>
                <pt idx="466">
                  <v>0.4374119217741694</v>
                </pt>
                <pt idx="467">
                  <v>0.4393898187751832</v>
                </pt>
                <pt idx="468">
                  <v>0.4655722303261014</v>
                </pt>
                <pt idx="469">
                  <v>0.4627537270996569</v>
                </pt>
                <pt idx="470">
                  <v>0.4774396123321833</v>
                </pt>
                <pt idx="471">
                  <v>0.4909634830766139</v>
                </pt>
                <pt idx="472">
                  <v>0.4993448216184095</v>
                </pt>
                <pt idx="473">
                  <v>0.5075283704601037</v>
                </pt>
                <pt idx="474">
                  <v>0.5031275496328482</v>
                </pt>
                <pt idx="475">
                  <v>0.4818651568719514</v>
                </pt>
                <pt idx="476">
                  <v>0.4945978688159769</v>
                </pt>
                <pt idx="477">
                  <v>0.487897742725043</v>
                </pt>
                <pt idx="478">
                  <v>0.4958835018666359</v>
                </pt>
                <pt idx="479">
                  <v>0.4879224664375561</v>
                </pt>
                <pt idx="480">
                  <v>0.4779093628699242</v>
                </pt>
                <pt idx="481">
                  <v>0.4878235715875052</v>
                </pt>
                <pt idx="482">
                  <v>0.4938561574405971</v>
                </pt>
                <pt idx="483">
                  <v>0.4990481370682578</v>
                </pt>
                <pt idx="484">
                  <v>0.4853264766237253</v>
                </pt>
                <pt idx="485">
                  <v>0.495413751328895</v>
                </pt>
                <pt idx="486">
                  <v>0.4965510421044776</v>
                </pt>
                <pt idx="487">
                  <v>0.491729918164507</v>
                </pt>
                <pt idx="488">
                  <v>0.5074789230350782</v>
                </pt>
                <pt idx="489">
                  <v>0.5074047518975402</v>
                </pt>
                <pt idx="490">
                  <v>0.5118302964373083</v>
                </pt>
                <pt idx="491">
                  <v>0.5153905110391326</v>
                </pt>
                <pt idx="492">
                  <v>0.5090859643484016</v>
                </pt>
                <pt idx="493">
                  <v>0.4832744084851732</v>
                </pt>
                <pt idx="494">
                  <v>0.4765248349692142</v>
                </pt>
                <pt idx="495">
                  <v>0.4691818923529509</v>
                </pt>
                <pt idx="496">
                  <v>0.4699236037283308</v>
                </pt>
                <pt idx="497">
                  <v>0.4464608005538062</v>
                </pt>
                <pt idx="498">
                  <v>0.4690335500778746</v>
                </pt>
                <pt idx="499">
                  <v>0.4432961653521843</v>
                </pt>
                <pt idx="500">
                  <v>0.4262120800059288</v>
                </pt>
                <pt idx="501">
                  <v>0.4415407817637846</v>
                </pt>
                <pt idx="502">
                  <v>0.4159517393131706</v>
                </pt>
                <pt idx="503">
                  <v>0.4238880510297378</v>
                </pt>
                <pt idx="504">
                  <v>0.385961876035301</v>
                </pt>
                <pt idx="505">
                  <v>0.3744406260043962</v>
                </pt>
                <pt idx="506">
                  <v>0.3817341211956342</v>
                </pt>
                <pt idx="507">
                  <v>0.3633149553736943</v>
                </pt>
                <pt idx="508">
                  <v>0.3914752639256263</v>
                </pt>
                <pt idx="509">
                  <v>0.4022053551561255</v>
                </pt>
                <pt idx="510">
                  <v>0.3870497193858584</v>
                </pt>
                <pt idx="511">
                  <v>0.4021559077311003</v>
                </pt>
                <pt idx="512">
                  <v>0.3981012188790223</v>
                </pt>
                <pt idx="513">
                  <v>0.394367938289609</v>
                </pt>
                <pt idx="514">
                  <v>0.4193388879274067</v>
                </pt>
                <pt idx="515">
                  <v>0.4227507602541554</v>
                </pt>
                <pt idx="516">
                  <v>0.4057655697579505</v>
                </pt>
                <pt idx="517">
                  <v>0.4020322891685373</v>
                </pt>
                <pt idx="518">
                  <v>0.373797809479067</v>
                </pt>
                <pt idx="519">
                  <v>0.3830197542462932</v>
                </pt>
                <pt idx="520">
                  <v>0.3869261008232954</v>
                </pt>
                <pt idx="521">
                  <v>0.3957030187652935</v>
                </pt>
                <pt idx="522">
                  <v>0.3269216505550434</v>
                </pt>
                <pt idx="523">
                  <v>0.2492397458402313</v>
                </pt>
                <pt idx="524">
                  <v>0.247014611714091</v>
                </pt>
                <pt idx="525">
                  <v>0.227482878829081</v>
                </pt>
                <pt idx="526">
                  <v>0.3563923158701467</v>
                </pt>
                <pt idx="527">
                  <v>0.2969565109896861</v>
                </pt>
                <pt idx="528">
                  <v>0.3200979059015461</v>
                </pt>
                <pt idx="529">
                  <v>0.3329047889831096</v>
                </pt>
                <pt idx="530">
                  <v>0.3291715083936964</v>
                </pt>
                <pt idx="531">
                  <v>0.2996266719410545</v>
                </pt>
                <pt idx="532">
                  <v>0.3014809503795048</v>
                </pt>
                <pt idx="533">
                  <v>0.2705021386011284</v>
                </pt>
                <pt idx="534">
                  <v>0.3035577422305693</v>
                </pt>
                <pt idx="535">
                  <v>0.3237570153534213</v>
                </pt>
                <pt idx="536">
                  <v>0.3516206393552015</v>
                </pt>
                <pt idx="537">
                  <v>0.3613865057977061</v>
                </pt>
                <pt idx="538">
                  <v>0.3619057037604725</v>
                </pt>
                <pt idx="539">
                  <v>0.3704848320023693</v>
                </pt>
                <pt idx="540">
                  <v>0.3710287536776478</v>
                </pt>
                <pt idx="541">
                  <v>0.3807451726951276</v>
                </pt>
                <pt idx="542">
                  <v>0.4012411303681318</v>
                </pt>
                <pt idx="543">
                  <v>0.3932059238015138</v>
                </pt>
                <pt idx="544">
                  <v>0.3815610552080457</v>
                </pt>
                <pt idx="545">
                  <v>0.3873711276485234</v>
                </pt>
                <pt idx="546">
                  <v>0.3970380992409777</v>
                </pt>
                <pt idx="547">
                  <v>0.3952579919400656</v>
                </pt>
                <pt idx="548">
                  <v>0.4413677157761966</v>
                </pt>
                <pt idx="549">
                  <v>0.4508863450935752</v>
                </pt>
                <pt idx="550">
                  <v>0.4527406235320255</v>
                </pt>
                <pt idx="551">
                  <v>0.4598363290231622</v>
                </pt>
                <pt idx="552">
                  <v>0.4690829975029012</v>
                </pt>
                <pt idx="553">
                  <v>0.470690038816225</v>
                </pt>
                <pt idx="554">
                  <v>0.4657452963136908</v>
                </pt>
                <pt idx="555">
                  <v>0.4410463075135327</v>
                </pt>
                <pt idx="556">
                  <v>0.4416149529013242</v>
                </pt>
                <pt idx="557">
                  <v>0.4317749153212811</v>
                </pt>
                <pt idx="558">
                  <v>0.4615422651865368</v>
                </pt>
                <pt idx="559">
                  <v>0.4530867555072036</v>
                </pt>
                <pt idx="560">
                  <v>0.4588226568101432</v>
                </pt>
                <pt idx="561">
                  <v>0.4571908917843071</v>
                </pt>
                <pt idx="562">
                  <v>0.4653991643385138</v>
                </pt>
                <pt idx="563">
                  <v>0.4737557791677967</v>
                </pt>
                <pt idx="564">
                  <v>0.4733601997675936</v>
                </pt>
                <pt idx="565">
                  <v>0.4662397705639445</v>
                </pt>
                <pt idx="566">
                  <v>0.481296511484161</v>
                </pt>
                <pt idx="567">
                  <v>0.4826315919598452</v>
                </pt>
                <pt idx="568">
                  <v>0.4910376542141535</v>
                </pt>
                <pt idx="569">
                  <v>0.4867851756619741</v>
                </pt>
                <pt idx="570">
                  <v>0.4926941429525022</v>
                </pt>
                <pt idx="571">
                  <v>0.4760056370064494</v>
                </pt>
                <pt idx="572">
                  <v>0.4900487057136462</v>
                </pt>
                <pt idx="573">
                  <v>0.4773159937696207</v>
                </pt>
                <pt idx="574">
                  <v>0.4770934803570068</v>
                </pt>
                <pt idx="575">
                  <v>0.4692807872030025</v>
                </pt>
                <pt idx="576">
                  <v>0.4837936064479402</v>
                </pt>
                <pt idx="577">
                  <v>0.5001854278438409</v>
                </pt>
                <pt idx="578">
                  <v>0.5010260340692718</v>
                </pt>
                <pt idx="579">
                  <v>0.5127697975127903</v>
                </pt>
                <pt idx="580">
                  <v>0.5202858061166422</v>
                </pt>
                <pt idx="581">
                  <v>0.5275545775953674</v>
                </pt>
                <pt idx="582">
                  <v>0.5270601033451139</v>
                </pt>
                <pt idx="583">
                  <v>0.5339827428486619</v>
                </pt>
                <pt idx="584">
                  <v>0.5460726382673577</v>
                </pt>
                <pt idx="585">
                  <v>0.534551388236453</v>
                </pt>
                <pt idx="586">
                  <v>0.5337107820110223</v>
                </pt>
                <pt idx="587">
                  <v>0.5429080030657354</v>
                </pt>
                <pt idx="588">
                  <v>0.5472593764679659</v>
                </pt>
                <pt idx="589">
                  <v>0.5418201597151782</v>
                </pt>
                <pt idx="590">
                  <v>0.5447622815041857</v>
                </pt>
                <pt idx="591">
                  <v>0.5381610502633027</v>
                </pt>
                <pt idx="592">
                  <v>0.5433035824659385</v>
                </pt>
                <pt idx="593">
                  <v>0.5527480406457785</v>
                </pt>
                <pt idx="594">
                  <v>0.5516107498701959</v>
                </pt>
                <pt idx="595">
                  <v>0.5545528716592034</v>
                </pt>
                <pt idx="596">
                  <v>0.5547753850718176</v>
                </pt>
                <pt idx="597">
                  <v>0.5680025712660968</v>
                </pt>
                <pt idx="598">
                  <v>0.5685217692288627</v>
                </pt>
                <pt idx="599">
                  <v>0.5751477241822585</v>
                </pt>
                <pt idx="600">
                  <v>0.5747521447820558</v>
                </pt>
                <pt idx="601">
                  <v>0.5705985610799269</v>
                </pt>
                <pt idx="602">
                  <v>0.5686206640789133</v>
                </pt>
                <pt idx="603">
                  <v>0.5627364205008978</v>
                </pt>
                <pt idx="604">
                  <v>0.5371226543377707</v>
                </pt>
                <pt idx="605">
                  <v>0.5604865626622444</v>
                </pt>
                <pt idx="606">
                  <v>0.5525749746581898</v>
                </pt>
                <pt idx="607">
                  <v>0.5644670803767844</v>
                </pt>
                <pt idx="608">
                  <v>0.5631567236136128</v>
                </pt>
                <pt idx="609">
                  <v>0.5753455138823595</v>
                </pt>
                <pt idx="610">
                  <v>0.5722303261057631</v>
                </pt>
                <pt idx="611">
                  <v>0.5889682794768416</v>
                </pt>
                <pt idx="612">
                  <v>0.5944074962296291</v>
                </pt>
                <pt idx="613">
                  <v>0.5945558385047052</v>
                </pt>
                <pt idx="614">
                  <v>0.5908225579152919</v>
                </pt>
                <pt idx="615">
                  <v>0.5904764259401143</v>
                </pt>
                <pt idx="616">
                  <v>0.5818478502731923</v>
                </pt>
                <pt idx="617">
                  <v>0.5776448191460384</v>
                </pt>
                <pt idx="618">
                  <v>0.5713155487427946</v>
                </pt>
                <pt idx="619">
                  <v>0.5954458921551615</v>
                </pt>
                <pt idx="620">
                  <v>0.5884243578015633</v>
                </pt>
                <pt idx="621">
                  <v>0.5950750364674717</v>
                </pt>
                <pt idx="622">
                  <v>0.5987094222068343</v>
                </pt>
                <pt idx="623">
                  <v>0.6043711523722357</v>
                </pt>
                <pt idx="624">
                  <v>0.5948030756298321</v>
                </pt>
                <pt idx="625">
                  <v>0.5829851410487756</v>
                </pt>
                <pt idx="626">
                  <v>0.5915642692906726</v>
                </pt>
                <pt idx="627">
                  <v>0.6048656266224897</v>
                </pt>
                <pt idx="628">
                  <v>0.6002175686701077</v>
                </pt>
                <pt idx="629">
                  <v>0.6041486389596225</v>
                </pt>
                <pt idx="630">
                  <v>0.6078571958365231</v>
                </pt>
                <pt idx="631">
                  <v>0.6125052537889053</v>
                </pt>
                <pt idx="632">
                  <v>0.6259055059707728</v>
                </pt>
                <pt idx="633">
                  <v>0.6253615842954938</v>
                </pt>
                <pt idx="634">
                  <v>0.6340148836749286</v>
                </pt>
                <pt idx="635">
                  <v>0.6317650258362757</v>
                </pt>
                <pt idx="636">
                  <v>0.6297376814102367</v>
                </pt>
                <pt idx="637">
                  <v>0.6373525848641393</v>
                </pt>
                <pt idx="638">
                  <v>0.640912799465964</v>
                </pt>
                <pt idx="639">
                  <v>0.6486760451949425</v>
                </pt>
                <pt idx="640">
                  <v>0.6397013375528429</v>
                </pt>
                <pt idx="641">
                  <v>0.6344846342126693</v>
                </pt>
                <pt idx="642">
                  <v>0.6269439018963046</v>
                </pt>
                <pt idx="643">
                  <v>0.6362647415135818</v>
                </pt>
                <pt idx="644">
                  <v>0.6408633520409384</v>
                </pt>
                <pt idx="645">
                  <v>0.6470442801691061</v>
                </pt>
                <pt idx="646">
                  <v>0.6526565629094827</v>
                </pt>
                <pt idx="647">
                  <v>0.6545602887729582</v>
                </pt>
                <pt idx="648">
                  <v>0.6545355650604456</v>
                </pt>
                <pt idx="649">
                  <v>0.6604692560634868</v>
                </pt>
                <pt idx="650">
                  <v>0.6543130516478317</v>
                </pt>
                <pt idx="651">
                  <v>0.6641778129403872</v>
                </pt>
                <pt idx="652">
                  <v>0.6593566890004163</v>
                </pt>
                <pt idx="653">
                  <v>0.6145078745024315</v>
                </pt>
                <pt idx="654">
                  <v>0.6392810344401276</v>
                </pt>
                <pt idx="655">
                  <v>0.6372784137266014</v>
                </pt>
                <pt idx="656">
                  <v>0.6445471852053266</v>
                </pt>
                <pt idx="657">
                  <v>0.6333473434370869</v>
                </pt>
                <pt idx="658">
                  <v>0.6426187356293387</v>
                </pt>
                <pt idx="659">
                  <v>0.6597028209755942</v>
                </pt>
                <pt idx="660">
                  <v>0.6596780972630816</v>
                </pt>
                <pt idx="661">
                  <v>0.6510495215961594</v>
                </pt>
                <pt idx="662">
                  <v>0.6608401117511773</v>
                </pt>
                <pt idx="663">
                  <v>0.6744134299206335</v>
                </pt>
                <pt idx="664">
                  <v>0.6941676762182576</v>
                </pt>
                <pt idx="665">
                  <v>0.6986673918955637</v>
                </pt>
                <pt idx="666">
                  <v>0.6994832744084818</v>
                </pt>
                <pt idx="667">
                  <v>0.6807921477489027</v>
                </pt>
                <pt idx="668">
                  <v>0.6863055356392282</v>
                </pt>
                <pt idx="669">
                  <v>0.6894701708408502</v>
                </pt>
                <pt idx="670">
                  <v>0.6694439637055867</v>
                </pt>
                <pt idx="671">
                  <v>0.6752293124335516</v>
                </pt>
                <pt idx="672">
                  <v>0.6572551734368397</v>
                </pt>
                <pt idx="673">
                  <v>0.6588869384626761</v>
                </pt>
                <pt idx="674">
                  <v>0.6847726654634425</v>
                </pt>
                <pt idx="675">
                  <v>0.688629564615419</v>
                </pt>
                <pt idx="676">
                  <v>0.6895690656909006</v>
                </pt>
                <pt idx="677">
                  <v>0.6615323757015317</v>
                </pt>
                <pt idx="678">
                  <v>0.6612604148638923</v>
                </pt>
                <pt idx="679">
                  <v>0.6457833708309604</v>
                </pt>
                <pt idx="680">
                  <v>0.6319628155363775</v>
                </pt>
                <pt idx="681">
                  <v>0.6382673622271082</v>
                </pt>
                <pt idx="682">
                  <v>0.6132964125893106</v>
                </pt>
                <pt idx="683">
                  <v>0.6293668257225464</v>
                </pt>
                <pt idx="684">
                  <v>0.6533488268598371</v>
                </pt>
                <pt idx="685">
                  <v>0.6689000420303068</v>
                </pt>
                <pt idx="686">
                  <v>0.6804212920612114</v>
                </pt>
                <pt idx="687">
                  <v>0.6895937894034123</v>
                </pt>
                <pt idx="688">
                  <v>0.6818799910994588</v>
                </pt>
                <pt idx="689">
                  <v>0.6849951788760553</v>
                </pt>
                <pt idx="690">
                  <v>0.6908299750290459</v>
                </pt>
                <pt idx="691">
                  <v>0.6920661606546792</v>
                </pt>
                <pt idx="692">
                  <v>0.6952802432813265</v>
                </pt>
                <pt idx="693">
                  <v>0.6901871585037163</v>
                </pt>
                <pt idx="694">
                  <v>0.6887284594654686</v>
                </pt>
                <pt idx="695">
                  <v>0.6999283012337085</v>
                </pt>
                <pt idx="696">
                  <v>0.7038840952357357</v>
                </pt>
                <pt idx="697">
                  <v>0.6855638242638467</v>
                </pt>
                <pt idx="698">
                  <v>0.6830172818750415</v>
                </pt>
                <pt idx="699">
                  <v>0.6784186713476847</v>
                </pt>
                <pt idx="700">
                  <v>0.6599500581007196</v>
                </pt>
                <pt idx="701">
                  <v>0.6724849803446438</v>
                </pt>
                <pt idx="702">
                  <v>0.6826711498998641</v>
                </pt>
                <pt idx="703">
                  <v>0.6931540040052364</v>
                </pt>
                <pt idx="704">
                  <v>0.7008925260217025</v>
                </pt>
                <pt idx="705">
                  <v>0.7068756644497689</v>
                </pt>
                <pt idx="706">
                  <v>0.7067025984621802</v>
                </pt>
                <pt idx="707">
                  <v>0.7006205651840633</v>
                </pt>
                <pt idx="708">
                  <v>0.6985437733329991</v>
                </pt>
                <pt idx="709">
                  <v>0.6859594036640495</v>
                </pt>
                <pt idx="710">
                  <v>0.6890498677281334</v>
                </pt>
                <pt idx="711">
                  <v>0.7002991569213985</v>
                </pt>
                <pt idx="712">
                  <v>0.7104111553390806</v>
                </pt>
                <pt idx="713">
                  <v>0.7048977674487553</v>
                </pt>
                <pt idx="714">
                  <v>0.7047247014611664</v>
                </pt>
                <pt idx="715">
                  <v>0.7159987143669446</v>
                </pt>
                <pt idx="716">
                  <v>0.7186935990308254</v>
                </pt>
                <pt idx="717">
                  <v>0.7152570029915641</v>
                </pt>
                <pt idx="718">
                  <v>0.7068262170247435</v>
                </pt>
                <pt idx="719">
                  <v>0.7114742749771257</v>
                </pt>
                <pt idx="720">
                  <v>0.7100402996513906</v>
                </pt>
                <pt idx="721">
                  <v>0.6752293124335502</v>
                </pt>
                <pt idx="722">
                  <v>0.6945632556184587</v>
                </pt>
                <pt idx="723">
                  <v>0.703414344697995</v>
                </pt>
                <pt idx="724">
                  <v>0.7040324375108116</v>
                </pt>
                <pt idx="725">
                  <v>0.7126857368902462</v>
                </pt>
                <pt idx="726">
                  <v>0.7195094815437435</v>
                </pt>
                <pt idx="727">
                  <v>0.7193364155561546</v>
                </pt>
                <pt idx="728">
                  <v>0.7159245432294061</v>
                </pt>
                <pt idx="729">
                  <v>0.7108067347392835</v>
                </pt>
                <pt idx="730">
                  <v>0.719311691843642</v>
                </pt>
                <pt idx="731">
                  <v>0.7047741488861916</v>
                </pt>
                <pt idx="732">
                  <v>0.6965164289069599</v>
                </pt>
                <pt idx="733">
                  <v>0.6753282072836009</v>
                </pt>
                <pt idx="734">
                  <v>0.7074690335500731</v>
                </pt>
                <pt idx="735">
                  <v>0.7157020298167927</v>
                </pt>
                <pt idx="736">
                  <v>0.7111775904269739</v>
                </pt>
                <pt idx="737">
                  <v>0.7107820110267713</v>
                </pt>
                <pt idx="738">
                  <v>0.6843523623507262</v>
                </pt>
                <pt idx="739">
                  <v>0.6855391005513345</v>
                </pt>
                <pt idx="740">
                  <v>0.6882587089277283</v>
                </pt>
                <pt idx="741">
                  <v>0.6967636660320868</v>
                </pt>
                <pt idx="742">
                  <v>0.6922886740672936</v>
                </pt>
                <pt idx="743">
                  <v>0.7045269117610655</v>
                </pt>
                <pt idx="744">
                  <v>0.6871214181521454</v>
                </pt>
                <pt idx="745">
                  <v>0.6993843795584302</v>
                </pt>
                <pt idx="746">
                  <v>0.7137241328157793</v>
                </pt>
                <pt idx="747">
                  <v>0.7042055034984009</v>
                </pt>
                <pt idx="748">
                  <v>0.696021954656707</v>
                </pt>
                <pt idx="749">
                  <v>0.6969861794447014</v>
                </pt>
                <pt idx="750">
                  <v>0.6820283333745358</v>
                </pt>
                <pt idx="751">
                  <v>0.6938957153806176</v>
                </pt>
              </numCache>
            </numRef>
          </val>
          <smooth val="0"/>
        </ser>
        <ser>
          <idx val="2"/>
          <order val="2"/>
          <tx>
            <strRef>
              <f>'Share Price Analysis'!$J$35</f>
              <strCache>
                <ptCount val="1"/>
                <pt idx="0">
                  <v>XLB Cumulative Return</v>
                </pt>
              </strCache>
            </strRef>
          </tx>
          <spPr>
            <a:ln w="1905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Analysis'!$J$36:$J$787</f>
              <numCache>
                <formatCode>0.00%</formatCode>
                <ptCount val="752"/>
                <pt idx="0">
                  <v>0</v>
                </pt>
                <pt idx="1">
                  <v>-0.01970443349753692</v>
                </pt>
                <pt idx="2">
                  <v>-0.0148984741078938</v>
                </pt>
                <pt idx="3">
                  <v>-0.04024990988826149</v>
                </pt>
                <pt idx="4">
                  <v>-0.06067523729424484</v>
                </pt>
                <pt idx="5">
                  <v>-0.07028715607353131</v>
                </pt>
                <pt idx="6">
                  <v>-0.05839240658416445</v>
                </pt>
                <pt idx="7">
                  <v>-0.08891024870839859</v>
                </pt>
                <pt idx="8">
                  <v>-0.07845728703592481</v>
                </pt>
                <pt idx="9">
                  <v>-0.09275501622011317</v>
                </pt>
                <pt idx="10">
                  <v>-0.07809684008170159</v>
                </pt>
                <pt idx="11">
                  <v>-0.06692298450078138</v>
                </pt>
                <pt idx="12">
                  <v>-0.08350354439505014</v>
                </pt>
                <pt idx="13">
                  <v>-0.0845848852577199</v>
                </pt>
                <pt idx="14">
                  <v>-0.07713564820377283</v>
                </pt>
                <pt idx="15">
                  <v>-0.07028715607353131</v>
                </pt>
                <pt idx="16">
                  <v>-0.0658416436381114</v>
                </pt>
                <pt idx="17">
                  <v>-0.05286555328607478</v>
                </pt>
                <pt idx="18">
                  <v>-0.04637750811005636</v>
                </pt>
                <pt idx="19">
                  <v>-0.03087828907845735</v>
                </pt>
                <pt idx="20">
                  <v>-0.02475069085666215</v>
                </pt>
                <pt idx="21">
                  <v>-0.03880812207136841</v>
                </pt>
                <pt idx="22">
                  <v>-0.04097080379670792</v>
                </pt>
                <pt idx="23">
                  <v>-0.04325363450678832</v>
                </pt>
                <pt idx="24">
                  <v>-0.0386879730866273</v>
                </pt>
                <pt idx="25">
                  <v>-0.03123873603268057</v>
                </pt>
                <pt idx="26">
                  <v>-0.03051784212423414</v>
                </pt>
                <pt idx="27">
                  <v>-0.02054547639072468</v>
                </pt>
                <pt idx="28">
                  <v>-0.0276342664904482</v>
                </pt>
                <pt idx="29">
                  <v>-0.02198726420761754</v>
                </pt>
                <pt idx="30">
                  <v>-0.01790219872642107</v>
                </pt>
                <pt idx="31">
                  <v>-0.02066562537546579</v>
                </pt>
                <pt idx="32">
                  <v>-0.02174696623813555</v>
                </pt>
                <pt idx="33">
                  <v>-0.03039769313949325</v>
                </pt>
                <pt idx="34">
                  <v>-0.02378949897873406</v>
                </pt>
                <pt idx="35">
                  <v>-0.04493572029316395</v>
                </pt>
                <pt idx="36">
                  <v>-0.05622972485882527</v>
                </pt>
                <pt idx="37">
                  <v>-0.04337378349152976</v>
                </pt>
                <pt idx="38">
                  <v>-0.03219992791060955</v>
                </pt>
                <pt idx="39">
                  <v>-0.03268052384957376</v>
                </pt>
                <pt idx="40">
                  <v>-0.0420521446593779</v>
                </pt>
                <pt idx="41">
                  <v>-0.0526252553165929</v>
                </pt>
                <pt idx="42">
                  <v>-0.05875285353838777</v>
                </pt>
                <pt idx="43">
                  <v>-0.04289318755256533</v>
                </pt>
                <pt idx="44">
                  <v>-0.04601706115583326</v>
                </pt>
                <pt idx="45">
                  <v>-0.05466778805719097</v>
                </pt>
                <pt idx="46">
                  <v>-0.05406704313348565</v>
                </pt>
                <pt idx="47">
                  <v>-0.06331851495854879</v>
                </pt>
                <pt idx="48">
                  <v>-0.0616364291721736</v>
                </pt>
                <pt idx="49">
                  <v>-0.05370659617926221</v>
                </pt>
                <pt idx="50">
                  <v>-0.06932596419560266</v>
                </pt>
                <pt idx="51">
                  <v>-0.06319836597380757</v>
                </pt>
                <pt idx="52">
                  <v>-0.05767151267571791</v>
                </pt>
                <pt idx="53">
                  <v>-0.0552685329808964</v>
                </pt>
                <pt idx="54">
                  <v>-0.06019464135528063</v>
                </pt>
                <pt idx="55">
                  <v>-0.07473266850895111</v>
                </pt>
                <pt idx="56">
                  <v>-0.08530577916616611</v>
                </pt>
                <pt idx="57">
                  <v>-0.08854980175417526</v>
                </pt>
                <pt idx="58">
                  <v>-0.08398414033401436</v>
                </pt>
                <pt idx="59">
                  <v>-0.08891024870839859</v>
                </pt>
                <pt idx="60">
                  <v>-0.09864231647242605</v>
                </pt>
                <pt idx="61">
                  <v>-0.08662741799831808</v>
                </pt>
                <pt idx="62">
                  <v>-0.05598942688934305</v>
                </pt>
                <pt idx="63">
                  <v>-0.05671032079778937</v>
                </pt>
                <pt idx="64">
                  <v>-0.0507028715607355</v>
                </pt>
                <pt idx="65">
                  <v>-0.03940886699507407</v>
                </pt>
                <pt idx="66">
                  <v>-0.04289318755256544</v>
                </pt>
                <pt idx="67">
                  <v>-0.0508230205454766</v>
                </pt>
                <pt idx="68">
                  <v>-0.0464976570947977</v>
                </pt>
                <pt idx="69">
                  <v>-0.02439024390243916</v>
                </pt>
                <pt idx="70">
                  <v>-0.02847530938363585</v>
                </pt>
                <pt idx="71">
                  <v>-0.02018502943650147</v>
                </pt>
                <pt idx="72">
                  <v>-0.01778204974167974</v>
                </pt>
                <pt idx="73">
                  <v>-0.03580439745284159</v>
                </pt>
                <pt idx="74">
                  <v>-0.03268052384957354</v>
                </pt>
                <pt idx="75">
                  <v>-0.03496335455965427</v>
                </pt>
                <pt idx="76">
                  <v>-0.04277303856782422</v>
                </pt>
                <pt idx="77">
                  <v>-0.03280067283431476</v>
                </pt>
                <pt idx="78">
                  <v>-0.01910368857383171</v>
                </pt>
                <pt idx="79">
                  <v>-0.02583203171933224</v>
                </pt>
                <pt idx="80">
                  <v>-0.01357683527574227</v>
                </pt>
                <pt idx="81">
                  <v>-0.004325363450679132</v>
                </pt>
                <pt idx="82">
                  <v>-0.0006007449237055429</v>
                </pt>
                <pt idx="83">
                  <v>-0.02523128679562692</v>
                </pt>
                <pt idx="84">
                  <v>-0.03232007689535055</v>
                </pt>
                <pt idx="85">
                  <v>-0.02390964796347528</v>
                </pt>
                <pt idx="86">
                  <v>-0.02414994593295738</v>
                </pt>
                <pt idx="87">
                  <v>-0.01453802715367114</v>
                </pt>
                <pt idx="88">
                  <v>-0.001561936801634523</v>
                </pt>
                <pt idx="89">
                  <v>0.006247747206535648</v>
                </pt>
                <pt idx="90">
                  <v>0.0003604469542228816</v>
                </pt>
                <pt idx="91">
                  <v>0.001321638832151528</v>
                </pt>
                <pt idx="92">
                  <v>0.009131322840321587</v>
                </pt>
                <pt idx="93">
                  <v>0.003724618526973256</v>
                </pt>
                <pt idx="94">
                  <v>0.006127598221794761</v>
                </pt>
                <pt idx="95">
                  <v>0.00624774720653587</v>
                </pt>
                <pt idx="96">
                  <v>0.009371620809804027</v>
                </pt>
                <pt idx="97">
                  <v>0.02751411750570676</v>
                </pt>
                <pt idx="98">
                  <v>0.0240297969482155</v>
                </pt>
                <pt idx="99">
                  <v>0.0174216027874563</v>
                </pt>
                <pt idx="100">
                  <v>0.02451039288717971</v>
                </pt>
                <pt idx="101">
                  <v>0.02991709720052826</v>
                </pt>
                <pt idx="102">
                  <v>0.02535143578036725</v>
                </pt>
                <pt idx="103">
                  <v>0.01261564339781285</v>
                </pt>
                <pt idx="104">
                  <v>0.006367896191276756</v>
                </pt>
                <pt idx="105">
                  <v>0.004085065481196137</v>
                </pt>
                <pt idx="106">
                  <v>0.01069325964195555</v>
                </pt>
                <pt idx="107">
                  <v>-4.440892098500626e-16</v>
                </pt>
                <pt idx="108">
                  <v>-0.004085065481197137</v>
                </pt>
                <pt idx="109">
                  <v>-0.003364171572750707</v>
                </pt>
                <pt idx="110">
                  <v>-0.006127598221795538</v>
                </pt>
                <pt idx="111">
                  <v>-0.003964916496456028</v>
                </pt>
                <pt idx="112">
                  <v>-0.0201850294365018</v>
                </pt>
                <pt idx="113">
                  <v>-0.02679322359726111</v>
                </pt>
                <pt idx="114">
                  <v>-0.02871560735311829</v>
                </pt>
                <pt idx="115">
                  <v>-0.0288357563378594</v>
                </pt>
                <pt idx="116">
                  <v>-0.02871560735311818</v>
                </pt>
                <pt idx="117">
                  <v>-0.02955665024630572</v>
                </pt>
                <pt idx="118">
                  <v>-0.02799471344467153</v>
                </pt>
                <pt idx="119">
                  <v>-0.03207977892586822</v>
                </pt>
                <pt idx="120">
                  <v>-0.02919620329208228</v>
                </pt>
                <pt idx="121">
                  <v>-0.02210741319235854</v>
                </pt>
                <pt idx="122">
                  <v>-0.005887300252312877</v>
                </pt>
                <pt idx="123">
                  <v>-0.003604469542232147</v>
                </pt>
                <pt idx="124">
                  <v>-0.004085065481196581</v>
                </pt>
                <pt idx="125">
                  <v>0.007088790099723852</v>
                </pt>
                <pt idx="126">
                  <v>-0.01153430253514343</v>
                </pt>
                <pt idx="127">
                  <v>-0.01369698426048283</v>
                </pt>
                <pt idx="128">
                  <v>-0.01814249669590273</v>
                </pt>
                <pt idx="129">
                  <v>-0.01718130481797397</v>
                </pt>
                <pt idx="130">
                  <v>-0.01297609035203617</v>
                </pt>
                <pt idx="131">
                  <v>-0.01525892106211679</v>
                </pt>
                <pt idx="132">
                  <v>-0.02102607232968845</v>
                </pt>
                <pt idx="133">
                  <v>-0.007208939084464405</v>
                </pt>
                <pt idx="134">
                  <v>-0.01826264568064373</v>
                </pt>
                <pt idx="135">
                  <v>-0.02703352156674244</v>
                </pt>
                <pt idx="136">
                  <v>-0.02787456445993008</v>
                </pt>
                <pt idx="137">
                  <v>-0.03808722816292165</v>
                </pt>
                <pt idx="138">
                  <v>-0.05743121470623536</v>
                </pt>
                <pt idx="139">
                  <v>-0.058392406584164</v>
                </pt>
                <pt idx="140">
                  <v>-0.05094316953021727</v>
                </pt>
                <pt idx="141">
                  <v>-0.06464015379070032</v>
                </pt>
                <pt idx="142">
                  <v>-0.06476030277544131</v>
                </pt>
                <pt idx="143">
                  <v>-0.05466778805719075</v>
                </pt>
                <pt idx="144">
                  <v>-0.05622972485882494</v>
                </pt>
                <pt idx="145">
                  <v>-0.06872521927189712</v>
                </pt>
                <pt idx="146">
                  <v>-0.07124834795145985</v>
                </pt>
                <pt idx="147">
                  <v>-0.06031479034002174</v>
                </pt>
                <pt idx="148">
                  <v>-0.07172894389042406</v>
                </pt>
                <pt idx="149">
                  <v>-0.06295806800432546</v>
                </pt>
                <pt idx="150">
                  <v>-0.0617565781569146</v>
                </pt>
                <pt idx="151">
                  <v>-0.05178421242340503</v>
                </pt>
                <pt idx="152">
                  <v>-0.04950138171332463</v>
                </pt>
                <pt idx="153">
                  <v>-0.06367896191277178</v>
                </pt>
                <pt idx="154">
                  <v>-0.06716328247026315</v>
                </pt>
                <pt idx="155">
                  <v>-0.05803195962994101</v>
                </pt>
                <pt idx="156">
                  <v>-0.04878048780487809</v>
                </pt>
                <pt idx="157">
                  <v>-0.07341102967679924</v>
                </pt>
                <pt idx="158">
                  <v>-0.08422443830349646</v>
                </pt>
                <pt idx="159">
                  <v>-0.09527814489967579</v>
                </pt>
                <pt idx="160">
                  <v>-0.1053706596179265</v>
                </pt>
                <pt idx="161">
                  <v>-0.09479754896071135</v>
                </pt>
                <pt idx="162">
                  <v>-0.1053706596179265</v>
                </pt>
                <pt idx="163">
                  <v>-0.09912291241139015</v>
                </pt>
                <pt idx="164">
                  <v>-0.09948335936561337</v>
                </pt>
                <pt idx="165">
                  <v>-0.09023188754055023</v>
                </pt>
                <pt idx="166">
                  <v>-0.08614682205935364</v>
                </pt>
                <pt idx="167">
                  <v>-0.08566622612038943</v>
                </pt>
                <pt idx="168">
                  <v>-0.0680043253634508</v>
                </pt>
                <pt idx="169">
                  <v>-0.05334614922503911</v>
                </pt>
                <pt idx="170">
                  <v>-0.05803195962994123</v>
                </pt>
                <pt idx="171">
                  <v>-0.0762946053105853</v>
                </pt>
                <pt idx="172">
                  <v>-0.07341102967679936</v>
                </pt>
                <pt idx="173">
                  <v>-0.08134086266971075</v>
                </pt>
                <pt idx="174">
                  <v>-0.07052745404301353</v>
                </pt>
                <pt idx="175">
                  <v>-0.07184909287516539</v>
                </pt>
                <pt idx="176">
                  <v>-0.0444551243541994</v>
                </pt>
                <pt idx="177">
                  <v>-0.04024990988826183</v>
                </pt>
                <pt idx="178">
                  <v>-0.03736633425447589</v>
                </pt>
                <pt idx="179">
                  <v>-0.03556409948335992</v>
                </pt>
                <pt idx="180">
                  <v>-0.03388201369698485</v>
                </pt>
                <pt idx="181">
                  <v>-0.03015739517001137</v>
                </pt>
                <pt idx="182">
                  <v>-0.02955665024630594</v>
                </pt>
                <pt idx="183">
                  <v>-0.02535143578036803</v>
                </pt>
                <pt idx="184">
                  <v>-0.02655292562777889</v>
                </pt>
                <pt idx="185">
                  <v>-0.02463054187192137</v>
                </pt>
                <pt idx="186">
                  <v>-0.01958428451279637</v>
                </pt>
                <pt idx="187">
                  <v>-0.009852216748768905</v>
                </pt>
                <pt idx="188">
                  <v>0.001441787816892415</v>
                </pt>
                <pt idx="189">
                  <v>-0.01021266370299223</v>
                </pt>
                <pt idx="190">
                  <v>-0.02378949897873406</v>
                </pt>
                <pt idx="191">
                  <v>-0.02583203171933246</v>
                </pt>
                <pt idx="192">
                  <v>-0.01922383755857315</v>
                </pt>
                <pt idx="193">
                  <v>-0.01561936801634067</v>
                </pt>
                <pt idx="194">
                  <v>-0.008650726901358152</v>
                </pt>
                <pt idx="195">
                  <v>-0.002883575633786495</v>
                </pt>
                <pt idx="196">
                  <v>0.009251471825062696</v>
                </pt>
                <pt idx="197">
                  <v>0.02595218070407257</v>
                </pt>
                <pt idx="198">
                  <v>0.02330890303976885</v>
                </pt>
                <pt idx="199">
                  <v>0.01778204974167918</v>
                </pt>
                <pt idx="200">
                  <v>0.02715367055148321</v>
                </pt>
                <pt idx="201">
                  <v>0.01141415355040198</v>
                </pt>
                <pt idx="202">
                  <v>0.02210741319235776</v>
                </pt>
                <pt idx="203">
                  <v>0.02847530938363496</v>
                </pt>
                <pt idx="204">
                  <v>0.03328126877327819</v>
                </pt>
                <pt idx="205">
                  <v>0.03580439745284081</v>
                </pt>
                <pt idx="206">
                  <v>0.03183948095638534</v>
                </pt>
                <pt idx="207">
                  <v>0.02775441547518875</v>
                </pt>
                <pt idx="208">
                  <v>0.02595218070407235</v>
                </pt>
                <pt idx="209">
                  <v>0.01489847410789302</v>
                </pt>
                <pt idx="210">
                  <v>0.01165445151988398</v>
                </pt>
                <pt idx="211">
                  <v>0.01333653730625906</v>
                </pt>
                <pt idx="212">
                  <v>0.01766190075693785</v>
                </pt>
                <pt idx="213">
                  <v>0.006007449237053208</v>
                </pt>
                <pt idx="214">
                  <v>0.004685810404901236</v>
                </pt>
                <pt idx="215">
                  <v>0.00168208578637441</v>
                </pt>
                <pt idx="216">
                  <v>0.002643277664303056</v>
                </pt>
                <pt idx="217">
                  <v>-0.008891024870840702</v>
                </pt>
                <pt idx="218">
                  <v>-0.01609996395530533</v>
                </pt>
                <pt idx="219">
                  <v>-0.01297609035203717</v>
                </pt>
                <pt idx="220">
                  <v>-0.01201489847410864</v>
                </pt>
                <pt idx="221">
                  <v>-0.009131322840322809</v>
                </pt>
                <pt idx="222">
                  <v>-0.005887300252313765</v>
                </pt>
                <pt idx="223">
                  <v>-0.01934398654331448</v>
                </pt>
                <pt idx="224">
                  <v>-0.009011173855581589</v>
                </pt>
                <pt idx="225">
                  <v>-0.008650726901358374</v>
                </pt>
                <pt idx="226">
                  <v>-0.003724618526974255</v>
                </pt>
                <pt idx="227">
                  <v>0.0008410428931866498</v>
                </pt>
                <pt idx="228">
                  <v>-0.01225519644359097</v>
                </pt>
                <pt idx="229">
                  <v>0.004205214465937024</v>
                </pt>
                <pt idx="230">
                  <v>-0.001682085786375742</v>
                </pt>
                <pt idx="231">
                  <v>-0.02703352156674343</v>
                </pt>
                <pt idx="232">
                  <v>-0.009852216748769349</v>
                </pt>
                <pt idx="233">
                  <v>-0.00192238375585807</v>
                </pt>
                <pt idx="234">
                  <v>-0.003244022588009932</v>
                </pt>
                <pt idx="235">
                  <v>-0.001081340862670421</v>
                </pt>
                <pt idx="236">
                  <v>0.006848492130240746</v>
                </pt>
                <pt idx="237">
                  <v>-0.007329088069206402</v>
                </pt>
                <pt idx="238">
                  <v>-0.0009611918779292017</v>
                </pt>
                <pt idx="239">
                  <v>0.01790219872642007</v>
                </pt>
                <pt idx="240">
                  <v>0.02330890303976862</v>
                </pt>
                <pt idx="241">
                  <v>0.02114622131442911</v>
                </pt>
                <pt idx="242">
                  <v>0.02679322359725989</v>
                </pt>
                <pt idx="243">
                  <v>0.03712603628499278</v>
                </pt>
                <pt idx="244">
                  <v>0.04325363450678776</v>
                </pt>
                <pt idx="245">
                  <v>0.03700588730025167</v>
                </pt>
                <pt idx="246">
                  <v>0.04085065481196604</v>
                </pt>
                <pt idx="247">
                  <v>0.0440946773999753</v>
                </pt>
                <pt idx="248">
                  <v>0.05202451039288647</v>
                </pt>
                <pt idx="249">
                  <v>0.05683046978252948</v>
                </pt>
                <pt idx="250">
                  <v>0.06452000480595865</v>
                </pt>
                <pt idx="251">
                  <v>0.05887300252312788</v>
                </pt>
                <pt idx="252">
                  <v>0.06668268653129794</v>
                </pt>
                <pt idx="253">
                  <v>0.07977892586807545</v>
                </pt>
                <pt idx="254">
                  <v>0.07353117866153935</v>
                </pt>
                <pt idx="255">
                  <v>0.08566622612038821</v>
                </pt>
                <pt idx="256">
                  <v>0.0855460771356471</v>
                </pt>
                <pt idx="257">
                  <v>0.0962393367776031</v>
                </pt>
                <pt idx="258">
                  <v>0.09047218551003144</v>
                </pt>
                <pt idx="259">
                  <v>0.09095278144899566</v>
                </pt>
                <pt idx="260">
                  <v>0.08903039769313836</v>
                </pt>
                <pt idx="261">
                  <v>0.08915054667787947</v>
                </pt>
                <pt idx="262">
                  <v>0.1000841042893177</v>
                </pt>
                <pt idx="263">
                  <v>0.1046497657094787</v>
                </pt>
                <pt idx="264">
                  <v>0.09780127357923729</v>
                </pt>
                <pt idx="265">
                  <v>0.09816172053346062</v>
                </pt>
                <pt idx="266">
                  <v>0.09732067764027286</v>
                </pt>
                <pt idx="267">
                  <v>0.1130601946413541</v>
                </pt>
                <pt idx="268">
                  <v>0.1160639192598811</v>
                </pt>
                <pt idx="269">
                  <v>0.1134206415955774</v>
                </pt>
                <pt idx="270">
                  <v>0.1093355761143806</v>
                </pt>
                <pt idx="271">
                  <v>0.1159437702751398</v>
                </pt>
                <pt idx="272">
                  <v>0.1046497657094785</v>
                </pt>
                <pt idx="273">
                  <v>0.1146221314429881</v>
                </pt>
                <pt idx="274">
                  <v>0.1154631743361756</v>
                </pt>
                <pt idx="275">
                  <v>0.1181064520004793</v>
                </pt>
                <pt idx="276">
                  <v>0.1006848492130228</v>
                </pt>
                <pt idx="277">
                  <v>0.09984380631983547</v>
                </pt>
                <pt idx="278">
                  <v>0.08037967079178077</v>
                </pt>
                <pt idx="279">
                  <v>0.07521326444791421</v>
                </pt>
                <pt idx="280">
                  <v>0.06692298450077971</v>
                </pt>
                <pt idx="281">
                  <v>0.06932596419560144</v>
                </pt>
                <pt idx="282">
                  <v>0.06968641114982477</v>
                </pt>
                <pt idx="283">
                  <v>0.06884536825663723</v>
                </pt>
                <pt idx="284">
                  <v>0.06992670911930698</v>
                </pt>
                <pt idx="285">
                  <v>0.06067523729424407</v>
                </pt>
                <pt idx="286">
                  <v>0.06139613120269072</v>
                </pt>
                <pt idx="287">
                  <v>0.06896551724137878</v>
                </pt>
                <pt idx="288">
                  <v>0.0755737114021382</v>
                </pt>
                <pt idx="289">
                  <v>0.08458488525771912</v>
                </pt>
                <pt idx="290">
                  <v>0.0648804517601822</v>
                </pt>
                <pt idx="291">
                  <v>0.07040730505827186</v>
                </pt>
                <pt idx="292">
                  <v>0.0648804517601822</v>
                </pt>
                <pt idx="293">
                  <v>0.07569386038687931</v>
                </pt>
                <pt idx="294">
                  <v>0.08218190556289762</v>
                </pt>
                <pt idx="295">
                  <v>0.09503784693019313</v>
                </pt>
                <pt idx="296">
                  <v>0.0899915895710679</v>
                </pt>
                <pt idx="297">
                  <v>0.102126637029917</v>
                </pt>
                <pt idx="298">
                  <v>0.1034482758620687</v>
                </pt>
                <pt idx="299">
                  <v>0.1027273819536223</v>
                </pt>
                <pt idx="300">
                  <v>0.1038087228162921</v>
                </pt>
                <pt idx="301">
                  <v>0.1057311065721491</v>
                </pt>
                <pt idx="302">
                  <v>0.09780127357923796</v>
                </pt>
                <pt idx="303">
                  <v>0.1071728943890422</v>
                </pt>
                <pt idx="304">
                  <v>0.1087348311906762</v>
                </pt>
                <pt idx="305">
                  <v>0.1087348311906762</v>
                </pt>
                <pt idx="306">
                  <v>0.09792142256397884</v>
                </pt>
                <pt idx="307">
                  <v>0.08818935479995149</v>
                </pt>
                <pt idx="308">
                  <v>0.09768112459449685</v>
                </pt>
                <pt idx="309">
                  <v>0.09347591012855916</v>
                </pt>
                <pt idx="310">
                  <v>0.07785654211221882</v>
                </pt>
                <pt idx="311">
                  <v>0.08662741799831775</v>
                </pt>
                <pt idx="312">
                  <v>0.09972365733509525</v>
                </pt>
                <pt idx="313">
                  <v>0.09323561215907694</v>
                </pt>
                <pt idx="314">
                  <v>0.08110056470022808</v>
                </pt>
                <pt idx="315">
                  <v>0.08854980175417482</v>
                </pt>
                <pt idx="316">
                  <v>0.08975129160158568</v>
                </pt>
                <pt idx="317">
                  <v>0.07881773399014746</v>
                </pt>
                <pt idx="318">
                  <v>0.07773639312747771</v>
                </pt>
                <pt idx="319">
                  <v>0.07737594617325438</v>
                </pt>
                <pt idx="320">
                  <v>0.07941847891385279</v>
                </pt>
                <pt idx="321">
                  <v>0.07905803195962946</v>
                </pt>
                <pt idx="322">
                  <v>0.06908566622611989</v>
                </pt>
                <pt idx="323">
                  <v>0.07701549921903106</v>
                </pt>
                <pt idx="324">
                  <v>0.07581400937162019</v>
                </pt>
                <pt idx="325">
                  <v>0.07689535023428973</v>
                </pt>
                <pt idx="326">
                  <v>0.07701549921903106</v>
                </pt>
                <pt idx="327">
                  <v>0.07881773399014724</v>
                </pt>
                <pt idx="328">
                  <v>0.0651207497296642</v>
                </pt>
                <pt idx="329">
                  <v>0.06439985582121777</v>
                </pt>
                <pt idx="330">
                  <v>0.06139613120269072</v>
                </pt>
                <pt idx="331">
                  <v>0.06103568424846739</v>
                </pt>
                <pt idx="332">
                  <v>0.04469542232368062</v>
                </pt>
                <pt idx="333">
                  <v>0.04661780607953792</v>
                </pt>
                <pt idx="334">
                  <v>0.0544274900877082</v>
                </pt>
                <pt idx="335">
                  <v>0.05610957587408327</v>
                </pt>
                <pt idx="336">
                  <v>0.05923344947735121</v>
                </pt>
                <pt idx="337">
                  <v>0.04842004085065432</v>
                </pt>
                <pt idx="338">
                  <v>0.0624774720653607</v>
                </pt>
                <pt idx="339">
                  <v>0.07701549921903106</v>
                </pt>
                <pt idx="340">
                  <v>0.08734831190676395</v>
                </pt>
                <pt idx="341">
                  <v>0.08458488525771912</v>
                </pt>
                <pt idx="342">
                  <v>0.105610957587408</v>
                </pt>
                <pt idx="343">
                  <v>0.1033281268773276</v>
                </pt>
                <pt idx="344">
                  <v>0.09239456926588963</v>
                </pt>
                <pt idx="345">
                  <v>0.08266250150186227</v>
                </pt>
                <pt idx="346">
                  <v>0.08626697104409464</v>
                </pt>
                <pt idx="347">
                  <v>0.09059233449477344</v>
                </pt>
                <pt idx="348">
                  <v>0.0766550522648084</v>
                </pt>
                <pt idx="349">
                  <v>0.07965877688333545</v>
                </pt>
                <pt idx="350">
                  <v>0.09732067764027397</v>
                </pt>
                <pt idx="351">
                  <v>0.09924306139613126</v>
                </pt>
                <pt idx="352">
                  <v>0.09563859185389889</v>
                </pt>
                <pt idx="353">
                  <v>0.1070527454043013</v>
                </pt>
                <pt idx="354">
                  <v>0.1026072329688814</v>
                </pt>
                <pt idx="355">
                  <v>0.08182145860867496</v>
                </pt>
                <pt idx="356">
                  <v>0.05767151267571813</v>
                </pt>
                <pt idx="357">
                  <v>0.06307821698906668</v>
                </pt>
                <pt idx="358">
                  <v>0.04866033882013721</v>
                </pt>
                <pt idx="359">
                  <v>0.06488045176018264</v>
                </pt>
                <pt idx="360">
                  <v>0.06403940886699511</v>
                </pt>
                <pt idx="361">
                  <v>0.05935359846209298</v>
                </pt>
                <pt idx="362">
                  <v>0.06992670911930787</v>
                </pt>
                <pt idx="363">
                  <v>0.06992670911930787</v>
                </pt>
                <pt idx="364">
                  <v>0.08686771596779996</v>
                </pt>
                <pt idx="365">
                  <v>0.08818935479995194</v>
                </pt>
                <pt idx="366">
                  <v>0.09335576114381827</v>
                </pt>
                <pt idx="367">
                  <v>0.08939084464736258</v>
                </pt>
                <pt idx="368">
                  <v>0.1018863390604348</v>
                </pt>
                <pt idx="369">
                  <v>0.09960350835035436</v>
                </pt>
                <pt idx="370">
                  <v>0.1141415355040249</v>
                </pt>
                <pt idx="371">
                  <v>0.1190676438784091</v>
                </pt>
                <pt idx="372">
                  <v>0.1191877928631502</v>
                </pt>
                <pt idx="373">
                  <v>0.1143818334735069</v>
                </pt>
                <pt idx="374">
                  <v>0.1205094316953019</v>
                </pt>
                <pt idx="375">
                  <v>0.1327646281388919</v>
                </pt>
                <pt idx="376">
                  <v>0.1070527454043011</v>
                </pt>
                <pt idx="377">
                  <v>0.1024870839841401</v>
                </pt>
                <pt idx="378">
                  <v>0.09383635708278226</v>
                </pt>
                <pt idx="379">
                  <v>0.08001922383755811</v>
                </pt>
                <pt idx="380">
                  <v>0.09047218551003189</v>
                </pt>
                <pt idx="381">
                  <v>0.0909527814489961</v>
                </pt>
                <pt idx="382">
                  <v>0.09359605911329982</v>
                </pt>
                <pt idx="383">
                  <v>0.1036885738315505</v>
                </pt>
                <pt idx="384">
                  <v>0.1136609395650601</v>
                </pt>
                <pt idx="385">
                  <v>0.123993752252793</v>
                </pt>
                <pt idx="386">
                  <v>0.1261564339781325</v>
                </pt>
                <pt idx="387">
                  <v>0.1213504745884892</v>
                </pt>
                <pt idx="388">
                  <v>0.1382914814369813</v>
                </pt>
                <pt idx="389">
                  <v>0.1302414994593291</v>
                </pt>
                <pt idx="390">
                  <v>0.1350474588489723</v>
                </pt>
                <pt idx="391">
                  <v>0.1505466778805715</v>
                </pt>
                <pt idx="392">
                  <v>0.1428571428571426</v>
                </pt>
                <pt idx="393">
                  <v>0.1665264928511352</v>
                </pt>
                <pt idx="394">
                  <v>0.1644839601105368</v>
                </pt>
                <pt idx="395">
                  <v>0.1579959149345185</v>
                </pt>
                <pt idx="396">
                  <v>0.1551123393007328</v>
                </pt>
                <pt idx="397">
                  <v>0.1506668268653129</v>
                </pt>
                <pt idx="398">
                  <v>0.1379310344827585</v>
                </pt>
                <pt idx="399">
                  <v>0.1434578877808483</v>
                </pt>
                <pt idx="400">
                  <v>0.1400937162080982</v>
                </pt>
                <pt idx="401">
                  <v>0.1348071608794907</v>
                </pt>
                <pt idx="402">
                  <v>0.1420160999639555</v>
                </pt>
                <pt idx="403">
                  <v>0.1446593776282592</v>
                </pt>
                <pt idx="404">
                  <v>0.1521086146822062</v>
                </pt>
                <pt idx="405">
                  <v>0.1587168088429654</v>
                </pt>
                <pt idx="406">
                  <v>0.1575153189955547</v>
                </pt>
                <pt idx="407">
                  <v>0.1665264928511356</v>
                </pt>
                <pt idx="408">
                  <v>0.1683287276222518</v>
                </pt>
                <pt idx="409">
                  <v>0.1730145380271537</v>
                </pt>
                <pt idx="410">
                  <v>0.1640033641715728</v>
                </pt>
                <pt idx="411">
                  <v>0.1533101045296168</v>
                </pt>
                <pt idx="412">
                  <v>0.1501862309263489</v>
                </pt>
                <pt idx="413">
                  <v>0.1361287997116425</v>
                </pt>
                <pt idx="414">
                  <v>0.1289198606271778</v>
                </pt>
                <pt idx="415">
                  <v>0.1382914814369818</v>
                </pt>
                <pt idx="416">
                  <v>0.1309623933677759</v>
                </pt>
                <pt idx="417">
                  <v>0.1370899915895711</v>
                </pt>
                <pt idx="418">
                  <v>0.1220713684969363</v>
                </pt>
                <pt idx="419">
                  <v>0.1189474948936682</v>
                </pt>
                <pt idx="420">
                  <v>0.1238736032680525</v>
                </pt>
                <pt idx="421">
                  <v>0.1255556890544276</v>
                </pt>
                <pt idx="422">
                  <v>0.1410549080860268</v>
                </pt>
                <pt idx="423">
                  <v>0.1455004205214467</v>
                </pt>
                <pt idx="424">
                  <v>0.1350474588489727</v>
                </pt>
                <pt idx="425">
                  <v>0.1301213504745886</v>
                </pt>
                <pt idx="426">
                  <v>0.1108975129160159</v>
                </pt>
                <pt idx="427">
                  <v>0.1135407905803199</v>
                </pt>
                <pt idx="428">
                  <v>0.1044094677399978</v>
                </pt>
                <pt idx="429">
                  <v>0.09671993271656887</v>
                </pt>
                <pt idx="430">
                  <v>0.1052505106331854</v>
                </pt>
                <pt idx="431">
                  <v>0.101646041090953</v>
                </pt>
                <pt idx="432">
                  <v>0.1106572149465339</v>
                </pt>
                <pt idx="433">
                  <v>0.1242340502222756</v>
                </pt>
                <pt idx="434">
                  <v>0.1304817974288117</v>
                </pt>
                <pt idx="435">
                  <v>0.1421362489486964</v>
                </pt>
                <pt idx="436">
                  <v>0.1336056710320797</v>
                </pt>
                <pt idx="437">
                  <v>0.1330049261083743</v>
                </pt>
                <pt idx="438">
                  <v>0.1387720773759462</v>
                </pt>
                <pt idx="439">
                  <v>0.1380511834674998</v>
                </pt>
                <pt idx="440">
                  <v>0.1344467139252674</v>
                </pt>
                <pt idx="441">
                  <v>0.1233930073290881</v>
                </pt>
                <pt idx="442">
                  <v>0.1086146822059353</v>
                </pt>
                <pt idx="443">
                  <v>0.1042893187552565</v>
                </pt>
                <pt idx="444">
                  <v>0.1040490207857743</v>
                </pt>
                <pt idx="445">
                  <v>0.09275501622011295</v>
                </pt>
                <pt idx="446">
                  <v>0.08891024870839837</v>
                </pt>
                <pt idx="447">
                  <v>0.08134086266971052</v>
                </pt>
                <pt idx="448">
                  <v>0.07208939084464738</v>
                </pt>
                <pt idx="449">
                  <v>0.06259762105010203</v>
                </pt>
                <pt idx="450">
                  <v>0.05671032079778926</v>
                </pt>
                <pt idx="451">
                  <v>0.02667307461251944</v>
                </pt>
                <pt idx="452">
                  <v>0.01561936801634012</v>
                </pt>
                <pt idx="453">
                  <v>0.02823501141415341</v>
                </pt>
                <pt idx="454">
                  <v>0.02210741319235821</v>
                </pt>
                <pt idx="455">
                  <v>0.02763426649044787</v>
                </pt>
                <pt idx="456">
                  <v>0.0260723296888139</v>
                </pt>
                <pt idx="457">
                  <v>0.02054547639072424</v>
                </pt>
                <pt idx="458">
                  <v>0.006848492130241191</v>
                </pt>
                <pt idx="459">
                  <v>0.01093355761143799</v>
                </pt>
                <pt idx="460">
                  <v>-0.0002402979694823282</v>
                </pt>
                <pt idx="461">
                  <v>-0.0004805959389644343</v>
                </pt>
                <pt idx="462">
                  <v>0.00624774720653587</v>
                </pt>
                <pt idx="463">
                  <v>0.005647002282830549</v>
                </pt>
                <pt idx="464">
                  <v>0.01117385558091999</v>
                </pt>
                <pt idx="465">
                  <v>0.0008410428931870939</v>
                </pt>
                <pt idx="466">
                  <v>0.02318875405502774</v>
                </pt>
                <pt idx="467">
                  <v>0.03592454643758214</v>
                </pt>
                <pt idx="468">
                  <v>0.0457767631863506</v>
                </pt>
                <pt idx="469">
                  <v>0.0544274900877082</v>
                </pt>
                <pt idx="470">
                  <v>0.06127598221794961</v>
                </pt>
                <pt idx="471">
                  <v>0.07485281749369155</v>
                </pt>
                <pt idx="472">
                  <v>0.06620209059233395</v>
                </pt>
                <pt idx="473">
                  <v>0.07208939084464694</v>
                </pt>
                <pt idx="474">
                  <v>0.06932596419560211</v>
                </pt>
                <pt idx="475">
                  <v>0.06992670911930743</v>
                </pt>
                <pt idx="476">
                  <v>0.06644238856181617</v>
                </pt>
                <pt idx="477">
                  <v>0.06452000480595887</v>
                </pt>
                <pt idx="478">
                  <v>0.07461251952420955</v>
                </pt>
                <pt idx="479">
                  <v>0.06680283551603949</v>
                </pt>
                <pt idx="480">
                  <v>0.06788417637870903</v>
                </pt>
                <pt idx="481">
                  <v>0.07100804998197696</v>
                </pt>
                <pt idx="482">
                  <v>0.07016700708878942</v>
                </pt>
                <pt idx="483">
                  <v>0.0738916256157629</v>
                </pt>
                <pt idx="484">
                  <v>0.0607953862789854</v>
                </pt>
                <pt idx="485">
                  <v>0.06620209059233373</v>
                </pt>
                <pt idx="486">
                  <v>0.07244983779887004</v>
                </pt>
                <pt idx="487">
                  <v>0.06476030277544109</v>
                </pt>
                <pt idx="488">
                  <v>0.08326324642556715</v>
                </pt>
                <pt idx="489">
                  <v>0.07953862789859367</v>
                </pt>
                <pt idx="490">
                  <v>0.0932356121590765</v>
                </pt>
                <pt idx="491">
                  <v>0.08037967079178121</v>
                </pt>
                <pt idx="492">
                  <v>0.07785654211221837</v>
                </pt>
                <pt idx="493">
                  <v>0.05815210861468145</v>
                </pt>
                <pt idx="494">
                  <v>0.05695061876727081</v>
                </pt>
                <pt idx="495">
                  <v>0.0651207497296642</v>
                </pt>
                <pt idx="496">
                  <v>0.06464015379069976</v>
                </pt>
                <pt idx="497">
                  <v>0.05743121470623502</v>
                </pt>
                <pt idx="498">
                  <v>0.06644238856181595</v>
                </pt>
                <pt idx="499">
                  <v>0.04505586927790395</v>
                </pt>
                <pt idx="500">
                  <v>0.03087828907845669</v>
                </pt>
                <pt idx="501">
                  <v>0.05779166166045835</v>
                </pt>
                <pt idx="502">
                  <v>0.05226480836236869</v>
                </pt>
                <pt idx="503">
                  <v>0.05514838399615463</v>
                </pt>
                <pt idx="504">
                  <v>0.03316111978853709</v>
                </pt>
                <pt idx="505">
                  <v>0.02523128679562592</v>
                </pt>
                <pt idx="506">
                  <v>0.02042532740598291</v>
                </pt>
                <pt idx="507">
                  <v>0.01970443349753648</v>
                </pt>
                <pt idx="508">
                  <v>0.0330409708037962</v>
                </pt>
                <pt idx="509">
                  <v>0.04601706115583259</v>
                </pt>
                <pt idx="510">
                  <v>0.04421482638471641</v>
                </pt>
                <pt idx="511">
                  <v>0.04769914694220767</v>
                </pt>
                <pt idx="512">
                  <v>0.04109095278144848</v>
                </pt>
                <pt idx="513">
                  <v>0.03075814009371558</v>
                </pt>
                <pt idx="514">
                  <v>0.0397693139492965</v>
                </pt>
                <pt idx="515">
                  <v>0.03952901597981429</v>
                </pt>
                <pt idx="516">
                  <v>0.04145139973567158</v>
                </pt>
                <pt idx="517">
                  <v>0.04097080379670714</v>
                </pt>
                <pt idx="518">
                  <v>0.02186711522287554</v>
                </pt>
                <pt idx="519">
                  <v>0.03304097080379598</v>
                </pt>
                <pt idx="520">
                  <v>0.03688573831551034</v>
                </pt>
                <pt idx="521">
                  <v>0.04541631623212683</v>
                </pt>
                <pt idx="522">
                  <v>-0.001802234771117184</v>
                </pt>
                <pt idx="523">
                  <v>-0.06427970683647821</v>
                </pt>
                <pt idx="524">
                  <v>-0.07929832992911301</v>
                </pt>
                <pt idx="525">
                  <v>-0.1076534903280075</v>
                </pt>
                <pt idx="526">
                  <v>-0.02967679923104727</v>
                </pt>
                <pt idx="527">
                  <v>-0.06067523729424562</v>
                </pt>
                <pt idx="528">
                  <v>-0.03280067283431543</v>
                </pt>
                <pt idx="529">
                  <v>-0.02114622131443078</v>
                </pt>
                <pt idx="530">
                  <v>-0.02883575633785984</v>
                </pt>
                <pt idx="531">
                  <v>-0.03640514237654768</v>
                </pt>
                <pt idx="532">
                  <v>-0.02979694821578849</v>
                </pt>
                <pt idx="533">
                  <v>-0.04457527333894129</v>
                </pt>
                <pt idx="534">
                  <v>-0.02222756217710065</v>
                </pt>
                <pt idx="535">
                  <v>-0.02102607232968978</v>
                </pt>
                <pt idx="536">
                  <v>0.0001201489847399984</v>
                </pt>
                <pt idx="537">
                  <v>-0.007329088069206735</v>
                </pt>
                <pt idx="538">
                  <v>-0.00552685329809055</v>
                </pt>
                <pt idx="539">
                  <v>0.002763426649043943</v>
                </pt>
                <pt idx="540">
                  <v>0.007929832992910502</v>
                </pt>
                <pt idx="541">
                  <v>0.003484320557490594</v>
                </pt>
                <pt idx="542">
                  <v>0.02042532740598291</v>
                </pt>
                <pt idx="543">
                  <v>0.01285594136729484</v>
                </pt>
                <pt idx="544">
                  <v>0.005526853298088996</v>
                </pt>
                <pt idx="545">
                  <v>-5.551115123125783e-16</v>
                </pt>
                <pt idx="546">
                  <v>0.01333653730625906</v>
                </pt>
                <pt idx="547">
                  <v>0.01597981497056278</v>
                </pt>
                <pt idx="548">
                  <v>0.03952901597981429</v>
                </pt>
                <pt idx="549">
                  <v>0.03436260963594795</v>
                </pt>
                <pt idx="550">
                  <v>0.02487083984140259</v>
                </pt>
                <pt idx="551">
                  <v>0.03532380151387637</v>
                </pt>
                <pt idx="552">
                  <v>0.04589691217109126</v>
                </pt>
                <pt idx="553">
                  <v>0.04854018983539499</v>
                </pt>
                <pt idx="554">
                  <v>0.04673795506427902</v>
                </pt>
                <pt idx="555">
                  <v>0.03280067283431376</v>
                </pt>
                <pt idx="556">
                  <v>0.03171933197164423</v>
                </pt>
                <pt idx="557">
                  <v>0.02967679923104583</v>
                </pt>
                <pt idx="558">
                  <v>0.04769914694220767</v>
                </pt>
                <pt idx="559">
                  <v>0.0334014177580193</v>
                </pt>
                <pt idx="560">
                  <v>0.03724618526973367</v>
                </pt>
                <pt idx="561">
                  <v>0.037366334254475</v>
                </pt>
                <pt idx="562">
                  <v>0.04349393247626976</v>
                </pt>
                <pt idx="563">
                  <v>0.05418719211822576</v>
                </pt>
                <pt idx="564">
                  <v>0.05815210861468145</v>
                </pt>
                <pt idx="565">
                  <v>0.05190436140814536</v>
                </pt>
                <pt idx="566">
                  <v>0.05466778805719019</v>
                </pt>
                <pt idx="567">
                  <v>0.06175657815691382</v>
                </pt>
                <pt idx="568">
                  <v>0.06836477231767324</v>
                </pt>
                <pt idx="569">
                  <v>0.05779166166045835</v>
                </pt>
                <pt idx="570">
                  <v>0.06223717409587803</v>
                </pt>
                <pt idx="571">
                  <v>0.04986182866754696</v>
                </pt>
                <pt idx="572">
                  <v>0.058752853538387</v>
                </pt>
                <pt idx="573">
                  <v>0.04842004085065432</v>
                </pt>
                <pt idx="574">
                  <v>0.0454163162321275</v>
                </pt>
                <pt idx="575">
                  <v>0.03832752613240387</v>
                </pt>
                <pt idx="576">
                  <v>0.04457527333893996</v>
                </pt>
                <pt idx="577">
                  <v>0.05322600024029756</v>
                </pt>
                <pt idx="578">
                  <v>0.04313348552204688</v>
                </pt>
                <pt idx="579">
                  <v>0.05466778805719041</v>
                </pt>
                <pt idx="580">
                  <v>0.05598942688934216</v>
                </pt>
                <pt idx="581">
                  <v>0.05502823501141352</v>
                </pt>
                <pt idx="582">
                  <v>0.08230205454763828</v>
                </pt>
                <pt idx="583">
                  <v>0.09852216748768416</v>
                </pt>
                <pt idx="584">
                  <v>0.09780127357923774</v>
                </pt>
                <pt idx="585">
                  <v>0.08722816292202262</v>
                </pt>
                <pt idx="586">
                  <v>0.09611918779286266</v>
                </pt>
                <pt idx="587">
                  <v>0.1027273819536221</v>
                </pt>
                <pt idx="588">
                  <v>0.1086146822059351</v>
                </pt>
                <pt idx="589">
                  <v>0.09960350835035414</v>
                </pt>
                <pt idx="590">
                  <v>0.09347591012855916</v>
                </pt>
                <pt idx="591">
                  <v>0.07100804998197741</v>
                </pt>
                <pt idx="592">
                  <v>0.07389162561576335</v>
                </pt>
                <pt idx="593">
                  <v>0.08146101165445141</v>
                </pt>
                <pt idx="594">
                  <v>0.0839841403340138</v>
                </pt>
                <pt idx="595">
                  <v>0.08951099363210346</v>
                </pt>
                <pt idx="596">
                  <v>0.1045296167247385</v>
                </pt>
                <pt idx="597">
                  <v>0.1082542352517117</v>
                </pt>
                <pt idx="598">
                  <v>0.09684008170130953</v>
                </pt>
                <pt idx="599">
                  <v>0.1098161720533462</v>
                </pt>
                <pt idx="600">
                  <v>0.09371620809804138</v>
                </pt>
                <pt idx="601">
                  <v>0.08951099363210369</v>
                </pt>
                <pt idx="602">
                  <v>0.06752372942448615</v>
                </pt>
                <pt idx="603">
                  <v>0.05406704313348532</v>
                </pt>
                <pt idx="604">
                  <v>0.04193199567463624</v>
                </pt>
                <pt idx="605">
                  <v>0.05574912891986039</v>
                </pt>
                <pt idx="606">
                  <v>0.06319836597380735</v>
                </pt>
                <pt idx="607">
                  <v>0.05166406343866381</v>
                </pt>
                <pt idx="608">
                  <v>0.05622972485882483</v>
                </pt>
                <pt idx="609">
                  <v>0.06151628018743227</v>
                </pt>
                <pt idx="610">
                  <v>0.05911330049261077</v>
                </pt>
                <pt idx="611">
                  <v>0.07293043373783492</v>
                </pt>
                <pt idx="612">
                  <v>0.09311546317433606</v>
                </pt>
                <pt idx="613">
                  <v>0.08170130962393363</v>
                </pt>
                <pt idx="614">
                  <v>0.08170130962393363</v>
                </pt>
                <pt idx="615">
                  <v>0.07545356241739754</v>
                </pt>
                <pt idx="616">
                  <v>0.08194160759341562</v>
                </pt>
                <pt idx="617">
                  <v>0.08278265048660316</v>
                </pt>
                <pt idx="618">
                  <v>0.0860266730746122</v>
                </pt>
                <pt idx="619">
                  <v>0.1075333413432653</v>
                </pt>
                <pt idx="620">
                  <v>0.1014057431214701</v>
                </pt>
                <pt idx="621">
                  <v>0.1044094677399969</v>
                </pt>
                <pt idx="622">
                  <v>0.1071728943890418</v>
                </pt>
                <pt idx="623">
                  <v>0.1071728943890418</v>
                </pt>
                <pt idx="624">
                  <v>0.1087348311906757</v>
                </pt>
                <pt idx="625">
                  <v>0.1004445512435412</v>
                </pt>
                <pt idx="626">
                  <v>0.09299531418959428</v>
                </pt>
                <pt idx="627">
                  <v>0.09720052865553219</v>
                </pt>
                <pt idx="628">
                  <v>0.1048900636789614</v>
                </pt>
                <pt idx="629">
                  <v>0.1058512555568902</v>
                </pt>
                <pt idx="630">
                  <v>0.08782890784572839</v>
                </pt>
                <pt idx="631">
                  <v>0.08987144058632657</v>
                </pt>
                <pt idx="632">
                  <v>0.1126997476871316</v>
                </pt>
                <pt idx="633">
                  <v>0.1015258921062114</v>
                </pt>
                <pt idx="634">
                  <v>0.0926348672353714</v>
                </pt>
                <pt idx="635">
                  <v>0.08927069566262125</v>
                </pt>
                <pt idx="636">
                  <v>0.09179382434218386</v>
                </pt>
                <pt idx="637">
                  <v>0.09179382434218386</v>
                </pt>
                <pt idx="638">
                  <v>0.09131322840321943</v>
                </pt>
                <pt idx="639">
                  <v>0.08578637510512976</v>
                </pt>
                <pt idx="640">
                  <v>0.0823020545476385</v>
                </pt>
                <pt idx="641">
                  <v>0.06908566622611989</v>
                </pt>
                <pt idx="642">
                  <v>0.05514838399615463</v>
                </pt>
                <pt idx="643">
                  <v>0.06740358043974481</v>
                </pt>
                <pt idx="644">
                  <v>0.0714886459209414</v>
                </pt>
                <pt idx="645">
                  <v>0.07677520124954884</v>
                </pt>
                <pt idx="646">
                  <v>0.06548119668388752</v>
                </pt>
                <pt idx="647">
                  <v>0.07785654211221837</v>
                </pt>
                <pt idx="648">
                  <v>0.07965877688333456</v>
                </pt>
                <pt idx="649">
                  <v>0.07869758500540591</v>
                </pt>
                <pt idx="650">
                  <v>0.07437222155472711</v>
                </pt>
                <pt idx="651">
                  <v>0.08013937282229899</v>
                </pt>
                <pt idx="652">
                  <v>0.06536104769914619</v>
                </pt>
                <pt idx="653">
                  <v>0.04349393247626976</v>
                </pt>
                <pt idx="654">
                  <v>0.06007449237053875</v>
                </pt>
                <pt idx="655">
                  <v>0.07064760302775341</v>
                </pt>
                <pt idx="656">
                  <v>0.06584164363811018</v>
                </pt>
                <pt idx="657">
                  <v>0.05791181064519901</v>
                </pt>
                <pt idx="658">
                  <v>0.05586927790460061</v>
                </pt>
                <pt idx="659">
                  <v>0.06848492130241413</v>
                </pt>
                <pt idx="660">
                  <v>0.06439985582121732</v>
                </pt>
                <pt idx="661">
                  <v>0.06115583323320806</v>
                </pt>
                <pt idx="662">
                  <v>0.07389162561576246</v>
                </pt>
                <pt idx="663">
                  <v>0.06944611318034277</v>
                </pt>
                <pt idx="664">
                  <v>0.06896551724137834</v>
                </pt>
                <pt idx="665">
                  <v>0.0704073050582712</v>
                </pt>
                <pt idx="666">
                  <v>0.04938123272858252</v>
                </pt>
                <pt idx="667">
                  <v>0.03532380151387615</v>
                </pt>
                <pt idx="668">
                  <v>0.02931635227682228</v>
                </pt>
                <pt idx="669">
                  <v>0.02294845608554508</v>
                </pt>
                <pt idx="670">
                  <v>0.01790219872641985</v>
                </pt>
                <pt idx="671">
                  <v>0.02390964796347372</v>
                </pt>
                <pt idx="672">
                  <v>0.01886339060434827</v>
                </pt>
                <pt idx="673">
                  <v>0.03111858704793824</v>
                </pt>
                <pt idx="674">
                  <v>0.04085065481196559</v>
                </pt>
                <pt idx="675">
                  <v>0.0516640634386627</v>
                </pt>
                <pt idx="676">
                  <v>0.05911330049260966</v>
                </pt>
                <pt idx="677">
                  <v>0.05214465937762691</v>
                </pt>
                <pt idx="678">
                  <v>0.04253274059834067</v>
                </pt>
                <pt idx="679">
                  <v>0.02667307461251833</v>
                </pt>
                <pt idx="680">
                  <v>0.02751411750570587</v>
                </pt>
                <pt idx="681">
                  <v>0.03015739517000959</v>
                </pt>
                <pt idx="682">
                  <v>0.01477832512315147</v>
                </pt>
                <pt idx="683">
                  <v>0.03748648323921522</v>
                </pt>
                <pt idx="684">
                  <v>0.03952901597981362</v>
                </pt>
                <pt idx="685">
                  <v>0.05502823501141285</v>
                </pt>
                <pt idx="686">
                  <v>0.06800432536344947</v>
                </pt>
                <pt idx="687">
                  <v>0.07413192358524445</v>
                </pt>
                <pt idx="688">
                  <v>0.07148864592094073</v>
                </pt>
                <pt idx="689">
                  <v>0.06175657815691338</v>
                </pt>
                <pt idx="690">
                  <v>0.06920581521086011</v>
                </pt>
                <pt idx="691">
                  <v>0.06295806800432402</v>
                </pt>
                <pt idx="692">
                  <v>0.05947374744683276</v>
                </pt>
                <pt idx="693">
                  <v>0.04481557130842106</v>
                </pt>
                <pt idx="694">
                  <v>0.04265288958308178</v>
                </pt>
                <pt idx="695">
                  <v>0.06307821698906535</v>
                </pt>
                <pt idx="696">
                  <v>0.08422443830349491</v>
                </pt>
                <pt idx="697">
                  <v>0.08494533221194134</v>
                </pt>
                <pt idx="698">
                  <v>0.08422443830349491</v>
                </pt>
                <pt idx="699">
                  <v>0.08134086266970897</v>
                </pt>
                <pt idx="700">
                  <v>0.08590652408986976</v>
                </pt>
                <pt idx="701">
                  <v>0.08542592815090555</v>
                </pt>
                <pt idx="702">
                  <v>0.09023188754054878</v>
                </pt>
                <pt idx="703">
                  <v>0.09744082662501352</v>
                </pt>
                <pt idx="704">
                  <v>0.09936321038087059</v>
                </pt>
                <pt idx="705">
                  <v>0.1015258921062101</v>
                </pt>
                <pt idx="706">
                  <v>0.1080139372822282</v>
                </pt>
                <pt idx="707">
                  <v>0.09912291241138838</v>
                </pt>
                <pt idx="708">
                  <v>0.09888261444190616</v>
                </pt>
                <pt idx="709">
                  <v>0.08975129160158435</v>
                </pt>
                <pt idx="710">
                  <v>0.1082542352517104</v>
                </pt>
                <pt idx="711">
                  <v>0.1193079418478897</v>
                </pt>
                <pt idx="712">
                  <v>0.1414153550402484</v>
                </pt>
                <pt idx="713">
                  <v>0.1217109215427115</v>
                </pt>
                <pt idx="714">
                  <v>0.1414153550402484</v>
                </pt>
                <pt idx="715">
                  <v>0.1596780007208924</v>
                </pt>
                <pt idx="716">
                  <v>0.1659257479274285</v>
                </pt>
                <pt idx="717">
                  <v>0.1709720052865535</v>
                </pt>
                <pt idx="718">
                  <v>0.1714526012255178</v>
                </pt>
                <pt idx="719">
                  <v>0.1764988585846432</v>
                </pt>
                <pt idx="720">
                  <v>0.1697705154391429</v>
                </pt>
                <pt idx="721">
                  <v>0.1579959149345171</v>
                </pt>
                <pt idx="722">
                  <v>0.1832272017301437</v>
                </pt>
                <pt idx="723">
                  <v>0.1899555448756443</v>
                </pt>
                <pt idx="724">
                  <v>0.2007689535023414</v>
                </pt>
                <pt idx="725">
                  <v>0.2022107413192344</v>
                </pt>
                <pt idx="726">
                  <v>0.2010092514718236</v>
                </pt>
                <pt idx="727">
                  <v>0.2002883575633772</v>
                </pt>
                <pt idx="728">
                  <v>0.2014898474107878</v>
                </pt>
                <pt idx="729">
                  <v>0.1839480956385904</v>
                </pt>
                <pt idx="730">
                  <v>0.1930794184789124</v>
                </pt>
                <pt idx="731">
                  <v>0.2183107052745392</v>
                </pt>
                <pt idx="732">
                  <v>0.246906163642916</v>
                </pt>
                <pt idx="733">
                  <v>0.213504745884896</v>
                </pt>
                <pt idx="734">
                  <v>0.2377748408025939</v>
                </pt>
                <pt idx="735">
                  <v>0.2538748047578985</v>
                </pt>
                <pt idx="736">
                  <v>0.2714165565300959</v>
                </pt>
                <pt idx="737">
                  <v>0.2884777123633293</v>
                </pt>
                <pt idx="738">
                  <v>0.2694941727742388</v>
                </pt>
                <pt idx="739">
                  <v>0.2810284753093824</v>
                </pt>
                <pt idx="740">
                  <v>0.2663702991709707</v>
                </pt>
                <pt idx="741">
                  <v>0.2740598341943998</v>
                </pt>
                <pt idx="742">
                  <v>0.2694941727742386</v>
                </pt>
                <pt idx="743">
                  <v>0.2726180463775068</v>
                </pt>
                <pt idx="744">
                  <v>0.2726180463775068</v>
                </pt>
                <pt idx="745">
                  <v>0.282229965156793</v>
                </pt>
                <pt idx="746">
                  <v>0.2750210260723283</v>
                </pt>
                <pt idx="747">
                  <v>0.2735792382554354</v>
                </pt>
                <pt idx="748">
                  <v>0.2834314550042039</v>
                </pt>
                <pt idx="749">
                  <v>0.2795866874924893</v>
                </pt>
                <pt idx="750">
                  <v>0.2481076534903266</v>
                </pt>
                <pt idx="751">
                  <v>0.2476270575513624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30001"/>
        <axId val="50030002"/>
      </lineChart>
      <dateAx>
        <axId val="50030001"/>
        <scaling>
          <orientation val="minMax"/>
        </scaling>
        <delete val="0"/>
        <axPos val="b"/>
        <numFmt formatCode="yyyy\-mm\-dd" sourceLinked="1"/>
        <majorTickMark val="out"/>
        <minorTickMark val="none"/>
        <tickLblPos val="nextTo"/>
        <crossAx val="50030002"/>
        <crosses val="autoZero"/>
        <lblOffset val="100"/>
        <baseTimeUnit val="days"/>
      </dateAx>
      <valAx>
        <axId val="50030002"/>
        <scaling>
          <orientation val="minMax"/>
        </scaling>
        <delete val="0"/>
        <axPos val="l"/>
        <majorGridlines/>
        <numFmt formatCode="0%" sourceLinked="0"/>
        <majorTickMark val="out"/>
        <minorTickMark val="none"/>
        <tickLblPos val="nextTo"/>
        <crossAx val="50030001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Relative Performance vs SPY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4916616319683711"/>
          <y val="0.1270677516285395"/>
          <w val="0.9341051453660241"/>
          <h val="0.7618412914263153"/>
        </manualLayout>
      </layout>
      <lineChart>
        <grouping val="standard"/>
        <varyColors val="0"/>
        <ser>
          <idx val="0"/>
          <order val="0"/>
          <tx>
            <strRef>
              <f>'Share Price Analysis'!$N$35</f>
              <strCache>
                <ptCount val="1"/>
                <pt idx="0">
                  <v>Relative vs SPY</v>
                </pt>
              </strCache>
            </strRef>
          </tx>
          <spPr>
            <a:ln w="1905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Analysis'!$N$36:$N$787</f>
              <numCache>
                <formatCode>0.00%</formatCode>
                <ptCount val="752"/>
                <pt idx="0">
                  <v>0</v>
                </pt>
                <pt idx="1">
                  <v>0.00110683388898547</v>
                </pt>
                <pt idx="2">
                  <v>0.009006262511985996</v>
                </pt>
                <pt idx="3">
                  <v>0.0001068274503814859</v>
                </pt>
                <pt idx="4">
                  <v>-0.01311612012015295</v>
                </pt>
                <pt idx="5">
                  <v>-0.03103094072926171</v>
                </pt>
                <pt idx="6">
                  <v>-0.03800084915707946</v>
                </pt>
                <pt idx="7">
                  <v>-0.0591080186440287</v>
                </pt>
                <pt idx="8">
                  <v>-0.05602145080272725</v>
                </pt>
                <pt idx="9">
                  <v>-0.07114668843895033</v>
                </pt>
                <pt idx="10">
                  <v>-0.06713749330478835</v>
                </pt>
                <pt idx="11">
                  <v>-0.06304212601899872</v>
                </pt>
                <pt idx="12">
                  <v>-0.06073514405028158</v>
                </pt>
                <pt idx="13">
                  <v>-0.05874713225686656</v>
                </pt>
                <pt idx="14">
                  <v>-0.05521959236713248</v>
                </pt>
                <pt idx="15">
                  <v>-0.05925250511303337</v>
                </pt>
                <pt idx="16">
                  <v>-0.04439773039335715</v>
                </pt>
                <pt idx="17">
                  <v>-0.04715800619873844</v>
                </pt>
                <pt idx="18">
                  <v>-0.05186874847782619</v>
                </pt>
                <pt idx="19">
                  <v>-0.05724338137580443</v>
                </pt>
                <pt idx="20">
                  <v>-0.05332231670885657</v>
                </pt>
                <pt idx="21">
                  <v>-0.07044560254977217</v>
                </pt>
                <pt idx="22">
                  <v>-0.09449820723676083</v>
                </pt>
                <pt idx="23">
                  <v>-0.09323357733811966</v>
                </pt>
                <pt idx="24">
                  <v>-0.08823171532422369</v>
                </pt>
                <pt idx="25">
                  <v>-0.08540166946156302</v>
                </pt>
                <pt idx="26">
                  <v>-0.0775236168973541</v>
                </pt>
                <pt idx="27">
                  <v>-0.07797227437191168</v>
                </pt>
                <pt idx="28">
                  <v>-0.0777871181541957</v>
                </pt>
                <pt idx="29">
                  <v>-0.06586696198256115</v>
                </pt>
                <pt idx="30">
                  <v>-0.06386886785807333</v>
                </pt>
                <pt idx="31">
                  <v>-0.05730067402380656</v>
                </pt>
                <pt idx="32">
                  <v>-0.05813622739850888</v>
                </pt>
                <pt idx="33">
                  <v>-0.06596247835532132</v>
                </pt>
                <pt idx="34">
                  <v>-0.06546378093887018</v>
                </pt>
                <pt idx="35">
                  <v>-0.06002946081127603</v>
                </pt>
                <pt idx="36">
                  <v>-0.07283311306063112</v>
                </pt>
                <pt idx="37">
                  <v>-0.05640096516181192</v>
                </pt>
                <pt idx="38">
                  <v>-0.05281178672365938</v>
                </pt>
                <pt idx="39">
                  <v>-0.03891427598842834</v>
                </pt>
                <pt idx="40">
                  <v>-0.01835223857186752</v>
                </pt>
                <pt idx="41">
                  <v>-0.01515152642872619</v>
                </pt>
                <pt idx="42">
                  <v>0.05634404044287566</v>
                </pt>
                <pt idx="43">
                  <v>0.05535368953773423</v>
                </pt>
                <pt idx="44">
                  <v>0.05103898235924165</v>
                </pt>
                <pt idx="45">
                  <v>0.05720132389953347</v>
                </pt>
                <pt idx="46">
                  <v>0.06852316089061805</v>
                </pt>
                <pt idx="47">
                  <v>0.06351197424070909</v>
                </pt>
                <pt idx="48">
                  <v>0.06791349168872585</v>
                </pt>
                <pt idx="49">
                  <v>0.0685449780593359</v>
                </pt>
                <pt idx="50">
                  <v>0.06937265661587233</v>
                </pt>
                <pt idx="51">
                  <v>0.0646741628743448</v>
                </pt>
                <pt idx="52">
                  <v>0.05397916330432162</v>
                </pt>
                <pt idx="53">
                  <v>0.05986796039329967</v>
                </pt>
                <pt idx="54">
                  <v>0.05965260103426639</v>
                </pt>
                <pt idx="55">
                  <v>0.06048823108822776</v>
                </pt>
                <pt idx="56">
                  <v>0.06220760274062997</v>
                </pt>
                <pt idx="57">
                  <v>0.05851345373949268</v>
                </pt>
                <pt idx="58">
                  <v>0.04980076129058664</v>
                </pt>
                <pt idx="59">
                  <v>0.04966871285257257</v>
                </pt>
                <pt idx="60">
                  <v>0.0525606692977254</v>
                </pt>
                <pt idx="61">
                  <v>0.0602541848847622</v>
                </pt>
                <pt idx="62">
                  <v>0.06580123243844671</v>
                </pt>
                <pt idx="63">
                  <v>0.06526649519004213</v>
                </pt>
                <pt idx="64">
                  <v>0.06757712930451087</v>
                </pt>
                <pt idx="65">
                  <v>0.08114392356667088</v>
                </pt>
                <pt idx="66">
                  <v>0.0808823899854616</v>
                </pt>
                <pt idx="67">
                  <v>0.0813536006010267</v>
                </pt>
                <pt idx="68">
                  <v>0.06774239917370917</v>
                </pt>
                <pt idx="69">
                  <v>0.07007413981533128</v>
                </pt>
                <pt idx="70">
                  <v>0.06720612341645937</v>
                </pt>
                <pt idx="71">
                  <v>0.06201576438766843</v>
                </pt>
                <pt idx="72">
                  <v>0.06125972470899033</v>
                </pt>
                <pt idx="73">
                  <v>0.07384432149354714</v>
                </pt>
                <pt idx="74">
                  <v>0.08915058632305883</v>
                </pt>
                <pt idx="75">
                  <v>0.1000761378680082</v>
                </pt>
                <pt idx="76">
                  <v>0.1135452125286827</v>
                </pt>
                <pt idx="77">
                  <v>0.1198864564750102</v>
                </pt>
                <pt idx="78">
                  <v>0.136883567903195</v>
                </pt>
                <pt idx="79">
                  <v>0.1385787142065769</v>
                </pt>
                <pt idx="80">
                  <v>0.1545458725404572</v>
                </pt>
                <pt idx="81">
                  <v>0.1441253842450838</v>
                </pt>
                <pt idx="82">
                  <v>0.1321651500598193</v>
                </pt>
                <pt idx="83">
                  <v>0.1200932878628129</v>
                </pt>
                <pt idx="84">
                  <v>0.1154250624778685</v>
                </pt>
                <pt idx="85">
                  <v>0.1151190925954495</v>
                </pt>
                <pt idx="86">
                  <v>0.1225886713015258</v>
                </pt>
                <pt idx="87">
                  <v>0.1369411598659878</v>
                </pt>
                <pt idx="88">
                  <v>0.1110702448024667</v>
                </pt>
                <pt idx="89">
                  <v>0.1177341523905509</v>
                </pt>
                <pt idx="90">
                  <v>0.1253908943248769</v>
                </pt>
                <pt idx="91">
                  <v>0.1163072345234413</v>
                </pt>
                <pt idx="92">
                  <v>0.1090147137700321</v>
                </pt>
                <pt idx="93">
                  <v>0.09390204652938738</v>
                </pt>
                <pt idx="94">
                  <v>0.1026507559668346</v>
                </pt>
                <pt idx="95">
                  <v>0.1059841314417154</v>
                </pt>
                <pt idx="96">
                  <v>0.1025513179437372</v>
                </pt>
                <pt idx="97">
                  <v>0.09782061423281485</v>
                </pt>
                <pt idx="98">
                  <v>0.1036278754954658</v>
                </pt>
                <pt idx="99">
                  <v>0.0852895909826743</v>
                </pt>
                <pt idx="100">
                  <v>0.08412212065651947</v>
                </pt>
                <pt idx="101">
                  <v>0.08358522516204347</v>
                </pt>
                <pt idx="102">
                  <v>0.1037961585611233</v>
                </pt>
                <pt idx="103">
                  <v>0.1149193679550673</v>
                </pt>
                <pt idx="104">
                  <v>0.1337117023103724</v>
                </pt>
                <pt idx="105">
                  <v>0.1379058687816408</v>
                </pt>
                <pt idx="106">
                  <v>0.1416361991669772</v>
                </pt>
                <pt idx="107">
                  <v>0.137197665924391</v>
                </pt>
                <pt idx="108">
                  <v>0.1273888034825466</v>
                </pt>
                <pt idx="109">
                  <v>0.1316762614025468</v>
                </pt>
                <pt idx="110">
                  <v>0.1303677470006959</v>
                </pt>
                <pt idx="111">
                  <v>0.1302369942014385</v>
                </pt>
                <pt idx="112">
                  <v>0.1385294680191376</v>
                </pt>
                <pt idx="113">
                  <v>0.1385539090888053</v>
                </pt>
                <pt idx="114">
                  <v>0.1000120867287189</v>
                </pt>
                <pt idx="115">
                  <v>0.09159739436368186</v>
                </pt>
                <pt idx="116">
                  <v>0.08848389944057455</v>
                </pt>
                <pt idx="117">
                  <v>0.1017605239003001</v>
                </pt>
                <pt idx="118">
                  <v>0.1022178642515301</v>
                </pt>
                <pt idx="119">
                  <v>0.1069977468467815</v>
                </pt>
                <pt idx="120">
                  <v>0.09848124552247928</v>
                </pt>
                <pt idx="121">
                  <v>0.09298198582439032</v>
                </pt>
                <pt idx="122">
                  <v>0.09483834508522815</v>
                </pt>
                <pt idx="123">
                  <v>0.08860158979762955</v>
                </pt>
                <pt idx="124">
                  <v>0.09024691865538648</v>
                </pt>
                <pt idx="125">
                  <v>0.1115022634996896</v>
                </pt>
                <pt idx="126">
                  <v>0.08287517284693879</v>
                </pt>
                <pt idx="127">
                  <v>0.08496072623375506</v>
                </pt>
                <pt idx="128">
                  <v>0.09012264836619743</v>
                </pt>
                <pt idx="129">
                  <v>0.0919674525309373</v>
                </pt>
                <pt idx="130">
                  <v>0.08653859006268494</v>
                </pt>
                <pt idx="131">
                  <v>0.08335122487405378</v>
                </pt>
                <pt idx="132">
                  <v>0.07690005194434879</v>
                </pt>
                <pt idx="133">
                  <v>0.07383814907644171</v>
                </pt>
                <pt idx="134">
                  <v>0.0685435406522783</v>
                </pt>
                <pt idx="135">
                  <v>0.07349547555322933</v>
                </pt>
                <pt idx="136">
                  <v>0.06652860041442876</v>
                </pt>
                <pt idx="137">
                  <v>0.07473208605979442</v>
                </pt>
                <pt idx="138">
                  <v>0.05524649369650625</v>
                </pt>
                <pt idx="139">
                  <v>0.04858240369899902</v>
                </pt>
                <pt idx="140">
                  <v>0.05158222256479394</v>
                </pt>
                <pt idx="141">
                  <v>0.0636167576155271</v>
                </pt>
                <pt idx="142">
                  <v>0.07507307861466872</v>
                </pt>
                <pt idx="143">
                  <v>0.07638366425058751</v>
                </pt>
                <pt idx="144">
                  <v>0.06316176301939747</v>
                </pt>
                <pt idx="145">
                  <v>0.0578461516385711</v>
                </pt>
                <pt idx="146">
                  <v>0.06718266487627522</v>
                </pt>
                <pt idx="147">
                  <v>0.08616758772820976</v>
                </pt>
                <pt idx="148">
                  <v>0.09675221143683599</v>
                </pt>
                <pt idx="149">
                  <v>0.112427412462653</v>
                </pt>
                <pt idx="150">
                  <v>0.09416192453439254</v>
                </pt>
                <pt idx="151">
                  <v>0.09237934020757321</v>
                </pt>
                <pt idx="152">
                  <v>0.1073095800782791</v>
                </pt>
                <pt idx="153">
                  <v>0.09267660569639324</v>
                </pt>
                <pt idx="154">
                  <v>0.09116005882232892</v>
                </pt>
                <pt idx="155">
                  <v>0.09914656009991374</v>
                </pt>
                <pt idx="156">
                  <v>0.1082262427990179</v>
                </pt>
                <pt idx="157">
                  <v>0.06540954503456531</v>
                </pt>
                <pt idx="158">
                  <v>0.06931425129039548</v>
                </pt>
                <pt idx="159">
                  <v>0.07652850440368342</v>
                </pt>
                <pt idx="160">
                  <v>0.08348056163035911</v>
                </pt>
                <pt idx="161">
                  <v>0.08944571778805521</v>
                </pt>
                <pt idx="162">
                  <v>0.0957189766538602</v>
                </pt>
                <pt idx="163">
                  <v>0.05773958304915694</v>
                </pt>
                <pt idx="164">
                  <v>0.06102209636663058</v>
                </pt>
                <pt idx="165">
                  <v>0.0609370267702507</v>
                </pt>
                <pt idx="166">
                  <v>0.0570054018332522</v>
                </pt>
                <pt idx="167">
                  <v>0.08476037756179045</v>
                </pt>
                <pt idx="168">
                  <v>0.08013477419263682</v>
                </pt>
                <pt idx="169">
                  <v>0.0753377080364348</v>
                </pt>
                <pt idx="170">
                  <v>0.0695649498257922</v>
                </pt>
                <pt idx="171">
                  <v>0.06688996086872034</v>
                </pt>
                <pt idx="172">
                  <v>0.07238614162364954</v>
                </pt>
                <pt idx="173">
                  <v>0.08496354547964402</v>
                </pt>
                <pt idx="174">
                  <v>0.08070018250653854</v>
                </pt>
                <pt idx="175">
                  <v>0.07575179263671816</v>
                </pt>
                <pt idx="176">
                  <v>0.08560993627457281</v>
                </pt>
                <pt idx="177">
                  <v>0.05495032038356662</v>
                </pt>
                <pt idx="178">
                  <v>0.06065702491058222</v>
                </pt>
                <pt idx="179">
                  <v>0.05973865156744007</v>
                </pt>
                <pt idx="180">
                  <v>0.04188728213069415</v>
                </pt>
                <pt idx="181">
                  <v>0.04148275747826746</v>
                </pt>
                <pt idx="182">
                  <v>0.04766214816489511</v>
                </pt>
                <pt idx="183">
                  <v>0.0459308170829229</v>
                </pt>
                <pt idx="184">
                  <v>0.05360945879093415</v>
                </pt>
                <pt idx="185">
                  <v>0.04421002642821636</v>
                </pt>
                <pt idx="186">
                  <v>0.05246690833965317</v>
                </pt>
                <pt idx="187">
                  <v>0.05267681805616276</v>
                </pt>
                <pt idx="188">
                  <v>0.05662935686881521</v>
                </pt>
                <pt idx="189">
                  <v>0.05811667255042141</v>
                </pt>
                <pt idx="190">
                  <v>0.04462810398572592</v>
                </pt>
                <pt idx="191">
                  <v>0.04840953703813722</v>
                </pt>
                <pt idx="192">
                  <v>0.05146761380118647</v>
                </pt>
                <pt idx="193">
                  <v>0.05605912605703356</v>
                </pt>
                <pt idx="194">
                  <v>0.06574818660087489</v>
                </pt>
                <pt idx="195">
                  <v>0.07079153695303964</v>
                </pt>
                <pt idx="196">
                  <v>0.069470704368227</v>
                </pt>
                <pt idx="197">
                  <v>0.07124450287939887</v>
                </pt>
                <pt idx="198">
                  <v>0.075396307351558</v>
                </pt>
                <pt idx="199">
                  <v>0.06151614854395127</v>
                </pt>
                <pt idx="200">
                  <v>0.06452834679330821</v>
                </pt>
                <pt idx="201">
                  <v>0.06262389004183011</v>
                </pt>
                <pt idx="202">
                  <v>0.0626371718512817</v>
                </pt>
                <pt idx="203">
                  <v>0.06834279200911819</v>
                </pt>
                <pt idx="204">
                  <v>0.06725603524959944</v>
                </pt>
                <pt idx="205">
                  <v>0.06613246059366218</v>
                </pt>
                <pt idx="206">
                  <v>0.06393652127831628</v>
                </pt>
                <pt idx="207">
                  <v>0.07445645623821018</v>
                </pt>
                <pt idx="208">
                  <v>0.06427269394367952</v>
                </pt>
                <pt idx="209">
                  <v>0.05254453894810562</v>
                </pt>
                <pt idx="210">
                  <v>0.06244526335338518</v>
                </pt>
                <pt idx="211">
                  <v>0.06551145929060254</v>
                </pt>
                <pt idx="212">
                  <v>0.06179595631153423</v>
                </pt>
                <pt idx="213">
                  <v>0.06065574904963666</v>
                </pt>
                <pt idx="214">
                  <v>0.06738959637903341</v>
                </pt>
                <pt idx="215">
                  <v>0.05959535159259111</v>
                </pt>
                <pt idx="216">
                  <v>0.05697401539430391</v>
                </pt>
                <pt idx="217">
                  <v>0.05338445448783902</v>
                </pt>
                <pt idx="218">
                  <v>0.05393770176286194</v>
                </pt>
                <pt idx="219">
                  <v>0.06287225895565807</v>
                </pt>
                <pt idx="220">
                  <v>0.05426216372306691</v>
                </pt>
                <pt idx="221">
                  <v>0.05762190891269281</v>
                </pt>
                <pt idx="222">
                  <v>0.03375973403978905</v>
                </pt>
                <pt idx="223">
                  <v>0.01872659943391297</v>
                </pt>
                <pt idx="224">
                  <v>0.02985687264679937</v>
                </pt>
                <pt idx="225">
                  <v>0.02632052146295893</v>
                </pt>
                <pt idx="226">
                  <v>0.05035752935276028</v>
                </pt>
                <pt idx="227">
                  <v>0.05886982043150502</v>
                </pt>
                <pt idx="228">
                  <v>0.05295356616995672</v>
                </pt>
                <pt idx="229">
                  <v>0.05935471550642135</v>
                </pt>
                <pt idx="230">
                  <v>0.06688585409138526</v>
                </pt>
                <pt idx="231">
                  <v>0.04890681940150698</v>
                </pt>
                <pt idx="232">
                  <v>0.05465997944919199</v>
                </pt>
                <pt idx="233">
                  <v>0.06824805611230911</v>
                </pt>
                <pt idx="234">
                  <v>0.07644433837657827</v>
                </pt>
                <pt idx="235">
                  <v>0.07726106102237673</v>
                </pt>
                <pt idx="236">
                  <v>0.07831790132965732</v>
                </pt>
                <pt idx="237">
                  <v>0.07967164195879639</v>
                </pt>
                <pt idx="238">
                  <v>0.08790719855806328</v>
                </pt>
                <pt idx="239">
                  <v>0.08654699514592412</v>
                </pt>
                <pt idx="240">
                  <v>0.1491379522898568</v>
                </pt>
                <pt idx="241">
                  <v>0.1384262103642124</v>
                </pt>
                <pt idx="242">
                  <v>0.1466713232527865</v>
                </pt>
                <pt idx="243">
                  <v>0.1389809380785516</v>
                </pt>
                <pt idx="244">
                  <v>0.1394806209072978</v>
                </pt>
                <pt idx="245">
                  <v>0.1607867784544084</v>
                </pt>
                <pt idx="246">
                  <v>0.1696402045303793</v>
                </pt>
                <pt idx="247">
                  <v>0.1655890488142793</v>
                </pt>
                <pt idx="248">
                  <v>0.1771324919311161</v>
                </pt>
                <pt idx="249">
                  <v>0.1731148897116286</v>
                </pt>
                <pt idx="250">
                  <v>0.1762186938614707</v>
                </pt>
                <pt idx="251">
                  <v>0.1753623067582373</v>
                </pt>
                <pt idx="252">
                  <v>0.1798518881259232</v>
                </pt>
                <pt idx="253">
                  <v>0.1849920845960953</v>
                </pt>
                <pt idx="254">
                  <v>0.1724961007102144</v>
                </pt>
                <pt idx="255">
                  <v>0.1658049685811487</v>
                </pt>
                <pt idx="256">
                  <v>0.1735531243098496</v>
                </pt>
                <pt idx="257">
                  <v>0.1742618112165646</v>
                </pt>
                <pt idx="258">
                  <v>0.1827476760668885</v>
                </pt>
                <pt idx="259">
                  <v>0.1775486995363564</v>
                </pt>
                <pt idx="260">
                  <v>0.1818212275312061</v>
                </pt>
                <pt idx="261">
                  <v>0.1735015141782317</v>
                </pt>
                <pt idx="262">
                  <v>0.1745467506434515</v>
                </pt>
                <pt idx="263">
                  <v>0.187264192794482</v>
                </pt>
                <pt idx="264">
                  <v>0.1842103084224853</v>
                </pt>
                <pt idx="265">
                  <v>0.1799600041084453</v>
                </pt>
                <pt idx="266">
                  <v>0.187563677576551</v>
                </pt>
                <pt idx="267">
                  <v>0.1730226445829472</v>
                </pt>
                <pt idx="268">
                  <v>0.1738060209726748</v>
                </pt>
                <pt idx="269">
                  <v>0.1619355147864865</v>
                </pt>
                <pt idx="270">
                  <v>0.1544548388199349</v>
                </pt>
                <pt idx="271">
                  <v>0.1641026214995309</v>
                </pt>
                <pt idx="272">
                  <v>0.1658593636495183</v>
                </pt>
                <pt idx="273">
                  <v>0.1722915365330553</v>
                </pt>
                <pt idx="274">
                  <v>0.1697712423010194</v>
                </pt>
                <pt idx="275">
                  <v>0.150658649885236</v>
                </pt>
                <pt idx="276">
                  <v>0.1576585020326378</v>
                </pt>
                <pt idx="277">
                  <v>0.1530696687963489</v>
                </pt>
                <pt idx="278">
                  <v>0.1572300251351382</v>
                </pt>
                <pt idx="279">
                  <v>0.1616100646622272</v>
                </pt>
                <pt idx="280">
                  <v>0.1551095552732922</v>
                </pt>
                <pt idx="281">
                  <v>0.1607280070236317</v>
                </pt>
                <pt idx="282">
                  <v>0.1487546527340466</v>
                </pt>
                <pt idx="283">
                  <v>0.1451942539473734</v>
                </pt>
                <pt idx="284">
                  <v>0.1456387833708361</v>
                </pt>
                <pt idx="285">
                  <v>0.1538258845302258</v>
                </pt>
                <pt idx="286">
                  <v>0.1412872692988851</v>
                </pt>
                <pt idx="287">
                  <v>0.1552013234955227</v>
                </pt>
                <pt idx="288">
                  <v>0.1563106497842353</v>
                </pt>
                <pt idx="289">
                  <v>0.1531562633761652</v>
                </pt>
                <pt idx="290">
                  <v>0.1545980027107552</v>
                </pt>
                <pt idx="291">
                  <v>0.1678014065831086</v>
                </pt>
                <pt idx="292">
                  <v>0.1778269351081214</v>
                </pt>
                <pt idx="293">
                  <v>0.1635381631620556</v>
                </pt>
                <pt idx="294">
                  <v>0.1610957536035997</v>
                </pt>
                <pt idx="295">
                  <v>0.1673853829841989</v>
                </pt>
                <pt idx="296">
                  <v>0.1654456027375353</v>
                </pt>
                <pt idx="297">
                  <v>0.1707055935239377</v>
                </pt>
                <pt idx="298">
                  <v>0.1751602934396495</v>
                </pt>
                <pt idx="299">
                  <v>0.1664512496859065</v>
                </pt>
                <pt idx="300">
                  <v>0.151064148379491</v>
                </pt>
                <pt idx="301">
                  <v>0.148662632316592</v>
                </pt>
                <pt idx="302">
                  <v>0.1063512595909055</v>
                </pt>
                <pt idx="303">
                  <v>0.1009389654715731</v>
                </pt>
                <pt idx="304">
                  <v>0.1043830514874302</v>
                </pt>
                <pt idx="305">
                  <v>0.1100217371101029</v>
                </pt>
                <pt idx="306">
                  <v>0.1076648532394056</v>
                </pt>
                <pt idx="307">
                  <v>0.1001601637465241</v>
                </pt>
                <pt idx="308">
                  <v>0.101597135267999</v>
                </pt>
                <pt idx="309">
                  <v>0.07845033641278332</v>
                </pt>
                <pt idx="310">
                  <v>0.07720382960885019</v>
                </pt>
                <pt idx="311">
                  <v>0.09373862106178654</v>
                </pt>
                <pt idx="312">
                  <v>0.09107590545805699</v>
                </pt>
                <pt idx="313">
                  <v>0.07492770975425933</v>
                </pt>
                <pt idx="314">
                  <v>0.06636177537933241</v>
                </pt>
                <pt idx="315">
                  <v>0.05686623192630713</v>
                </pt>
                <pt idx="316">
                  <v>0.04594602130271097</v>
                </pt>
                <pt idx="317">
                  <v>0.04304847543884316</v>
                </pt>
                <pt idx="318">
                  <v>0.04075952284888262</v>
                </pt>
                <pt idx="319">
                  <v>0.02497766985922967</v>
                </pt>
                <pt idx="320">
                  <v>0.0352451733564032</v>
                </pt>
                <pt idx="321">
                  <v>0.05319620670915981</v>
                </pt>
                <pt idx="322">
                  <v>0.04712627821657756</v>
                </pt>
                <pt idx="323">
                  <v>0.05411353457727652</v>
                </pt>
                <pt idx="324">
                  <v>0.04840699271130955</v>
                </pt>
                <pt idx="325">
                  <v>0.01363103795785259</v>
                </pt>
                <pt idx="326">
                  <v>0.02384390738321196</v>
                </pt>
                <pt idx="327">
                  <v>0.02622953820848406</v>
                </pt>
                <pt idx="328">
                  <v>0.01638818880456361</v>
                </pt>
                <pt idx="329">
                  <v>0.01400774185098896</v>
                </pt>
                <pt idx="330">
                  <v>0.02015257426306527</v>
                </pt>
                <pt idx="331">
                  <v>0.02798586558368177</v>
                </pt>
                <pt idx="332">
                  <v>0.005413235895172175</v>
                </pt>
                <pt idx="333">
                  <v>0.004224189558224012</v>
                </pt>
                <pt idx="334">
                  <v>-0.004928752584847373</v>
                </pt>
                <pt idx="335">
                  <v>-0.009457671007380819</v>
                </pt>
                <pt idx="336">
                  <v>-0.01967455383984351</v>
                </pt>
                <pt idx="337">
                  <v>-0.01949367745872133</v>
                </pt>
                <pt idx="338">
                  <v>-0.007178125146416803</v>
                </pt>
                <pt idx="339">
                  <v>0.0296345702709635</v>
                </pt>
                <pt idx="340">
                  <v>0.01442301267286439</v>
                </pt>
                <pt idx="341">
                  <v>0.0172097631832</v>
                </pt>
                <pt idx="342">
                  <v>0.04669909136026384</v>
                </pt>
                <pt idx="343">
                  <v>0.03326783974375869</v>
                </pt>
                <pt idx="344">
                  <v>0.04245032736184129</v>
                </pt>
                <pt idx="345">
                  <v>0.04962400395074029</v>
                </pt>
                <pt idx="346">
                  <v>0.05704345505165742</v>
                </pt>
                <pt idx="347">
                  <v>0.05683538491906814</v>
                </pt>
                <pt idx="348">
                  <v>0.04127151580992838</v>
                </pt>
                <pt idx="349">
                  <v>0.06034683586216083</v>
                </pt>
                <pt idx="350">
                  <v>0.08141172681118269</v>
                </pt>
                <pt idx="351">
                  <v>0.09242216509939638</v>
                </pt>
                <pt idx="352">
                  <v>0.1206893897739243</v>
                </pt>
                <pt idx="353">
                  <v>0.1211846315067793</v>
                </pt>
                <pt idx="354">
                  <v>0.1232864732944488</v>
                </pt>
                <pt idx="355">
                  <v>0.1243757173761579</v>
                </pt>
                <pt idx="356">
                  <v>0.1193613385988215</v>
                </pt>
                <pt idx="357">
                  <v>0.060492732173832</v>
                </pt>
                <pt idx="358">
                  <v>0.04628823045344932</v>
                </pt>
                <pt idx="359">
                  <v>0.04431116430647175</v>
                </pt>
                <pt idx="360">
                  <v>0.03132677118929683</v>
                </pt>
                <pt idx="361">
                  <v>0.02049175114115154</v>
                </pt>
                <pt idx="362">
                  <v>0.01203235127475089</v>
                </pt>
                <pt idx="363">
                  <v>0.003305644580235079</v>
                </pt>
                <pt idx="364">
                  <v>0.002953771824567575</v>
                </pt>
                <pt idx="365">
                  <v>-0.007975091568612092</v>
                </pt>
                <pt idx="366">
                  <v>-0.01793325393209277</v>
                </pt>
                <pt idx="367">
                  <v>-0.01105879218533834</v>
                </pt>
                <pt idx="368">
                  <v>-0.005456929087963247</v>
                </pt>
                <pt idx="369">
                  <v>0.002976684837378896</v>
                </pt>
                <pt idx="370">
                  <v>0.02008606852662775</v>
                </pt>
                <pt idx="371">
                  <v>0.005634601424457708</v>
                </pt>
                <pt idx="372">
                  <v>-0.03688722013816237</v>
                </pt>
                <pt idx="373">
                  <v>-0.04996042161433834</v>
                </pt>
                <pt idx="374">
                  <v>-0.02784483851001707</v>
                </pt>
                <pt idx="375">
                  <v>-0.02135240289720797</v>
                </pt>
                <pt idx="376">
                  <v>-0.02601333646277948</v>
                </pt>
                <pt idx="377">
                  <v>-0.04112460796583028</v>
                </pt>
                <pt idx="378">
                  <v>-0.04971570540178649</v>
                </pt>
                <pt idx="379">
                  <v>-0.0342395589616894</v>
                </pt>
                <pt idx="380">
                  <v>-0.04550912923643302</v>
                </pt>
                <pt idx="381">
                  <v>-0.04505731063203067</v>
                </pt>
                <pt idx="382">
                  <v>-0.05475452094396327</v>
                </pt>
                <pt idx="383">
                  <v>-0.04929092506764177</v>
                </pt>
                <pt idx="384">
                  <v>-0.0494269622909661</v>
                </pt>
                <pt idx="385">
                  <v>-0.0292448548290748</v>
                </pt>
                <pt idx="386">
                  <v>-0.02065177274853491</v>
                </pt>
                <pt idx="387">
                  <v>-0.02062373247750371</v>
                </pt>
                <pt idx="388">
                  <v>-0.0005317666497908213</v>
                </pt>
                <pt idx="389">
                  <v>-0.002143616396378945</v>
                </pt>
                <pt idx="390">
                  <v>-0.003525198037741983</v>
                </pt>
                <pt idx="391">
                  <v>-0.01605533487651101</v>
                </pt>
                <pt idx="392">
                  <v>-0.0148276192174851</v>
                </pt>
                <pt idx="393">
                  <v>-0.01498364474125791</v>
                </pt>
                <pt idx="394">
                  <v>-0.01489147487610865</v>
                </pt>
                <pt idx="395">
                  <v>-0.01807827647934179</v>
                </pt>
                <pt idx="396">
                  <v>-0.02083403969108755</v>
                </pt>
                <pt idx="397">
                  <v>-0.04904880520983135</v>
                </pt>
                <pt idx="398">
                  <v>-0.04477142054683925</v>
                </pt>
                <pt idx="399">
                  <v>-0.05207810666114454</v>
                </pt>
                <pt idx="400">
                  <v>-0.05690141982208829</v>
                </pt>
                <pt idx="401">
                  <v>-0.06510926487044355</v>
                </pt>
                <pt idx="402">
                  <v>-0.05809211060815589</v>
                </pt>
                <pt idx="403">
                  <v>-0.04761599552893936</v>
                </pt>
                <pt idx="404">
                  <v>-0.03927267684443458</v>
                </pt>
                <pt idx="405">
                  <v>-0.04248449245002694</v>
                </pt>
                <pt idx="406">
                  <v>-0.01911646949229051</v>
                </pt>
                <pt idx="407">
                  <v>-0.009105318236398374</v>
                </pt>
                <pt idx="408">
                  <v>-0.0008460850261787778</v>
                </pt>
                <pt idx="409">
                  <v>0.007178188725268875</v>
                </pt>
                <pt idx="410">
                  <v>0.001973624765982951</v>
                </pt>
                <pt idx="411">
                  <v>-0.02148245236332635</v>
                </pt>
                <pt idx="412">
                  <v>-0.01304277952895494</v>
                </pt>
                <pt idx="413">
                  <v>-0.005191143690150168</v>
                </pt>
                <pt idx="414">
                  <v>-0.003293461588333324</v>
                </pt>
                <pt idx="415">
                  <v>0.001226395261030078</v>
                </pt>
                <pt idx="416">
                  <v>0.003668960845387259</v>
                </pt>
                <pt idx="417">
                  <v>0.07141110807406381</v>
                </pt>
                <pt idx="418">
                  <v>0.0837346869274711</v>
                </pt>
                <pt idx="419">
                  <v>0.0652336518083092</v>
                </pt>
                <pt idx="420">
                  <v>0.06149245160578309</v>
                </pt>
                <pt idx="421">
                  <v>0.06367313220837278</v>
                </pt>
                <pt idx="422">
                  <v>0.1055421104971983</v>
                </pt>
                <pt idx="423">
                  <v>0.09758829471265584</v>
                </pt>
                <pt idx="424">
                  <v>0.09932298120595995</v>
                </pt>
                <pt idx="425">
                  <v>0.09726200894905435</v>
                </pt>
                <pt idx="426">
                  <v>0.08688686716472338</v>
                </pt>
                <pt idx="427">
                  <v>0.08383510321403875</v>
                </pt>
                <pt idx="428">
                  <v>0.07177819831590715</v>
                </pt>
                <pt idx="429">
                  <v>0.07262600315913659</v>
                </pt>
                <pt idx="430">
                  <v>0.06618354850284702</v>
                </pt>
                <pt idx="431">
                  <v>0.0595181899352395</v>
                </pt>
                <pt idx="432">
                  <v>0.05839737761606245</v>
                </pt>
                <pt idx="433">
                  <v>0.065516320004533</v>
                </pt>
                <pt idx="434">
                  <v>0.07518173787651472</v>
                </pt>
                <pt idx="435">
                  <v>0.09323320096676202</v>
                </pt>
                <pt idx="436">
                  <v>0.08017608359988704</v>
                </pt>
                <pt idx="437">
                  <v>0.07590786608482825</v>
                </pt>
                <pt idx="438">
                  <v>0.07576193007221765</v>
                </pt>
                <pt idx="439">
                  <v>0.06981213055677316</v>
                </pt>
                <pt idx="440">
                  <v>0.06726726212125267</v>
                </pt>
                <pt idx="441">
                  <v>0.05753405541351397</v>
                </pt>
                <pt idx="442">
                  <v>0.0666197060524798</v>
                </pt>
                <pt idx="443">
                  <v>0.06175162819519664</v>
                </pt>
                <pt idx="444">
                  <v>0.04630144490674915</v>
                </pt>
                <pt idx="445">
                  <v>0.03120293830231025</v>
                </pt>
                <pt idx="446">
                  <v>0.03532840318958708</v>
                </pt>
                <pt idx="447">
                  <v>0.03529289549917403</v>
                </pt>
                <pt idx="448">
                  <v>0.02678589217344562</v>
                </pt>
                <pt idx="449">
                  <v>0.02698035652287101</v>
                </pt>
                <pt idx="450">
                  <v>0.01503467166579009</v>
                </pt>
                <pt idx="451">
                  <v>0.01643887481275863</v>
                </pt>
                <pt idx="452">
                  <v>0.001512631293221212</v>
                </pt>
                <pt idx="453">
                  <v>0.001367413353867031</v>
                </pt>
                <pt idx="454">
                  <v>-0.0055769736220459</v>
                </pt>
                <pt idx="455">
                  <v>-0.01112095622914988</v>
                </pt>
                <pt idx="456">
                  <v>-0.01028886775668258</v>
                </pt>
                <pt idx="457">
                  <v>-0.008040045270392371</v>
                </pt>
                <pt idx="458">
                  <v>-0.01265268794424446</v>
                </pt>
                <pt idx="459">
                  <v>-0.01261733325182268</v>
                </pt>
                <pt idx="460">
                  <v>-0.01657299496283238</v>
                </pt>
                <pt idx="461">
                  <v>-0.02278863872028325</v>
                </pt>
                <pt idx="462">
                  <v>-0.02744106867250529</v>
                </pt>
                <pt idx="463">
                  <v>-0.03695969901298279</v>
                </pt>
                <pt idx="464">
                  <v>-0.0257708239800104</v>
                </pt>
                <pt idx="465">
                  <v>-0.02457922596929862</v>
                </pt>
                <pt idx="466">
                  <v>-0.009295624092519716</v>
                </pt>
                <pt idx="467">
                  <v>0.00495426758599038</v>
                </pt>
                <pt idx="468">
                  <v>0.01781728149947792</v>
                </pt>
                <pt idx="469">
                  <v>0.02350485887709919</v>
                </pt>
                <pt idx="470">
                  <v>0.0168322522101001</v>
                </pt>
                <pt idx="471">
                  <v>0.02786565071940017</v>
                </pt>
                <pt idx="472">
                  <v>0.01785378348481936</v>
                </pt>
                <pt idx="473">
                  <v>0.01398869133026559</v>
                </pt>
                <pt idx="474">
                  <v>0.02698527531461847</v>
                </pt>
                <pt idx="475">
                  <v>0.03214967944311375</v>
                </pt>
                <pt idx="476">
                  <v>0.0237659931646379</v>
                </pt>
                <pt idx="477">
                  <v>0.01753534447554062</v>
                </pt>
                <pt idx="478">
                  <v>0.02757109483299436</v>
                </pt>
                <pt idx="479">
                  <v>0.02480778640552539</v>
                </pt>
                <pt idx="480">
                  <v>0.02049831585575146</v>
                </pt>
                <pt idx="481">
                  <v>0.01710008181579381</v>
                </pt>
                <pt idx="482">
                  <v>0.02140737553773731</v>
                </pt>
                <pt idx="483">
                  <v>0.02855561975990351</v>
                </pt>
                <pt idx="484">
                  <v>0.02199296800802042</v>
                </pt>
                <pt idx="485">
                  <v>-0.00111745094691007</v>
                </pt>
                <pt idx="486">
                  <v>-0.004812637407877296</v>
                </pt>
                <pt idx="487">
                  <v>-0.01636149408612619</v>
                </pt>
                <pt idx="488">
                  <v>-0.006271032202390558</v>
                </pt>
                <pt idx="489">
                  <v>-0.002052645331494074</v>
                </pt>
                <pt idx="490">
                  <v>0.003487819197351971</v>
                </pt>
                <pt idx="491">
                  <v>-0.02746193212957471</v>
                </pt>
                <pt idx="492">
                  <v>-0.04691372853651199</v>
                </pt>
                <pt idx="493">
                  <v>-0.05181496327877622</v>
                </pt>
                <pt idx="494">
                  <v>-0.05237764489314423</v>
                </pt>
                <pt idx="495">
                  <v>-0.054342331767543</v>
                </pt>
                <pt idx="496">
                  <v>-0.05201941651452002</v>
                </pt>
                <pt idx="497">
                  <v>-0.05744533575167321</v>
                </pt>
                <pt idx="498">
                  <v>-0.06363659847518188</v>
                </pt>
                <pt idx="499">
                  <v>-0.07599599612440511</v>
                </pt>
                <pt idx="500">
                  <v>-0.08407605372759452</v>
                </pt>
                <pt idx="501">
                  <v>-0.07263295055694396</v>
                </pt>
                <pt idx="502">
                  <v>-0.076221318811869</v>
                </pt>
                <pt idx="503">
                  <v>-0.1371121817267916</v>
                </pt>
                <pt idx="504">
                  <v>-0.1117338977841208</v>
                </pt>
                <pt idx="505">
                  <v>-0.09065039251154161</v>
                </pt>
                <pt idx="506">
                  <v>-0.08554789657026862</v>
                </pt>
                <pt idx="507">
                  <v>-0.08188308683909307</v>
                </pt>
                <pt idx="508">
                  <v>-0.07536109912602906</v>
                </pt>
                <pt idx="509">
                  <v>-0.06752214178465055</v>
                </pt>
                <pt idx="510">
                  <v>-0.05163922294054912</v>
                </pt>
                <pt idx="511">
                  <v>-0.04356957172620235</v>
                </pt>
                <pt idx="512">
                  <v>-0.0503038901644608</v>
                </pt>
                <pt idx="513">
                  <v>-0.06626983739777947</v>
                </pt>
                <pt idx="514">
                  <v>-0.05632405808913699</v>
                </pt>
                <pt idx="515">
                  <v>-0.05792247877662715</v>
                </pt>
                <pt idx="516">
                  <v>-0.06204965959996356</v>
                </pt>
                <pt idx="517">
                  <v>-0.05764789705927631</v>
                </pt>
                <pt idx="518">
                  <v>-0.05690439891943933</v>
                </pt>
                <pt idx="519">
                  <v>-0.06174513923720304</v>
                </pt>
                <pt idx="520">
                  <v>-0.04846673282641123</v>
                </pt>
                <pt idx="521">
                  <v>-0.04317258590898576</v>
                </pt>
                <pt idx="522">
                  <v>-0.005814895341999415</v>
                </pt>
                <pt idx="523">
                  <v>0.02733376602095339</v>
                </pt>
                <pt idx="524">
                  <v>0.01930967146176643</v>
                </pt>
                <pt idx="525">
                  <v>0.02628517668328678</v>
                </pt>
                <pt idx="526">
                  <v>-0.01777934800285907</v>
                </pt>
                <pt idx="527">
                  <v>0.01029329630952946</v>
                </pt>
                <pt idx="528">
                  <v>0.02089655804775181</v>
                </pt>
                <pt idx="529">
                  <v>0.01601152029101116</v>
                </pt>
                <pt idx="530">
                  <v>0.02325904468080342</v>
                </pt>
                <pt idx="531">
                  <v>0.02948782080575918</v>
                </pt>
                <pt idx="532">
                  <v>0.03391866897763274</v>
                </pt>
                <pt idx="533">
                  <v>0.02515686214839952</v>
                </pt>
                <pt idx="534">
                  <v>0.02646858508943373</v>
                </pt>
                <pt idx="535">
                  <v>0.02748644393685562</v>
                </pt>
                <pt idx="536">
                  <v>0.02675684998696393</v>
                </pt>
                <pt idx="537">
                  <v>0.00930007313082748</v>
                </pt>
                <pt idx="538">
                  <v>0.00217667235679575</v>
                </pt>
                <pt idx="539">
                  <v>-0.004259213522074701</v>
                </pt>
                <pt idx="540">
                  <v>0.0642308981465558</v>
                </pt>
                <pt idx="541">
                  <v>0.0619785959771455</v>
                </pt>
                <pt idx="542">
                  <v>0.06002027792943121</v>
                </pt>
                <pt idx="543">
                  <v>0.07807072893962008</v>
                </pt>
                <pt idx="544">
                  <v>0.07588498918029196</v>
                </pt>
                <pt idx="545">
                  <v>0.06576669286026537</v>
                </pt>
                <pt idx="546">
                  <v>0.06866377830534898</v>
                </pt>
                <pt idx="547">
                  <v>0.07485074173364747</v>
                </pt>
                <pt idx="548">
                  <v>0.05100069381638517</v>
                </pt>
                <pt idx="549">
                  <v>0.02965305739253288</v>
                </pt>
                <pt idx="550">
                  <v>0.01964775810702446</v>
                </pt>
                <pt idx="551">
                  <v>0.03278936262011456</v>
                </pt>
                <pt idx="552">
                  <v>0.04309893480761451</v>
                </pt>
                <pt idx="553">
                  <v>0.04385009187846012</v>
                </pt>
                <pt idx="554">
                  <v>0.03720179516737132</v>
                </pt>
                <pt idx="555">
                  <v>0.04421040482445582</v>
                </pt>
                <pt idx="556">
                  <v>0.04819686834615289</v>
                </pt>
                <pt idx="557">
                  <v>0.04184304903603797</v>
                </pt>
                <pt idx="558">
                  <v>0.02812077829088588</v>
                </pt>
                <pt idx="559">
                  <v>0.004897722244359359</v>
                </pt>
                <pt idx="560">
                  <v>0.01154588458918226</v>
                </pt>
                <pt idx="561">
                  <v>0.01176254425433498</v>
                </pt>
                <pt idx="562">
                  <v>-0.0003192683610075964</v>
                </pt>
                <pt idx="563">
                  <v>-0.000100207125860341</v>
                </pt>
                <pt idx="564">
                  <v>0.004471838877589507</v>
                </pt>
                <pt idx="565">
                  <v>0.007794509851654308</v>
                </pt>
                <pt idx="566">
                  <v>-0.005678457271039328</v>
                </pt>
                <pt idx="567">
                  <v>-0.002109577561820952</v>
                </pt>
                <pt idx="568">
                  <v>-0.01109269688343895</v>
                </pt>
                <pt idx="569">
                  <v>-0.0231533702982506</v>
                </pt>
                <pt idx="570">
                  <v>-0.01058786113129162</v>
                </pt>
                <pt idx="571">
                  <v>-0.01733818898895834</v>
                </pt>
                <pt idx="572">
                  <v>-0.02506890879340562</v>
                </pt>
                <pt idx="573">
                  <v>-0.02472318635385795</v>
                </pt>
                <pt idx="574">
                  <v>-0.02796524790140009</v>
                </pt>
                <pt idx="575">
                  <v>-0.03112481340036588</v>
                </pt>
                <pt idx="576">
                  <v>-0.02148377101916266</v>
                </pt>
                <pt idx="577">
                  <v>-0.01942151249146939</v>
                </pt>
                <pt idx="578">
                  <v>-0.05643272885876749</v>
                </pt>
                <pt idx="579">
                  <v>-0.05522771229425449</v>
                </pt>
                <pt idx="580">
                  <v>-0.04080084852933663</v>
                </pt>
                <pt idx="581">
                  <v>-0.05031709123134431</v>
                </pt>
                <pt idx="582">
                  <v>-0.03598663663063395</v>
                </pt>
                <pt idx="583">
                  <v>-0.03656616766085707</v>
                </pt>
                <pt idx="584">
                  <v>-0.04219328401907441</v>
                </pt>
                <pt idx="585">
                  <v>-0.03224752092839678</v>
                </pt>
                <pt idx="586">
                  <v>-0.03371169905241733</v>
                </pt>
                <pt idx="587">
                  <v>-0.02685452480795703</v>
                </pt>
                <pt idx="588">
                  <v>-0.02678738967970706</v>
                </pt>
                <pt idx="589">
                  <v>-0.02959499522941367</v>
                </pt>
                <pt idx="590">
                  <v>-0.0280946661469923</v>
                </pt>
                <pt idx="591">
                  <v>-0.05418981496493369</v>
                </pt>
                <pt idx="592">
                  <v>-0.0607291513469177</v>
                </pt>
                <pt idx="593">
                  <v>-0.057881050916746</v>
                </pt>
                <pt idx="594">
                  <v>-0.04432146238377777</v>
                </pt>
                <pt idx="595">
                  <v>-0.05181903534342114</v>
                </pt>
                <pt idx="596">
                  <v>-0.04204535309534385</v>
                </pt>
                <pt idx="597">
                  <v>-0.04540856515176261</v>
                </pt>
                <pt idx="598">
                  <v>-0.03753318760990243</v>
                </pt>
                <pt idx="599">
                  <v>-0.0295407243154463</v>
                </pt>
                <pt idx="600">
                  <v>-0.04596804396405363</v>
                </pt>
                <pt idx="601">
                  <v>-0.02995246737931967</v>
                </pt>
                <pt idx="602">
                  <v>-0.032807011690551</v>
                </pt>
                <pt idx="603">
                  <v>-0.02240277226072707</v>
                </pt>
                <pt idx="604">
                  <v>-0.005135640869367131</v>
                </pt>
                <pt idx="605">
                  <v>0.004598379864891422</v>
                </pt>
                <pt idx="606">
                  <v>0.01444645008541445</v>
                </pt>
                <pt idx="607">
                  <v>0.001117991358592585</v>
                </pt>
                <pt idx="608">
                  <v>0.00377189318296911</v>
                </pt>
                <pt idx="609">
                  <v>0.0116111081190482</v>
                </pt>
                <pt idx="610">
                  <v>0.009087267640234931</v>
                </pt>
                <pt idx="611">
                  <v>0.02173543769308872</v>
                </pt>
                <pt idx="612">
                  <v>0.03133162110608434</v>
                </pt>
                <pt idx="613">
                  <v>0.02237578335020962</v>
                </pt>
                <pt idx="614">
                  <v>0.01960048303138406</v>
                </pt>
                <pt idx="615">
                  <v>0.01373743398768346</v>
                </pt>
                <pt idx="616">
                  <v>0.02967497323312318</v>
                </pt>
                <pt idx="617">
                  <v>0.009290627991271894</v>
                </pt>
                <pt idx="618">
                  <v>0.02043553299092227</v>
                </pt>
                <pt idx="619">
                  <v>0.01936508863029096</v>
                </pt>
                <pt idx="620">
                  <v>0.01651774707130205</v>
                </pt>
                <pt idx="621">
                  <v>0.01541767797924698</v>
                </pt>
                <pt idx="622">
                  <v>0.01293534960637333</v>
                </pt>
                <pt idx="623">
                  <v>0.009395429202049055</v>
                </pt>
                <pt idx="624">
                  <v>0.01545133232740659</v>
                </pt>
                <pt idx="625">
                  <v>0.02770543139680481</v>
                </pt>
                <pt idx="626">
                  <v>0.006649231911051823</v>
                </pt>
                <pt idx="627">
                  <v>0.01313933899932596</v>
                </pt>
                <pt idx="628">
                  <v>0.02470214230220846</v>
                </pt>
                <pt idx="629">
                  <v>0.03640692220098485</v>
                </pt>
                <pt idx="630">
                  <v>0.0116348200933527</v>
                </pt>
                <pt idx="631">
                  <v>0.01558291978711734</v>
                </pt>
                <pt idx="632">
                  <v>0.03191160231670831</v>
                </pt>
                <pt idx="633">
                  <v>0.009295071579984659</v>
                </pt>
                <pt idx="634">
                  <v>0.0008525578995350891</v>
                </pt>
                <pt idx="635">
                  <v>-0.004823293842816434</v>
                </pt>
                <pt idx="636">
                  <v>-0.002595598597276316</v>
                </pt>
                <pt idx="637">
                  <v>0.01426857861181619</v>
                </pt>
                <pt idx="638">
                  <v>0.009390178585712894</v>
                </pt>
                <pt idx="639">
                  <v>0.00834819406156817</v>
                </pt>
                <pt idx="640">
                  <v>0.009457525506024744</v>
                </pt>
                <pt idx="641">
                  <v>-0.0001837325650488886</v>
                </pt>
                <pt idx="642">
                  <v>0.007698093723211841</v>
                </pt>
                <pt idx="643">
                  <v>0.01735635339063535</v>
                </pt>
                <pt idx="644">
                  <v>0.02714875976596121</v>
                </pt>
                <pt idx="645">
                  <v>0.03882827121900134</v>
                </pt>
                <pt idx="646">
                  <v>0.01517470301400636</v>
                </pt>
                <pt idx="647">
                  <v>0.01982229602421537</v>
                </pt>
                <pt idx="648">
                  <v>0.02430859011067366</v>
                </pt>
                <pt idx="649">
                  <v>0.02054773035316759</v>
                </pt>
                <pt idx="650">
                  <v>0.01167020399137786</v>
                </pt>
                <pt idx="651">
                  <v>0.01747134634562952</v>
                </pt>
                <pt idx="652">
                  <v>0.01529907512304218</v>
                </pt>
                <pt idx="653">
                  <v>0.03843848180974785</v>
                </pt>
                <pt idx="654">
                  <v>0.02722411201769992</v>
                </pt>
                <pt idx="655">
                  <v>0.04995040089576941</v>
                </pt>
                <pt idx="656">
                  <v>0.02511848594504884</v>
                </pt>
                <pt idx="657">
                  <v>0.008753270226960597</v>
                </pt>
                <pt idx="658">
                  <v>7.983546139511688e-05</v>
                </pt>
                <pt idx="659">
                  <v>-0.009812299263982527</v>
                </pt>
                <pt idx="660">
                  <v>-0.002759862522602741</v>
                </pt>
                <pt idx="661">
                  <v>-0.01068646424722175</v>
                </pt>
                <pt idx="662">
                  <v>-0.02191021483567834</v>
                </pt>
                <pt idx="663">
                  <v>-0.02758010098775832</v>
                </pt>
                <pt idx="664">
                  <v>-0.04131529088660479</v>
                </pt>
                <pt idx="665">
                  <v>-0.04195568861718724</v>
                </pt>
                <pt idx="666">
                  <v>-0.0346263934405926</v>
                </pt>
                <pt idx="667">
                  <v>-0.04033765366905173</v>
                </pt>
                <pt idx="668">
                  <v>-0.04512445706396628</v>
                </pt>
                <pt idx="669">
                  <v>-0.05004065817654779</v>
                </pt>
                <pt idx="670">
                  <v>-0.02628468378876847</v>
                </pt>
                <pt idx="671">
                  <v>-0.05341978805124559</v>
                </pt>
                <pt idx="672">
                  <v>-0.03912602194334081</v>
                </pt>
                <pt idx="673">
                  <v>-0.03671830869696968</v>
                </pt>
                <pt idx="674">
                  <v>-0.03322912563940417</v>
                </pt>
                <pt idx="675">
                  <v>-0.02799323303574264</v>
                </pt>
                <pt idx="676">
                  <v>-0.02856664661716279</v>
                </pt>
                <pt idx="677">
                  <v>-0.04899761468368302</v>
                </pt>
                <pt idx="678">
                  <v>-0.06059371424459314</v>
                </pt>
                <pt idx="679">
                  <v>-0.05344926841165598</v>
                </pt>
                <pt idx="680">
                  <v>-0.03933257631957976</v>
                </pt>
                <pt idx="681">
                  <v>-0.03501713135004636</v>
                </pt>
                <pt idx="682">
                  <v>-0.0140820471534554</v>
                </pt>
                <pt idx="683">
                  <v>-0.0174567972470373</v>
                </pt>
                <pt idx="684">
                  <v>-0.03386172058450088</v>
                </pt>
                <pt idx="685">
                  <v>-0.02443426416640571</v>
                </pt>
                <pt idx="686">
                  <v>-0.02331151684183808</v>
                </pt>
                <pt idx="687">
                  <v>-0.0215031864279559</v>
                </pt>
                <pt idx="688">
                  <v>-0.03484034097685573</v>
                </pt>
                <pt idx="689">
                  <v>-0.04325957173274875</v>
                </pt>
                <pt idx="690">
                  <v>-0.03751491529533102</v>
                </pt>
                <pt idx="691">
                  <v>-0.03473372554821474</v>
                </pt>
                <pt idx="692">
                  <v>-0.03256107658762974</v>
                </pt>
                <pt idx="693">
                  <v>-0.02665125234316235</v>
                </pt>
                <pt idx="694">
                  <v>-0.04142228815896309</v>
                </pt>
                <pt idx="695">
                  <v>-0.0289896479758357</v>
                </pt>
                <pt idx="696">
                  <v>-0.02308314610714002</v>
                </pt>
                <pt idx="697">
                  <v>-0.0234534833521568</v>
                </pt>
                <pt idx="698">
                  <v>-0.01953033284145622</v>
                </pt>
                <pt idx="699">
                  <v>-0.03231972237267267</v>
                </pt>
                <pt idx="700">
                  <v>-0.04366812500924577</v>
                </pt>
                <pt idx="701">
                  <v>-0.04109157271818853</v>
                </pt>
                <pt idx="702">
                  <v>-0.03522803031586874</v>
                </pt>
                <pt idx="703">
                  <v>-0.04116838974760562</v>
                </pt>
                <pt idx="704">
                  <v>-0.04239149859834168</v>
                </pt>
                <pt idx="705">
                  <v>-0.04314132974559959</v>
                </pt>
                <pt idx="706">
                  <v>-0.0412192932560782</v>
                </pt>
                <pt idx="707">
                  <v>-0.04492024878289147</v>
                </pt>
                <pt idx="708">
                  <v>-0.05403471404806048</v>
                </pt>
                <pt idx="709">
                  <v>-0.05904830239011949</v>
                </pt>
                <pt idx="710">
                  <v>-0.03630296208905237</v>
                </pt>
                <pt idx="711">
                  <v>-0.02952855853688818</v>
                </pt>
                <pt idx="712">
                  <v>-0.02492504776867221</v>
                </pt>
                <pt idx="713">
                  <v>-0.0469900883248765</v>
                </pt>
                <pt idx="714">
                  <v>-0.02402164874794921</v>
                </pt>
                <pt idx="715">
                  <v>0.01004990627806324</v>
                </pt>
                <pt idx="716">
                  <v>0.001993754078982279</v>
                </pt>
                <pt idx="717">
                  <v>0.008605912542489769</v>
                </pt>
                <pt idx="718">
                  <v>-0.02734147277765409</v>
                </pt>
                <pt idx="719">
                  <v>-0.01948600508135367</v>
                </pt>
                <pt idx="720">
                  <v>-0.004807787902065486</v>
                </pt>
                <pt idx="721">
                  <v>-0.01673191943660546</v>
                </pt>
                <pt idx="722">
                  <v>-0.01856307068878138</v>
                </pt>
                <pt idx="723">
                  <v>-0.009752810056775862</v>
                </pt>
                <pt idx="724">
                  <v>-0.02055695146280567</v>
                </pt>
                <pt idx="725">
                  <v>-0.02443386773563416</v>
                </pt>
                <pt idx="726">
                  <v>-0.03390130686583337</v>
                </pt>
                <pt idx="727">
                  <v>-0.03037496609061729</v>
                </pt>
                <pt idx="728">
                  <v>-0.02928977546851808</v>
                </pt>
                <pt idx="729">
                  <v>-0.02290723293056751</v>
                </pt>
                <pt idx="730">
                  <v>-0.01033611623281827</v>
                </pt>
                <pt idx="731">
                  <v>0.01471006850917322</v>
                </pt>
                <pt idx="732">
                  <v>0.02122281004779891</v>
                </pt>
                <pt idx="733">
                  <v>0.03171484533148594</v>
                </pt>
                <pt idx="734">
                  <v>0.05451111849914558</v>
                </pt>
                <pt idx="735">
                  <v>0.06112157549484265</v>
                </pt>
                <pt idx="736">
                  <v>0.07384101293283418</v>
                </pt>
                <pt idx="737">
                  <v>0.03965941490705482</v>
                </pt>
                <pt idx="738">
                  <v>0.06303968225446144</v>
                </pt>
                <pt idx="739">
                  <v>0.08119943054616763</v>
                </pt>
                <pt idx="740">
                  <v>-0.004322552924469258</v>
                </pt>
                <pt idx="741">
                  <v>-0.0186885144563349</v>
                </pt>
                <pt idx="742">
                  <v>-0.004623008341426593</v>
                </pt>
                <pt idx="743">
                  <v>-0.003807692012819497</v>
                </pt>
                <pt idx="744">
                  <v>0.02460191957530844</v>
                </pt>
                <pt idx="745">
                  <v>0.04044640022446133</v>
                </pt>
                <pt idx="746">
                  <v>-0.008375119181438184</v>
                </pt>
                <pt idx="747">
                  <v>0.008455940186582911</v>
                </pt>
                <pt idx="748">
                  <v>0.016634144163721</v>
                </pt>
                <pt idx="749">
                  <v>0.003601608236862175</v>
                </pt>
                <pt idx="750">
                  <v>-0.007975460834418469</v>
                </pt>
                <pt idx="751">
                  <v>-0.02812555223515067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40001"/>
        <axId val="50040002"/>
      </lineChart>
      <dateAx>
        <axId val="50040001"/>
        <scaling>
          <orientation val="minMax"/>
        </scaling>
        <delete val="0"/>
        <axPos val="b"/>
        <numFmt formatCode="yyyy\-mm\-dd" sourceLinked="1"/>
        <majorTickMark val="out"/>
        <minorTickMark val="none"/>
        <tickLblPos val="low"/>
        <txPr>
          <a:bodyPr/>
          <a:lstStyle/>
          <a:p>
            <a:pPr>
              <a:defRPr sz="800"/>
            </a:pPr>
            <a:r>
              <a:t>None</a:t>
            </a:r>
            <a:endParaRPr lang="en-VN"/>
          </a:p>
        </txPr>
        <crossAx val="50040002"/>
        <crosses val="autoZero"/>
        <lblOffset val="100"/>
        <baseTimeUnit val="days"/>
        <majorUnit val="2"/>
        <majorTimeUnit val="months"/>
        <minorUnit val="2"/>
        <minorTimeUnit val="months"/>
      </dateAx>
      <valAx>
        <axId val="50040002"/>
        <scaling>
          <orientation val="minMax"/>
        </scaling>
        <delete val="0"/>
        <axPos val="l"/>
        <majorGridlines/>
        <numFmt formatCode="0%" sourceLinked="0"/>
        <majorTickMark val="out"/>
        <minorTickMark val="none"/>
        <tickLblPos val="nextTo"/>
        <crossAx val="50040001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4972703084740779"/>
          <y val="0.05071529939571504"/>
          <w val="0.119519060162758"/>
          <h val="0.05256660867972899"/>
        </manualLayout>
      </layout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Rolling Volatility (60D, Annualized)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'Share Price Analysis'!$T$35</f>
              <strCache>
                <ptCount val="1"/>
                <pt idx="0">
                  <v>Rolling Volatility 60D</v>
                </pt>
              </strCache>
            </strRef>
          </tx>
          <spPr>
            <a:ln w="1905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Analysis'!$T$36:$T$787</f>
              <numCache>
                <formatCode>0.00%</formatCode>
                <ptCount val="75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0.2556579530972186</v>
                </pt>
                <pt idx="41">
                  <v>0.2526068427494814</v>
                </pt>
                <pt idx="42">
                  <v>0.2960237067424348</v>
                </pt>
                <pt idx="43">
                  <v>0.2950461656579824</v>
                </pt>
                <pt idx="44">
                  <v>0.2919151448611203</v>
                </pt>
                <pt idx="45">
                  <v>0.288579761952538</v>
                </pt>
                <pt idx="46">
                  <v>0.287146542843211</v>
                </pt>
                <pt idx="47">
                  <v>0.2846850726998702</v>
                </pt>
                <pt idx="48">
                  <v>0.2816487433095526</v>
                </pt>
                <pt idx="49">
                  <v>0.2787423659799176</v>
                </pt>
                <pt idx="50">
                  <v>0.2764448596129162</v>
                </pt>
                <pt idx="51">
                  <v>0.2739824319826413</v>
                </pt>
                <pt idx="52">
                  <v>0.2713344287998099</v>
                </pt>
                <pt idx="53">
                  <v>0.2687587705859166</v>
                </pt>
                <pt idx="54">
                  <v>0.2662360950273446</v>
                </pt>
                <pt idx="55">
                  <v>0.2650699623887841</v>
                </pt>
                <pt idx="56">
                  <v>0.2631012334541259</v>
                </pt>
                <pt idx="57">
                  <v>0.2608544319615667</v>
                </pt>
                <pt idx="58">
                  <v>0.2586340864996073</v>
                </pt>
                <pt idx="59">
                  <v>0.2564102801185434</v>
                </pt>
                <pt idx="60">
                  <v>0.2543879820439828</v>
                </pt>
                <pt idx="61">
                  <v>0.2541468531176332</v>
                </pt>
                <pt idx="62">
                  <v>0.2562919207687827</v>
                </pt>
                <pt idx="63">
                  <v>0.2491228644447993</v>
                </pt>
                <pt idx="64">
                  <v>0.2411171063455173</v>
                </pt>
                <pt idx="65">
                  <v>0.2367131082683206</v>
                </pt>
                <pt idx="66">
                  <v>0.2364723704211411</v>
                </pt>
                <pt idx="67">
                  <v>0.2271286753407143</v>
                </pt>
                <pt idx="68">
                  <v>0.224928170820669</v>
                </pt>
                <pt idx="69">
                  <v>0.2130469070573222</v>
                </pt>
                <pt idx="70">
                  <v>0.2124164390055734</v>
                </pt>
                <pt idx="71">
                  <v>0.2106764226909529</v>
                </pt>
                <pt idx="72">
                  <v>0.2085649624909184</v>
                </pt>
                <pt idx="73">
                  <v>0.2086261320438573</v>
                </pt>
                <pt idx="74">
                  <v>0.2084783179025757</v>
                </pt>
                <pt idx="75">
                  <v>0.2089608985764479</v>
                </pt>
                <pt idx="76">
                  <v>0.2080799583305563</v>
                </pt>
                <pt idx="77">
                  <v>0.2075602257301399</v>
                </pt>
                <pt idx="78">
                  <v>0.2124190281406877</v>
                </pt>
                <pt idx="79">
                  <v>0.2123152143772252</v>
                </pt>
                <pt idx="80">
                  <v>0.2140471075894479</v>
                </pt>
                <pt idx="81">
                  <v>0.2059869735490308</v>
                </pt>
                <pt idx="82">
                  <v>0.1962715978797833</v>
                </pt>
                <pt idx="83">
                  <v>0.1994701574364201</v>
                </pt>
                <pt idx="84">
                  <v>0.2024183213880032</v>
                </pt>
                <pt idx="85">
                  <v>0.202976182320628</v>
                </pt>
                <pt idx="86">
                  <v>0.2032065686230128</v>
                </pt>
                <pt idx="87">
                  <v>0.2047389454557597</v>
                </pt>
                <pt idx="88">
                  <v>0.2081864352403668</v>
                </pt>
                <pt idx="89">
                  <v>0.2076148937970917</v>
                </pt>
                <pt idx="90">
                  <v>0.2076163635701636</v>
                </pt>
                <pt idx="91">
                  <v>0.2083963404251836</v>
                </pt>
                <pt idx="92">
                  <v>0.2073434424580314</v>
                </pt>
                <pt idx="93">
                  <v>0.2084555226156066</v>
                </pt>
                <pt idx="94">
                  <v>0.2084715958377123</v>
                </pt>
                <pt idx="95">
                  <v>0.2062877153777426</v>
                </pt>
                <pt idx="96">
                  <v>0.2010760807420573</v>
                </pt>
                <pt idx="97">
                  <v>0.1892848149744428</v>
                </pt>
                <pt idx="98">
                  <v>0.188546967756022</v>
                </pt>
                <pt idx="99">
                  <v>0.1955629849378398</v>
                </pt>
                <pt idx="100">
                  <v>0.1954096968307705</v>
                </pt>
                <pt idx="101">
                  <v>0.1948966924517875</v>
                </pt>
                <pt idx="102">
                  <v>0.149450341639716</v>
                </pt>
                <pt idx="103">
                  <v>0.1468412825074969</v>
                </pt>
                <pt idx="104">
                  <v>0.1481281764988389</v>
                </pt>
                <pt idx="105">
                  <v>0.1482854244780954</v>
                </pt>
                <pt idx="106">
                  <v>0.1471961308834776</v>
                </pt>
                <pt idx="107">
                  <v>0.1477115645505484</v>
                </pt>
                <pt idx="108">
                  <v>0.152163260008837</v>
                </pt>
                <pt idx="109">
                  <v>0.1521693944379581</v>
                </pt>
                <pt idx="110">
                  <v>0.1514479449472725</v>
                </pt>
                <pt idx="111">
                  <v>0.1511756573131197</v>
                </pt>
                <pt idx="112">
                  <v>0.1516948555677627</v>
                </pt>
                <pt idx="113">
                  <v>0.1528979016391424</v>
                </pt>
                <pt idx="114">
                  <v>0.1767436056848185</v>
                </pt>
                <pt idx="115">
                  <v>0.1759352853148437</v>
                </pt>
                <pt idx="116">
                  <v>0.1753719347395214</v>
                </pt>
                <pt idx="117">
                  <v>0.1759674974933906</v>
                </pt>
                <pt idx="118">
                  <v>0.1770395106813495</v>
                </pt>
                <pt idx="119">
                  <v>0.1785392417853931</v>
                </pt>
                <pt idx="120">
                  <v>0.1783692870875324</v>
                </pt>
                <pt idx="121">
                  <v>0.1755168605478473</v>
                </pt>
                <pt idx="122">
                  <v>0.1740578241300858</v>
                </pt>
                <pt idx="123">
                  <v>0.1739911158161308</v>
                </pt>
                <pt idx="124">
                  <v>0.1738954152490622</v>
                </pt>
                <pt idx="125">
                  <v>0.1780214633830335</v>
                </pt>
                <pt idx="126">
                  <v>0.1890456930077119</v>
                </pt>
                <pt idx="127">
                  <v>0.1893786468675124</v>
                </pt>
                <pt idx="128">
                  <v>0.1891669052151899</v>
                </pt>
                <pt idx="129">
                  <v>0.1885085171550294</v>
                </pt>
                <pt idx="130">
                  <v>0.1884579580539075</v>
                </pt>
                <pt idx="131">
                  <v>0.1888625638383698</v>
                </pt>
                <pt idx="132">
                  <v>0.1883962372497791</v>
                </pt>
                <pt idx="133">
                  <v>0.1882876174974021</v>
                </pt>
                <pt idx="134">
                  <v>0.1922376035937704</v>
                </pt>
                <pt idx="135">
                  <v>0.1904550000478093</v>
                </pt>
                <pt idx="136">
                  <v>0.1909856859783919</v>
                </pt>
                <pt idx="137">
                  <v>0.1909631717982319</v>
                </pt>
                <pt idx="138">
                  <v>0.1952331700516013</v>
                </pt>
                <pt idx="139">
                  <v>0.1956570446959791</v>
                </pt>
                <pt idx="140">
                  <v>0.1922434549203637</v>
                </pt>
                <pt idx="141">
                  <v>0.1920561462136972</v>
                </pt>
                <pt idx="142">
                  <v>0.1932228105718688</v>
                </pt>
                <pt idx="143">
                  <v>0.1926939077406255</v>
                </pt>
                <pt idx="144">
                  <v>0.193423860888344</v>
                </pt>
                <pt idx="145">
                  <v>0.1935890605428917</v>
                </pt>
                <pt idx="146">
                  <v>0.1924684453003178</v>
                </pt>
                <pt idx="147">
                  <v>0.1955729440426295</v>
                </pt>
                <pt idx="148">
                  <v>0.1947254168536344</v>
                </pt>
                <pt idx="149">
                  <v>0.2003400234676632</v>
                </pt>
                <pt idx="150">
                  <v>0.200707018303358</v>
                </pt>
                <pt idx="151">
                  <v>0.200782579643496</v>
                </pt>
                <pt idx="152">
                  <v>0.2043921397372422</v>
                </pt>
                <pt idx="153">
                  <v>0.2067661643288611</v>
                </pt>
                <pt idx="154">
                  <v>0.2070385124962719</v>
                </pt>
                <pt idx="155">
                  <v>0.2104568284917998</v>
                </pt>
                <pt idx="156">
                  <v>0.2112004245618202</v>
                </pt>
                <pt idx="157">
                  <v>0.2355973570808389</v>
                </pt>
                <pt idx="158">
                  <v>0.2352950575405007</v>
                </pt>
                <pt idx="159">
                  <v>0.2311221491481607</v>
                </pt>
                <pt idx="160">
                  <v>0.2305339764035009</v>
                </pt>
                <pt idx="161">
                  <v>0.232352947975067</v>
                </pt>
                <pt idx="162">
                  <v>0.230175600991645</v>
                </pt>
                <pt idx="163">
                  <v>0.2477278800917858</v>
                </pt>
                <pt idx="164">
                  <v>0.2454405302473454</v>
                </pt>
                <pt idx="165">
                  <v>0.2471766398357724</v>
                </pt>
                <pt idx="166">
                  <v>0.2455944628858346</v>
                </pt>
                <pt idx="167">
                  <v>0.2583166069067751</v>
                </pt>
                <pt idx="168">
                  <v>0.2589046555782544</v>
                </pt>
                <pt idx="169">
                  <v>0.2589484485142825</v>
                </pt>
                <pt idx="170">
                  <v>0.2589762281177725</v>
                </pt>
                <pt idx="171">
                  <v>0.2586352842768913</v>
                </pt>
                <pt idx="172">
                  <v>0.2589593244345449</v>
                </pt>
                <pt idx="173">
                  <v>0.258820529030246</v>
                </pt>
                <pt idx="174">
                  <v>0.2459945421353339</v>
                </pt>
                <pt idx="175">
                  <v>0.2458131363853445</v>
                </pt>
                <pt idx="176">
                  <v>0.2526815431115674</v>
                </pt>
                <pt idx="177">
                  <v>0.2577523502521422</v>
                </pt>
                <pt idx="178">
                  <v>0.2569933439580291</v>
                </pt>
                <pt idx="179">
                  <v>0.2562566945551592</v>
                </pt>
                <pt idx="180">
                  <v>0.2569478845256844</v>
                </pt>
                <pt idx="181">
                  <v>0.2569723689856424</v>
                </pt>
                <pt idx="182">
                  <v>0.2555587906155604</v>
                </pt>
                <pt idx="183">
                  <v>0.2555499932295909</v>
                </pt>
                <pt idx="184">
                  <v>0.2558357454742895</v>
                </pt>
                <pt idx="185">
                  <v>0.2522538731592707</v>
                </pt>
                <pt idx="186">
                  <v>0.2452886777303277</v>
                </pt>
                <pt idx="187">
                  <v>0.2452493705551149</v>
                </pt>
                <pt idx="188">
                  <v>0.2460337878575381</v>
                </pt>
                <pt idx="189">
                  <v>0.2460815116805153</v>
                </pt>
                <pt idx="190">
                  <v>0.2474810493286859</v>
                </pt>
                <pt idx="191">
                  <v>0.2468957733254361</v>
                </pt>
                <pt idx="192">
                  <v>0.2476550025674959</v>
                </pt>
                <pt idx="193">
                  <v>0.248010549323912</v>
                </pt>
                <pt idx="194">
                  <v>0.2456241798366251</v>
                </pt>
                <pt idx="195">
                  <v>0.2460852625209801</v>
                </pt>
                <pt idx="196">
                  <v>0.2464472491403927</v>
                </pt>
                <pt idx="197">
                  <v>0.2464937099050984</v>
                </pt>
                <pt idx="198">
                  <v>0.2351543418814682</v>
                </pt>
                <pt idx="199">
                  <v>0.234941704386838</v>
                </pt>
                <pt idx="200">
                  <v>0.2351490151857166</v>
                </pt>
                <pt idx="201">
                  <v>0.2376407246851316</v>
                </pt>
                <pt idx="202">
                  <v>0.2373787627694597</v>
                </pt>
                <pt idx="203">
                  <v>0.2374153588256941</v>
                </pt>
                <pt idx="204">
                  <v>0.234975624415624</v>
                </pt>
                <pt idx="205">
                  <v>0.2344915728232327</v>
                </pt>
                <pt idx="206">
                  <v>0.2342042926129275</v>
                </pt>
                <pt idx="207">
                  <v>0.2294572737321059</v>
                </pt>
                <pt idx="208">
                  <v>0.2314584070781313</v>
                </pt>
                <pt idx="209">
                  <v>0.2292669016578776</v>
                </pt>
                <pt idx="210">
                  <v>0.2284289628474725</v>
                </pt>
                <pt idx="211">
                  <v>0.2284677647712534</v>
                </pt>
                <pt idx="212">
                  <v>0.2266847585277002</v>
                </pt>
                <pt idx="213">
                  <v>0.2229373635632968</v>
                </pt>
                <pt idx="214">
                  <v>0.2235024000089573</v>
                </pt>
                <pt idx="215">
                  <v>0.2215744340901101</v>
                </pt>
                <pt idx="216">
                  <v>0.2211232275972124</v>
                </pt>
                <pt idx="217">
                  <v>0.1932939445391756</v>
                </pt>
                <pt idx="218">
                  <v>0.1932767749350217</v>
                </pt>
                <pt idx="219">
                  <v>0.1953977176707218</v>
                </pt>
                <pt idx="220">
                  <v>0.1953724598766839</v>
                </pt>
                <pt idx="221">
                  <v>0.1941186087806503</v>
                </pt>
                <pt idx="222">
                  <v>0.197937815478453</v>
                </pt>
                <pt idx="223">
                  <v>0.1740835404092835</v>
                </pt>
                <pt idx="224">
                  <v>0.1763469570728282</v>
                </pt>
                <pt idx="225">
                  <v>0.1758311529978063</v>
                </pt>
                <pt idx="226">
                  <v>0.1858434870269886</v>
                </pt>
                <pt idx="227">
                  <v>0.1716623990604561</v>
                </pt>
                <pt idx="228">
                  <v>0.1764654735540518</v>
                </pt>
                <pt idx="229">
                  <v>0.180063526841103</v>
                </pt>
                <pt idx="230">
                  <v>0.1826870379781387</v>
                </pt>
                <pt idx="231">
                  <v>0.1884260942713703</v>
                </pt>
                <pt idx="232">
                  <v>0.1887304697807123</v>
                </pt>
                <pt idx="233">
                  <v>0.1928863031115009</v>
                </pt>
                <pt idx="234">
                  <v>0.1922832560683561</v>
                </pt>
                <pt idx="235">
                  <v>0.191839585343202</v>
                </pt>
                <pt idx="236">
                  <v>0.1837475334383272</v>
                </pt>
                <pt idx="237">
                  <v>0.1768720725245879</v>
                </pt>
                <pt idx="238">
                  <v>0.1792108385870781</v>
                </pt>
                <pt idx="239">
                  <v>0.1793083628963479</v>
                </pt>
                <pt idx="240">
                  <v>0.2049787138310084</v>
                </pt>
                <pt idx="241">
                  <v>0.2079768854971532</v>
                </pt>
                <pt idx="242">
                  <v>0.2077753628500883</v>
                </pt>
                <pt idx="243">
                  <v>0.2087557599020834</v>
                </pt>
                <pt idx="244">
                  <v>0.2087516594204251</v>
                </pt>
                <pt idx="245">
                  <v>0.2087877592700843</v>
                </pt>
                <pt idx="246">
                  <v>0.2090089412922753</v>
                </pt>
                <pt idx="247">
                  <v>0.2097208830782228</v>
                </pt>
                <pt idx="248">
                  <v>0.2103508196903577</v>
                </pt>
                <pt idx="249">
                  <v>0.2098300568248966</v>
                </pt>
                <pt idx="250">
                  <v>0.2069892482423007</v>
                </pt>
                <pt idx="251">
                  <v>0.2089905119885841</v>
                </pt>
                <pt idx="252">
                  <v>0.208788610025691</v>
                </pt>
                <pt idx="253">
                  <v>0.209672104315358</v>
                </pt>
                <pt idx="254">
                  <v>0.212858007166278</v>
                </pt>
                <pt idx="255">
                  <v>0.2134550584860188</v>
                </pt>
                <pt idx="256">
                  <v>0.2146214220467882</v>
                </pt>
                <pt idx="257">
                  <v>0.2147610848742956</v>
                </pt>
                <pt idx="258">
                  <v>0.2145557889298425</v>
                </pt>
                <pt idx="259">
                  <v>0.2164803607207639</v>
                </pt>
                <pt idx="260">
                  <v>0.2165600803119608</v>
                </pt>
                <pt idx="261">
                  <v>0.2132504697103235</v>
                </pt>
                <pt idx="262">
                  <v>0.2133350418117978</v>
                </pt>
                <pt idx="263">
                  <v>0.2143308653581103</v>
                </pt>
                <pt idx="264">
                  <v>0.2149481275987662</v>
                </pt>
                <pt idx="265">
                  <v>0.2158047150478536</v>
                </pt>
                <pt idx="266">
                  <v>0.2155769374877181</v>
                </pt>
                <pt idx="267">
                  <v>0.2159520690910691</v>
                </pt>
                <pt idx="268">
                  <v>0.2126910631025426</v>
                </pt>
                <pt idx="269">
                  <v>0.2099107546602199</v>
                </pt>
                <pt idx="270">
                  <v>0.2124650534380363</v>
                </pt>
                <pt idx="271">
                  <v>0.2128412035937924</v>
                </pt>
                <pt idx="272">
                  <v>0.2141790287029985</v>
                </pt>
                <pt idx="273">
                  <v>0.2155150503962411</v>
                </pt>
                <pt idx="274">
                  <v>0.2149530550657942</v>
                </pt>
                <pt idx="275">
                  <v>0.2170835407375603</v>
                </pt>
                <pt idx="276">
                  <v>0.21733434976034</v>
                </pt>
                <pt idx="277">
                  <v>0.2163499578898808</v>
                </pt>
                <pt idx="278">
                  <v>0.2174418661085085</v>
                </pt>
                <pt idx="279">
                  <v>0.2166239260586375</v>
                </pt>
                <pt idx="280">
                  <v>0.2175426976003333</v>
                </pt>
                <pt idx="281">
                  <v>0.2175633269744544</v>
                </pt>
                <pt idx="282">
                  <v>0.2149006467427931</v>
                </pt>
                <pt idx="283">
                  <v>0.2144041301592541</v>
                </pt>
                <pt idx="284">
                  <v>0.2129454049227914</v>
                </pt>
                <pt idx="285">
                  <v>0.2151962067801732</v>
                </pt>
                <pt idx="286">
                  <v>0.2084595996949201</v>
                </pt>
                <pt idx="287">
                  <v>0.2085827722450066</v>
                </pt>
                <pt idx="288">
                  <v>0.2032885308940228</v>
                </pt>
                <pt idx="289">
                  <v>0.2002896854438163</v>
                </pt>
                <pt idx="290">
                  <v>0.2005446500900576</v>
                </pt>
                <pt idx="291">
                  <v>0.1955955782155428</v>
                </pt>
                <pt idx="292">
                  <v>0.1978923752424241</v>
                </pt>
                <pt idx="293">
                  <v>0.1939084412922617</v>
                </pt>
                <pt idx="294">
                  <v>0.1939205542043118</v>
                </pt>
                <pt idx="295">
                  <v>0.1939189193212181</v>
                </pt>
                <pt idx="296">
                  <v>0.194031620614339</v>
                </pt>
                <pt idx="297">
                  <v>0.1924126003619419</v>
                </pt>
                <pt idx="298">
                  <v>0.1901270009065169</v>
                </pt>
                <pt idx="299">
                  <v>0.1909369022924028</v>
                </pt>
                <pt idx="300">
                  <v>0.1605841163660069</v>
                </pt>
                <pt idx="301">
                  <v>0.1583602580724765</v>
                </pt>
                <pt idx="302">
                  <v>0.177715126144996</v>
                </pt>
                <pt idx="303">
                  <v>0.1756856566770039</v>
                </pt>
                <pt idx="304">
                  <v>0.1758758045218439</v>
                </pt>
                <pt idx="305">
                  <v>0.1738745653061525</v>
                </pt>
                <pt idx="306">
                  <v>0.1730741489617726</v>
                </pt>
                <pt idx="307">
                  <v>0.1751651355073915</v>
                </pt>
                <pt idx="308">
                  <v>0.1736495149821299</v>
                </pt>
                <pt idx="309">
                  <v>0.1778717610214137</v>
                </pt>
                <pt idx="310">
                  <v>0.1784337047633739</v>
                </pt>
                <pt idx="311">
                  <v>0.1783171625370004</v>
                </pt>
                <pt idx="312">
                  <v>0.1778609889041641</v>
                </pt>
                <pt idx="313">
                  <v>0.1771277597689279</v>
                </pt>
                <pt idx="314">
                  <v>0.1746492520375789</v>
                </pt>
                <pt idx="315">
                  <v>0.1744332558729099</v>
                </pt>
                <pt idx="316">
                  <v>0.1712542041586397</v>
                </pt>
                <pt idx="317">
                  <v>0.1713411362707684</v>
                </pt>
                <pt idx="318">
                  <v>0.1708591598806408</v>
                </pt>
                <pt idx="319">
                  <v>0.1704025372485606</v>
                </pt>
                <pt idx="320">
                  <v>0.1737081081777426</v>
                </pt>
                <pt idx="321">
                  <v>0.1787779077204177</v>
                </pt>
                <pt idx="322">
                  <v>0.1774861454825375</v>
                </pt>
                <pt idx="323">
                  <v>0.1776797987574548</v>
                </pt>
                <pt idx="324">
                  <v>0.1775833475684578</v>
                </pt>
                <pt idx="325">
                  <v>0.191034753941099</v>
                </pt>
                <pt idx="326">
                  <v>0.1911670395936976</v>
                </pt>
                <pt idx="327">
                  <v>0.1911085824379898</v>
                </pt>
                <pt idx="328">
                  <v>0.1912558749438013</v>
                </pt>
                <pt idx="329">
                  <v>0.1900752408916286</v>
                </pt>
                <pt idx="330">
                  <v>0.1894984069507544</v>
                </pt>
                <pt idx="331">
                  <v>0.1884890576882503</v>
                </pt>
                <pt idx="332">
                  <v>0.1914007814382843</v>
                </pt>
                <pt idx="333">
                  <v>0.1885144647432745</v>
                </pt>
                <pt idx="334">
                  <v>0.1886242810814244</v>
                </pt>
                <pt idx="335">
                  <v>0.1865575705415808</v>
                </pt>
                <pt idx="336">
                  <v>0.1871742990602374</v>
                </pt>
                <pt idx="337">
                  <v>0.18696682684952</v>
                </pt>
                <pt idx="338">
                  <v>0.1924005984369135</v>
                </pt>
                <pt idx="339">
                  <v>0.200647524102821</v>
                </pt>
                <pt idx="340">
                  <v>0.2008354000889362</v>
                </pt>
                <pt idx="341">
                  <v>0.2011811737721654</v>
                </pt>
                <pt idx="342">
                  <v>0.212143153661459</v>
                </pt>
                <pt idx="343">
                  <v>0.2179620830129455</v>
                </pt>
                <pt idx="344">
                  <v>0.2171143318970499</v>
                </pt>
                <pt idx="345">
                  <v>0.2135121141939105</v>
                </pt>
                <pt idx="346">
                  <v>0.2151958327430356</v>
                </pt>
                <pt idx="347">
                  <v>0.2145903485426985</v>
                </pt>
                <pt idx="348">
                  <v>0.2266406101849607</v>
                </pt>
                <pt idx="349">
                  <v>0.2283381151974506</v>
                </pt>
                <pt idx="350">
                  <v>0.23539860771326</v>
                </pt>
                <pt idx="351">
                  <v>0.2358301007851673</v>
                </pt>
                <pt idx="352">
                  <v>0.2367392781807263</v>
                </pt>
                <pt idx="353">
                  <v>0.2390660582300776</v>
                </pt>
                <pt idx="354">
                  <v>0.2400236668062707</v>
                </pt>
                <pt idx="355">
                  <v>0.2424914363415551</v>
                </pt>
                <pt idx="356">
                  <v>0.251985122789177</v>
                </pt>
                <pt idx="357">
                  <v>0.2660809475695698</v>
                </pt>
                <pt idx="358">
                  <v>0.2684031967233435</v>
                </pt>
                <pt idx="359">
                  <v>0.2722608097514489</v>
                </pt>
                <pt idx="360">
                  <v>0.2721966502992736</v>
                </pt>
                <pt idx="361">
                  <v>0.2716591047171259</v>
                </pt>
                <pt idx="362">
                  <v>0.2610902271775037</v>
                </pt>
                <pt idx="363">
                  <v>0.2612075255171145</v>
                </pt>
                <pt idx="364">
                  <v>0.2635270011918346</v>
                </pt>
                <pt idx="365">
                  <v>0.263436868278864</v>
                </pt>
                <pt idx="366">
                  <v>0.2633084632943345</v>
                </pt>
                <pt idx="367">
                  <v>0.2621933542974229</v>
                </pt>
                <pt idx="368">
                  <v>0.2623705746369141</v>
                </pt>
                <pt idx="369">
                  <v>0.2591397541212304</v>
                </pt>
                <pt idx="370">
                  <v>0.264907256748898</v>
                </pt>
                <pt idx="371">
                  <v>0.2665535055495381</v>
                </pt>
                <pt idx="372">
                  <v>0.2789883933505858</v>
                </pt>
                <pt idx="373">
                  <v>0.2802622793276349</v>
                </pt>
                <pt idx="374">
                  <v>0.2843650787354732</v>
                </pt>
                <pt idx="375">
                  <v>0.2863593345102421</v>
                </pt>
                <pt idx="376">
                  <v>0.2902059427541551</v>
                </pt>
                <pt idx="377">
                  <v>0.2922237253171715</v>
                </pt>
                <pt idx="378">
                  <v>0.2930154041137331</v>
                </pt>
                <pt idx="379">
                  <v>0.2919686397300437</v>
                </pt>
                <pt idx="380">
                  <v>0.2892633354385149</v>
                </pt>
                <pt idx="381">
                  <v>0.2863978731179405</v>
                </pt>
                <pt idx="382">
                  <v>0.2862943359608126</v>
                </pt>
                <pt idx="383">
                  <v>0.2861931525478283</v>
                </pt>
                <pt idx="384">
                  <v>0.2864578499829174</v>
                </pt>
                <pt idx="385">
                  <v>0.2812156927637409</v>
                </pt>
                <pt idx="386">
                  <v>0.281642622200547</v>
                </pt>
                <pt idx="387">
                  <v>0.2817001924911598</v>
                </pt>
                <pt idx="388">
                  <v>0.2919651617538307</v>
                </pt>
                <pt idx="389">
                  <v>0.2923028037722044</v>
                </pt>
                <pt idx="390">
                  <v>0.2919346853144875</v>
                </pt>
                <pt idx="391">
                  <v>0.2925991167019534</v>
                </pt>
                <pt idx="392">
                  <v>0.2895743600609206</v>
                </pt>
                <pt idx="393">
                  <v>0.2894689111952262</v>
                </pt>
                <pt idx="394">
                  <v>0.2892923040172818</v>
                </pt>
                <pt idx="395">
                  <v>0.2892898461821192</v>
                </pt>
                <pt idx="396">
                  <v>0.28970718155327</v>
                </pt>
                <pt idx="397">
                  <v>0.295710972946695</v>
                </pt>
                <pt idx="398">
                  <v>0.2920229391285495</v>
                </pt>
                <pt idx="399">
                  <v>0.2859859998690851</v>
                </pt>
                <pt idx="400">
                  <v>0.2868545050106814</v>
                </pt>
                <pt idx="401">
                  <v>0.2865700441527654</v>
                </pt>
                <pt idx="402">
                  <v>0.2785126849297988</v>
                </pt>
                <pt idx="403">
                  <v>0.274217790949626</v>
                </pt>
                <pt idx="404">
                  <v>0.2760213027226267</v>
                </pt>
                <pt idx="405">
                  <v>0.27622689947989</v>
                </pt>
                <pt idx="406">
                  <v>0.2759577187267254</v>
                </pt>
                <pt idx="407">
                  <v>0.2776336785843297</v>
                </pt>
                <pt idx="408">
                  <v>0.2672163757002069</v>
                </pt>
                <pt idx="409">
                  <v>0.2670079165749698</v>
                </pt>
                <pt idx="410">
                  <v>0.2596517282586022</v>
                </pt>
                <pt idx="411">
                  <v>0.2632273374149323</v>
                </pt>
                <pt idx="412">
                  <v>0.2594802532796358</v>
                </pt>
                <pt idx="413">
                  <v>0.2579199334961538</v>
                </pt>
                <pt idx="414">
                  <v>0.256891301015456</v>
                </pt>
                <pt idx="415">
                  <v>0.2550195552175815</v>
                </pt>
                <pt idx="416">
                  <v>0.2456498718232177</v>
                </pt>
                <pt idx="417">
                  <v>0.2621085634530932</v>
                </pt>
                <pt idx="418">
                  <v>0.2589900949353164</v>
                </pt>
                <pt idx="419">
                  <v>0.2577704273223503</v>
                </pt>
                <pt idx="420">
                  <v>0.2574264686899863</v>
                </pt>
                <pt idx="421">
                  <v>0.2574937101599734</v>
                </pt>
                <pt idx="422">
                  <v>0.2879545643103616</v>
                </pt>
                <pt idx="423">
                  <v>0.2874544673543421</v>
                </pt>
                <pt idx="424">
                  <v>0.2861174303306867</v>
                </pt>
                <pt idx="425">
                  <v>0.2852055793942555</v>
                </pt>
                <pt idx="426">
                  <v>0.2869162714358437</v>
                </pt>
                <pt idx="427">
                  <v>0.2870699948927177</v>
                </pt>
                <pt idx="428">
                  <v>0.2897329668882849</v>
                </pt>
                <pt idx="429">
                  <v>0.2912110599568692</v>
                </pt>
                <pt idx="430">
                  <v>0.2863328825251943</v>
                </pt>
                <pt idx="431">
                  <v>0.2839736088394178</v>
                </pt>
                <pt idx="432">
                  <v>0.2696520890142369</v>
                </pt>
                <pt idx="433">
                  <v>0.2664473746184872</v>
                </pt>
                <pt idx="434">
                  <v>0.2637833309585877</v>
                </pt>
                <pt idx="435">
                  <v>0.2647626978910014</v>
                </pt>
                <pt idx="436">
                  <v>0.2590054199295783</v>
                </pt>
                <pt idx="437">
                  <v>0.2562741473095106</v>
                </pt>
                <pt idx="438">
                  <v>0.2544558012087073</v>
                </pt>
                <pt idx="439">
                  <v>0.2547501631346709</v>
                </pt>
                <pt idx="440">
                  <v>0.2548586272037354</v>
                </pt>
                <pt idx="441">
                  <v>0.2552062865161013</v>
                </pt>
                <pt idx="442">
                  <v>0.2551922245520388</v>
                </pt>
                <pt idx="443">
                  <v>0.2545443054796526</v>
                </pt>
                <pt idx="444">
                  <v>0.2588320898276844</v>
                </pt>
                <pt idx="445">
                  <v>0.2588274396183635</v>
                </pt>
                <pt idx="446">
                  <v>0.2591657297845146</v>
                </pt>
                <pt idx="447">
                  <v>0.2594015868925623</v>
                </pt>
                <pt idx="448">
                  <v>0.2493958028574431</v>
                </pt>
                <pt idx="449">
                  <v>0.248918797960617</v>
                </pt>
                <pt idx="450">
                  <v>0.2514590612262848</v>
                </pt>
                <pt idx="451">
                  <v>0.2578496619360384</v>
                </pt>
                <pt idx="452">
                  <v>0.2599226532716296</v>
                </pt>
                <pt idx="453">
                  <v>0.2603233702070483</v>
                </pt>
                <pt idx="454">
                  <v>0.2603105424467004</v>
                </pt>
                <pt idx="455">
                  <v>0.2604752909238799</v>
                </pt>
                <pt idx="456">
                  <v>0.2591131422353576</v>
                </pt>
                <pt idx="457">
                  <v>0.2524757799617837</v>
                </pt>
                <pt idx="458">
                  <v>0.2550192948753938</v>
                </pt>
                <pt idx="459">
                  <v>0.2552140412361522</v>
                </pt>
                <pt idx="460">
                  <v>0.2537397278463511</v>
                </pt>
                <pt idx="461">
                  <v>0.2539256364549144</v>
                </pt>
                <pt idx="462">
                  <v>0.2524573687830899</v>
                </pt>
                <pt idx="463">
                  <v>0.2558905501781271</v>
                </pt>
                <pt idx="464">
                  <v>0.2555119563969326</v>
                </pt>
                <pt idx="465">
                  <v>0.2571189965545913</v>
                </pt>
                <pt idx="466">
                  <v>0.2573377685478554</v>
                </pt>
                <pt idx="467">
                  <v>0.2576288041850774</v>
                </pt>
                <pt idx="468">
                  <v>0.2648140979681888</v>
                </pt>
                <pt idx="469">
                  <v>0.2638656318754785</v>
                </pt>
                <pt idx="470">
                  <v>0.2634736026363708</v>
                </pt>
                <pt idx="471">
                  <v>0.2612863732281769</v>
                </pt>
                <pt idx="472">
                  <v>0.2615122454099698</v>
                </pt>
                <pt idx="473">
                  <v>0.2608854225337062</v>
                </pt>
                <pt idx="474">
                  <v>0.2614740775193002</v>
                </pt>
                <pt idx="475">
                  <v>0.262044274306785</v>
                </pt>
                <pt idx="476">
                  <v>0.2619786701124866</v>
                </pt>
                <pt idx="477">
                  <v>0.2275366960330183</v>
                </pt>
                <pt idx="478">
                  <v>0.2290503673391095</v>
                </pt>
                <pt idx="479">
                  <v>0.2280608106813497</v>
                </pt>
                <pt idx="480">
                  <v>0.2289014634236238</v>
                </pt>
                <pt idx="481">
                  <v>0.2271571397519248</v>
                </pt>
                <pt idx="482">
                  <v>0.1831231892053056</v>
                </pt>
                <pt idx="483">
                  <v>0.1845873957116857</v>
                </pt>
                <pt idx="484">
                  <v>0.1864988778603839</v>
                </pt>
                <pt idx="485">
                  <v>0.1889810652450291</v>
                </pt>
                <pt idx="486">
                  <v>0.1875688304562035</v>
                </pt>
                <pt idx="487">
                  <v>0.1896256470632975</v>
                </pt>
                <pt idx="488">
                  <v>0.1920110922776068</v>
                </pt>
                <pt idx="489">
                  <v>0.1908102404144114</v>
                </pt>
                <pt idx="490">
                  <v>0.1916639127381035</v>
                </pt>
                <pt idx="491">
                  <v>0.2001937052697664</v>
                </pt>
                <pt idx="492">
                  <v>0.2058364428631071</v>
                </pt>
                <pt idx="493">
                  <v>0.208394003868813</v>
                </pt>
                <pt idx="494">
                  <v>0.2064817178848238</v>
                </pt>
                <pt idx="495">
                  <v>0.2014555873833185</v>
                </pt>
                <pt idx="496">
                  <v>0.2015453086144806</v>
                </pt>
                <pt idx="497">
                  <v>0.2051991056337086</v>
                </pt>
                <pt idx="498">
                  <v>0.2057926382094965</v>
                </pt>
                <pt idx="499">
                  <v>0.2136537325348553</v>
                </pt>
                <pt idx="500">
                  <v>0.2166519545218029</v>
                </pt>
                <pt idx="501">
                  <v>0.2234019534351588</v>
                </pt>
                <pt idx="502">
                  <v>0.225729686130118</v>
                </pt>
                <pt idx="503">
                  <v>0.2545576422338128</v>
                </pt>
                <pt idx="504">
                  <v>0.252817917249165</v>
                </pt>
                <pt idx="505">
                  <v>0.2541686273639953</v>
                </pt>
                <pt idx="506">
                  <v>0.2539676562809862</v>
                </pt>
                <pt idx="507">
                  <v>0.2542437804849536</v>
                </pt>
                <pt idx="508">
                  <v>0.2619603886608073</v>
                </pt>
                <pt idx="509">
                  <v>0.2644578539561808</v>
                </pt>
                <pt idx="510">
                  <v>0.263606767948854</v>
                </pt>
                <pt idx="511">
                  <v>0.2615372646912332</v>
                </pt>
                <pt idx="512">
                  <v>0.2606189839240675</v>
                </pt>
                <pt idx="513">
                  <v>0.2623983197042505</v>
                </pt>
                <pt idx="514">
                  <v>0.2697716814329049</v>
                </pt>
                <pt idx="515">
                  <v>0.2694353794541751</v>
                </pt>
                <pt idx="516">
                  <v>0.2711019595292484</v>
                </pt>
                <pt idx="517">
                  <v>0.2708534698032115</v>
                </pt>
                <pt idx="518">
                  <v>0.2717068765753159</v>
                </pt>
                <pt idx="519">
                  <v>0.2717469533797109</v>
                </pt>
                <pt idx="520">
                  <v>0.2741587407895165</v>
                </pt>
                <pt idx="521">
                  <v>0.2750696156314889</v>
                </pt>
                <pt idx="522">
                  <v>0.2759843041870759</v>
                </pt>
                <pt idx="523">
                  <v>0.2781538526052819</v>
                </pt>
                <pt idx="524">
                  <v>0.2770155956993798</v>
                </pt>
                <pt idx="525">
                  <v>0.2762347904479741</v>
                </pt>
                <pt idx="526">
                  <v>0.2993852898850147</v>
                </pt>
                <pt idx="527">
                  <v>0.2989947187948978</v>
                </pt>
                <pt idx="528">
                  <v>0.2977837138674722</v>
                </pt>
                <pt idx="529">
                  <v>0.2978843093676364</v>
                </pt>
                <pt idx="530">
                  <v>0.2979503646322509</v>
                </pt>
                <pt idx="531">
                  <v>0.2960146501472138</v>
                </pt>
                <pt idx="532">
                  <v>0.2964130690113125</v>
                </pt>
                <pt idx="533">
                  <v>0.3026690071184603</v>
                </pt>
                <pt idx="534">
                  <v>0.3077870702257894</v>
                </pt>
                <pt idx="535">
                  <v>0.3097904886526229</v>
                </pt>
                <pt idx="536">
                  <v>0.3130592753097124</v>
                </pt>
                <pt idx="537">
                  <v>0.3129822348748154</v>
                </pt>
                <pt idx="538">
                  <v>0.3112063277527801</v>
                </pt>
                <pt idx="539">
                  <v>0.3109529759094775</v>
                </pt>
                <pt idx="540">
                  <v>0.3425196995682131</v>
                </pt>
                <pt idx="541">
                  <v>0.3426087805372581</v>
                </pt>
                <pt idx="542">
                  <v>0.3432421375997228</v>
                </pt>
                <pt idx="543">
                  <v>0.3433382106630493</v>
                </pt>
                <pt idx="544">
                  <v>0.3425268129008155</v>
                </pt>
                <pt idx="545">
                  <v>0.3411082392275496</v>
                </pt>
                <pt idx="546">
                  <v>0.341617791643388</v>
                </pt>
                <pt idx="547">
                  <v>0.3402717326947782</v>
                </pt>
                <pt idx="548">
                  <v>0.3382287631393348</v>
                </pt>
                <pt idx="549">
                  <v>0.3393842432287159</v>
                </pt>
                <pt idx="550">
                  <v>0.3393715268113988</v>
                </pt>
                <pt idx="551">
                  <v>0.3361009681643576</v>
                </pt>
                <pt idx="552">
                  <v>0.3336316950480298</v>
                </pt>
                <pt idx="553">
                  <v>0.3300384975239205</v>
                </pt>
                <pt idx="554">
                  <v>0.3305737251670683</v>
                </pt>
                <pt idx="555">
                  <v>0.3309910699616427</v>
                </pt>
                <pt idx="556">
                  <v>0.3310239155927546</v>
                </pt>
                <pt idx="557">
                  <v>0.3288884504804385</v>
                </pt>
                <pt idx="558">
                  <v>0.3287554763251142</v>
                </pt>
                <pt idx="559">
                  <v>0.3278478598676962</v>
                </pt>
                <pt idx="560">
                  <v>0.3250332157328039</v>
                </pt>
                <pt idx="561">
                  <v>0.3220848053188863</v>
                </pt>
                <pt idx="562">
                  <v>0.318863859005633</v>
                </pt>
                <pt idx="563">
                  <v>0.2908509065330237</v>
                </pt>
                <pt idx="564">
                  <v>0.2908485624719379</v>
                </pt>
                <pt idx="565">
                  <v>0.2899246856370917</v>
                </pt>
                <pt idx="566">
                  <v>0.2897120603004193</v>
                </pt>
                <pt idx="567">
                  <v>0.2886310542933895</v>
                </pt>
                <pt idx="568">
                  <v>0.2841648342556581</v>
                </pt>
                <pt idx="569">
                  <v>0.2848915565027375</v>
                </pt>
                <pt idx="570">
                  <v>0.2864269564247999</v>
                </pt>
                <pt idx="571">
                  <v>0.2869812114370235</v>
                </pt>
                <pt idx="572">
                  <v>0.2859998768826797</v>
                </pt>
                <pt idx="573">
                  <v>0.2833741214039044</v>
                </pt>
                <pt idx="574">
                  <v>0.2779489581856956</v>
                </pt>
                <pt idx="575">
                  <v>0.2786767236043379</v>
                </pt>
                <pt idx="576">
                  <v>0.2788845358516321</v>
                </pt>
                <pt idx="577">
                  <v>0.2798653073831248</v>
                </pt>
                <pt idx="578">
                  <v>0.2879383424684642</v>
                </pt>
                <pt idx="579">
                  <v>0.2883442950319504</v>
                </pt>
                <pt idx="580">
                  <v>0.2891670401789855</v>
                </pt>
                <pt idx="581">
                  <v>0.2887404192102939</v>
                </pt>
                <pt idx="582">
                  <v>0.2885549247496048</v>
                </pt>
                <pt idx="583">
                  <v>0.282106153134717</v>
                </pt>
                <pt idx="584">
                  <v>0.2809832915452704</v>
                </pt>
                <pt idx="585">
                  <v>0.2799364120543228</v>
                </pt>
                <pt idx="586">
                  <v>0.2558261628268866</v>
                </pt>
                <pt idx="587">
                  <v>0.2539259249411694</v>
                </pt>
                <pt idx="588">
                  <v>0.248025607393205</v>
                </pt>
                <pt idx="589">
                  <v>0.248536191655026</v>
                </pt>
                <pt idx="590">
                  <v>0.2485051777623611</v>
                </pt>
                <pt idx="591">
                  <v>0.2548275479157544</v>
                </pt>
                <pt idx="592">
                  <v>0.2548858569121294</v>
                </pt>
                <pt idx="593">
                  <v>0.2456197123732394</v>
                </pt>
                <pt idx="594">
                  <v>0.2411662226482682</v>
                </pt>
                <pt idx="595">
                  <v>0.2397173560004797</v>
                </pt>
                <pt idx="596">
                  <v>0.2372388423729486</v>
                </pt>
                <pt idx="597">
                  <v>0.2361988177145063</v>
                </pt>
                <pt idx="598">
                  <v>0.236002868538311</v>
                </pt>
                <pt idx="599">
                  <v>0.2369923408257159</v>
                </pt>
                <pt idx="600">
                  <v>0.1947134862315735</v>
                </pt>
                <pt idx="601">
                  <v>0.1964901825877455</v>
                </pt>
                <pt idx="602">
                  <v>0.1950605916238358</v>
                </pt>
                <pt idx="603">
                  <v>0.1942540312459554</v>
                </pt>
                <pt idx="604">
                  <v>0.1929655725810349</v>
                </pt>
                <pt idx="605">
                  <v>0.1990198959433269</v>
                </pt>
                <pt idx="606">
                  <v>0.1983523982770979</v>
                </pt>
                <pt idx="607">
                  <v>0.1986608263916415</v>
                </pt>
                <pt idx="608">
                  <v>0.1977226359298162</v>
                </pt>
                <pt idx="609">
                  <v>0.1977256537505273</v>
                </pt>
                <pt idx="610">
                  <v>0.1970664277267077</v>
                </pt>
                <pt idx="611">
                  <v>0.1993457185004623</v>
                </pt>
                <pt idx="612">
                  <v>0.1983342521941467</v>
                </pt>
                <pt idx="613">
                  <v>0.1993523795049187</v>
                </pt>
                <pt idx="614">
                  <v>0.1985020345202539</v>
                </pt>
                <pt idx="615">
                  <v>0.197653451150672</v>
                </pt>
                <pt idx="616">
                  <v>0.1984210581508339</v>
                </pt>
                <pt idx="617">
                  <v>0.2022655350353323</v>
                </pt>
                <pt idx="618">
                  <v>0.2022199966488586</v>
                </pt>
                <pt idx="619">
                  <v>0.1944407063001143</v>
                </pt>
                <pt idx="620">
                  <v>0.1944484752252427</v>
                </pt>
                <pt idx="621">
                  <v>0.1944035157472171</v>
                </pt>
                <pt idx="622">
                  <v>0.1937252191515072</v>
                </pt>
                <pt idx="623">
                  <v>0.1935586874810164</v>
                </pt>
                <pt idx="624">
                  <v>0.1935074254742835</v>
                </pt>
                <pt idx="625">
                  <v>0.1934921690732106</v>
                </pt>
                <pt idx="626">
                  <v>0.1963152483962129</v>
                </pt>
                <pt idx="627">
                  <v>0.1981359229750496</v>
                </pt>
                <pt idx="628">
                  <v>0.198340442020025</v>
                </pt>
                <pt idx="629">
                  <v>0.1966875000969568</v>
                </pt>
                <pt idx="630">
                  <v>0.2003258592924296</v>
                </pt>
                <pt idx="631">
                  <v>0.1963551118731815</v>
                </pt>
                <pt idx="632">
                  <v>0.2016525797476183</v>
                </pt>
                <pt idx="633">
                  <v>0.2068199127018929</v>
                </pt>
                <pt idx="634">
                  <v>0.2067754636955181</v>
                </pt>
                <pt idx="635">
                  <v>0.2064675108472731</v>
                </pt>
                <pt idx="636">
                  <v>0.2031758364868748</v>
                </pt>
                <pt idx="637">
                  <v>0.2059003652261325</v>
                </pt>
                <pt idx="638">
                  <v>0.1892241073671534</v>
                </pt>
                <pt idx="639">
                  <v>0.1887631585820964</v>
                </pt>
                <pt idx="640">
                  <v>0.1856138912811538</v>
                </pt>
                <pt idx="641">
                  <v>0.1875171823279302</v>
                </pt>
                <pt idx="642">
                  <v>0.1856600910031816</v>
                </pt>
                <pt idx="643">
                  <v>0.1876728791993502</v>
                </pt>
                <pt idx="644">
                  <v>0.1888809911584037</v>
                </pt>
                <pt idx="645">
                  <v>0.1907354959594063</v>
                </pt>
                <pt idx="646">
                  <v>0.1957443529562185</v>
                </pt>
                <pt idx="647">
                  <v>0.1945534367598066</v>
                </pt>
                <pt idx="648">
                  <v>0.1946060349584126</v>
                </pt>
                <pt idx="649">
                  <v>0.1938668540558349</v>
                </pt>
                <pt idx="650">
                  <v>0.1961130729504943</v>
                </pt>
                <pt idx="651">
                  <v>0.1847225991305849</v>
                </pt>
                <pt idx="652">
                  <v>0.1849508269201388</v>
                </pt>
                <pt idx="653">
                  <v>0.1850479497685321</v>
                </pt>
                <pt idx="654">
                  <v>0.1835979451022386</v>
                </pt>
                <pt idx="655">
                  <v>0.1867212216858534</v>
                </pt>
                <pt idx="656">
                  <v>0.1913077806051353</v>
                </pt>
                <pt idx="657">
                  <v>0.1978332530067182</v>
                </pt>
                <pt idx="658">
                  <v>0.1975274376078465</v>
                </pt>
                <pt idx="659">
                  <v>0.196181934812276</v>
                </pt>
                <pt idx="660">
                  <v>0.1927051173967388</v>
                </pt>
                <pt idx="661">
                  <v>0.1932838828334404</v>
                </pt>
                <pt idx="662">
                  <v>0.1934558565401509</v>
                </pt>
                <pt idx="663">
                  <v>0.1930999418433924</v>
                </pt>
                <pt idx="664">
                  <v>0.1932430450571942</v>
                </pt>
                <pt idx="665">
                  <v>0.1866458400200232</v>
                </pt>
                <pt idx="666">
                  <v>0.1870945274486866</v>
                </pt>
                <pt idx="667">
                  <v>0.1901236915090053</v>
                </pt>
                <pt idx="668">
                  <v>0.1901624616002091</v>
                </pt>
                <pt idx="669">
                  <v>0.1876564694364163</v>
                </pt>
                <pt idx="670">
                  <v>0.1891740788194356</v>
                </pt>
                <pt idx="671">
                  <v>0.1898951658621678</v>
                </pt>
                <pt idx="672">
                  <v>0.1881537099575032</v>
                </pt>
                <pt idx="673">
                  <v>0.1875535327902932</v>
                </pt>
                <pt idx="674">
                  <v>0.1914898878106444</v>
                </pt>
                <pt idx="675">
                  <v>0.1916790721533345</v>
                </pt>
                <pt idx="676">
                  <v>0.1905790634941306</v>
                </pt>
                <pt idx="677">
                  <v>0.2003036653880892</v>
                </pt>
                <pt idx="678">
                  <v>0.2013214351406577</v>
                </pt>
                <pt idx="679">
                  <v>0.1990026618179423</v>
                </pt>
                <pt idx="680">
                  <v>0.1990408269886622</v>
                </pt>
                <pt idx="681">
                  <v>0.1997304509847114</v>
                </pt>
                <pt idx="682">
                  <v>0.2001671194103713</v>
                </pt>
                <pt idx="683">
                  <v>0.2006409053616002</v>
                </pt>
                <pt idx="684">
                  <v>0.200687309261142</v>
                </pt>
                <pt idx="685">
                  <v>0.204385344841548</v>
                </pt>
                <pt idx="686">
                  <v>0.2025079510808878</v>
                </pt>
                <pt idx="687">
                  <v>0.2008043166084288</v>
                </pt>
                <pt idx="688">
                  <v>0.2035929968723012</v>
                </pt>
                <pt idx="689">
                  <v>0.2019415237881094</v>
                </pt>
                <pt idx="690">
                  <v>0.1980152417211976</v>
                </pt>
                <pt idx="691">
                  <v>0.1976611121809185</v>
                </pt>
                <pt idx="692">
                  <v>0.191184103052954</v>
                </pt>
                <pt idx="693">
                  <v>0.1857401150274906</v>
                </pt>
                <pt idx="694">
                  <v>0.1885641334629661</v>
                </pt>
                <pt idx="695">
                  <v>0.1922821906275537</v>
                </pt>
                <pt idx="696">
                  <v>0.192990949607974</v>
                </pt>
                <pt idx="697">
                  <v>0.1892757748644344</v>
                </pt>
                <pt idx="698">
                  <v>0.1892713804882161</v>
                </pt>
                <pt idx="699">
                  <v>0.1918283543472159</v>
                </pt>
                <pt idx="700">
                  <v>0.1970438596987681</v>
                </pt>
                <pt idx="701">
                  <v>0.1966504644270181</v>
                </pt>
                <pt idx="702">
                  <v>0.1981902944654851</v>
                </pt>
                <pt idx="703">
                  <v>0.1955567462513063</v>
                </pt>
                <pt idx="704">
                  <v>0.1938875691466719</v>
                </pt>
                <pt idx="705">
                  <v>0.191249173249472</v>
                </pt>
                <pt idx="706">
                  <v>0.1872791476489757</v>
                </pt>
                <pt idx="707">
                  <v>0.1873931786431198</v>
                </pt>
                <pt idx="708">
                  <v>0.1882509004338792</v>
                </pt>
                <pt idx="709">
                  <v>0.1898020149843299</v>
                </pt>
                <pt idx="710">
                  <v>0.1962183630308672</v>
                </pt>
                <pt idx="711">
                  <v>0.1967895086374295</v>
                </pt>
                <pt idx="712">
                  <v>0.1978357501650665</v>
                </pt>
                <pt idx="713">
                  <v>0.2045222403121854</v>
                </pt>
                <pt idx="714">
                  <v>0.210365121968431</v>
                </pt>
                <pt idx="715">
                  <v>0.2232217958397001</v>
                </pt>
                <pt idx="716">
                  <v>0.2199378138445189</v>
                </pt>
                <pt idx="717">
                  <v>0.2147341845382304</v>
                </pt>
                <pt idx="718">
                  <v>0.2307092065442759</v>
                </pt>
                <pt idx="719">
                  <v>0.2317187608434568</v>
                </pt>
                <pt idx="720">
                  <v>0.2330207543043213</v>
                </pt>
                <pt idx="721">
                  <v>0.2408971964524361</v>
                </pt>
                <pt idx="722">
                  <v>0.24135508316572</v>
                </pt>
                <pt idx="723">
                  <v>0.2429700083646269</v>
                </pt>
                <pt idx="724">
                  <v>0.2439821789059365</v>
                </pt>
                <pt idx="725">
                  <v>0.2439669725997625</v>
                </pt>
                <pt idx="726">
                  <v>0.2437850581407967</v>
                </pt>
                <pt idx="727">
                  <v>0.2412183056584289</v>
                </pt>
                <pt idx="728">
                  <v>0.241188464051144</v>
                </pt>
                <pt idx="729">
                  <v>0.2411168518644501</v>
                </pt>
                <pt idx="730">
                  <v>0.2424128526329429</v>
                </pt>
                <pt idx="731">
                  <v>0.23865102865402</v>
                </pt>
                <pt idx="732">
                  <v>0.238587280741082</v>
                </pt>
                <pt idx="733">
                  <v>0.2386807437967632</v>
                </pt>
                <pt idx="734">
                  <v>0.2500021159593247</v>
                </pt>
                <pt idx="735">
                  <v>0.2504433971772368</v>
                </pt>
                <pt idx="736">
                  <v>0.2508757406652721</v>
                </pt>
                <pt idx="737">
                  <v>0.2475900822468046</v>
                </pt>
                <pt idx="738">
                  <v>0.2459137765333466</v>
                </pt>
                <pt idx="739">
                  <v>0.2477550332813403</v>
                </pt>
                <pt idx="740">
                  <v>0.2973201669655836</v>
                </pt>
                <pt idx="741">
                  <v>0.2977642396670958</v>
                </pt>
                <pt idx="742">
                  <v>0.29838330394096</v>
                </pt>
                <pt idx="743">
                  <v>0.2985196174724258</v>
                </pt>
                <pt idx="744">
                  <v>0.3004157826189224</v>
                </pt>
                <pt idx="745">
                  <v>0.3014105348534457</v>
                </pt>
                <pt idx="746">
                  <v>0.3122414121721439</v>
                </pt>
                <pt idx="747">
                  <v>0.3127075343623236</v>
                </pt>
                <pt idx="748">
                  <v>0.3102272847884408</v>
                </pt>
                <pt idx="749">
                  <v>0.3110193295373208</v>
                </pt>
                <pt idx="750">
                  <v>0.3135570030169514</v>
                </pt>
                <pt idx="751">
                  <v>0.3147970654951744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60001"/>
        <axId val="50060002"/>
      </lineChart>
      <dateAx>
        <axId val="50060001"/>
        <scaling>
          <orientation val="minMax"/>
        </scaling>
        <delete val="0"/>
        <axPos val="b"/>
        <numFmt formatCode="yyyy\-mm\-dd" sourceLinked="1"/>
        <majorTickMark val="out"/>
        <minorTickMark val="none"/>
        <tickLblPos val="nextTo"/>
        <crossAx val="50060002"/>
        <crosses val="autoZero"/>
        <lblOffset val="100"/>
        <baseTimeUnit val="days"/>
      </dateAx>
      <valAx>
        <axId val="50060002"/>
        <scaling>
          <orientation val="minMax"/>
        </scaling>
        <delete val="0"/>
        <axPos val="l"/>
        <majorGridlines/>
        <numFmt formatCode="0%" sourceLinked="0"/>
        <majorTickMark val="out"/>
        <minorTickMark val="none"/>
        <tickLblPos val="nextTo"/>
        <crossAx val="50060001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Relative Performance vs XLB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8220073569603049"/>
          <y val="0.1484351280414273"/>
          <w val="0.8862030402860057"/>
          <h val="0.7029625688680808"/>
        </manualLayout>
      </layout>
      <lineChart>
        <grouping val="standard"/>
        <varyColors val="0"/>
        <ser>
          <idx val="0"/>
          <order val="0"/>
          <tx>
            <strRef>
              <f>'Share Price Analysis'!$O$35</f>
              <strCache>
                <ptCount val="1"/>
                <pt idx="0">
                  <v>Relative vs XLB</v>
                </pt>
              </strCache>
            </strRef>
          </tx>
          <spPr>
            <a:ln w="19050">
              <a:solidFill>
                <a:srgbClr val="FF7F0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Analysis'!$O$36:$O$787</f>
              <numCache>
                <formatCode>0.00%</formatCode>
                <ptCount val="752"/>
                <pt idx="0">
                  <v>0</v>
                </pt>
                <pt idx="1">
                  <v>0.00557546059459102</v>
                </pt>
                <pt idx="2">
                  <v>0.01021163304987649</v>
                </pt>
                <pt idx="3">
                  <v>0.008788761595031724</v>
                </pt>
                <pt idx="4">
                  <v>0.002420641938490675</v>
                </pt>
                <pt idx="5">
                  <v>-0.007017951833211189</v>
                </pt>
                <pt idx="6">
                  <v>-0.01052402430314703</v>
                </pt>
                <pt idx="7">
                  <v>-0.006073242203380236</v>
                </pt>
                <pt idx="8">
                  <v>0.003173722957821701</v>
                </pt>
                <pt idx="9">
                  <v>-0.01283507902791758</v>
                </pt>
                <pt idx="10">
                  <v>-0.01495616615202322</v>
                </pt>
                <pt idx="11">
                  <v>-0.009644353299296915</v>
                </pt>
                <pt idx="12">
                  <v>-0.006474801794192131</v>
                </pt>
                <pt idx="13">
                  <v>-0.0005011680330173629</v>
                </pt>
                <pt idx="14">
                  <v>0.001676803295638463</v>
                </pt>
                <pt idx="15">
                  <v>-0.008094809097158651</v>
                </pt>
                <pt idx="16">
                  <v>0.0005219880500098029</v>
                </pt>
                <pt idx="17">
                  <v>-0.001734161263041156</v>
                </pt>
                <pt idx="18">
                  <v>-0.007651059423736895</v>
                </pt>
                <pt idx="19">
                  <v>-0.01537199907316722</v>
                </pt>
                <pt idx="20">
                  <v>-0.01374513678275091</v>
                </pt>
                <pt idx="21">
                  <v>-0.02287267089382072</v>
                </pt>
                <pt idx="22">
                  <v>-0.04850755124554484</v>
                </pt>
                <pt idx="23">
                  <v>-0.04117951191986413</v>
                </pt>
                <pt idx="24">
                  <v>-0.03948457997341837</v>
                </pt>
                <pt idx="25">
                  <v>-0.04365522781801545</v>
                </pt>
                <pt idx="26">
                  <v>-0.04006350587989616</v>
                </pt>
                <pt idx="27">
                  <v>-0.03768469440494893</v>
                </pt>
                <pt idx="28">
                  <v>-0.03284281845438997</v>
                </pt>
                <pt idx="29">
                  <v>-0.02250329452064825</v>
                </pt>
                <pt idx="30">
                  <v>-0.02385077400402946</v>
                </pt>
                <pt idx="31">
                  <v>-0.01439462739927333</v>
                </pt>
                <pt idx="32">
                  <v>-0.01955941966684072</v>
                </pt>
                <pt idx="33">
                  <v>-0.01826933846061507</v>
                </pt>
                <pt idx="34">
                  <v>-0.02337655127563365</v>
                </pt>
                <pt idx="35">
                  <v>-0.0118862901450052</v>
                </pt>
                <pt idx="36">
                  <v>-0.0178597925035181</v>
                </pt>
                <pt idx="37">
                  <v>0.005745462144921332</v>
                </pt>
                <pt idx="38">
                  <v>0.006432299162458577</v>
                </pt>
                <pt idx="39">
                  <v>0.02067472291971151</v>
                </pt>
                <pt idx="40">
                  <v>0.04087892805971438</v>
                </pt>
                <pt idx="41">
                  <v>0.04867943058912227</v>
                </pt>
                <pt idx="42">
                  <v>0.1241125666950136</v>
                </pt>
                <pt idx="43">
                  <v>0.124895320658714</v>
                </pt>
                <pt idx="44">
                  <v>0.1242644055904571</v>
                </pt>
                <pt idx="45">
                  <v>0.1361999735159583</v>
                </pt>
                <pt idx="46">
                  <v>0.1530006637222516</v>
                </pt>
                <pt idx="47">
                  <v>0.1569067694877246</v>
                </pt>
                <pt idx="48">
                  <v>0.1580929921157836</v>
                </pt>
                <pt idx="49">
                  <v>0.1530316984848663</v>
                </pt>
                <pt idx="50">
                  <v>0.1654502835572844</v>
                </pt>
                <pt idx="51">
                  <v>0.1667330053018186</v>
                </pt>
                <pt idx="52">
                  <v>0.1592997517036052</v>
                </pt>
                <pt idx="53">
                  <v>0.1611198269616299</v>
                </pt>
                <pt idx="54">
                  <v>0.167442714815911</v>
                </pt>
                <pt idx="55">
                  <v>0.1734026161428177</v>
                </pt>
                <pt idx="56">
                  <v>0.180277336125036</v>
                </pt>
                <pt idx="57">
                  <v>0.1905805770088236</v>
                </pt>
                <pt idx="58">
                  <v>0.1901112099594793</v>
                </pt>
                <pt idx="59">
                  <v>0.1968511815369276</v>
                </pt>
                <pt idx="60">
                  <v>0.206379820860644</v>
                </pt>
                <pt idx="61">
                  <v>0.2106061532602435</v>
                </pt>
                <pt idx="62">
                  <v>0.1944710529911775</v>
                </pt>
                <pt idx="63">
                  <v>0.1924946559278886</v>
                </pt>
                <pt idx="64">
                  <v>0.1901042011500578</v>
                </pt>
                <pt idx="65">
                  <v>0.1869394635621897</v>
                </pt>
                <pt idx="66">
                  <v>0.1981759426223775</v>
                </pt>
                <pt idx="67">
                  <v>0.2108815559080526</v>
                </pt>
                <pt idx="68">
                  <v>0.2010136868349091</v>
                </pt>
                <pt idx="69">
                  <v>0.1841175816230043</v>
                </pt>
                <pt idx="70">
                  <v>0.1873217863746468</v>
                </pt>
                <pt idx="71">
                  <v>0.1860745500174616</v>
                </pt>
                <pt idx="72">
                  <v>0.1739425728249382</v>
                </pt>
                <pt idx="73">
                  <v>0.2037883865548222</v>
                </pt>
                <pt idx="74">
                  <v>0.2107682744927246</v>
                </pt>
                <pt idx="75">
                  <v>0.2302314395014633</v>
                </pt>
                <pt idx="76">
                  <v>0.2459628418977542</v>
                </pt>
                <pt idx="77">
                  <v>0.2350714964560101</v>
                </pt>
                <pt idx="78">
                  <v>0.2498628633073168</v>
                </pt>
                <pt idx="79">
                  <v>0.2610075593043057</v>
                </pt>
                <pt idx="80">
                  <v>0.267782584892823</v>
                </pt>
                <pt idx="81">
                  <v>0.2593545022724142</v>
                </pt>
                <pt idx="82">
                  <v>0.2429737528331954</v>
                </pt>
                <pt idx="83">
                  <v>0.2589180234768194</v>
                </pt>
                <pt idx="84">
                  <v>0.2529660635308144</v>
                </pt>
                <pt idx="85">
                  <v>0.2386939941338098</v>
                </pt>
                <pt idx="86">
                  <v>0.2504553966823237</v>
                </pt>
                <pt idx="87">
                  <v>0.2620769029906325</v>
                </pt>
                <pt idx="88">
                  <v>0.2271238761038841</v>
                </pt>
                <pt idx="89">
                  <v>0.2346246607775411</v>
                </pt>
                <pt idx="90">
                  <v>0.2496191041575624</v>
                </pt>
                <pt idx="91">
                  <v>0.2426426743527799</v>
                </pt>
                <pt idx="92">
                  <v>0.2340730680482419</v>
                </pt>
                <pt idx="93">
                  <v>0.2265345800249521</v>
                </pt>
                <pt idx="94">
                  <v>0.2252083618027789</v>
                </pt>
                <pt idx="95">
                  <v>0.2287655000485644</v>
                </pt>
                <pt idx="96">
                  <v>0.2266157519447014</v>
                </pt>
                <pt idx="97">
                  <v>0.2030631920069312</v>
                </pt>
                <pt idx="98">
                  <v>0.2137288306627723</v>
                </pt>
                <pt idx="99">
                  <v>0.1933486708618197</v>
                </pt>
                <pt idx="100">
                  <v>0.1954067139285869</v>
                </pt>
                <pt idx="101">
                  <v>0.190805395219606</v>
                </pt>
                <pt idx="102">
                  <v>0.2149308883695826</v>
                </pt>
                <pt idx="103">
                  <v>0.2253226771210939</v>
                </pt>
                <pt idx="104">
                  <v>0.2501182465715472</v>
                </pt>
                <pt idx="105">
                  <v>0.2519079553430854</v>
                </pt>
                <pt idx="106">
                  <v>0.2586913294548194</v>
                </pt>
                <pt idx="107">
                  <v>0.261694198787475</v>
                </pt>
                <pt idx="108">
                  <v>0.2475458308550234</v>
                </pt>
                <pt idx="109">
                  <v>0.2518336089713673</v>
                </pt>
                <pt idx="110">
                  <v>0.2531317162092079</v>
                </pt>
                <pt idx="111">
                  <v>0.257167667331496</v>
                </pt>
                <pt idx="112">
                  <v>0.272359288029645</v>
                </pt>
                <pt idx="113">
                  <v>0.2716258817729058</v>
                </pt>
                <pt idx="114">
                  <v>0.2216308478975106</v>
                </pt>
                <pt idx="115">
                  <v>0.2130193791391624</v>
                </pt>
                <pt idx="116">
                  <v>0.2172787199998769</v>
                </pt>
                <pt idx="117">
                  <v>0.2298538932759402</v>
                </pt>
                <pt idx="118">
                  <v>0.2420687615842987</v>
                </pt>
                <pt idx="119">
                  <v>0.2353583732494264</v>
                </pt>
                <pt idx="120">
                  <v>0.2308295940974039</v>
                </pt>
                <pt idx="121">
                  <v>0.2234998318641546</v>
                </pt>
                <pt idx="122">
                  <v>0.2230075433935945</v>
                </pt>
                <pt idx="123">
                  <v>0.2182517665494315</v>
                </pt>
                <pt idx="124">
                  <v>0.2188955035549678</v>
                </pt>
                <pt idx="125">
                  <v>0.2311635241247345</v>
                </pt>
                <pt idx="126">
                  <v>0.2167711323029495</v>
                </pt>
                <pt idx="127">
                  <v>0.2135743077471759</v>
                </pt>
                <pt idx="128">
                  <v>0.2211082887069773</v>
                </pt>
                <pt idx="129">
                  <v>0.2238189528641874</v>
                </pt>
                <pt idx="130">
                  <v>0.2205208301278787</v>
                </pt>
                <pt idx="131">
                  <v>0.2130704668705319</v>
                </pt>
                <pt idx="132">
                  <v>0.2143647351845572</v>
                </pt>
                <pt idx="133">
                  <v>0.2043548500453451</v>
                </pt>
                <pt idx="134">
                  <v>0.1931001390143565</v>
                </pt>
                <pt idx="135">
                  <v>0.2101436679281607</v>
                </pt>
                <pt idx="136">
                  <v>0.2008346655327267</v>
                </pt>
                <pt idx="137">
                  <v>0.2116758209750824</v>
                </pt>
                <pt idx="138">
                  <v>0.1940558014518101</v>
                </pt>
                <pt idx="139">
                  <v>0.1850556399277807</v>
                </pt>
                <pt idx="140">
                  <v>0.1840760810527977</v>
                </pt>
                <pt idx="141">
                  <v>0.1973121214027507</v>
                </pt>
                <pt idx="142">
                  <v>0.2108471073966787</v>
                </pt>
                <pt idx="143">
                  <v>0.2063335952046859</v>
                </pt>
                <pt idx="144">
                  <v>0.190590847395375</v>
                </pt>
                <pt idx="145">
                  <v>0.2000557151680327</v>
                </pt>
                <pt idx="146">
                  <v>0.1976864844546606</v>
                </pt>
                <pt idx="147">
                  <v>0.2135830107493248</v>
                </pt>
                <pt idx="148">
                  <v>0.2400097191078199</v>
                </pt>
                <pt idx="149">
                  <v>0.2607528375360002</v>
                </pt>
                <pt idx="150">
                  <v>0.2463928352945111</v>
                </pt>
                <pt idx="151">
                  <v>0.2376838980951106</v>
                </pt>
                <pt idx="152">
                  <v>0.2567137678546567</v>
                </pt>
                <pt idx="153">
                  <v>0.2512091558805427</v>
                </pt>
                <pt idx="154">
                  <v>0.2478928992061518</v>
                </pt>
                <pt idx="155">
                  <v>0.2579386268106436</v>
                </pt>
                <pt idx="156">
                  <v>0.2559367695359684</v>
                </pt>
                <pt idx="157">
                  <v>0.2229920759327559</v>
                </pt>
                <pt idx="158">
                  <v>0.2310558052297198</v>
                </pt>
                <pt idx="159">
                  <v>0.2390881068491668</v>
                </pt>
                <pt idx="160">
                  <v>0.2589728306446157</v>
                </pt>
                <pt idx="161">
                  <v>0.260550554120355</v>
                </pt>
                <pt idx="162">
                  <v>0.264381750954052</v>
                </pt>
                <pt idx="163">
                  <v>0.1975771250033247</v>
                </pt>
                <pt idx="164">
                  <v>0.1963270543081519</v>
                </pt>
                <pt idx="165">
                  <v>0.198223050152982</v>
                </pt>
                <pt idx="166">
                  <v>0.1959099900595451</v>
                </pt>
                <pt idx="167">
                  <v>0.2397493381641989</v>
                </pt>
                <pt idx="168">
                  <v>0.2342783309503726</v>
                </pt>
                <pt idx="169">
                  <v>0.2208069798908892</v>
                </pt>
                <pt idx="170">
                  <v>0.2231008597331801</v>
                </pt>
                <pt idx="171">
                  <v>0.2477043760557969</v>
                </pt>
                <pt idx="172">
                  <v>0.2511447844638472</v>
                </pt>
                <pt idx="173">
                  <v>0.2667882416427436</v>
                </pt>
                <pt idx="174">
                  <v>0.2665918609054001</v>
                </pt>
                <pt idx="175">
                  <v>0.2613840707002464</v>
                </pt>
                <pt idx="176">
                  <v>0.260438070493785</v>
                </pt>
                <pt idx="177">
                  <v>0.2220559898750174</v>
                </pt>
                <pt idx="178">
                  <v>0.2264844362578995</v>
                </pt>
                <pt idx="179">
                  <v>0.2246538850230242</v>
                </pt>
                <pt idx="180">
                  <v>0.2111801675736615</v>
                </pt>
                <pt idx="181">
                  <v>0.2034318090850513</v>
                </pt>
                <pt idx="182">
                  <v>0.2144936153656989</v>
                </pt>
                <pt idx="183">
                  <v>0.2079980884996993</v>
                </pt>
                <pt idx="184">
                  <v>0.2161741772049286</v>
                </pt>
                <pt idx="185">
                  <v>0.2041399590206527</v>
                </pt>
                <pt idx="186">
                  <v>0.2065653665660045</v>
                </pt>
                <pt idx="187">
                  <v>0.1996494528304027</v>
                </pt>
                <pt idx="188">
                  <v>0.1976169691808343</v>
                </pt>
                <pt idx="189">
                  <v>0.2070544226012325</v>
                </pt>
                <pt idx="190">
                  <v>0.2080024712592039</v>
                </pt>
                <pt idx="191">
                  <v>0.2100214255336481</v>
                </pt>
                <pt idx="192">
                  <v>0.2145718250777238</v>
                </pt>
                <pt idx="193">
                  <v>0.2206340286866673</v>
                </pt>
                <pt idx="194">
                  <v>0.2279315836021376</v>
                </pt>
                <pt idx="195">
                  <v>0.23220882115075</v>
                </pt>
                <pt idx="196">
                  <v>0.2326586109720594</v>
                </pt>
                <pt idx="197">
                  <v>0.2185023527565932</v>
                </pt>
                <pt idx="198">
                  <v>0.2194213340739986</v>
                </pt>
                <pt idx="199">
                  <v>0.2170261151947037</v>
                </pt>
                <pt idx="200">
                  <v>0.2166979865925509</v>
                </pt>
                <pt idx="201">
                  <v>0.2163296528825611</v>
                </pt>
                <pt idx="202">
                  <v>0.2150321032362026</v>
                </pt>
                <pt idx="203">
                  <v>0.2164324045238653</v>
                </pt>
                <pt idx="204">
                  <v>0.2146502638090686</v>
                </pt>
                <pt idx="205">
                  <v>0.2126043453536397</v>
                </pt>
                <pt idx="206">
                  <v>0.2152155053949105</v>
                </pt>
                <pt idx="207">
                  <v>0.2285422736782647</v>
                </pt>
                <pt idx="208">
                  <v>0.2122135881668188</v>
                </pt>
                <pt idx="209">
                  <v>0.2020150536306005</v>
                </pt>
                <pt idx="210">
                  <v>0.2132917540773018</v>
                </pt>
                <pt idx="211">
                  <v>0.2164372649708057</v>
                </pt>
                <pt idx="212">
                  <v>0.2242749690984747</v>
                </pt>
                <pt idx="213">
                  <v>0.2352512967691438</v>
                </pt>
                <pt idx="214">
                  <v>0.2517683570320197</v>
                </pt>
                <pt idx="215">
                  <v>0.2458047776515455</v>
                </pt>
                <pt idx="216">
                  <v>0.2423915245504278</v>
                </pt>
                <pt idx="217">
                  <v>0.2479833306689592</v>
                </pt>
                <pt idx="218">
                  <v>0.2507957564717209</v>
                </pt>
                <pt idx="219">
                  <v>0.2685888050158736</v>
                </pt>
                <pt idx="220">
                  <v>0.2727591164518639</v>
                </pt>
                <pt idx="221">
                  <v>0.2757911593678333</v>
                </pt>
                <pt idx="222">
                  <v>0.2465624258570509</v>
                </pt>
                <pt idx="223">
                  <v>0.2466526365761001</v>
                </pt>
                <pt idx="224">
                  <v>0.2539156375940044</v>
                </pt>
                <pt idx="225">
                  <v>0.2475686143186113</v>
                </pt>
                <pt idx="226">
                  <v>0.2805356785575017</v>
                </pt>
                <pt idx="227">
                  <v>0.2840304818740438</v>
                </pt>
                <pt idx="228">
                  <v>0.2726745787343197</v>
                </pt>
                <pt idx="229">
                  <v>0.2759071326747007</v>
                </pt>
                <pt idx="230">
                  <v>0.3061628157122174</v>
                </pt>
                <pt idx="231">
                  <v>0.3128135166503003</v>
                </pt>
                <pt idx="232">
                  <v>0.3008747906277605</v>
                </pt>
                <pt idx="233">
                  <v>0.3180686243014821</v>
                </pt>
                <pt idx="234">
                  <v>0.3305301862137127</v>
                </pt>
                <pt idx="235">
                  <v>0.336335740265655</v>
                </pt>
                <pt idx="236">
                  <v>0.3265290478775216</v>
                </pt>
                <pt idx="237">
                  <v>0.3286095134875127</v>
                </pt>
                <pt idx="238">
                  <v>0.3422991619440281</v>
                </pt>
                <pt idx="239">
                  <v>0.3248555089530789</v>
                </pt>
                <pt idx="240">
                  <v>0.3868301911699603</v>
                </pt>
                <pt idx="241">
                  <v>0.3692326762548872</v>
                </pt>
                <pt idx="242">
                  <v>0.3728070389529381</v>
                </pt>
                <pt idx="243">
                  <v>0.3779537794608578</v>
                </pt>
                <pt idx="244">
                  <v>0.3714064222635203</v>
                </pt>
                <pt idx="245">
                  <v>0.4003185747885452</v>
                </pt>
                <pt idx="246">
                  <v>0.4083984767663795</v>
                </pt>
                <pt idx="247">
                  <v>0.3973103514002483</v>
                </pt>
                <pt idx="248">
                  <v>0.4055466810156736</v>
                </pt>
                <pt idx="249">
                  <v>0.4074703861594267</v>
                </pt>
                <pt idx="250">
                  <v>0.3994980286130145</v>
                </pt>
                <pt idx="251">
                  <v>0.3918860681208642</v>
                </pt>
                <pt idx="252">
                  <v>0.3940012565785198</v>
                </pt>
                <pt idx="253">
                  <v>0.396822627400079</v>
                </pt>
                <pt idx="254">
                  <v>0.3817924680080489</v>
                </pt>
                <pt idx="255">
                  <v>0.3573819313226101</v>
                </pt>
                <pt idx="256">
                  <v>0.3812550355048967</v>
                </pt>
                <pt idx="257">
                  <v>0.3664624169768516</v>
                </pt>
                <pt idx="258">
                  <v>0.3808810134030558</v>
                </pt>
                <pt idx="259">
                  <v>0.3605421327329257</v>
                </pt>
                <pt idx="260">
                  <v>0.3760185770326232</v>
                </pt>
                <pt idx="261">
                  <v>0.3737730054432864</v>
                </pt>
                <pt idx="262">
                  <v>0.3739222262874464</v>
                </pt>
                <pt idx="263">
                  <v>0.3876288403712909</v>
                </pt>
                <pt idx="264">
                  <v>0.3900535509174494</v>
                </pt>
                <pt idx="265">
                  <v>0.3807844259829989</v>
                </pt>
                <pt idx="266">
                  <v>0.3881786680248447</v>
                </pt>
                <pt idx="267">
                  <v>0.3631519263838894</v>
                </pt>
                <pt idx="268">
                  <v>0.3601310714463692</v>
                </pt>
                <pt idx="269">
                  <v>0.3472247183000257</v>
                </pt>
                <pt idx="270">
                  <v>0.3349381455519176</v>
                </pt>
                <pt idx="271">
                  <v>0.3395932384796323</v>
                </pt>
                <pt idx="272">
                  <v>0.3387881721627148</v>
                </pt>
                <pt idx="273">
                  <v>0.3480679311447767</v>
                </pt>
                <pt idx="274">
                  <v>0.344907394593323</v>
                </pt>
                <pt idx="275">
                  <v>0.321332406254176</v>
                </pt>
                <pt idx="276">
                  <v>0.3368899575915494</v>
                </pt>
                <pt idx="277">
                  <v>0.3426659629592612</v>
                </pt>
                <pt idx="278">
                  <v>0.352852262495251</v>
                </pt>
                <pt idx="279">
                  <v>0.3474031681378731</v>
                </pt>
                <pt idx="280">
                  <v>0.3478114481910572</v>
                </pt>
                <pt idx="281">
                  <v>0.3433262526630623</v>
                </pt>
                <pt idx="282">
                  <v>0.3262865670462796</v>
                </pt>
                <pt idx="283">
                  <v>0.3116667812087712</v>
                </pt>
                <pt idx="284">
                  <v>0.3229215605866698</v>
                </pt>
                <pt idx="285">
                  <v>0.3599456250285238</v>
                </pt>
                <pt idx="286">
                  <v>0.3436154471112565</v>
                </pt>
                <pt idx="287">
                  <v>0.3452361087935909</v>
                </pt>
                <pt idx="288">
                  <v>0.350933476604443</v>
                </pt>
                <pt idx="289">
                  <v>0.340786306745261</v>
                </pt>
                <pt idx="290">
                  <v>0.3456435883359759</v>
                </pt>
                <pt idx="291">
                  <v>0.3496076111445425</v>
                </pt>
                <pt idx="292">
                  <v>0.3810566362299241</v>
                </pt>
                <pt idx="293">
                  <v>0.3673286891348027</v>
                </pt>
                <pt idx="294">
                  <v>0.3702841502051399</v>
                </pt>
                <pt idx="295">
                  <v>0.363034779695613</v>
                </pt>
                <pt idx="296">
                  <v>0.3672019362095262</v>
                </pt>
                <pt idx="297">
                  <v>0.3660770044429695</v>
                </pt>
                <pt idx="298">
                  <v>0.3713968379776384</v>
                </pt>
                <pt idx="299">
                  <v>0.3623064527559314</v>
                </pt>
                <pt idx="300">
                  <v>0.3491807166413843</v>
                </pt>
                <pt idx="301">
                  <v>0.3606681203166628</v>
                </pt>
                <pt idx="302">
                  <v>0.3172981602221043</v>
                </pt>
                <pt idx="303">
                  <v>0.3016266611402318</v>
                </pt>
                <pt idx="304">
                  <v>0.3053613782375231</v>
                </pt>
                <pt idx="305">
                  <v>0.3152440188552086</v>
                </pt>
                <pt idx="306">
                  <v>0.3215614040898915</v>
                </pt>
                <pt idx="307">
                  <v>0.3146733031432878</v>
                </pt>
                <pt idx="308">
                  <v>0.3136420333841494</v>
                </pt>
                <pt idx="309">
                  <v>0.2918877099648136</v>
                </pt>
                <pt idx="310">
                  <v>0.2999268477363579</v>
                </pt>
                <pt idx="311">
                  <v>0.3005417224808351</v>
                </pt>
                <pt idx="312">
                  <v>0.2936014786956567</v>
                </pt>
                <pt idx="313">
                  <v>0.2830647062620284</v>
                </pt>
                <pt idx="314">
                  <v>0.2885662424986399</v>
                </pt>
                <pt idx="315">
                  <v>0.2834271452578885</v>
                </pt>
                <pt idx="316">
                  <v>0.2687418305553446</v>
                </pt>
                <pt idx="317">
                  <v>0.2764960947589519</v>
                </pt>
                <pt idx="318">
                  <v>0.2789122488561673</v>
                </pt>
                <pt idx="319">
                  <v>0.2629747282142274</v>
                </pt>
                <pt idx="320">
                  <v>0.2836694754744276</v>
                </pt>
                <pt idx="321">
                  <v>0.3089946844974616</v>
                </pt>
                <pt idx="322">
                  <v>0.3143894769666515</v>
                </pt>
                <pt idx="323">
                  <v>0.3238715099193878</v>
                </pt>
                <pt idx="324">
                  <v>0.3215241758921497</v>
                </pt>
                <pt idx="325">
                  <v>0.2729384649031159</v>
                </pt>
                <pt idx="326">
                  <v>0.2797682811512523</v>
                </pt>
                <pt idx="327">
                  <v>0.2764445379071108</v>
                </pt>
                <pt idx="328">
                  <v>0.2853916145260267</v>
                </pt>
                <pt idx="329">
                  <v>0.284851290270977</v>
                </pt>
                <pt idx="330">
                  <v>0.2983391699543099</v>
                </pt>
                <pt idx="331">
                  <v>0.3036029546896035</v>
                </pt>
                <pt idx="332">
                  <v>0.2975853849809627</v>
                </pt>
                <pt idx="333">
                  <v>0.3023763441307159</v>
                </pt>
                <pt idx="334">
                  <v>0.286664027103837</v>
                </pt>
                <pt idx="335">
                  <v>0.2861420298147093</v>
                </pt>
                <pt idx="336">
                  <v>0.2705867005658638</v>
                </pt>
                <pt idx="337">
                  <v>0.285176984119182</v>
                </pt>
                <pt idx="338">
                  <v>0.2968083808080524</v>
                </pt>
                <pt idx="339">
                  <v>0.3152987511658625</v>
                </pt>
                <pt idx="340">
                  <v>0.291648562365115</v>
                </pt>
                <pt idx="341">
                  <v>0.3020678649172761</v>
                </pt>
                <pt idx="342">
                  <v>0.3221295730575269</v>
                </pt>
                <pt idx="343">
                  <v>0.2895266385080497</v>
                </pt>
                <pt idx="344">
                  <v>0.3039098176009061</v>
                </pt>
                <pt idx="345">
                  <v>0.3158875492720996</v>
                </pt>
                <pt idx="346">
                  <v>0.3344090208255148</v>
                </pt>
                <pt idx="347">
                  <v>0.3267706537996828</v>
                </pt>
                <pt idx="348">
                  <v>0.294145039043211</v>
                </pt>
                <pt idx="349">
                  <v>0.3073390318231997</v>
                </pt>
                <pt idx="350">
                  <v>0.3265426633394741</v>
                </pt>
                <pt idx="351">
                  <v>0.3384916509539948</v>
                </pt>
                <pt idx="352">
                  <v>0.3706636980633542</v>
                </pt>
                <pt idx="353">
                  <v>0.379190712971899</v>
                </pt>
                <pt idx="354">
                  <v>0.3677011263543355</v>
                </pt>
                <pt idx="355">
                  <v>0.3693525387200189</v>
                </pt>
                <pt idx="356">
                  <v>0.3537635515128865</v>
                </pt>
                <pt idx="357">
                  <v>0.2878089662975276</v>
                </pt>
                <pt idx="358">
                  <v>0.2794194178777347</v>
                </pt>
                <pt idx="359">
                  <v>0.2866218418460615</v>
                </pt>
                <pt idx="360">
                  <v>0.2772365084367956</v>
                </pt>
                <pt idx="361">
                  <v>0.270075065144586</v>
                </pt>
                <pt idx="362">
                  <v>0.2676092161798704</v>
                </pt>
                <pt idx="363">
                  <v>0.2606431878429238</v>
                </pt>
                <pt idx="364">
                  <v>0.2618217642743992</v>
                </pt>
                <pt idx="365">
                  <v>0.2493510963310672</v>
                </pt>
                <pt idx="366">
                  <v>0.2427353707530562</v>
                </pt>
                <pt idx="367">
                  <v>0.2539467926850389</v>
                </pt>
                <pt idx="368">
                  <v>0.2510338740767517</v>
                </pt>
                <pt idx="369">
                  <v>0.2543392334763497</v>
                </pt>
                <pt idx="370">
                  <v>0.2724680885263226</v>
                </pt>
                <pt idx="371">
                  <v>0.2459419677262134</v>
                </pt>
                <pt idx="372">
                  <v>0.1947692359043423</v>
                </pt>
                <pt idx="373">
                  <v>0.1767629530049191</v>
                </pt>
                <pt idx="374">
                  <v>0.1976785602694631</v>
                </pt>
                <pt idx="375">
                  <v>0.2040179613216295</v>
                </pt>
                <pt idx="376">
                  <v>0.2008821690085727</v>
                </pt>
                <pt idx="377">
                  <v>0.1847167682745998</v>
                </pt>
                <pt idx="378">
                  <v>0.1805095595320081</v>
                </pt>
                <pt idx="379">
                  <v>0.1946338168314925</v>
                </pt>
                <pt idx="380">
                  <v>0.182468309153881</v>
                </pt>
                <pt idx="381">
                  <v>0.1876575351125489</v>
                </pt>
                <pt idx="382">
                  <v>0.1847869060450389</v>
                </pt>
                <pt idx="383">
                  <v>0.1906839579528785</v>
                </pt>
                <pt idx="384">
                  <v>0.1860151380384059</v>
                </pt>
                <pt idx="385">
                  <v>0.2018338813180951</v>
                </pt>
                <pt idx="386">
                  <v>0.2106385339364247</v>
                </pt>
                <pt idx="387">
                  <v>0.2122558761976219</v>
                </pt>
                <pt idx="388">
                  <v>0.2395101594085252</v>
                </pt>
                <pt idx="389">
                  <v>0.2403661907792634</v>
                </pt>
                <pt idx="390">
                  <v>0.2364863732291584</v>
                </pt>
                <pt idx="391">
                  <v>0.2079371596297026</v>
                </pt>
                <pt idx="392">
                  <v>0.2148965459702967</v>
                </pt>
                <pt idx="393">
                  <v>0.1947753834251773</v>
                </pt>
                <pt idx="394">
                  <v>0.1952470710486562</v>
                </pt>
                <pt idx="395">
                  <v>0.2028564290397066</v>
                </pt>
                <pt idx="396">
                  <v>0.1917026362714505</v>
                </pt>
                <pt idx="397">
                  <v>0.1623253709212071</v>
                </pt>
                <pt idx="398">
                  <v>0.1784624149049292</v>
                </pt>
                <pt idx="399">
                  <v>0.1743715653738955</v>
                </pt>
                <pt idx="400">
                  <v>0.1612496930075498</v>
                </pt>
                <pt idx="401">
                  <v>0.1674436421928729</v>
                </pt>
                <pt idx="402">
                  <v>0.1768769801251826</v>
                </pt>
                <pt idx="403">
                  <v>0.1851409303996938</v>
                </pt>
                <pt idx="404">
                  <v>0.194906142773918</v>
                </pt>
                <pt idx="405">
                  <v>0.1938037692668244</v>
                </pt>
                <pt idx="406">
                  <v>0.2146960245629657</v>
                </pt>
                <pt idx="407">
                  <v>0.2229068175468487</v>
                </pt>
                <pt idx="408">
                  <v>0.2313034707593038</v>
                </pt>
                <pt idx="409">
                  <v>0.2409891501845851</v>
                </pt>
                <pt idx="410">
                  <v>0.2420908047185404</v>
                </pt>
                <pt idx="411">
                  <v>0.2236101567975639</v>
                </pt>
                <pt idx="412">
                  <v>0.2262080811145368</v>
                </pt>
                <pt idx="413">
                  <v>0.2539617921415911</v>
                </pt>
                <pt idx="414">
                  <v>0.2639399601318113</v>
                </pt>
                <pt idx="415">
                  <v>0.2631110348370076</v>
                </pt>
                <pt idx="416">
                  <v>0.2764603724825558</v>
                </pt>
                <pt idx="417">
                  <v>0.3511714933036576</v>
                </pt>
                <pt idx="418">
                  <v>0.3578555893465074</v>
                </pt>
                <pt idx="419">
                  <v>0.3440498757193864</v>
                </pt>
                <pt idx="420">
                  <v>0.3305867393364357</v>
                </pt>
                <pt idx="421">
                  <v>0.3474257363736171</v>
                </pt>
                <pt idx="422">
                  <v>0.415791514351006</v>
                </pt>
                <pt idx="423">
                  <v>0.4109768216288199</v>
                </pt>
                <pt idx="424">
                  <v>0.4323993649530975</v>
                </pt>
                <pt idx="425">
                  <v>0.437314237555738</v>
                </pt>
                <pt idx="426">
                  <v>0.4438617471819815</v>
                </pt>
                <pt idx="427">
                  <v>0.4370877722566189</v>
                </pt>
                <pt idx="428">
                  <v>0.4236375326382826</v>
                </pt>
                <pt idx="429">
                  <v>0.4163760242436865</v>
                </pt>
                <pt idx="430">
                  <v>0.4027266208034672</v>
                </pt>
                <pt idx="431">
                  <v>0.4036305343837603</v>
                </pt>
                <pt idx="432">
                  <v>0.3912407821625801</v>
                </pt>
                <pt idx="433">
                  <v>0.3911121998618727</v>
                </pt>
                <pt idx="434">
                  <v>0.4002998715846886</v>
                </pt>
                <pt idx="435">
                  <v>0.4140614958983782</v>
                </pt>
                <pt idx="436">
                  <v>0.4150367326327484</v>
                </pt>
                <pt idx="437">
                  <v>0.4059197082586659</v>
                </pt>
                <pt idx="438">
                  <v>0.4072982158817622</v>
                </pt>
                <pt idx="439">
                  <v>0.4029113345731399</v>
                </pt>
                <pt idx="440">
                  <v>0.4046722164349517</v>
                </pt>
                <pt idx="441">
                  <v>0.4142851449091052</v>
                </pt>
                <pt idx="442">
                  <v>0.4430720755925899</v>
                </pt>
                <pt idx="443">
                  <v>0.4448461005979403</v>
                </pt>
                <pt idx="444">
                  <v>0.4167974207172704</v>
                </pt>
                <pt idx="445">
                  <v>0.4063980697534182</v>
                </pt>
                <pt idx="446">
                  <v>0.4279645107063563</v>
                </pt>
                <pt idx="447">
                  <v>0.4305019621657338</v>
                </pt>
                <pt idx="448">
                  <v>0.4307062960755417</v>
                </pt>
                <pt idx="449">
                  <v>0.4499245300229506</v>
                </pt>
                <pt idx="450">
                  <v>0.4351061330759143</v>
                </pt>
                <pt idx="451">
                  <v>0.4350527276296019</v>
                </pt>
                <pt idx="452">
                  <v>0.428929700158154</v>
                </pt>
                <pt idx="453">
                  <v>0.4233524256136301</v>
                </pt>
                <pt idx="454">
                  <v>0.4304706600577761</v>
                </pt>
                <pt idx="455">
                  <v>0.4305712238020476</v>
                </pt>
                <pt idx="456">
                  <v>0.4340498796865904</v>
                </pt>
                <pt idx="457">
                  <v>0.4298804482580991</v>
                </pt>
                <pt idx="458">
                  <v>0.4261305917630482</v>
                </pt>
                <pt idx="459">
                  <v>0.4152510060035819</v>
                </pt>
                <pt idx="460">
                  <v>0.4218334040436893</v>
                </pt>
                <pt idx="461">
                  <v>0.4308561936275075</v>
                </pt>
                <pt idx="462">
                  <v>0.4226705551169547</v>
                </pt>
                <pt idx="463">
                  <v>0.3936540327182436</v>
                </pt>
                <pt idx="464">
                  <v>0.4041885473906275</v>
                </pt>
                <pt idx="465">
                  <v>0.3987346114818349</v>
                </pt>
                <pt idx="466">
                  <v>0.3917767129862963</v>
                </pt>
                <pt idx="467">
                  <v>0.3963574336300402</v>
                </pt>
                <pt idx="468">
                  <v>0.4263892599474701</v>
                </pt>
                <pt idx="469">
                  <v>0.4198563306639058</v>
                </pt>
                <pt idx="470">
                  <v>0.4155679330201112</v>
                </pt>
                <pt idx="471">
                  <v>0.4257860479026947</v>
                </pt>
                <pt idx="472">
                  <v>0.4313550994678967</v>
                </pt>
                <pt idx="473">
                  <v>0.4258295367532421</v>
                </pt>
                <pt idx="474">
                  <v>0.4436101919155357</v>
                </pt>
                <pt idx="475">
                  <v>0.4295433823708283</v>
                </pt>
                <pt idx="476">
                  <v>0.4347877465876315</v>
                </pt>
                <pt idx="477">
                  <v>0.4222264826897983</v>
                </pt>
                <pt idx="478">
                  <v>0.4304008373513866</v>
                </pt>
                <pt idx="479">
                  <v>0.4293499027262337</v>
                </pt>
                <pt idx="480">
                  <v>0.4123292105616354</v>
                </pt>
                <pt idx="481">
                  <v>0.4129356697315054</v>
                </pt>
                <pt idx="482">
                  <v>0.4257921306629235</v>
                </pt>
                <pt idx="483">
                  <v>0.4357634875754626</v>
                </pt>
                <pt idx="484">
                  <v>0.4309953021480712</v>
                </pt>
                <pt idx="485">
                  <v>0.4009939700892859</v>
                </pt>
                <pt idx="486">
                  <v>0.3887350550896014</v>
                </pt>
                <pt idx="487">
                  <v>0.3780782248413901</v>
                </pt>
                <pt idx="488">
                  <v>0.3828822117867654</v>
                </pt>
                <pt idx="489">
                  <v>0.3934754585846956</v>
                </pt>
                <pt idx="490">
                  <v>0.3877185030335502</v>
                </pt>
                <pt idx="491">
                  <v>0.3641268893879541</v>
                </pt>
                <pt idx="492">
                  <v>0.3343975370415819</v>
                </pt>
                <pt idx="493">
                  <v>0.3291270584135864</v>
                </pt>
                <pt idx="494">
                  <v>0.3237968895076397</v>
                </pt>
                <pt idx="495">
                  <v>0.3043996400262281</v>
                </pt>
                <pt idx="496">
                  <v>0.3088544806242637</v>
                </pt>
                <pt idx="497">
                  <v>0.2893210974418947</v>
                </pt>
                <pt idx="498">
                  <v>0.2898486281664381</v>
                </pt>
                <pt idx="499">
                  <v>0.2761149664516871</v>
                </pt>
                <pt idx="500">
                  <v>0.2671736424948492</v>
                </pt>
                <pt idx="501">
                  <v>0.2638003019778297</v>
                </pt>
                <pt idx="502">
                  <v>0.2430578500524325</v>
                </pt>
                <pt idx="503">
                  <v>0.1644387390947462</v>
                </pt>
                <pt idx="504">
                  <v>0.1915885430315662</v>
                </pt>
                <pt idx="505">
                  <v>0.2190878876508953</v>
                </pt>
                <pt idx="506">
                  <v>0.2382382518081849</v>
                </pt>
                <pt idx="507">
                  <v>0.227495416687153</v>
                </pt>
                <pt idx="508">
                  <v>0.2454609207110274</v>
                </pt>
                <pt idx="509">
                  <v>0.2500039386635644</v>
                </pt>
                <pt idx="510">
                  <v>0.2597250263637123</v>
                </pt>
                <pt idx="511">
                  <v>0.280009227125835</v>
                </pt>
                <pt idx="512">
                  <v>0.2753653128752778</v>
                </pt>
                <pt idx="513">
                  <v>0.263112413187546</v>
                </pt>
                <pt idx="514">
                  <v>0.2881664653751523</v>
                </pt>
                <pt idx="515">
                  <v>0.2893738307781213</v>
                </pt>
                <pt idx="516">
                  <v>0.2660584017763825</v>
                </pt>
                <pt idx="517">
                  <v>0.2692076197237792</v>
                </pt>
                <pt idx="518">
                  <v>0.2678974120927993</v>
                </pt>
                <pt idx="519">
                  <v>0.2561215320849162</v>
                </pt>
                <pt idx="520">
                  <v>0.2727596448463714</v>
                </pt>
                <pt idx="521">
                  <v>0.2774307130554601</v>
                </pt>
                <pt idx="522">
                  <v>0.3215875510676425</v>
                </pt>
                <pt idx="523">
                  <v>0.3715489362939628</v>
                </pt>
                <pt idx="524">
                  <v>0.380571031305339</v>
                </pt>
                <pt idx="525">
                  <v>0.4117245593730952</v>
                </pt>
                <pt idx="526">
                  <v>0.3730234872278611</v>
                </pt>
                <pt idx="527">
                  <v>0.394945093200245</v>
                </pt>
                <pt idx="528">
                  <v>0.3933874544456444</v>
                </pt>
                <pt idx="529">
                  <v>0.3835024704878973</v>
                </pt>
                <pt idx="530">
                  <v>0.4004703908446603</v>
                </pt>
                <pt idx="531">
                  <v>0.3884983089858633</v>
                </pt>
                <pt idx="532">
                  <v>0.3869524007799252</v>
                </pt>
                <pt idx="533">
                  <v>0.3632303512940365</v>
                </pt>
                <pt idx="534">
                  <v>0.3684790238402567</v>
                </pt>
                <pt idx="535">
                  <v>0.3893550685039373</v>
                </pt>
                <pt idx="536">
                  <v>0.3876190290241699</v>
                </pt>
                <pt idx="537">
                  <v>0.3841923676280161</v>
                </pt>
                <pt idx="538">
                  <v>0.3724554863898466</v>
                </pt>
                <pt idx="539">
                  <v>0.36088693325641</v>
                </pt>
                <pt idx="540">
                  <v>0.4476118417673414</v>
                </pt>
                <pt idx="541">
                  <v>0.4612304246930046</v>
                </pt>
                <pt idx="542">
                  <v>0.4556126475563493</v>
                </pt>
                <pt idx="543">
                  <v>0.4829103177378997</v>
                </pt>
                <pt idx="544">
                  <v>0.47823083596334</v>
                </pt>
                <pt idx="545">
                  <v>0.4786139384837849</v>
                </pt>
                <pt idx="546">
                  <v>0.4733150918845928</v>
                </pt>
                <pt idx="547">
                  <v>0.4761061838517251</v>
                </pt>
                <pt idx="548">
                  <v>0.4572738673364141</v>
                </pt>
                <pt idx="549">
                  <v>0.444280320303216</v>
                </pt>
                <pt idx="550">
                  <v>0.4453369754618612</v>
                </pt>
                <pt idx="551">
                  <v>0.4562626973096899</v>
                </pt>
                <pt idx="552">
                  <v>0.4651529151742813</v>
                </pt>
                <pt idx="553">
                  <v>0.4641116735678512</v>
                </pt>
                <pt idx="554">
                  <v>0.4523918285750252</v>
                </pt>
                <pt idx="555">
                  <v>0.4569660804054225</v>
                </pt>
                <pt idx="556">
                  <v>0.4646389111507758</v>
                </pt>
                <pt idx="557">
                  <v>0.4486921958673018</v>
                </pt>
                <pt idx="558">
                  <v>0.4342304043810528</v>
                </pt>
                <pt idx="559">
                  <v>0.413007129408212</v>
                </pt>
                <pt idx="560">
                  <v>0.4226767722052538</v>
                </pt>
                <pt idx="561">
                  <v>0.4212251886846634</v>
                </pt>
                <pt idx="562">
                  <v>0.4038714200021549</v>
                </pt>
                <pt idx="563">
                  <v>0.3978618876747677</v>
                </pt>
                <pt idx="564">
                  <v>0.3986163398824925</v>
                </pt>
                <pt idx="565">
                  <v>0.4047554560211089</v>
                </pt>
                <pt idx="566">
                  <v>0.3965393171352742</v>
                </pt>
                <pt idx="567">
                  <v>0.3934492105424454</v>
                </pt>
                <pt idx="568">
                  <v>0.3801447442669206</v>
                </pt>
                <pt idx="569">
                  <v>0.3730124187744994</v>
                </pt>
                <pt idx="570">
                  <v>0.3903577662987381</v>
                </pt>
                <pt idx="571">
                  <v>0.3815288190485846</v>
                </pt>
                <pt idx="572">
                  <v>0.372081128997598</v>
                </pt>
                <pt idx="573">
                  <v>0.3742507573425506</v>
                </pt>
                <pt idx="574">
                  <v>0.3734109298964441</v>
                </pt>
                <pt idx="575">
                  <v>0.3710025604069753</v>
                </pt>
                <pt idx="576">
                  <v>0.3899583509442337</v>
                </pt>
                <pt idx="577">
                  <v>0.3967083583977473</v>
                </pt>
                <pt idx="578">
                  <v>0.3577543608140219</v>
                </pt>
                <pt idx="579">
                  <v>0.3551404513843133</v>
                </pt>
                <pt idx="580">
                  <v>0.3809388788253354</v>
                </pt>
                <pt idx="581">
                  <v>0.3750271570105892</v>
                </pt>
                <pt idx="582">
                  <v>0.3601622025084119</v>
                </pt>
                <pt idx="583">
                  <v>0.345344606076295</v>
                </pt>
                <pt idx="584">
                  <v>0.3489133160674354</v>
                </pt>
                <pt idx="585">
                  <v>0.3659192806755029</v>
                </pt>
                <pt idx="586">
                  <v>0.3520489397494964</v>
                </pt>
                <pt idx="587">
                  <v>0.3616003070141949</v>
                </pt>
                <pt idx="588">
                  <v>0.3582828739185142</v>
                </pt>
                <pt idx="589">
                  <v>0.3606631736637564</v>
                </pt>
                <pt idx="590">
                  <v>0.3730185429986705</v>
                </pt>
                <pt idx="591">
                  <v>0.3583542976990204</v>
                </pt>
                <pt idx="592">
                  <v>0.3498383179968867</v>
                </pt>
                <pt idx="593">
                  <v>0.3526824698065956</v>
                </pt>
                <pt idx="594">
                  <v>0.367954601188762</v>
                </pt>
                <pt idx="595">
                  <v>0.3528981809955052</v>
                </pt>
                <pt idx="596">
                  <v>0.3484512162191307</v>
                </pt>
                <pt idx="597">
                  <v>0.3505942740752699</v>
                </pt>
                <pt idx="598">
                  <v>0.3763630383132608</v>
                </pt>
                <pt idx="599">
                  <v>0.3773602854226663</v>
                </pt>
                <pt idx="600">
                  <v>0.3736322620388137</v>
                </pt>
                <pt idx="601">
                  <v>0.3983844750699546</v>
                </pt>
                <pt idx="602">
                  <v>0.4211945512746154</v>
                </pt>
                <pt idx="603">
                  <v>0.4493639681849</v>
                </pt>
                <pt idx="604">
                  <v>0.467685559864941</v>
                </pt>
                <pt idx="605">
                  <v>0.484881426570821</v>
                </pt>
                <pt idx="606">
                  <v>0.4813831754630955</v>
                </pt>
                <pt idx="607">
                  <v>0.4892741850780136</v>
                </pt>
                <pt idx="608">
                  <v>0.4855222750079697</v>
                </pt>
                <pt idx="609">
                  <v>0.5012836361657274</v>
                </pt>
                <pt idx="610">
                  <v>0.4979677841202306</v>
                </pt>
                <pt idx="611">
                  <v>0.5131504797154445</v>
                </pt>
                <pt idx="612">
                  <v>0.5042901899997587</v>
                </pt>
                <pt idx="613">
                  <v>0.507102986732695</v>
                </pt>
                <pt idx="614">
                  <v>0.4994929136505921</v>
                </pt>
                <pt idx="615">
                  <v>0.4992051234887898</v>
                </pt>
                <pt idx="616">
                  <v>0.5054316531109946</v>
                </pt>
                <pt idx="617">
                  <v>0.4705648724122982</v>
                </pt>
                <pt idx="618">
                  <v>0.4764151371520859</v>
                </pt>
                <pt idx="619">
                  <v>0.4684360123091922</v>
                </pt>
                <pt idx="620">
                  <v>0.4660006629432925</v>
                </pt>
                <pt idx="621">
                  <v>0.4665460927701583</v>
                </pt>
                <pt idx="622">
                  <v>0.4626345132805039</v>
                </pt>
                <pt idx="623">
                  <v>0.4626847497398301</v>
                </pt>
                <pt idx="624">
                  <v>0.4606241838808556</v>
                </pt>
                <pt idx="625">
                  <v>0.4783502044131842</v>
                </pt>
                <pt idx="626">
                  <v>0.4658314893201974</v>
                </pt>
                <pt idx="627">
                  <v>0.4819100589856884</v>
                </pt>
                <pt idx="628">
                  <v>0.4840810182562543</v>
                </pt>
                <pt idx="629">
                  <v>0.5034126382754842</v>
                </pt>
                <pt idx="630">
                  <v>0.4952391072848348</v>
                </pt>
                <pt idx="631">
                  <v>0.502592629580231</v>
                </pt>
                <pt idx="632">
                  <v>0.5078557889217918</v>
                </pt>
                <pt idx="633">
                  <v>0.4892699738797426</v>
                </pt>
                <pt idx="634">
                  <v>0.4967561671447833</v>
                </pt>
                <pt idx="635">
                  <v>0.4908089881610143</v>
                </pt>
                <pt idx="636">
                  <v>0.4888411166364892</v>
                </pt>
                <pt idx="637">
                  <v>0.5210887274775806</v>
                </pt>
                <pt idx="638">
                  <v>0.5177322335953141</v>
                </pt>
                <pt idx="639">
                  <v>0.5310926263961688</v>
                </pt>
                <pt idx="640">
                  <v>0.5293409522971169</v>
                </pt>
                <pt idx="641">
                  <v>0.5285812706917818</v>
                </pt>
                <pt idx="642">
                  <v>0.553779822252455</v>
                </pt>
                <pt idx="643">
                  <v>0.5595453876237948</v>
                </pt>
                <pt idx="644">
                  <v>0.5729618446359381</v>
                </pt>
                <pt idx="645">
                  <v>0.5890003412074161</v>
                </pt>
                <pt idx="646">
                  <v>0.5746266951096104</v>
                </pt>
                <pt idx="647">
                  <v>0.5654750021745025</v>
                </pt>
                <pt idx="648">
                  <v>0.569713531924692</v>
                </pt>
                <pt idx="649">
                  <v>0.5709575641520619</v>
                </pt>
                <pt idx="650">
                  <v>0.5577647940341024</v>
                </pt>
                <pt idx="651">
                  <v>0.567624773705522</v>
                </pt>
                <pt idx="652">
                  <v>0.5813824949578232</v>
                </pt>
                <pt idx="653">
                  <v>0.6066860131036891</v>
                </pt>
                <pt idx="654">
                  <v>0.5884817690355506</v>
                </pt>
                <pt idx="655">
                  <v>0.6056273997240464</v>
                </pt>
                <pt idx="656">
                  <v>0.5817131284234962</v>
                </pt>
                <pt idx="657">
                  <v>0.5574497396941007</v>
                </pt>
                <pt idx="658">
                  <v>0.5558269467921946</v>
                </pt>
                <pt idx="659">
                  <v>0.5380819021794767</v>
                </pt>
                <pt idx="660">
                  <v>0.5549585100290171</v>
                </pt>
                <pt idx="661">
                  <v>0.5392702831745724</v>
                </pt>
                <pt idx="662">
                  <v>0.5126766140517649</v>
                </pt>
                <pt idx="663">
                  <v>0.5225011511670168</v>
                </pt>
                <pt idx="664">
                  <v>0.5193873138733529</v>
                </pt>
                <pt idx="665">
                  <v>0.5203545641426943</v>
                </pt>
                <pt idx="666">
                  <v>0.5634320938227126</v>
                </pt>
                <pt idx="667">
                  <v>0.5579598709551423</v>
                </pt>
                <pt idx="668">
                  <v>0.5643508532025148</v>
                </pt>
                <pt idx="669">
                  <v>0.568923597249279</v>
                </pt>
                <pt idx="670">
                  <v>0.5969738144297076</v>
                </pt>
                <pt idx="671">
                  <v>0.5487098112417494</v>
                </pt>
                <pt idx="672">
                  <v>0.5629311896373861</v>
                </pt>
                <pt idx="673">
                  <v>0.5497494040310034</v>
                </pt>
                <pt idx="674">
                  <v>0.5648634464116968</v>
                </pt>
                <pt idx="675">
                  <v>0.5607259207234723</v>
                </pt>
                <pt idx="676">
                  <v>0.5496960924696379</v>
                </pt>
                <pt idx="677">
                  <v>0.5018098875368806</v>
                </pt>
                <pt idx="678">
                  <v>0.4969299430386247</v>
                </pt>
                <pt idx="679">
                  <v>0.5173451921722207</v>
                </pt>
                <pt idx="680">
                  <v>0.5257926746051453</v>
                </pt>
                <pt idx="681">
                  <v>0.5346198029832203</v>
                </pt>
                <pt idx="682">
                  <v>0.5674141406614082</v>
                </pt>
                <pt idx="683">
                  <v>0.5430787053788837</v>
                </pt>
                <pt idx="684">
                  <v>0.5366224187117983</v>
                </pt>
                <pt idx="685">
                  <v>0.5432020144166096</v>
                </pt>
                <pt idx="686">
                  <v>0.5367429549046205</v>
                </pt>
                <pt idx="687">
                  <v>0.5391611615490259</v>
                </pt>
                <pt idx="688">
                  <v>0.5149789266616043</v>
                </pt>
                <pt idx="689">
                  <v>0.5183357864045968</v>
                </pt>
                <pt idx="690">
                  <v>0.5220630196592058</v>
                </pt>
                <pt idx="691">
                  <v>0.5365558136150617</v>
                </pt>
                <pt idx="692">
                  <v>0.5480139053890538</v>
                </pt>
                <pt idx="693">
                  <v>0.5745760296958944</v>
                </pt>
                <pt idx="694">
                  <v>0.5525564440170851</v>
                </pt>
                <pt idx="695">
                  <v>0.5527060491107412</v>
                </pt>
                <pt idx="696">
                  <v>0.5352477133980975</v>
                </pt>
                <pt idx="697">
                  <v>0.5171561481504476</v>
                </pt>
                <pt idx="698">
                  <v>0.5219610773246486</v>
                </pt>
                <pt idx="699">
                  <v>0.5019987701701367</v>
                </pt>
                <pt idx="700">
                  <v>0.4618782705859257</v>
                </pt>
                <pt idx="701">
                  <v>0.4775397386045903</v>
                </pt>
                <pt idx="702">
                  <v>0.4890354778392734</v>
                </pt>
                <pt idx="703">
                  <v>0.4793048888642715</v>
                </pt>
                <pt idx="704">
                  <v>0.4815750859305499</v>
                </pt>
                <pt idx="705">
                  <v>0.4827057541535515</v>
                </pt>
                <pt idx="706">
                  <v>0.4768347838376084</v>
                </pt>
                <pt idx="707">
                  <v>0.4777494381836385</v>
                </pt>
                <pt idx="708">
                  <v>0.4621793311916853</v>
                </pt>
                <pt idx="709">
                  <v>0.4557508444404057</v>
                </pt>
                <pt idx="710">
                  <v>0.4687355145038394</v>
                </pt>
                <pt idx="711">
                  <v>0.4742071525123384</v>
                </pt>
                <pt idx="712">
                  <v>0.4611500259074186</v>
                </pt>
                <pt idx="713">
                  <v>0.4484876981823935</v>
                </pt>
                <pt idx="714">
                  <v>0.4576415115880808</v>
                </pt>
                <pt idx="715">
                  <v>0.4945910326333431</v>
                </pt>
                <pt idx="716">
                  <v>0.4770411018589196</v>
                </pt>
                <pt idx="717">
                  <v>0.477420764063307</v>
                </pt>
                <pt idx="718">
                  <v>0.4171798950627588</v>
                </pt>
                <pt idx="719">
                  <v>0.426371531356299</v>
                </pt>
                <pt idx="720">
                  <v>0.4548313247131242</v>
                </pt>
                <pt idx="721">
                  <v>0.4224570996290766</v>
                </pt>
                <pt idx="722">
                  <v>0.4055685634052075</v>
                </pt>
                <pt idx="723">
                  <v>0.4175330123970695</v>
                </pt>
                <pt idx="724">
                  <v>0.3899449353131539</v>
                </pt>
                <pt idx="725">
                  <v>0.3898047511111775</v>
                </pt>
                <pt idx="726">
                  <v>0.3831832360287128</v>
                </pt>
                <pt idx="727">
                  <v>0.3889259357805999</v>
                </pt>
                <pt idx="728">
                  <v>0.3863333945158245</v>
                </pt>
                <pt idx="729">
                  <v>0.4119004815543041</v>
                </pt>
                <pt idx="730">
                  <v>0.4261755420486932</v>
                </pt>
                <pt idx="731">
                  <v>0.4198771183079797</v>
                </pt>
                <pt idx="732">
                  <v>0.3894560194962473</v>
                </pt>
                <pt idx="733">
                  <v>0.4243545302302631</v>
                </pt>
                <pt idx="734">
                  <v>0.4546628522551317</v>
                </pt>
                <pt idx="735">
                  <v>0.4519539223937232</v>
                </pt>
                <pt idx="736">
                  <v>0.4452640777519807</v>
                </pt>
                <pt idx="737">
                  <v>0.3804124103592283</v>
                </pt>
                <pt idx="738">
                  <v>0.4104305781609034</v>
                </pt>
                <pt idx="739">
                  <v>0.4226099972049975</v>
                </pt>
                <pt idx="740">
                  <v>0.3273851435149997</v>
                </pt>
                <pt idx="741">
                  <v>0.3068881296169985</v>
                </pt>
                <pt idx="742">
                  <v>0.3268790401218618</v>
                </pt>
                <pt idx="743">
                  <v>0.3342861222870126</v>
                </pt>
                <pt idx="744">
                  <v>0.3583241637314707</v>
                </pt>
                <pt idx="745">
                  <v>0.3789401342629208</v>
                </pt>
                <pt idx="746">
                  <v>0.3328184039397479</v>
                </pt>
                <pt idx="747">
                  <v>0.349437955392403</v>
                </pt>
                <pt idx="748">
                  <v>0.34345610872507</v>
                </pt>
                <pt idx="749">
                  <v>0.3309751308712545</v>
                </pt>
                <pt idx="750">
                  <v>0.3369146304111319</v>
                </pt>
                <pt idx="751">
                  <v>0.319508063722006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50001"/>
        <axId val="50050002"/>
      </lineChart>
      <dateAx>
        <axId val="50050001"/>
        <scaling>
          <orientation val="minMax"/>
        </scaling>
        <delete val="0"/>
        <axPos val="b"/>
        <numFmt formatCode="yyyy\-mm\-dd" sourceLinked="1"/>
        <majorTickMark val="out"/>
        <minorTickMark val="none"/>
        <tickLblPos val="low"/>
        <crossAx val="50050002"/>
        <crosses val="autoZero"/>
        <lblOffset val="100"/>
        <baseTimeUnit val="days"/>
        <majorUnit val="2"/>
        <majorTimeUnit val="months"/>
        <minorUnit val="2"/>
        <minorTimeUnit val="months"/>
      </dateAx>
      <valAx>
        <axId val="50050002"/>
        <scaling>
          <orientation val="minMax"/>
        </scaling>
        <delete val="0"/>
        <axPos val="l"/>
        <majorGridlines/>
        <numFmt formatCode="0%" sourceLinked="0"/>
        <majorTickMark val="out"/>
        <minorTickMark val="none"/>
        <tickLblPos val="nextTo"/>
        <crossAx val="50050001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5514585572346639"/>
          <y val="0.04788607505142935"/>
          <w val="0.1259126400982607"/>
          <h val="0.05430304320068099"/>
        </manualLayout>
      </layout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tx1"/>
                </a:solidFill>
              </a:rPr>
              <a:t xml:space="preserve">Price vs EMA 200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VN"/>
        </a:p>
      </txPr>
    </title>
    <plotArea>
      <layout/>
      <lineChart>
        <grouping val="standard"/>
        <varyColors val="0"/>
        <ser>
          <idx val="0"/>
          <order val="0"/>
          <spPr>
            <a:ln w="22225" cap="rnd">
              <a:solidFill>
                <a:schemeClr val="tx2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Analysis'!$B$36:$B$787</f>
              <numCache>
                <formatCode>\$#,##0.00</formatCode>
                <ptCount val="752"/>
                <pt idx="0">
                  <v>179.79</v>
                </pt>
                <pt idx="1">
                  <v>177.23</v>
                </pt>
                <pt idx="2">
                  <v>178.92</v>
                </pt>
                <pt idx="3">
                  <v>174.07</v>
                </pt>
                <pt idx="4">
                  <v>169.29</v>
                </pt>
                <pt idx="5">
                  <v>165.98</v>
                </pt>
                <pt idx="6">
                  <v>167.51</v>
                </pt>
                <pt idx="7">
                  <v>162.81</v>
                </pt>
                <pt idx="8">
                  <v>166.21</v>
                </pt>
                <pt idx="9">
                  <v>161.02</v>
                </pt>
                <pt idx="10">
                  <v>163.27</v>
                </pt>
                <pt idx="11">
                  <v>166.14</v>
                </pt>
                <pt idx="12">
                  <v>163.71</v>
                </pt>
                <pt idx="13">
                  <v>164.5</v>
                </pt>
                <pt idx="14">
                  <v>166.2</v>
                </pt>
                <pt idx="15">
                  <v>165.8</v>
                </pt>
                <pt idx="16">
                  <v>168.04</v>
                </pt>
                <pt idx="17">
                  <v>169.99</v>
                </pt>
                <pt idx="18">
                  <v>170.14</v>
                </pt>
                <pt idx="19">
                  <v>171.56</v>
                </pt>
                <pt idx="20">
                  <v>172.93</v>
                </pt>
                <pt idx="21">
                  <v>168.86</v>
                </pt>
                <pt idx="22">
                  <v>164.06</v>
                </pt>
                <pt idx="23">
                  <v>164.93</v>
                </pt>
                <pt idx="24">
                  <v>166.01</v>
                </pt>
                <pt idx="25">
                  <v>166.57</v>
                </pt>
                <pt idx="26">
                  <v>167.32</v>
                </pt>
                <pt idx="27">
                  <v>169.46</v>
                </pt>
                <pt idx="28">
                  <v>169.08</v>
                </pt>
                <pt idx="29">
                  <v>171.88</v>
                </pt>
                <pt idx="30">
                  <v>172.36</v>
                </pt>
                <pt idx="31">
                  <v>173.54</v>
                </pt>
                <pt idx="32">
                  <v>172.44</v>
                </pt>
                <pt idx="33">
                  <v>171.14</v>
                </pt>
                <pt idx="34">
                  <v>171.41</v>
                </pt>
                <pt idx="35">
                  <v>169.67</v>
                </pt>
                <pt idx="36">
                  <v>166.65</v>
                </pt>
                <pt idx="37">
                  <v>172.98</v>
                </pt>
                <pt idx="38">
                  <v>175.12</v>
                </pt>
                <pt idx="39">
                  <v>177.51</v>
                </pt>
                <pt idx="40">
                  <v>179.27</v>
                </pt>
                <pt idx="41">
                  <v>178.62</v>
                </pt>
                <pt idx="42">
                  <v>190.23</v>
                </pt>
                <pt idx="43">
                  <v>193.57</v>
                </pt>
                <pt idx="44">
                  <v>192.83</v>
                </pt>
                <pt idx="45">
                  <v>193.11</v>
                </pt>
                <pt idx="46">
                  <v>196.09</v>
                </pt>
                <pt idx="47">
                  <v>194.83</v>
                </pt>
                <pt idx="48">
                  <v>195.38</v>
                </pt>
                <pt idx="49">
                  <v>196.17</v>
                </pt>
                <pt idx="50">
                  <v>195.01</v>
                </pt>
                <pt idx="51">
                  <v>196.51</v>
                </pt>
                <pt idx="52">
                  <v>196.41</v>
                </pt>
                <pt idx="53">
                  <v>197.22</v>
                </pt>
                <pt idx="54">
                  <v>197.26</v>
                </pt>
                <pt idx="55">
                  <v>195.2</v>
                </pt>
                <pt idx="56">
                  <v>194.1</v>
                </pt>
                <pt idx="57">
                  <v>195.1</v>
                </pt>
                <pt idx="58">
                  <v>196</v>
                </pt>
                <pt idx="59">
                  <v>196.05</v>
                </pt>
                <pt idx="60">
                  <v>195.5</v>
                </pt>
                <pt idx="61">
                  <v>198.8</v>
                </pt>
                <pt idx="62">
                  <v>202.73</v>
                </pt>
                <pt idx="63">
                  <v>202.24</v>
                </pt>
                <pt idx="64">
                  <v>203.12</v>
                </pt>
                <pt idx="65">
                  <v>204.99</v>
                </pt>
                <pt idx="66">
                  <v>206.18</v>
                </pt>
                <pt idx="67">
                  <v>206.64</v>
                </pt>
                <pt idx="68">
                  <v>205.89</v>
                </pt>
                <pt idx="69">
                  <v>207.7</v>
                </pt>
                <pt idx="70">
                  <v>207.39</v>
                </pt>
                <pt idx="71">
                  <v>208.94</v>
                </pt>
                <pt idx="72">
                  <v>207.31</v>
                </pt>
                <pt idx="73">
                  <v>208.68</v>
                </pt>
                <pt idx="74">
                  <v>210.57</v>
                </pt>
                <pt idx="75">
                  <v>213.45</v>
                </pt>
                <pt idx="76">
                  <v>214.43</v>
                </pt>
                <pt idx="77">
                  <v>214.77</v>
                </pt>
                <pt idx="78">
                  <v>220.42</v>
                </pt>
                <pt idx="79">
                  <v>220.86</v>
                </pt>
                <pt idx="80">
                  <v>224.84</v>
                </pt>
                <pt idx="81">
                  <v>225.44</v>
                </pt>
                <pt idx="82">
                  <v>223.34</v>
                </pt>
                <pt idx="83">
                  <v>220.63</v>
                </pt>
                <pt idx="84">
                  <v>217.99</v>
                </pt>
                <pt idx="85">
                  <v>217.38</v>
                </pt>
                <pt idx="86">
                  <v>219.39</v>
                </pt>
                <pt idx="87">
                  <v>223.61</v>
                </pt>
                <pt idx="88">
                  <v>220.28</v>
                </pt>
                <pt idx="89">
                  <v>223.36</v>
                </pt>
                <pt idx="90">
                  <v>224.75</v>
                </pt>
                <pt idx="91">
                  <v>223.71</v>
                </pt>
                <pt idx="92">
                  <v>223.9</v>
                </pt>
                <pt idx="93">
                  <v>221.34</v>
                </pt>
                <pt idx="94">
                  <v>221.63</v>
                </pt>
                <pt idx="95">
                  <v>222.3</v>
                </pt>
                <pt idx="96">
                  <v>222.6</v>
                </pt>
                <pt idx="97">
                  <v>222.25</v>
                </pt>
                <pt idx="98">
                  <v>223.46</v>
                </pt>
                <pt idx="99">
                  <v>218.29</v>
                </pt>
                <pt idx="100">
                  <v>220.19</v>
                </pt>
                <pt idx="101">
                  <v>220.5</v>
                </pt>
                <pt idx="102">
                  <v>223.97</v>
                </pt>
                <pt idx="103">
                  <v>223.08</v>
                </pt>
                <pt idx="104">
                  <v>226.19</v>
                </pt>
                <pt idx="105">
                  <v>226</v>
                </pt>
                <pt idx="106">
                  <v>228.72</v>
                </pt>
                <pt idx="107">
                  <v>226.84</v>
                </pt>
                <pt idx="108">
                  <v>223.38</v>
                </pt>
                <pt idx="109">
                  <v>224.31</v>
                </pt>
                <pt idx="110">
                  <v>223.92</v>
                </pt>
                <pt idx="111">
                  <v>225.13</v>
                </pt>
                <pt idx="112">
                  <v>224.14</v>
                </pt>
                <pt idx="113">
                  <v>222.5</v>
                </pt>
                <pt idx="114">
                  <v>213.33</v>
                </pt>
                <pt idx="115">
                  <v>211.8</v>
                </pt>
                <pt idx="116">
                  <v>212.57</v>
                </pt>
                <pt idx="117">
                  <v>214.58</v>
                </pt>
                <pt idx="118">
                  <v>217.06</v>
                </pt>
                <pt idx="119">
                  <v>214.98</v>
                </pt>
                <pt idx="120">
                  <v>214.83</v>
                </pt>
                <pt idx="121">
                  <v>215.11</v>
                </pt>
                <pt idx="122">
                  <v>218.59</v>
                </pt>
                <pt idx="123">
                  <v>218.24</v>
                </pt>
                <pt idx="124">
                  <v>218.25</v>
                </pt>
                <pt idx="125">
                  <v>222.92</v>
                </pt>
                <pt idx="126">
                  <v>216.24</v>
                </pt>
                <pt idx="127">
                  <v>215.2</v>
                </pt>
                <pt idx="128">
                  <v>215.56</v>
                </pt>
                <pt idx="129">
                  <v>216.25</v>
                </pt>
                <pt idx="130">
                  <v>216.59</v>
                </pt>
                <pt idx="131">
                  <v>214.77</v>
                </pt>
                <pt idx="132">
                  <v>213.74</v>
                </pt>
                <pt idx="133">
                  <v>214.97</v>
                </pt>
                <pt idx="134">
                  <v>210.59</v>
                </pt>
                <pt idx="135">
                  <v>211.69</v>
                </pt>
                <pt idx="136">
                  <v>209.88</v>
                </pt>
                <pt idx="137">
                  <v>209.55</v>
                </pt>
                <pt idx="138">
                  <v>202.35</v>
                </pt>
                <pt idx="139">
                  <v>200.62</v>
                </pt>
                <pt idx="140">
                  <v>202.04</v>
                </pt>
                <pt idx="141">
                  <v>201.35</v>
                </pt>
                <pt idx="142">
                  <v>203.6</v>
                </pt>
                <pt idx="143">
                  <v>205.03</v>
                </pt>
                <pt idx="144">
                  <v>202.02</v>
                </pt>
                <pt idx="145">
                  <v>200.93</v>
                </pt>
                <pt idx="146">
                  <v>199.99</v>
                </pt>
                <pt idx="147">
                  <v>205.03</v>
                </pt>
                <pt idx="148">
                  <v>206.95</v>
                </pt>
                <pt idx="149">
                  <v>212.4</v>
                </pt>
                <pt idx="150">
                  <v>210.25</v>
                </pt>
                <pt idx="151">
                  <v>211</v>
                </pt>
                <pt idx="152">
                  <v>214.76</v>
                </pt>
                <pt idx="153">
                  <v>210.63</v>
                </pt>
                <pt idx="154">
                  <v>209.29</v>
                </pt>
                <pt idx="155">
                  <v>213.04</v>
                </pt>
                <pt idx="156">
                  <v>214.79</v>
                </pt>
                <pt idx="157">
                  <v>203.74</v>
                </pt>
                <pt idx="158">
                  <v>202.69</v>
                </pt>
                <pt idx="159">
                  <v>201.55</v>
                </pt>
                <pt idx="160">
                  <v>202.5</v>
                </pt>
                <pt idx="161">
                  <v>205.15</v>
                </pt>
                <pt idx="162">
                  <v>203.37</v>
                </pt>
                <pt idx="163">
                  <v>193.97</v>
                </pt>
                <pt idx="164">
                  <v>193.69</v>
                </pt>
                <pt idx="165">
                  <v>195.99</v>
                </pt>
                <pt idx="166">
                  <v>196.49</v>
                </pt>
                <pt idx="167">
                  <v>203.8</v>
                </pt>
                <pt idx="168">
                  <v>206.82</v>
                </pt>
                <pt idx="169">
                  <v>207.78</v>
                </pt>
                <pt idx="170">
                  <v>207.14</v>
                </pt>
                <pt idx="171">
                  <v>207.21</v>
                </pt>
                <pt idx="172">
                  <v>208.43</v>
                </pt>
                <pt idx="173">
                  <v>209.23</v>
                </pt>
                <pt idx="174">
                  <v>211.66</v>
                </pt>
                <pt idx="175">
                  <v>210.49</v>
                </pt>
                <pt idx="176">
                  <v>216.54</v>
                </pt>
                <pt idx="177">
                  <v>210.87</v>
                </pt>
                <pt idx="178">
                  <v>212.27</v>
                </pt>
                <pt idx="179">
                  <v>212.35</v>
                </pt>
                <pt idx="180">
                  <v>210.38</v>
                </pt>
                <pt idx="181">
                  <v>209.84</v>
                </pt>
                <pt idx="182">
                  <v>211.9</v>
                </pt>
                <pt idx="183">
                  <v>211.68</v>
                </pt>
                <pt idx="184">
                  <v>212.85</v>
                </pt>
                <pt idx="185">
                  <v>211.16</v>
                </pt>
                <pt idx="186">
                  <v>212.68</v>
                </pt>
                <pt idx="187">
                  <v>213.56</v>
                </pt>
                <pt idx="188">
                  <v>215.63</v>
                </pt>
                <pt idx="189">
                  <v>214.8</v>
                </pt>
                <pt idx="190">
                  <v>212.02</v>
                </pt>
                <pt idx="191">
                  <v>211.93</v>
                </pt>
                <pt idx="192">
                  <v>214.17</v>
                </pt>
                <pt idx="193">
                  <v>216.03</v>
                </pt>
                <pt idx="194">
                  <v>218.86</v>
                </pt>
                <pt idx="195">
                  <v>220.9</v>
                </pt>
                <pt idx="196">
                  <v>223.67</v>
                </pt>
                <pt idx="197">
                  <v>224.76</v>
                </pt>
                <pt idx="198">
                  <v>224.35</v>
                </pt>
                <pt idx="199">
                  <v>222.7</v>
                </pt>
                <pt idx="200">
                  <v>224.69</v>
                </pt>
                <pt idx="201">
                  <v>221.18</v>
                </pt>
                <pt idx="202">
                  <v>223.28</v>
                </pt>
                <pt idx="203">
                  <v>224.93</v>
                </pt>
                <pt idx="204">
                  <v>225.65</v>
                </pt>
                <pt idx="205">
                  <v>225.82</v>
                </pt>
                <pt idx="206">
                  <v>225.44</v>
                </pt>
                <pt idx="207">
                  <v>227.01</v>
                </pt>
                <pt idx="208">
                  <v>223.6</v>
                </pt>
                <pt idx="209">
                  <v>219.33</v>
                </pt>
                <pt idx="210">
                  <v>220.68</v>
                </pt>
                <pt idx="211">
                  <v>221.62</v>
                </pt>
                <pt idx="212">
                  <v>224</v>
                </pt>
                <pt idx="213">
                  <v>223.42</v>
                </pt>
                <pt idx="214">
                  <v>226.11</v>
                </pt>
                <pt idx="215">
                  <v>224.36</v>
                </pt>
                <pt idx="216">
                  <v>223.96</v>
                </pt>
                <pt idx="217">
                  <v>222.38</v>
                </pt>
                <pt idx="218">
                  <v>221.26</v>
                </pt>
                <pt idx="219">
                  <v>225.12</v>
                </pt>
                <pt idx="220">
                  <v>226.08</v>
                </pt>
                <pt idx="221">
                  <v>227.28</v>
                </pt>
                <pt idx="222">
                  <v>222.8</v>
                </pt>
                <pt idx="223">
                  <v>219.8</v>
                </pt>
                <pt idx="224">
                  <v>223.41</v>
                </pt>
                <pt idx="225">
                  <v>222.36</v>
                </pt>
                <pt idx="226">
                  <v>229.37</v>
                </pt>
                <pt idx="227">
                  <v>231.05</v>
                </pt>
                <pt idx="228">
                  <v>226.01</v>
                </pt>
                <pt idx="229">
                  <v>230.36</v>
                </pt>
                <pt idx="230">
                  <v>234.44</v>
                </pt>
                <pt idx="231">
                  <v>229.65</v>
                </pt>
                <pt idx="232">
                  <v>231.58</v>
                </pt>
                <pt idx="233">
                  <v>236.52</v>
                </pt>
                <pt idx="234">
                  <v>238.44</v>
                </pt>
                <pt idx="235">
                  <v>240</v>
                </pt>
                <pt idx="236">
                  <v>240.13</v>
                </pt>
                <pt idx="237">
                  <v>237.12</v>
                </pt>
                <pt idx="238">
                  <v>241.1</v>
                </pt>
                <pt idx="239">
                  <v>242.46</v>
                </pt>
                <pt idx="240">
                  <v>255.15</v>
                </pt>
                <pt idx="241">
                  <v>251.38</v>
                </pt>
                <pt idx="242">
                  <v>253.43</v>
                </pt>
                <pt idx="243">
                  <v>256.94</v>
                </pt>
                <pt idx="244">
                  <v>257.23</v>
                </pt>
                <pt idx="245">
                  <v>261.08</v>
                </pt>
                <pt idx="246">
                  <v>263.56</v>
                </pt>
                <pt idx="247">
                  <v>262.3</v>
                </pt>
                <pt idx="248">
                  <v>265.85</v>
                </pt>
                <pt idx="249">
                  <v>267.43</v>
                </pt>
                <pt idx="250">
                  <v>267.85</v>
                </pt>
                <pt idx="251">
                  <v>264.98</v>
                </pt>
                <pt idx="252">
                  <v>267.34</v>
                </pt>
                <pt idx="253">
                  <v>271.17</v>
                </pt>
                <pt idx="254">
                  <v>266.7</v>
                </pt>
                <pt idx="255">
                  <v>264.95</v>
                </pt>
                <pt idx="256">
                  <v>269.58</v>
                </pt>
                <pt idx="257">
                  <v>269.32</v>
                </pt>
                <pt idx="258">
                  <v>270.73</v>
                </pt>
                <pt idx="259">
                  <v>266.86</v>
                </pt>
                <pt idx="260">
                  <v>269.42</v>
                </pt>
                <pt idx="261">
                  <v>269.01</v>
                </pt>
                <pt idx="262">
                  <v>271.74</v>
                </pt>
                <pt idx="263">
                  <v>275.59</v>
                </pt>
                <pt idx="264">
                  <v>274.36</v>
                </pt>
                <pt idx="265">
                  <v>272.62</v>
                </pt>
                <pt idx="266">
                  <v>273.87</v>
                </pt>
                <pt idx="267">
                  <v>272.79</v>
                </pt>
                <pt idx="268">
                  <v>272.92</v>
                </pt>
                <pt idx="269">
                  <v>269.69</v>
                </pt>
                <pt idx="270">
                  <v>266.25</v>
                </pt>
                <pt idx="271">
                  <v>268.77</v>
                </pt>
                <pt idx="272">
                  <v>265.89</v>
                </pt>
                <pt idx="273">
                  <v>270.15</v>
                </pt>
                <pt idx="274">
                  <v>269.72</v>
                </pt>
                <pt idx="275">
                  <v>265.62</v>
                </pt>
                <pt idx="276">
                  <v>264.56</v>
                </pt>
                <pt idx="277">
                  <v>265.5</v>
                </pt>
                <pt idx="278">
                  <v>262.78</v>
                </pt>
                <pt idx="279">
                  <v>260.47</v>
                </pt>
                <pt idx="280">
                  <v>258.54</v>
                </pt>
                <pt idx="281">
                  <v>258.26</v>
                </pt>
                <pt idx="282">
                  <v>255.07</v>
                </pt>
                <pt idx="283">
                  <v>252.06</v>
                </pt>
                <pt idx="284">
                  <v>254.48</v>
                </pt>
                <pt idx="285">
                  <v>259.34</v>
                </pt>
                <pt idx="286">
                  <v>256.4</v>
                </pt>
                <pt idx="287">
                  <v>258.54</v>
                </pt>
                <pt idx="288">
                  <v>261.24</v>
                </pt>
                <pt idx="289">
                  <v>261.45</v>
                </pt>
                <pt idx="290">
                  <v>257.63</v>
                </pt>
                <pt idx="291">
                  <v>259.73</v>
                </pt>
                <pt idx="292">
                  <v>264.41</v>
                </pt>
                <pt idx="293">
                  <v>264.44</v>
                </pt>
                <pt idx="294">
                  <v>266.61</v>
                </pt>
                <pt idx="295">
                  <v>268.35</v>
                </pt>
                <pt idx="296">
                  <v>267.93</v>
                </pt>
                <pt idx="297">
                  <v>270.69</v>
                </pt>
                <pt idx="298">
                  <v>272.07</v>
                </pt>
                <pt idx="299">
                  <v>270.09</v>
                </pt>
                <pt idx="300">
                  <v>267.75</v>
                </pt>
                <pt idx="301">
                  <v>270.5</v>
                </pt>
                <pt idx="302">
                  <v>260</v>
                </pt>
                <pt idx="303">
                  <v>259.1</v>
                </pt>
                <pt idx="304">
                  <v>260.21</v>
                </pt>
                <pt idx="305">
                  <v>262.18</v>
                </pt>
                <pt idx="306">
                  <v>260.87</v>
                </pt>
                <pt idx="307">
                  <v>257.21</v>
                </pt>
                <pt idx="308">
                  <v>259.25</v>
                </pt>
                <pt idx="309">
                  <v>253.98</v>
                </pt>
                <pt idx="310">
                  <v>251.91</v>
                </pt>
                <pt idx="311">
                  <v>254.08</v>
                </pt>
                <pt idx="312">
                  <v>255.77</v>
                </pt>
                <pt idx="313">
                  <v>252.19</v>
                </pt>
                <pt idx="314">
                  <v>250.46</v>
                </pt>
                <pt idx="315">
                  <v>251.18</v>
                </pt>
                <pt idx="316">
                  <v>248.58</v>
                </pt>
                <pt idx="317">
                  <v>247.59</v>
                </pt>
                <pt idx="318">
                  <v>247.81</v>
                </pt>
                <pt idx="319">
                  <v>244.64</v>
                </pt>
                <pt idx="320">
                  <v>249.12</v>
                </pt>
                <pt idx="321">
                  <v>253.95</v>
                </pt>
                <pt idx="322">
                  <v>252.64</v>
                </pt>
                <pt idx="323">
                  <v>256.35</v>
                </pt>
                <pt idx="324">
                  <v>255.61</v>
                </pt>
                <pt idx="325">
                  <v>246.46</v>
                </pt>
                <pt idx="326">
                  <v>247.81</v>
                </pt>
                <pt idx="327">
                  <v>247.58</v>
                </pt>
                <pt idx="328">
                  <v>246.15</v>
                </pt>
                <pt idx="329">
                  <v>245.88</v>
                </pt>
                <pt idx="330">
                  <v>247.76</v>
                </pt>
                <pt idx="331">
                  <v>248.68</v>
                </pt>
                <pt idx="332">
                  <v>243.72</v>
                </pt>
                <pt idx="333">
                  <v>245.07</v>
                </pt>
                <pt idx="334">
                  <v>243.92</v>
                </pt>
                <pt idx="335">
                  <v>244.21</v>
                </pt>
                <pt idx="336">
                  <v>241.97</v>
                </pt>
                <pt idx="337">
                  <v>242.25</v>
                </pt>
                <pt idx="338">
                  <v>247.72</v>
                </pt>
                <pt idx="339">
                  <v>254.69</v>
                </pt>
                <pt idx="340">
                  <v>252.51</v>
                </pt>
                <pt idx="341">
                  <v>253.9</v>
                </pt>
                <pt idx="342">
                  <v>262.81</v>
                </pt>
                <pt idx="343">
                  <v>255.8</v>
                </pt>
                <pt idx="344">
                  <v>256.09</v>
                </pt>
                <pt idx="345">
                  <v>256.14</v>
                </pt>
                <pt idx="346">
                  <v>260.61</v>
                </pt>
                <pt idx="347">
                  <v>260.15</v>
                </pt>
                <pt idx="348">
                  <v>250.51</v>
                </pt>
                <pt idx="349">
                  <v>253.77</v>
                </pt>
                <pt idx="350">
                  <v>261.71</v>
                </pt>
                <pt idx="351">
                  <v>264.53</v>
                </pt>
                <pt idx="352">
                  <v>270</v>
                </pt>
                <pt idx="353">
                  <v>274.51</v>
                </pt>
                <pt idx="354">
                  <v>271.13</v>
                </pt>
                <pt idx="355">
                  <v>266.34</v>
                </pt>
                <pt idx="356">
                  <v>257.43</v>
                </pt>
                <pt idx="357">
                  <v>246.14</v>
                </pt>
                <pt idx="358">
                  <v>241.22</v>
                </pt>
                <pt idx="359">
                  <v>246.33</v>
                </pt>
                <pt idx="360">
                  <v>244.34</v>
                </pt>
                <pt idx="361">
                  <v>241.9</v>
                </pt>
                <pt idx="362">
                  <v>243.84</v>
                </pt>
                <pt idx="363">
                  <v>242.5</v>
                </pt>
                <pt idx="364">
                  <v>246.57</v>
                </pt>
                <pt idx="365">
                  <v>244.43</v>
                </pt>
                <pt idx="366">
                  <v>244.29</v>
                </pt>
                <pt idx="367">
                  <v>245.6</v>
                </pt>
                <pt idx="368">
                  <v>247.84</v>
                </pt>
                <pt idx="369">
                  <v>247.98</v>
                </pt>
                <pt idx="370">
                  <v>254.89</v>
                </pt>
                <pt idx="371">
                  <v>250.68</v>
                </pt>
                <pt idx="372">
                  <v>240.41</v>
                </pt>
                <pt idx="373">
                  <v>235.77</v>
                </pt>
                <pt idx="374">
                  <v>241.28</v>
                </pt>
                <pt idx="375">
                  <v>245.21</v>
                </pt>
                <pt idx="376">
                  <v>239.02</v>
                </pt>
                <pt idx="377">
                  <v>234.83</v>
                </pt>
                <pt idx="378">
                  <v>232.16</v>
                </pt>
                <pt idx="379">
                  <v>231.97</v>
                </pt>
                <pt idx="380">
                  <v>231.83</v>
                </pt>
                <pt idx="381">
                  <v>232.95</v>
                </pt>
                <pt idx="382">
                  <v>232.95</v>
                </pt>
                <pt idx="383">
                  <v>236.27</v>
                </pt>
                <pt idx="384">
                  <v>237.47</v>
                </pt>
                <pt idx="385">
                  <v>242.87</v>
                </pt>
                <pt idx="386">
                  <v>245.12</v>
                </pt>
                <pt idx="387">
                  <v>244.4</v>
                </pt>
                <pt idx="388">
                  <v>253.67</v>
                </pt>
                <pt idx="389">
                  <v>252.05</v>
                </pt>
                <pt idx="390">
                  <v>252.33</v>
                </pt>
                <pt idx="391">
                  <v>249.87</v>
                </pt>
                <pt idx="392">
                  <v>249.63</v>
                </pt>
                <pt idx="393">
                  <v>250.58</v>
                </pt>
                <pt idx="394">
                  <v>250.24</v>
                </pt>
                <pt idx="395">
                  <v>250.43</v>
                </pt>
                <pt idx="396">
                  <v>247.49</v>
                </pt>
                <pt idx="397">
                  <v>240.46</v>
                </pt>
                <pt idx="398">
                  <v>241.1</v>
                </pt>
                <pt idx="399">
                  <v>241.43</v>
                </pt>
                <pt idx="400">
                  <v>238.03</v>
                </pt>
                <pt idx="401">
                  <v>238.19</v>
                </pt>
                <pt idx="402">
                  <v>241.64</v>
                </pt>
                <pt idx="403">
                  <v>243.9</v>
                </pt>
                <pt idx="404">
                  <v>247.51</v>
                </pt>
                <pt idx="405">
                  <v>248.7</v>
                </pt>
                <pt idx="406">
                  <v>252.79</v>
                </pt>
                <pt idx="407">
                  <v>256.48</v>
                </pt>
                <pt idx="408">
                  <v>258.64</v>
                </pt>
                <pt idx="409">
                  <v>261.72</v>
                </pt>
                <pt idx="410">
                  <v>259.94</v>
                </pt>
                <pt idx="411">
                  <v>253.72</v>
                </pt>
                <pt idx="412">
                  <v>253.57</v>
                </pt>
                <pt idx="413">
                  <v>256.14</v>
                </pt>
                <pt idx="414">
                  <v>256.54</v>
                </pt>
                <pt idx="415">
                  <v>258.5</v>
                </pt>
                <pt idx="416">
                  <v>259.55</v>
                </pt>
                <pt idx="417">
                  <v>276.23</v>
                </pt>
                <pt idx="418">
                  <v>273.93</v>
                </pt>
                <pt idx="419">
                  <v>270.39</v>
                </pt>
                <pt idx="420">
                  <v>268.86</v>
                </pt>
                <pt idx="421">
                  <v>272.67</v>
                </pt>
                <pt idx="422">
                  <v>290.45</v>
                </pt>
                <pt idx="423">
                  <v>290.59</v>
                </pt>
                <pt idx="424">
                  <v>292.31</v>
                </pt>
                <pt idx="425">
                  <v>292.04</v>
                </pt>
                <pt idx="426">
                  <v>288.38</v>
                </pt>
                <pt idx="427">
                  <v>287.71</v>
                </pt>
                <pt idx="428">
                  <v>282.68</v>
                </pt>
                <pt idx="429">
                  <v>279.28</v>
                </pt>
                <pt idx="430">
                  <v>278.74</v>
                </pt>
                <pt idx="431">
                  <v>278.01</v>
                </pt>
                <pt idx="432">
                  <v>277.81</v>
                </pt>
                <pt idx="433">
                  <v>281.18</v>
                </pt>
                <pt idx="434">
                  <v>284.61</v>
                </pt>
                <pt idx="435">
                  <v>290.37</v>
                </pt>
                <pt idx="436">
                  <v>288.4</v>
                </pt>
                <pt idx="437">
                  <v>286.39</v>
                </pt>
                <pt idx="438">
                  <v>288.13</v>
                </pt>
                <pt idx="439">
                  <v>287.05</v>
                </pt>
                <pt idx="440">
                  <v>286.5</v>
                </pt>
                <pt idx="441">
                  <v>285.65</v>
                </pt>
                <pt idx="442">
                  <v>287.63</v>
                </pt>
                <pt idx="443">
                  <v>286.86</v>
                </pt>
                <pt idx="444">
                  <v>281.23</v>
                </pt>
                <pt idx="445">
                  <v>276.31</v>
                </pt>
                <pt idx="446">
                  <v>279.56</v>
                </pt>
                <pt idx="447">
                  <v>278.11</v>
                </pt>
                <pt idx="448">
                  <v>275.77</v>
                </pt>
                <pt idx="449">
                  <v>277</v>
                </pt>
                <pt idx="450">
                  <v>272.65</v>
                </pt>
                <pt idx="451">
                  <v>264.89</v>
                </pt>
                <pt idx="452">
                  <v>260.92</v>
                </pt>
                <pt idx="453">
                  <v>263.13</v>
                </pt>
                <pt idx="454">
                  <v>262.87</v>
                </pt>
                <pt idx="455">
                  <v>264.31</v>
                </pt>
                <pt idx="456">
                  <v>264.55</v>
                </pt>
                <pt idx="457">
                  <v>262.36</v>
                </pt>
                <pt idx="458">
                  <v>258.16</v>
                </pt>
                <pt idx="459">
                  <v>257.23</v>
                </pt>
                <pt idx="460">
                  <v>255.57</v>
                </pt>
                <pt idx="461">
                  <v>257.13</v>
                </pt>
                <pt idx="462">
                  <v>257.38</v>
                </pt>
                <pt idx="463">
                  <v>251.98</v>
                </pt>
                <pt idx="464">
                  <v>255.28</v>
                </pt>
                <pt idx="465">
                  <v>251.69</v>
                </pt>
                <pt idx="466">
                  <v>256.03</v>
                </pt>
                <pt idx="467">
                  <v>260.07</v>
                </pt>
                <pt idx="468">
                  <v>268.19</v>
                </pt>
                <pt idx="469">
                  <v>269.17</v>
                </pt>
                <pt idx="470">
                  <v>270.1</v>
                </pt>
                <pt idx="471">
                  <v>275.53</v>
                </pt>
                <pt idx="472">
                  <v>274.38</v>
                </pt>
                <pt idx="473">
                  <v>274.83</v>
                </pt>
                <pt idx="474">
                  <v>277.54</v>
                </pt>
                <pt idx="475">
                  <v>274.99</v>
                </pt>
                <pt idx="476">
                  <v>275.1</v>
                </pt>
                <pt idx="477">
                  <v>272.2</v>
                </pt>
                <pt idx="478">
                  <v>276.36</v>
                </pt>
                <pt idx="479">
                  <v>274.15</v>
                </pt>
                <pt idx="480">
                  <v>271.16</v>
                </pt>
                <pt idx="481">
                  <v>272.07</v>
                </pt>
                <pt idx="482">
                  <v>274.33</v>
                </pt>
                <pt idx="483">
                  <v>277.21</v>
                </pt>
                <pt idx="484">
                  <v>272.92</v>
                </pt>
                <pt idx="485">
                  <v>268.56</v>
                </pt>
                <pt idx="486">
                  <v>267.77</v>
                </pt>
                <pt idx="487">
                  <v>263.81</v>
                </pt>
                <pt idx="488">
                  <v>269.33</v>
                </pt>
                <pt idx="489">
                  <v>270.46</v>
                </pt>
                <pt idx="490">
                  <v>272.76</v>
                </pt>
                <pt idx="491">
                  <v>264.97</v>
                </pt>
                <pt idx="492">
                  <v>258.59</v>
                </pt>
                <pt idx="493">
                  <v>252.86</v>
                </pt>
                <pt idx="494">
                  <v>251.56</v>
                </pt>
                <pt idx="495">
                  <v>249.79</v>
                </pt>
                <pt idx="496">
                  <v>250.53</v>
                </pt>
                <pt idx="497">
                  <v>245.12</v>
                </pt>
                <pt idx="498">
                  <v>247.31</v>
                </pt>
                <pt idx="499">
                  <v>239.77</v>
                </pt>
                <pt idx="500">
                  <v>234.86</v>
                </pt>
                <pt idx="501">
                  <v>240.35</v>
                </pt>
                <pt idx="502">
                  <v>235.17</v>
                </pt>
                <pt idx="503">
                  <v>220.9</v>
                </pt>
                <pt idx="504">
                  <v>221.34</v>
                </pt>
                <pt idx="505">
                  <v>224.71</v>
                </pt>
                <pt idx="506">
                  <v>227.17</v>
                </pt>
                <pt idx="507">
                  <v>225.04</v>
                </pt>
                <pt idx="508">
                  <v>231.32</v>
                </pt>
                <pt idx="509">
                  <v>235.08</v>
                </pt>
                <pt idx="510">
                  <v>236.5</v>
                </pt>
                <pt idx="511">
                  <v>241.11</v>
                </pt>
                <pt idx="512">
                  <v>238.72</v>
                </pt>
                <pt idx="513">
                  <v>234.08</v>
                </pt>
                <pt idx="514">
                  <v>240.81</v>
                </pt>
                <pt idx="515">
                  <v>240.98</v>
                </pt>
                <pt idx="516">
                  <v>237.06</v>
                </pt>
                <pt idx="517">
                  <v>237.54</v>
                </pt>
                <pt idx="518">
                  <v>232.94</v>
                </pt>
                <pt idx="519">
                  <v>233.3</v>
                </pt>
                <pt idx="520">
                  <v>237.27</v>
                </pt>
                <pt idx="521">
                  <v>240.1</v>
                </pt>
                <pt idx="522">
                  <v>237.18</v>
                </pt>
                <pt idx="523">
                  <v>230.74</v>
                </pt>
                <pt idx="524">
                  <v>228.53</v>
                </pt>
                <pt idx="525">
                  <v>226.49</v>
                </pt>
                <pt idx="526">
                  <v>239.53</v>
                </pt>
                <pt idx="527">
                  <v>235.58</v>
                </pt>
                <pt idx="528">
                  <v>242.3</v>
                </pt>
                <pt idx="529">
                  <v>243.48</v>
                </pt>
                <pt idx="530">
                  <v>244.53</v>
                </pt>
                <pt idx="531">
                  <v>240.55</v>
                </pt>
                <pt idx="532">
                  <v>241.93</v>
                </pt>
                <pt idx="533">
                  <v>234.17</v>
                </pt>
                <pt idx="534">
                  <v>240.57</v>
                </pt>
                <pt idx="535">
                  <v>244.54</v>
                </pt>
                <pt idx="536">
                  <v>249.51</v>
                </pt>
                <pt idx="537">
                  <v>247.04</v>
                </pt>
                <pt idx="538">
                  <v>245.39</v>
                </pt>
                <pt idx="539">
                  <v>245.35</v>
                </pt>
                <pt idx="540">
                  <v>262.33</v>
                </pt>
                <pt idx="541">
                  <v>263.63</v>
                </pt>
                <pt idx="542">
                  <v>267.05</v>
                </pt>
                <pt idx="543">
                  <v>270.04</v>
                </pt>
                <pt idx="544">
                  <v>267.24</v>
                </pt>
                <pt idx="545">
                  <v>265.84</v>
                </pt>
                <pt idx="546">
                  <v>268.42</v>
                </pt>
                <pt idx="547">
                  <v>269.63</v>
                </pt>
                <pt idx="548">
                  <v>272.36</v>
                </pt>
                <pt idx="549">
                  <v>268.59</v>
                </pt>
                <pt idx="550">
                  <v>266.32</v>
                </pt>
                <pt idx="551">
                  <v>271.07</v>
                </pt>
                <pt idx="552">
                  <v>275.51</v>
                </pt>
                <pt idx="553">
                  <v>276.01</v>
                </pt>
                <pt idx="554">
                  <v>273.33</v>
                </pt>
                <pt idx="555">
                  <v>270.54</v>
                </pt>
                <pt idx="556">
                  <v>271.68</v>
                </pt>
                <pt idx="557">
                  <v>268.19</v>
                </pt>
                <pt idx="558">
                  <v>270.16</v>
                </pt>
                <pt idx="559">
                  <v>262.53</v>
                </pt>
                <pt idx="560">
                  <v>265.31</v>
                </pt>
                <pt idx="561">
                  <v>265.07</v>
                </pt>
                <pt idx="562">
                  <v>263.38</v>
                </pt>
                <pt idx="563">
                  <v>264.94</v>
                </pt>
                <pt idx="564">
                  <v>266.08</v>
                </pt>
                <pt idx="565">
                  <v>265.67</v>
                </pt>
                <pt idx="566">
                  <v>264.81</v>
                </pt>
                <pt idx="567">
                  <v>266</v>
                </pt>
                <pt idx="568">
                  <v>265.1</v>
                </pt>
                <pt idx="569">
                  <v>261.12</v>
                </pt>
                <pt idx="570">
                  <v>265.53</v>
                </pt>
                <pt idx="571">
                  <v>260.77</v>
                </pt>
                <pt idx="572">
                  <v>261.18</v>
                </pt>
                <pt idx="573">
                  <v>259.04</v>
                </pt>
                <pt idx="574">
                  <v>258.14</v>
                </pt>
                <pt idx="575">
                  <v>255.94</v>
                </pt>
                <pt idx="576">
                  <v>261.04</v>
                </pt>
                <pt idx="577">
                  <v>264.48</v>
                </pt>
                <pt idx="578">
                  <v>254.64</v>
                </pt>
                <pt idx="579">
                  <v>256.96</v>
                </pt>
                <pt idx="580">
                  <v>262.18</v>
                </pt>
                <pt idx="581">
                  <v>260.82</v>
                </pt>
                <pt idx="582">
                  <v>264.67</v>
                </pt>
                <pt idx="583">
                  <v>265.71</v>
                </pt>
                <pt idx="584">
                  <v>266.24</v>
                </pt>
                <pt idx="585">
                  <v>267</v>
                </pt>
                <pt idx="586">
                  <v>266.45</v>
                </pt>
                <pt idx="587">
                  <v>269.95</v>
                </pt>
                <pt idx="588">
                  <v>270.73</v>
                </pt>
                <pt idx="589">
                  <v>269</v>
                </pt>
                <pt idx="590">
                  <v>269.93</v>
                </pt>
                <pt idx="591">
                  <v>261.56</v>
                </pt>
                <pt idx="592">
                  <v>260.62</v>
                </pt>
                <pt idx="593">
                  <v>263.01</v>
                </pt>
                <pt idx="594">
                  <v>266.6</v>
                </pt>
                <pt idx="595">
                  <v>265.01</v>
                </pt>
                <pt idx="596">
                  <v>267.78</v>
                </pt>
                <pt idx="597">
                  <v>269.11</v>
                </pt>
                <pt idx="598">
                  <v>271.42</v>
                </pt>
                <pt idx="599">
                  <v>274.83</v>
                </pt>
                <pt idx="600">
                  <v>270.11</v>
                </pt>
                <pt idx="601">
                  <v>273.92</v>
                </pt>
                <pt idx="602">
                  <v>272.77</v>
                </pt>
                <pt idx="603">
                  <v>274.67</v>
                </pt>
                <pt idx="604">
                  <v>274.94</v>
                </pt>
                <pt idx="605">
                  <v>281.85</v>
                </pt>
                <pt idx="606">
                  <v>283.17</v>
                </pt>
                <pt idx="607">
                  <v>281.59</v>
                </pt>
                <pt idx="608">
                  <v>282.1</v>
                </pt>
                <pt idx="609">
                  <v>286.52</v>
                </pt>
                <pt idx="610">
                  <v>285.24</v>
                </pt>
                <pt idx="611">
                  <v>291.89</v>
                </pt>
                <pt idx="612">
                  <v>295.64</v>
                </pt>
                <pt idx="613">
                  <v>293.1</v>
                </pt>
                <pt idx="614">
                  <v>291.62</v>
                </pt>
                <pt idx="615">
                  <v>289.88</v>
                </pt>
                <pt idx="616">
                  <v>292.84</v>
                </pt>
                <pt idx="617">
                  <v>286.28</v>
                </pt>
                <pt idx="618">
                  <v>288.28</v>
                </pt>
                <pt idx="619">
                  <v>292.4</v>
                </pt>
                <pt idx="620">
                  <v>290.3</v>
                </pt>
                <pt idx="621">
                  <v>291.2</v>
                </pt>
                <pt idx="622">
                  <v>291.15</v>
                </pt>
                <pt idx="623">
                  <v>291.16</v>
                </pt>
                <pt idx="624">
                  <v>291.16</v>
                </pt>
                <pt idx="625">
                  <v>292.49</v>
                </pt>
                <pt idx="626">
                  <v>288.05</v>
                </pt>
                <pt idx="627">
                  <v>292.33</v>
                </pt>
                <pt idx="628">
                  <v>294.81</v>
                </pt>
                <pt idx="629">
                  <v>298.91</v>
                </pt>
                <pt idx="630">
                  <v>292.44</v>
                </pt>
                <pt idx="631">
                  <v>294.43</v>
                </pt>
                <pt idx="632">
                  <v>301.65</v>
                </pt>
                <pt idx="633">
                  <v>294.94</v>
                </pt>
                <pt idx="634">
                  <v>294.03</v>
                </pt>
                <pt idx="635">
                  <v>291.96</v>
                </pt>
                <pt idx="636">
                  <v>292.25</v>
                </pt>
                <pt idx="637">
                  <v>298.58</v>
                </pt>
                <pt idx="638">
                  <v>297.79</v>
                </pt>
                <pt idx="639">
                  <v>298.89</v>
                </pt>
                <pt idx="640">
                  <v>297.59</v>
                </pt>
                <pt idx="641">
                  <v>293.81</v>
                </pt>
                <pt idx="642">
                  <v>294.76</v>
                </pt>
                <pt idx="643">
                  <v>299.29</v>
                </pt>
                <pt idx="644">
                  <v>303.02</v>
                </pt>
                <pt idx="645">
                  <v>307.62</v>
                </pt>
                <pt idx="646">
                  <v>301.64</v>
                </pt>
                <pt idx="647">
                  <v>303.37</v>
                </pt>
                <pt idx="648">
                  <v>304.7</v>
                </pt>
                <pt idx="649">
                  <v>304.67</v>
                </pt>
                <pt idx="650">
                  <v>300.9</v>
                </pt>
                <pt idx="651">
                  <v>304.43</v>
                </pt>
                <pt idx="652">
                  <v>302.9</v>
                </pt>
                <pt idx="653">
                  <v>301.43</v>
                </pt>
                <pt idx="654">
                  <v>302.75</v>
                </pt>
                <pt idx="655">
                  <v>309.07</v>
                </pt>
                <pt idx="656">
                  <v>303.1</v>
                </pt>
                <pt idx="657">
                  <v>296.23</v>
                </pt>
                <pt idx="658">
                  <v>295.35</v>
                </pt>
                <pt idx="659">
                  <v>295.47</v>
                </pt>
                <pt idx="660">
                  <v>297.57</v>
                </pt>
                <pt idx="661">
                  <v>293.67</v>
                </pt>
                <pt idx="662">
                  <v>292.06</v>
                </pt>
                <pt idx="663">
                  <v>292.74</v>
                </pt>
                <pt idx="664">
                  <v>292.01</v>
                </pt>
                <pt idx="665">
                  <v>292.59</v>
                </pt>
                <pt idx="666">
                  <v>294.97</v>
                </pt>
                <pt idx="667">
                  <v>290</v>
                </pt>
                <pt idx="668">
                  <v>289.5</v>
                </pt>
                <pt idx="669">
                  <v>288.55</v>
                </pt>
                <pt idx="670">
                  <v>292.26</v>
                </pt>
                <pt idx="671">
                  <v>285.1</v>
                </pt>
                <pt idx="672">
                  <v>286.3</v>
                </pt>
                <pt idx="673">
                  <v>287.3</v>
                </pt>
                <pt idx="674">
                  <v>292.84</v>
                </pt>
                <pt idx="675">
                  <v>295.1</v>
                </pt>
                <pt idx="676">
                  <v>295.09</v>
                </pt>
                <pt idx="677">
                  <v>284.09</v>
                </pt>
                <pt idx="678">
                  <v>280.58</v>
                </pt>
                <pt idx="679">
                  <v>280.08</v>
                </pt>
                <pt idx="680">
                  <v>281.87</v>
                </pt>
                <pt idx="681">
                  <v>284.23</v>
                </pt>
                <pt idx="682">
                  <v>285.97</v>
                </pt>
                <pt idx="683">
                  <v>287.83</v>
                </pt>
                <pt idx="684">
                  <v>287.19</v>
                </pt>
                <pt idx="685">
                  <v>292.72</v>
                </pt>
                <pt idx="686">
                  <v>295.08</v>
                </pt>
                <pt idx="687">
                  <v>297.24</v>
                </pt>
                <pt idx="688">
                  <v>291.85</v>
                </pt>
                <pt idx="689">
                  <v>289.84</v>
                </pt>
                <pt idx="690">
                  <v>292.59</v>
                </pt>
                <pt idx="691">
                  <v>293.65</v>
                </pt>
                <pt idx="692">
                  <v>294.87</v>
                </pt>
                <pt idx="693">
                  <v>295.78</v>
                </pt>
                <pt idx="694">
                  <v>291.04</v>
                </pt>
                <pt idx="695">
                  <v>296.77</v>
                </pt>
                <pt idx="696">
                  <v>299.27</v>
                </pt>
                <pt idx="697">
                  <v>295.94</v>
                </pt>
                <pt idx="698">
                  <v>296.68</v>
                </pt>
                <pt idx="699">
                  <v>292.01</v>
                </pt>
                <pt idx="700">
                  <v>285.41</v>
                </pt>
                <pt idx="701">
                  <v>288.34</v>
                </pt>
                <pt idx="702">
                  <v>291.87</v>
                </pt>
                <pt idx="703">
                  <v>291.88</v>
                </pt>
                <pt idx="704">
                  <v>292.84</v>
                </pt>
                <pt idx="705">
                  <v>293.64</v>
                </pt>
                <pt idx="706">
                  <v>294.2</v>
                </pt>
                <pt idx="707">
                  <v>292.02</v>
                </pt>
                <pt idx="708">
                  <v>288.88</v>
                </pt>
                <pt idx="709">
                  <v>285.22</v>
                </pt>
                <pt idx="710">
                  <v>292.65</v>
                </pt>
                <pt idx="711">
                  <v>296.67</v>
                </pt>
                <pt idx="712">
                  <v>299.85</v>
                </pt>
                <pt idx="713">
                  <v>292.12</v>
                </pt>
                <pt idx="714">
                  <v>299.13</v>
                </pt>
                <pt idx="715">
                  <v>311.62</v>
                </pt>
                <pt idx="716">
                  <v>309.62</v>
                </pt>
                <pt idx="717">
                  <v>311.04</v>
                </pt>
                <pt idx="718">
                  <v>298.48</v>
                </pt>
                <pt idx="719">
                  <v>301.71</v>
                </pt>
                <pt idx="720">
                  <v>305.97</v>
                </pt>
                <pt idx="721">
                  <v>296.15</v>
                </pt>
                <pt idx="722">
                  <v>299.01</v>
                </pt>
                <pt idx="723">
                  <v>303.27</v>
                </pt>
                <pt idx="724">
                  <v>300.07</v>
                </pt>
                <pt idx="725">
                  <v>300.4</v>
                </pt>
                <pt idx="726">
                  <v>298.67</v>
                </pt>
                <pt idx="727">
                  <v>299.73</v>
                </pt>
                <pt idx="728">
                  <v>299.47</v>
                </pt>
                <pt idx="729">
                  <v>300.54</v>
                </pt>
                <pt idx="730">
                  <v>305.92</v>
                </pt>
                <pt idx="731">
                  <v>311.01</v>
                </pt>
                <pt idx="732">
                  <v>311.49</v>
                </pt>
                <pt idx="733">
                  <v>310.76</v>
                </pt>
                <pt idx="734">
                  <v>323.72</v>
                </pt>
                <pt idx="735">
                  <v>327.32</v>
                </pt>
                <pt idx="736">
                  <v>330.37</v>
                </pt>
                <pt idx="737">
                  <v>319.78</v>
                </pt>
                <pt idx="738">
                  <v>321.92</v>
                </pt>
                <pt idx="739">
                  <v>327.65</v>
                </pt>
                <pt idx="740">
                  <v>302.22</v>
                </pt>
                <pt idx="741">
                  <v>299.36</v>
                </pt>
                <pt idx="742">
                  <v>302.85</v>
                </pt>
                <pt idx="743">
                  <v>305.29</v>
                </pt>
                <pt idx="744">
                  <v>310.79</v>
                </pt>
                <pt idx="745">
                  <v>317.89</v>
                </pt>
                <pt idx="746">
                  <v>305.53</v>
                </pt>
                <pt idx="747">
                  <v>308.99</v>
                </pt>
                <pt idx="748">
                  <v>310</v>
                </pt>
                <pt idx="749">
                  <v>306.2</v>
                </pt>
                <pt idx="750">
                  <v>300</v>
                </pt>
                <pt idx="751">
                  <v>295.98</v>
                </pt>
              </numCache>
            </numRef>
          </val>
          <smooth val="0"/>
        </ser>
        <ser>
          <idx val="1"/>
          <order val="1"/>
          <spPr>
            <a:ln w="2222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'Share Price Analysis'!$A$36:$A$787</f>
              <numCache>
                <formatCode>yyyy\-mm\-dd</formatCode>
                <ptCount val="752"/>
                <pt idx="0">
                  <v>44991</v>
                </pt>
                <pt idx="1">
                  <v>44992</v>
                </pt>
                <pt idx="2">
                  <v>44993</v>
                </pt>
                <pt idx="3">
                  <v>44994</v>
                </pt>
                <pt idx="4">
                  <v>44995</v>
                </pt>
                <pt idx="5">
                  <v>44998</v>
                </pt>
                <pt idx="6">
                  <v>44999</v>
                </pt>
                <pt idx="7">
                  <v>45000</v>
                </pt>
                <pt idx="8">
                  <v>45001</v>
                </pt>
                <pt idx="9">
                  <v>45002</v>
                </pt>
                <pt idx="10">
                  <v>45005</v>
                </pt>
                <pt idx="11">
                  <v>45006</v>
                </pt>
                <pt idx="12">
                  <v>45007</v>
                </pt>
                <pt idx="13">
                  <v>45008</v>
                </pt>
                <pt idx="14">
                  <v>45009</v>
                </pt>
                <pt idx="15">
                  <v>45012</v>
                </pt>
                <pt idx="16">
                  <v>45013</v>
                </pt>
                <pt idx="17">
                  <v>45014</v>
                </pt>
                <pt idx="18">
                  <v>45015</v>
                </pt>
                <pt idx="19">
                  <v>45016</v>
                </pt>
                <pt idx="20">
                  <v>45019</v>
                </pt>
                <pt idx="21">
                  <v>45020</v>
                </pt>
                <pt idx="22">
                  <v>45021</v>
                </pt>
                <pt idx="23">
                  <v>45022</v>
                </pt>
                <pt idx="24">
                  <v>45026</v>
                </pt>
                <pt idx="25">
                  <v>45027</v>
                </pt>
                <pt idx="26">
                  <v>45028</v>
                </pt>
                <pt idx="27">
                  <v>45029</v>
                </pt>
                <pt idx="28">
                  <v>45030</v>
                </pt>
                <pt idx="29">
                  <v>45033</v>
                </pt>
                <pt idx="30">
                  <v>45034</v>
                </pt>
                <pt idx="31">
                  <v>45035</v>
                </pt>
                <pt idx="32">
                  <v>45036</v>
                </pt>
                <pt idx="33">
                  <v>45037</v>
                </pt>
                <pt idx="34">
                  <v>45040</v>
                </pt>
                <pt idx="35">
                  <v>45041</v>
                </pt>
                <pt idx="36">
                  <v>45042</v>
                </pt>
                <pt idx="37">
                  <v>45043</v>
                </pt>
                <pt idx="38">
                  <v>45044</v>
                </pt>
                <pt idx="39">
                  <v>45047</v>
                </pt>
                <pt idx="40">
                  <v>45048</v>
                </pt>
                <pt idx="41">
                  <v>45049</v>
                </pt>
                <pt idx="42">
                  <v>45050</v>
                </pt>
                <pt idx="43">
                  <v>45051</v>
                </pt>
                <pt idx="44">
                  <v>45054</v>
                </pt>
                <pt idx="45">
                  <v>45055</v>
                </pt>
                <pt idx="46">
                  <v>45056</v>
                </pt>
                <pt idx="47">
                  <v>45057</v>
                </pt>
                <pt idx="48">
                  <v>45058</v>
                </pt>
                <pt idx="49">
                  <v>45061</v>
                </pt>
                <pt idx="50">
                  <v>45062</v>
                </pt>
                <pt idx="51">
                  <v>45063</v>
                </pt>
                <pt idx="52">
                  <v>45064</v>
                </pt>
                <pt idx="53">
                  <v>45065</v>
                </pt>
                <pt idx="54">
                  <v>45068</v>
                </pt>
                <pt idx="55">
                  <v>45069</v>
                </pt>
                <pt idx="56">
                  <v>45070</v>
                </pt>
                <pt idx="57">
                  <v>45071</v>
                </pt>
                <pt idx="58">
                  <v>45072</v>
                </pt>
                <pt idx="59">
                  <v>45076</v>
                </pt>
                <pt idx="60">
                  <v>45077</v>
                </pt>
                <pt idx="61">
                  <v>45078</v>
                </pt>
                <pt idx="62">
                  <v>45079</v>
                </pt>
                <pt idx="63">
                  <v>45082</v>
                </pt>
                <pt idx="64">
                  <v>45083</v>
                </pt>
                <pt idx="65">
                  <v>45084</v>
                </pt>
                <pt idx="66">
                  <v>45085</v>
                </pt>
                <pt idx="67">
                  <v>45086</v>
                </pt>
                <pt idx="68">
                  <v>45089</v>
                </pt>
                <pt idx="69">
                  <v>45090</v>
                </pt>
                <pt idx="70">
                  <v>45091</v>
                </pt>
                <pt idx="71">
                  <v>45092</v>
                </pt>
                <pt idx="72">
                  <v>45093</v>
                </pt>
                <pt idx="73">
                  <v>45097</v>
                </pt>
                <pt idx="74">
                  <v>45098</v>
                </pt>
                <pt idx="75">
                  <v>45099</v>
                </pt>
                <pt idx="76">
                  <v>45100</v>
                </pt>
                <pt idx="77">
                  <v>45103</v>
                </pt>
                <pt idx="78">
                  <v>45104</v>
                </pt>
                <pt idx="79">
                  <v>45105</v>
                </pt>
                <pt idx="80">
                  <v>45106</v>
                </pt>
                <pt idx="81">
                  <v>45107</v>
                </pt>
                <pt idx="82">
                  <v>45110</v>
                </pt>
                <pt idx="83">
                  <v>45112</v>
                </pt>
                <pt idx="84">
                  <v>45113</v>
                </pt>
                <pt idx="85">
                  <v>45114</v>
                </pt>
                <pt idx="86">
                  <v>45117</v>
                </pt>
                <pt idx="87">
                  <v>45118</v>
                </pt>
                <pt idx="88">
                  <v>45119</v>
                </pt>
                <pt idx="89">
                  <v>45120</v>
                </pt>
                <pt idx="90">
                  <v>45121</v>
                </pt>
                <pt idx="91">
                  <v>45124</v>
                </pt>
                <pt idx="92">
                  <v>45125</v>
                </pt>
                <pt idx="93">
                  <v>45126</v>
                </pt>
                <pt idx="94">
                  <v>45127</v>
                </pt>
                <pt idx="95">
                  <v>45128</v>
                </pt>
                <pt idx="96">
                  <v>45131</v>
                </pt>
                <pt idx="97">
                  <v>45132</v>
                </pt>
                <pt idx="98">
                  <v>45133</v>
                </pt>
                <pt idx="99">
                  <v>45134</v>
                </pt>
                <pt idx="100">
                  <v>45135</v>
                </pt>
                <pt idx="101">
                  <v>45138</v>
                </pt>
                <pt idx="102">
                  <v>45139</v>
                </pt>
                <pt idx="103">
                  <v>45140</v>
                </pt>
                <pt idx="104">
                  <v>45141</v>
                </pt>
                <pt idx="105">
                  <v>45142</v>
                </pt>
                <pt idx="106">
                  <v>45145</v>
                </pt>
                <pt idx="107">
                  <v>45146</v>
                </pt>
                <pt idx="108">
                  <v>45147</v>
                </pt>
                <pt idx="109">
                  <v>45148</v>
                </pt>
                <pt idx="110">
                  <v>45149</v>
                </pt>
                <pt idx="111">
                  <v>45152</v>
                </pt>
                <pt idx="112">
                  <v>45153</v>
                </pt>
                <pt idx="113">
                  <v>45154</v>
                </pt>
                <pt idx="114">
                  <v>45155</v>
                </pt>
                <pt idx="115">
                  <v>45156</v>
                </pt>
                <pt idx="116">
                  <v>45159</v>
                </pt>
                <pt idx="117">
                  <v>45160</v>
                </pt>
                <pt idx="118">
                  <v>45161</v>
                </pt>
                <pt idx="119">
                  <v>45162</v>
                </pt>
                <pt idx="120">
                  <v>45163</v>
                </pt>
                <pt idx="121">
                  <v>45166</v>
                </pt>
                <pt idx="122">
                  <v>45167</v>
                </pt>
                <pt idx="123">
                  <v>45168</v>
                </pt>
                <pt idx="124">
                  <v>45169</v>
                </pt>
                <pt idx="125">
                  <v>45170</v>
                </pt>
                <pt idx="126">
                  <v>45174</v>
                </pt>
                <pt idx="127">
                  <v>45175</v>
                </pt>
                <pt idx="128">
                  <v>45176</v>
                </pt>
                <pt idx="129">
                  <v>45177</v>
                </pt>
                <pt idx="130">
                  <v>45180</v>
                </pt>
                <pt idx="131">
                  <v>45181</v>
                </pt>
                <pt idx="132">
                  <v>45182</v>
                </pt>
                <pt idx="133">
                  <v>45183</v>
                </pt>
                <pt idx="134">
                  <v>45184</v>
                </pt>
                <pt idx="135">
                  <v>45187</v>
                </pt>
                <pt idx="136">
                  <v>45188</v>
                </pt>
                <pt idx="137">
                  <v>45189</v>
                </pt>
                <pt idx="138">
                  <v>45190</v>
                </pt>
                <pt idx="139">
                  <v>45191</v>
                </pt>
                <pt idx="140">
                  <v>45194</v>
                </pt>
                <pt idx="141">
                  <v>45195</v>
                </pt>
                <pt idx="142">
                  <v>45196</v>
                </pt>
                <pt idx="143">
                  <v>45197</v>
                </pt>
                <pt idx="144">
                  <v>45198</v>
                </pt>
                <pt idx="145">
                  <v>45201</v>
                </pt>
                <pt idx="146">
                  <v>45202</v>
                </pt>
                <pt idx="147">
                  <v>45203</v>
                </pt>
                <pt idx="148">
                  <v>45204</v>
                </pt>
                <pt idx="149">
                  <v>45205</v>
                </pt>
                <pt idx="150">
                  <v>45208</v>
                </pt>
                <pt idx="151">
                  <v>45209</v>
                </pt>
                <pt idx="152">
                  <v>45210</v>
                </pt>
                <pt idx="153">
                  <v>45211</v>
                </pt>
                <pt idx="154">
                  <v>45212</v>
                </pt>
                <pt idx="155">
                  <v>45215</v>
                </pt>
                <pt idx="156">
                  <v>45216</v>
                </pt>
                <pt idx="157">
                  <v>45217</v>
                </pt>
                <pt idx="158">
                  <v>45218</v>
                </pt>
                <pt idx="159">
                  <v>45219</v>
                </pt>
                <pt idx="160">
                  <v>45222</v>
                </pt>
                <pt idx="161">
                  <v>45223</v>
                </pt>
                <pt idx="162">
                  <v>45224</v>
                </pt>
                <pt idx="163">
                  <v>45225</v>
                </pt>
                <pt idx="164">
                  <v>45226</v>
                </pt>
                <pt idx="165">
                  <v>45229</v>
                </pt>
                <pt idx="166">
                  <v>45230</v>
                </pt>
                <pt idx="167">
                  <v>45231</v>
                </pt>
                <pt idx="168">
                  <v>45232</v>
                </pt>
                <pt idx="169">
                  <v>45233</v>
                </pt>
                <pt idx="170">
                  <v>45236</v>
                </pt>
                <pt idx="171">
                  <v>45237</v>
                </pt>
                <pt idx="172">
                  <v>45238</v>
                </pt>
                <pt idx="173">
                  <v>45239</v>
                </pt>
                <pt idx="174">
                  <v>45240</v>
                </pt>
                <pt idx="175">
                  <v>45243</v>
                </pt>
                <pt idx="176">
                  <v>45244</v>
                </pt>
                <pt idx="177">
                  <v>45245</v>
                </pt>
                <pt idx="178">
                  <v>45246</v>
                </pt>
                <pt idx="179">
                  <v>45247</v>
                </pt>
                <pt idx="180">
                  <v>45250</v>
                </pt>
                <pt idx="181">
                  <v>45251</v>
                </pt>
                <pt idx="182">
                  <v>45252</v>
                </pt>
                <pt idx="183">
                  <v>45254</v>
                </pt>
                <pt idx="184">
                  <v>45257</v>
                </pt>
                <pt idx="185">
                  <v>45258</v>
                </pt>
                <pt idx="186">
                  <v>45259</v>
                </pt>
                <pt idx="187">
                  <v>45260</v>
                </pt>
                <pt idx="188">
                  <v>45261</v>
                </pt>
                <pt idx="189">
                  <v>45264</v>
                </pt>
                <pt idx="190">
                  <v>45265</v>
                </pt>
                <pt idx="191">
                  <v>45266</v>
                </pt>
                <pt idx="192">
                  <v>45267</v>
                </pt>
                <pt idx="193">
                  <v>45268</v>
                </pt>
                <pt idx="194">
                  <v>45271</v>
                </pt>
                <pt idx="195">
                  <v>45272</v>
                </pt>
                <pt idx="196">
                  <v>45273</v>
                </pt>
                <pt idx="197">
                  <v>45274</v>
                </pt>
                <pt idx="198">
                  <v>45275</v>
                </pt>
                <pt idx="199">
                  <v>45278</v>
                </pt>
                <pt idx="200">
                  <v>45279</v>
                </pt>
                <pt idx="201">
                  <v>45280</v>
                </pt>
                <pt idx="202">
                  <v>45281</v>
                </pt>
                <pt idx="203">
                  <v>45282</v>
                </pt>
                <pt idx="204">
                  <v>45286</v>
                </pt>
                <pt idx="205">
                  <v>45287</v>
                </pt>
                <pt idx="206">
                  <v>45288</v>
                </pt>
                <pt idx="207">
                  <v>45289</v>
                </pt>
                <pt idx="208">
                  <v>45293</v>
                </pt>
                <pt idx="209">
                  <v>45294</v>
                </pt>
                <pt idx="210">
                  <v>45295</v>
                </pt>
                <pt idx="211">
                  <v>45296</v>
                </pt>
                <pt idx="212">
                  <v>45299</v>
                </pt>
                <pt idx="213">
                  <v>45300</v>
                </pt>
                <pt idx="214">
                  <v>45301</v>
                </pt>
                <pt idx="215">
                  <v>45302</v>
                </pt>
                <pt idx="216">
                  <v>45303</v>
                </pt>
                <pt idx="217">
                  <v>45307</v>
                </pt>
                <pt idx="218">
                  <v>45308</v>
                </pt>
                <pt idx="219">
                  <v>45309</v>
                </pt>
                <pt idx="220">
                  <v>45310</v>
                </pt>
                <pt idx="221">
                  <v>45313</v>
                </pt>
                <pt idx="222">
                  <v>45314</v>
                </pt>
                <pt idx="223">
                  <v>45315</v>
                </pt>
                <pt idx="224">
                  <v>45316</v>
                </pt>
                <pt idx="225">
                  <v>45317</v>
                </pt>
                <pt idx="226">
                  <v>45320</v>
                </pt>
                <pt idx="227">
                  <v>45321</v>
                </pt>
                <pt idx="228">
                  <v>45322</v>
                </pt>
                <pt idx="229">
                  <v>45323</v>
                </pt>
                <pt idx="230">
                  <v>45324</v>
                </pt>
                <pt idx="231">
                  <v>45327</v>
                </pt>
                <pt idx="232">
                  <v>45328</v>
                </pt>
                <pt idx="233">
                  <v>45329</v>
                </pt>
                <pt idx="234">
                  <v>45330</v>
                </pt>
                <pt idx="235">
                  <v>45331</v>
                </pt>
                <pt idx="236">
                  <v>45334</v>
                </pt>
                <pt idx="237">
                  <v>45335</v>
                </pt>
                <pt idx="238">
                  <v>45336</v>
                </pt>
                <pt idx="239">
                  <v>45337</v>
                </pt>
                <pt idx="240">
                  <v>45338</v>
                </pt>
                <pt idx="241">
                  <v>45342</v>
                </pt>
                <pt idx="242">
                  <v>45343</v>
                </pt>
                <pt idx="243">
                  <v>45344</v>
                </pt>
                <pt idx="244">
                  <v>45345</v>
                </pt>
                <pt idx="245">
                  <v>45348</v>
                </pt>
                <pt idx="246">
                  <v>45349</v>
                </pt>
                <pt idx="247">
                  <v>45350</v>
                </pt>
                <pt idx="248">
                  <v>45351</v>
                </pt>
                <pt idx="249">
                  <v>45352</v>
                </pt>
                <pt idx="250">
                  <v>45355</v>
                </pt>
                <pt idx="251">
                  <v>45356</v>
                </pt>
                <pt idx="252">
                  <v>45357</v>
                </pt>
                <pt idx="253">
                  <v>45358</v>
                </pt>
                <pt idx="254">
                  <v>45359</v>
                </pt>
                <pt idx="255">
                  <v>45362</v>
                </pt>
                <pt idx="256">
                  <v>45363</v>
                </pt>
                <pt idx="257">
                  <v>45364</v>
                </pt>
                <pt idx="258">
                  <v>45365</v>
                </pt>
                <pt idx="259">
                  <v>45366</v>
                </pt>
                <pt idx="260">
                  <v>45369</v>
                </pt>
                <pt idx="261">
                  <v>45370</v>
                </pt>
                <pt idx="262">
                  <v>45371</v>
                </pt>
                <pt idx="263">
                  <v>45372</v>
                </pt>
                <pt idx="264">
                  <v>45373</v>
                </pt>
                <pt idx="265">
                  <v>45376</v>
                </pt>
                <pt idx="266">
                  <v>45377</v>
                </pt>
                <pt idx="267">
                  <v>45378</v>
                </pt>
                <pt idx="268">
                  <v>45379</v>
                </pt>
                <pt idx="269">
                  <v>45383</v>
                </pt>
                <pt idx="270">
                  <v>45384</v>
                </pt>
                <pt idx="271">
                  <v>45385</v>
                </pt>
                <pt idx="272">
                  <v>45386</v>
                </pt>
                <pt idx="273">
                  <v>45387</v>
                </pt>
                <pt idx="274">
                  <v>45390</v>
                </pt>
                <pt idx="275">
                  <v>45391</v>
                </pt>
                <pt idx="276">
                  <v>45392</v>
                </pt>
                <pt idx="277">
                  <v>45393</v>
                </pt>
                <pt idx="278">
                  <v>45394</v>
                </pt>
                <pt idx="279">
                  <v>45397</v>
                </pt>
                <pt idx="280">
                  <v>45398</v>
                </pt>
                <pt idx="281">
                  <v>45399</v>
                </pt>
                <pt idx="282">
                  <v>45400</v>
                </pt>
                <pt idx="283">
                  <v>45401</v>
                </pt>
                <pt idx="284">
                  <v>45404</v>
                </pt>
                <pt idx="285">
                  <v>45405</v>
                </pt>
                <pt idx="286">
                  <v>45406</v>
                </pt>
                <pt idx="287">
                  <v>45407</v>
                </pt>
                <pt idx="288">
                  <v>45408</v>
                </pt>
                <pt idx="289">
                  <v>45411</v>
                </pt>
                <pt idx="290">
                  <v>45412</v>
                </pt>
                <pt idx="291">
                  <v>45413</v>
                </pt>
                <pt idx="292">
                  <v>45414</v>
                </pt>
                <pt idx="293">
                  <v>45415</v>
                </pt>
                <pt idx="294">
                  <v>45418</v>
                </pt>
                <pt idx="295">
                  <v>45419</v>
                </pt>
                <pt idx="296">
                  <v>45420</v>
                </pt>
                <pt idx="297">
                  <v>45421</v>
                </pt>
                <pt idx="298">
                  <v>45422</v>
                </pt>
                <pt idx="299">
                  <v>45425</v>
                </pt>
                <pt idx="300">
                  <v>45426</v>
                </pt>
                <pt idx="301">
                  <v>45427</v>
                </pt>
                <pt idx="302">
                  <v>45428</v>
                </pt>
                <pt idx="303">
                  <v>45429</v>
                </pt>
                <pt idx="304">
                  <v>45432</v>
                </pt>
                <pt idx="305">
                  <v>45433</v>
                </pt>
                <pt idx="306">
                  <v>45434</v>
                </pt>
                <pt idx="307">
                  <v>45435</v>
                </pt>
                <pt idx="308">
                  <v>45436</v>
                </pt>
                <pt idx="309">
                  <v>45440</v>
                </pt>
                <pt idx="310">
                  <v>45441</v>
                </pt>
                <pt idx="311">
                  <v>45442</v>
                </pt>
                <pt idx="312">
                  <v>45443</v>
                </pt>
                <pt idx="313">
                  <v>45446</v>
                </pt>
                <pt idx="314">
                  <v>45447</v>
                </pt>
                <pt idx="315">
                  <v>45448</v>
                </pt>
                <pt idx="316">
                  <v>45449</v>
                </pt>
                <pt idx="317">
                  <v>45450</v>
                </pt>
                <pt idx="318">
                  <v>45453</v>
                </pt>
                <pt idx="319">
                  <v>45454</v>
                </pt>
                <pt idx="320">
                  <v>45455</v>
                </pt>
                <pt idx="321">
                  <v>45456</v>
                </pt>
                <pt idx="322">
                  <v>45457</v>
                </pt>
                <pt idx="323">
                  <v>45460</v>
                </pt>
                <pt idx="324">
                  <v>45461</v>
                </pt>
                <pt idx="325">
                  <v>45463</v>
                </pt>
                <pt idx="326">
                  <v>45464</v>
                </pt>
                <pt idx="327">
                  <v>45467</v>
                </pt>
                <pt idx="328">
                  <v>45468</v>
                </pt>
                <pt idx="329">
                  <v>45469</v>
                </pt>
                <pt idx="330">
                  <v>45470</v>
                </pt>
                <pt idx="331">
                  <v>45471</v>
                </pt>
                <pt idx="332">
                  <v>45474</v>
                </pt>
                <pt idx="333">
                  <v>45475</v>
                </pt>
                <pt idx="334">
                  <v>45476</v>
                </pt>
                <pt idx="335">
                  <v>45478</v>
                </pt>
                <pt idx="336">
                  <v>45481</v>
                </pt>
                <pt idx="337">
                  <v>45482</v>
                </pt>
                <pt idx="338">
                  <v>45483</v>
                </pt>
                <pt idx="339">
                  <v>45484</v>
                </pt>
                <pt idx="340">
                  <v>45485</v>
                </pt>
                <pt idx="341">
                  <v>45488</v>
                </pt>
                <pt idx="342">
                  <v>45489</v>
                </pt>
                <pt idx="343">
                  <v>45490</v>
                </pt>
                <pt idx="344">
                  <v>45491</v>
                </pt>
                <pt idx="345">
                  <v>45492</v>
                </pt>
                <pt idx="346">
                  <v>45495</v>
                </pt>
                <pt idx="347">
                  <v>45496</v>
                </pt>
                <pt idx="348">
                  <v>45497</v>
                </pt>
                <pt idx="349">
                  <v>45498</v>
                </pt>
                <pt idx="350">
                  <v>45499</v>
                </pt>
                <pt idx="351">
                  <v>45502</v>
                </pt>
                <pt idx="352">
                  <v>45503</v>
                </pt>
                <pt idx="353">
                  <v>45504</v>
                </pt>
                <pt idx="354">
                  <v>45505</v>
                </pt>
                <pt idx="355">
                  <v>45506</v>
                </pt>
                <pt idx="356">
                  <v>45509</v>
                </pt>
                <pt idx="357">
                  <v>45510</v>
                </pt>
                <pt idx="358">
                  <v>45511</v>
                </pt>
                <pt idx="359">
                  <v>45512</v>
                </pt>
                <pt idx="360">
                  <v>45513</v>
                </pt>
                <pt idx="361">
                  <v>45516</v>
                </pt>
                <pt idx="362">
                  <v>45517</v>
                </pt>
                <pt idx="363">
                  <v>45518</v>
                </pt>
                <pt idx="364">
                  <v>45519</v>
                </pt>
                <pt idx="365">
                  <v>45520</v>
                </pt>
                <pt idx="366">
                  <v>45523</v>
                </pt>
                <pt idx="367">
                  <v>45524</v>
                </pt>
                <pt idx="368">
                  <v>45525</v>
                </pt>
                <pt idx="369">
                  <v>45526</v>
                </pt>
                <pt idx="370">
                  <v>45527</v>
                </pt>
                <pt idx="371">
                  <v>45530</v>
                </pt>
                <pt idx="372">
                  <v>45531</v>
                </pt>
                <pt idx="373">
                  <v>45532</v>
                </pt>
                <pt idx="374">
                  <v>45533</v>
                </pt>
                <pt idx="375">
                  <v>45534</v>
                </pt>
                <pt idx="376">
                  <v>45538</v>
                </pt>
                <pt idx="377">
                  <v>45539</v>
                </pt>
                <pt idx="378">
                  <v>45540</v>
                </pt>
                <pt idx="379">
                  <v>45541</v>
                </pt>
                <pt idx="380">
                  <v>45544</v>
                </pt>
                <pt idx="381">
                  <v>45545</v>
                </pt>
                <pt idx="382">
                  <v>45546</v>
                </pt>
                <pt idx="383">
                  <v>45547</v>
                </pt>
                <pt idx="384">
                  <v>45548</v>
                </pt>
                <pt idx="385">
                  <v>45551</v>
                </pt>
                <pt idx="386">
                  <v>45552</v>
                </pt>
                <pt idx="387">
                  <v>45553</v>
                </pt>
                <pt idx="388">
                  <v>45554</v>
                </pt>
                <pt idx="389">
                  <v>45555</v>
                </pt>
                <pt idx="390">
                  <v>45558</v>
                </pt>
                <pt idx="391">
                  <v>45559</v>
                </pt>
                <pt idx="392">
                  <v>45560</v>
                </pt>
                <pt idx="393">
                  <v>45561</v>
                </pt>
                <pt idx="394">
                  <v>45562</v>
                </pt>
                <pt idx="395">
                  <v>45565</v>
                </pt>
                <pt idx="396">
                  <v>45566</v>
                </pt>
                <pt idx="397">
                  <v>45567</v>
                </pt>
                <pt idx="398">
                  <v>45568</v>
                </pt>
                <pt idx="399">
                  <v>45569</v>
                </pt>
                <pt idx="400">
                  <v>45572</v>
                </pt>
                <pt idx="401">
                  <v>45573</v>
                </pt>
                <pt idx="402">
                  <v>45574</v>
                </pt>
                <pt idx="403">
                  <v>45575</v>
                </pt>
                <pt idx="404">
                  <v>45576</v>
                </pt>
                <pt idx="405">
                  <v>45579</v>
                </pt>
                <pt idx="406">
                  <v>45580</v>
                </pt>
                <pt idx="407">
                  <v>45581</v>
                </pt>
                <pt idx="408">
                  <v>45582</v>
                </pt>
                <pt idx="409">
                  <v>45583</v>
                </pt>
                <pt idx="410">
                  <v>45586</v>
                </pt>
                <pt idx="411">
                  <v>45587</v>
                </pt>
                <pt idx="412">
                  <v>45588</v>
                </pt>
                <pt idx="413">
                  <v>45589</v>
                </pt>
                <pt idx="414">
                  <v>45590</v>
                </pt>
                <pt idx="415">
                  <v>45593</v>
                </pt>
                <pt idx="416">
                  <v>45594</v>
                </pt>
                <pt idx="417">
                  <v>45595</v>
                </pt>
                <pt idx="418">
                  <v>45596</v>
                </pt>
                <pt idx="419">
                  <v>45597</v>
                </pt>
                <pt idx="420">
                  <v>45600</v>
                </pt>
                <pt idx="421">
                  <v>45601</v>
                </pt>
                <pt idx="422">
                  <v>45602</v>
                </pt>
                <pt idx="423">
                  <v>45603</v>
                </pt>
                <pt idx="424">
                  <v>45604</v>
                </pt>
                <pt idx="425">
                  <v>45607</v>
                </pt>
                <pt idx="426">
                  <v>45608</v>
                </pt>
                <pt idx="427">
                  <v>45609</v>
                </pt>
                <pt idx="428">
                  <v>45610</v>
                </pt>
                <pt idx="429">
                  <v>45611</v>
                </pt>
                <pt idx="430">
                  <v>45614</v>
                </pt>
                <pt idx="431">
                  <v>45615</v>
                </pt>
                <pt idx="432">
                  <v>45616</v>
                </pt>
                <pt idx="433">
                  <v>45617</v>
                </pt>
                <pt idx="434">
                  <v>45618</v>
                </pt>
                <pt idx="435">
                  <v>45621</v>
                </pt>
                <pt idx="436">
                  <v>45622</v>
                </pt>
                <pt idx="437">
                  <v>45623</v>
                </pt>
                <pt idx="438">
                  <v>45625</v>
                </pt>
                <pt idx="439">
                  <v>45628</v>
                </pt>
                <pt idx="440">
                  <v>45629</v>
                </pt>
                <pt idx="441">
                  <v>45630</v>
                </pt>
                <pt idx="442">
                  <v>45631</v>
                </pt>
                <pt idx="443">
                  <v>45632</v>
                </pt>
                <pt idx="444">
                  <v>45635</v>
                </pt>
                <pt idx="445">
                  <v>45636</v>
                </pt>
                <pt idx="446">
                  <v>45637</v>
                </pt>
                <pt idx="447">
                  <v>45638</v>
                </pt>
                <pt idx="448">
                  <v>45639</v>
                </pt>
                <pt idx="449">
                  <v>45642</v>
                </pt>
                <pt idx="450">
                  <v>45643</v>
                </pt>
                <pt idx="451">
                  <v>45644</v>
                </pt>
                <pt idx="452">
                  <v>45645</v>
                </pt>
                <pt idx="453">
                  <v>45646</v>
                </pt>
                <pt idx="454">
                  <v>45649</v>
                </pt>
                <pt idx="455">
                  <v>45650</v>
                </pt>
                <pt idx="456">
                  <v>45652</v>
                </pt>
                <pt idx="457">
                  <v>45653</v>
                </pt>
                <pt idx="458">
                  <v>45656</v>
                </pt>
                <pt idx="459">
                  <v>45657</v>
                </pt>
                <pt idx="460">
                  <v>45659</v>
                </pt>
                <pt idx="461">
                  <v>45660</v>
                </pt>
                <pt idx="462">
                  <v>45663</v>
                </pt>
                <pt idx="463">
                  <v>45664</v>
                </pt>
                <pt idx="464">
                  <v>45665</v>
                </pt>
                <pt idx="465">
                  <v>45667</v>
                </pt>
                <pt idx="466">
                  <v>45670</v>
                </pt>
                <pt idx="467">
                  <v>45671</v>
                </pt>
                <pt idx="468">
                  <v>45672</v>
                </pt>
                <pt idx="469">
                  <v>45673</v>
                </pt>
                <pt idx="470">
                  <v>45674</v>
                </pt>
                <pt idx="471">
                  <v>45678</v>
                </pt>
                <pt idx="472">
                  <v>45679</v>
                </pt>
                <pt idx="473">
                  <v>45680</v>
                </pt>
                <pt idx="474">
                  <v>45681</v>
                </pt>
                <pt idx="475">
                  <v>45684</v>
                </pt>
                <pt idx="476">
                  <v>45685</v>
                </pt>
                <pt idx="477">
                  <v>45686</v>
                </pt>
                <pt idx="478">
                  <v>45687</v>
                </pt>
                <pt idx="479">
                  <v>45688</v>
                </pt>
                <pt idx="480">
                  <v>45691</v>
                </pt>
                <pt idx="481">
                  <v>45692</v>
                </pt>
                <pt idx="482">
                  <v>45693</v>
                </pt>
                <pt idx="483">
                  <v>45694</v>
                </pt>
                <pt idx="484">
                  <v>45695</v>
                </pt>
                <pt idx="485">
                  <v>45698</v>
                </pt>
                <pt idx="486">
                  <v>45699</v>
                </pt>
                <pt idx="487">
                  <v>45700</v>
                </pt>
                <pt idx="488">
                  <v>45701</v>
                </pt>
                <pt idx="489">
                  <v>45702</v>
                </pt>
                <pt idx="490">
                  <v>45706</v>
                </pt>
                <pt idx="491">
                  <v>45707</v>
                </pt>
                <pt idx="492">
                  <v>45708</v>
                </pt>
                <pt idx="493">
                  <v>45709</v>
                </pt>
                <pt idx="494">
                  <v>45712</v>
                </pt>
                <pt idx="495">
                  <v>45713</v>
                </pt>
                <pt idx="496">
                  <v>45714</v>
                </pt>
                <pt idx="497">
                  <v>45715</v>
                </pt>
                <pt idx="498">
                  <v>45716</v>
                </pt>
                <pt idx="499">
                  <v>45719</v>
                </pt>
                <pt idx="500">
                  <v>45720</v>
                </pt>
                <pt idx="501">
                  <v>45721</v>
                </pt>
                <pt idx="502">
                  <v>45722</v>
                </pt>
                <pt idx="503">
                  <v>45723</v>
                </pt>
                <pt idx="504">
                  <v>45726</v>
                </pt>
                <pt idx="505">
                  <v>45727</v>
                </pt>
                <pt idx="506">
                  <v>45728</v>
                </pt>
                <pt idx="507">
                  <v>45729</v>
                </pt>
                <pt idx="508">
                  <v>45730</v>
                </pt>
                <pt idx="509">
                  <v>45733</v>
                </pt>
                <pt idx="510">
                  <v>45734</v>
                </pt>
                <pt idx="511">
                  <v>45735</v>
                </pt>
                <pt idx="512">
                  <v>45736</v>
                </pt>
                <pt idx="513">
                  <v>45737</v>
                </pt>
                <pt idx="514">
                  <v>45740</v>
                </pt>
                <pt idx="515">
                  <v>45741</v>
                </pt>
                <pt idx="516">
                  <v>45742</v>
                </pt>
                <pt idx="517">
                  <v>45743</v>
                </pt>
                <pt idx="518">
                  <v>45744</v>
                </pt>
                <pt idx="519">
                  <v>45747</v>
                </pt>
                <pt idx="520">
                  <v>45748</v>
                </pt>
                <pt idx="521">
                  <v>45749</v>
                </pt>
                <pt idx="522">
                  <v>45750</v>
                </pt>
                <pt idx="523">
                  <v>45751</v>
                </pt>
                <pt idx="524">
                  <v>45754</v>
                </pt>
                <pt idx="525">
                  <v>45755</v>
                </pt>
                <pt idx="526">
                  <v>45756</v>
                </pt>
                <pt idx="527">
                  <v>45757</v>
                </pt>
                <pt idx="528">
                  <v>45758</v>
                </pt>
                <pt idx="529">
                  <v>45761</v>
                </pt>
                <pt idx="530">
                  <v>45762</v>
                </pt>
                <pt idx="531">
                  <v>45763</v>
                </pt>
                <pt idx="532">
                  <v>45764</v>
                </pt>
                <pt idx="533">
                  <v>45768</v>
                </pt>
                <pt idx="534">
                  <v>45769</v>
                </pt>
                <pt idx="535">
                  <v>45770</v>
                </pt>
                <pt idx="536">
                  <v>45771</v>
                </pt>
                <pt idx="537">
                  <v>45772</v>
                </pt>
                <pt idx="538">
                  <v>45775</v>
                </pt>
                <pt idx="539">
                  <v>45776</v>
                </pt>
                <pt idx="540">
                  <v>45777</v>
                </pt>
                <pt idx="541">
                  <v>45778</v>
                </pt>
                <pt idx="542">
                  <v>45779</v>
                </pt>
                <pt idx="543">
                  <v>45782</v>
                </pt>
                <pt idx="544">
                  <v>45783</v>
                </pt>
                <pt idx="545">
                  <v>45784</v>
                </pt>
                <pt idx="546">
                  <v>45785</v>
                </pt>
                <pt idx="547">
                  <v>45786</v>
                </pt>
                <pt idx="548">
                  <v>45789</v>
                </pt>
                <pt idx="549">
                  <v>45790</v>
                </pt>
                <pt idx="550">
                  <v>45791</v>
                </pt>
                <pt idx="551">
                  <v>45792</v>
                </pt>
                <pt idx="552">
                  <v>45793</v>
                </pt>
                <pt idx="553">
                  <v>45796</v>
                </pt>
                <pt idx="554">
                  <v>45797</v>
                </pt>
                <pt idx="555">
                  <v>45798</v>
                </pt>
                <pt idx="556">
                  <v>45799</v>
                </pt>
                <pt idx="557">
                  <v>45800</v>
                </pt>
                <pt idx="558">
                  <v>45804</v>
                </pt>
                <pt idx="559">
                  <v>45805</v>
                </pt>
                <pt idx="560">
                  <v>45806</v>
                </pt>
                <pt idx="561">
                  <v>45807</v>
                </pt>
                <pt idx="562">
                  <v>45810</v>
                </pt>
                <pt idx="563">
                  <v>45811</v>
                </pt>
                <pt idx="564">
                  <v>45812</v>
                </pt>
                <pt idx="565">
                  <v>45813</v>
                </pt>
                <pt idx="566">
                  <v>45814</v>
                </pt>
                <pt idx="567">
                  <v>45817</v>
                </pt>
                <pt idx="568">
                  <v>45818</v>
                </pt>
                <pt idx="569">
                  <v>45819</v>
                </pt>
                <pt idx="570">
                  <v>45820</v>
                </pt>
                <pt idx="571">
                  <v>45821</v>
                </pt>
                <pt idx="572">
                  <v>45824</v>
                </pt>
                <pt idx="573">
                  <v>45825</v>
                </pt>
                <pt idx="574">
                  <v>45826</v>
                </pt>
                <pt idx="575">
                  <v>45828</v>
                </pt>
                <pt idx="576">
                  <v>45831</v>
                </pt>
                <pt idx="577">
                  <v>45832</v>
                </pt>
                <pt idx="578">
                  <v>45833</v>
                </pt>
                <pt idx="579">
                  <v>45834</v>
                </pt>
                <pt idx="580">
                  <v>45835</v>
                </pt>
                <pt idx="581">
                  <v>45838</v>
                </pt>
                <pt idx="582">
                  <v>45839</v>
                </pt>
                <pt idx="583">
                  <v>45840</v>
                </pt>
                <pt idx="584">
                  <v>45841</v>
                </pt>
                <pt idx="585">
                  <v>45845</v>
                </pt>
                <pt idx="586">
                  <v>45846</v>
                </pt>
                <pt idx="587">
                  <v>45847</v>
                </pt>
                <pt idx="588">
                  <v>45848</v>
                </pt>
                <pt idx="589">
                  <v>45849</v>
                </pt>
                <pt idx="590">
                  <v>45852</v>
                </pt>
                <pt idx="591">
                  <v>45853</v>
                </pt>
                <pt idx="592">
                  <v>45854</v>
                </pt>
                <pt idx="593">
                  <v>45855</v>
                </pt>
                <pt idx="594">
                  <v>45856</v>
                </pt>
                <pt idx="595">
                  <v>45859</v>
                </pt>
                <pt idx="596">
                  <v>45860</v>
                </pt>
                <pt idx="597">
                  <v>45861</v>
                </pt>
                <pt idx="598">
                  <v>45862</v>
                </pt>
                <pt idx="599">
                  <v>45863</v>
                </pt>
                <pt idx="600">
                  <v>45866</v>
                </pt>
                <pt idx="601">
                  <v>45867</v>
                </pt>
                <pt idx="602">
                  <v>45868</v>
                </pt>
                <pt idx="603">
                  <v>45869</v>
                </pt>
                <pt idx="604">
                  <v>45870</v>
                </pt>
                <pt idx="605">
                  <v>45873</v>
                </pt>
                <pt idx="606">
                  <v>45874</v>
                </pt>
                <pt idx="607">
                  <v>45875</v>
                </pt>
                <pt idx="608">
                  <v>45876</v>
                </pt>
                <pt idx="609">
                  <v>45877</v>
                </pt>
                <pt idx="610">
                  <v>45880</v>
                </pt>
                <pt idx="611">
                  <v>45881</v>
                </pt>
                <pt idx="612">
                  <v>45882</v>
                </pt>
                <pt idx="613">
                  <v>45883</v>
                </pt>
                <pt idx="614">
                  <v>45884</v>
                </pt>
                <pt idx="615">
                  <v>45887</v>
                </pt>
                <pt idx="616">
                  <v>45888</v>
                </pt>
                <pt idx="617">
                  <v>45889</v>
                </pt>
                <pt idx="618">
                  <v>45890</v>
                </pt>
                <pt idx="619">
                  <v>45891</v>
                </pt>
                <pt idx="620">
                  <v>45894</v>
                </pt>
                <pt idx="621">
                  <v>45895</v>
                </pt>
                <pt idx="622">
                  <v>45896</v>
                </pt>
                <pt idx="623">
                  <v>45897</v>
                </pt>
                <pt idx="624">
                  <v>45898</v>
                </pt>
                <pt idx="625">
                  <v>45902</v>
                </pt>
                <pt idx="626">
                  <v>45903</v>
                </pt>
                <pt idx="627">
                  <v>45904</v>
                </pt>
                <pt idx="628">
                  <v>45905</v>
                </pt>
                <pt idx="629">
                  <v>45908</v>
                </pt>
                <pt idx="630">
                  <v>45909</v>
                </pt>
                <pt idx="631">
                  <v>45910</v>
                </pt>
                <pt idx="632">
                  <v>45911</v>
                </pt>
                <pt idx="633">
                  <v>45912</v>
                </pt>
                <pt idx="634">
                  <v>45915</v>
                </pt>
                <pt idx="635">
                  <v>45916</v>
                </pt>
                <pt idx="636">
                  <v>45917</v>
                </pt>
                <pt idx="637">
                  <v>45918</v>
                </pt>
                <pt idx="638">
                  <v>45919</v>
                </pt>
                <pt idx="639">
                  <v>45922</v>
                </pt>
                <pt idx="640">
                  <v>45923</v>
                </pt>
                <pt idx="641">
                  <v>45924</v>
                </pt>
                <pt idx="642">
                  <v>45925</v>
                </pt>
                <pt idx="643">
                  <v>45926</v>
                </pt>
                <pt idx="644">
                  <v>45929</v>
                </pt>
                <pt idx="645">
                  <v>45930</v>
                </pt>
                <pt idx="646">
                  <v>45931</v>
                </pt>
                <pt idx="647">
                  <v>45932</v>
                </pt>
                <pt idx="648">
                  <v>45933</v>
                </pt>
                <pt idx="649">
                  <v>45936</v>
                </pt>
                <pt idx="650">
                  <v>45937</v>
                </pt>
                <pt idx="651">
                  <v>45938</v>
                </pt>
                <pt idx="652">
                  <v>45939</v>
                </pt>
                <pt idx="653">
                  <v>45940</v>
                </pt>
                <pt idx="654">
                  <v>45943</v>
                </pt>
                <pt idx="655">
                  <v>45944</v>
                </pt>
                <pt idx="656">
                  <v>45945</v>
                </pt>
                <pt idx="657">
                  <v>45946</v>
                </pt>
                <pt idx="658">
                  <v>45947</v>
                </pt>
                <pt idx="659">
                  <v>45950</v>
                </pt>
                <pt idx="660">
                  <v>45951</v>
                </pt>
                <pt idx="661">
                  <v>45952</v>
                </pt>
                <pt idx="662">
                  <v>45953</v>
                </pt>
                <pt idx="663">
                  <v>45954</v>
                </pt>
                <pt idx="664">
                  <v>45957</v>
                </pt>
                <pt idx="665">
                  <v>45958</v>
                </pt>
                <pt idx="666">
                  <v>45959</v>
                </pt>
                <pt idx="667">
                  <v>45960</v>
                </pt>
                <pt idx="668">
                  <v>45961</v>
                </pt>
                <pt idx="669">
                  <v>45964</v>
                </pt>
                <pt idx="670">
                  <v>45965</v>
                </pt>
                <pt idx="671">
                  <v>45966</v>
                </pt>
                <pt idx="672">
                  <v>45967</v>
                </pt>
                <pt idx="673">
                  <v>45968</v>
                </pt>
                <pt idx="674">
                  <v>45971</v>
                </pt>
                <pt idx="675">
                  <v>45972</v>
                </pt>
                <pt idx="676">
                  <v>45973</v>
                </pt>
                <pt idx="677">
                  <v>45974</v>
                </pt>
                <pt idx="678">
                  <v>45975</v>
                </pt>
                <pt idx="679">
                  <v>45978</v>
                </pt>
                <pt idx="680">
                  <v>45979</v>
                </pt>
                <pt idx="681">
                  <v>45980</v>
                </pt>
                <pt idx="682">
                  <v>45981</v>
                </pt>
                <pt idx="683">
                  <v>45982</v>
                </pt>
                <pt idx="684">
                  <v>45985</v>
                </pt>
                <pt idx="685">
                  <v>45986</v>
                </pt>
                <pt idx="686">
                  <v>45987</v>
                </pt>
                <pt idx="687">
                  <v>45989</v>
                </pt>
                <pt idx="688">
                  <v>45992</v>
                </pt>
                <pt idx="689">
                  <v>45993</v>
                </pt>
                <pt idx="690">
                  <v>45994</v>
                </pt>
                <pt idx="691">
                  <v>45995</v>
                </pt>
                <pt idx="692">
                  <v>45996</v>
                </pt>
                <pt idx="693">
                  <v>45999</v>
                </pt>
                <pt idx="694">
                  <v>46000</v>
                </pt>
                <pt idx="695">
                  <v>46001</v>
                </pt>
                <pt idx="696">
                  <v>46002</v>
                </pt>
                <pt idx="697">
                  <v>46003</v>
                </pt>
                <pt idx="698">
                  <v>46006</v>
                </pt>
                <pt idx="699">
                  <v>46007</v>
                </pt>
                <pt idx="700">
                  <v>46008</v>
                </pt>
                <pt idx="701">
                  <v>46009</v>
                </pt>
                <pt idx="702">
                  <v>46010</v>
                </pt>
                <pt idx="703">
                  <v>46013</v>
                </pt>
                <pt idx="704">
                  <v>46014</v>
                </pt>
                <pt idx="705">
                  <v>46015</v>
                </pt>
                <pt idx="706">
                  <v>46017</v>
                </pt>
                <pt idx="707">
                  <v>46020</v>
                </pt>
                <pt idx="708">
                  <v>46021</v>
                </pt>
                <pt idx="709">
                  <v>46022</v>
                </pt>
                <pt idx="710">
                  <v>46024</v>
                </pt>
                <pt idx="711">
                  <v>46027</v>
                </pt>
                <pt idx="712">
                  <v>46028</v>
                </pt>
                <pt idx="713">
                  <v>46029</v>
                </pt>
                <pt idx="714">
                  <v>46030</v>
                </pt>
                <pt idx="715">
                  <v>46031</v>
                </pt>
                <pt idx="716">
                  <v>46034</v>
                </pt>
                <pt idx="717">
                  <v>46035</v>
                </pt>
                <pt idx="718">
                  <v>46036</v>
                </pt>
                <pt idx="719">
                  <v>46037</v>
                </pt>
                <pt idx="720">
                  <v>46038</v>
                </pt>
                <pt idx="721">
                  <v>46042</v>
                </pt>
                <pt idx="722">
                  <v>46043</v>
                </pt>
                <pt idx="723">
                  <v>46044</v>
                </pt>
                <pt idx="724">
                  <v>46045</v>
                </pt>
                <pt idx="725">
                  <v>46048</v>
                </pt>
                <pt idx="726">
                  <v>46049</v>
                </pt>
                <pt idx="727">
                  <v>46050</v>
                </pt>
                <pt idx="728">
                  <v>46051</v>
                </pt>
                <pt idx="729">
                  <v>46052</v>
                </pt>
                <pt idx="730">
                  <v>46055</v>
                </pt>
                <pt idx="731">
                  <v>46056</v>
                </pt>
                <pt idx="732">
                  <v>46057</v>
                </pt>
                <pt idx="733">
                  <v>46058</v>
                </pt>
                <pt idx="734">
                  <v>46059</v>
                </pt>
                <pt idx="735">
                  <v>46062</v>
                </pt>
                <pt idx="736">
                  <v>46063</v>
                </pt>
                <pt idx="737">
                  <v>46064</v>
                </pt>
                <pt idx="738">
                  <v>46065</v>
                </pt>
                <pt idx="739">
                  <v>46066</v>
                </pt>
                <pt idx="740">
                  <v>46070</v>
                </pt>
                <pt idx="741">
                  <v>46071</v>
                </pt>
                <pt idx="742">
                  <v>46072</v>
                </pt>
                <pt idx="743">
                  <v>46073</v>
                </pt>
                <pt idx="744">
                  <v>46076</v>
                </pt>
                <pt idx="745">
                  <v>46077</v>
                </pt>
                <pt idx="746">
                  <v>46078</v>
                </pt>
                <pt idx="747">
                  <v>46079</v>
                </pt>
                <pt idx="748">
                  <v>46080</v>
                </pt>
                <pt idx="749">
                  <v>46083</v>
                </pt>
                <pt idx="750">
                  <v>46084</v>
                </pt>
                <pt idx="751">
                  <v>46085</v>
                </pt>
              </numCache>
            </numRef>
          </cat>
          <val>
            <numRef>
              <f>'Share Price Analysis'!$P$36:$P$787</f>
              <numCache>
                <formatCode>\$#,##0.00</formatCode>
                <ptCount val="752"/>
                <pt idx="0">
                  <v>179.79</v>
                </pt>
                <pt idx="1">
                  <v>179.7645273631841</v>
                </pt>
                <pt idx="2">
                  <v>179.756124105839</v>
                </pt>
                <pt idx="3">
                  <v>179.6995457565271</v>
                </pt>
                <pt idx="4">
                  <v>179.5959681868105</v>
                </pt>
                <pt idx="5">
                  <v>179.4604859162949</v>
                </pt>
                <pt idx="6">
                  <v>179.3415756086701</v>
                </pt>
                <pt idx="7">
                  <v>179.1770823190316</v>
                </pt>
                <pt idx="8">
                  <v>179.0480566243149</v>
                </pt>
                <pt idx="9">
                  <v>178.8686729763118</v>
                </pt>
                <pt idx="10">
                  <v>178.7134622999306</v>
                </pt>
                <pt idx="11">
                  <v>178.5883532223193</v>
                </pt>
                <pt idx="12">
                  <v>178.4403099066744</v>
                </pt>
                <pt idx="13">
                  <v>178.3016003553642</v>
                </pt>
                <pt idx="14">
                  <v>178.18118642148</v>
                </pt>
                <pt idx="15">
                  <v>178.0579905366891</v>
                </pt>
                <pt idx="16">
                  <v>177.9583090388117</v>
                </pt>
                <pt idx="17">
                  <v>177.8790223817091</v>
                </pt>
                <pt idx="18">
                  <v>177.8020171838811</v>
                </pt>
                <pt idx="19">
                  <v>177.7399075601609</v>
                </pt>
                <pt idx="20">
                  <v>177.6920477834429</v>
                </pt>
                <pt idx="21">
                  <v>177.6041667109708</v>
                </pt>
                <pt idx="22">
                  <v>177.469398883001</v>
                </pt>
                <pt idx="23">
                  <v>177.3446287448617</v>
                </pt>
                <pt idx="24">
                  <v>177.231846369291</v>
                </pt>
                <pt idx="25">
                  <v>177.1257583457159</v>
                </pt>
                <pt idx="26">
                  <v>177.0281886109327</v>
                </pt>
                <pt idx="27">
                  <v>176.9528832516199</v>
                </pt>
                <pt idx="28">
                  <v>176.8745461048376</v>
                </pt>
                <pt idx="29">
                  <v>176.8248491286701</v>
                </pt>
                <pt idx="30">
                  <v>176.7804227691809</v>
                </pt>
                <pt idx="31">
                  <v>176.7481797565522</v>
                </pt>
                <pt idx="32">
                  <v>176.705312296288</v>
                </pt>
                <pt idx="33">
                  <v>176.6499360545339</v>
                </pt>
                <pt idx="34">
                  <v>176.5977973873246</v>
                </pt>
                <pt idx="35">
                  <v>176.5288640799881</v>
                </pt>
                <pt idx="36">
                  <v>176.4305669249633</v>
                </pt>
                <pt idx="37">
                  <v>176.3962329257099</v>
                </pt>
                <pt idx="38">
                  <v>176.3835340906282</v>
                </pt>
                <pt idx="39">
                  <v>176.3947427066419</v>
                </pt>
                <pt idx="40">
                  <v>176.4233522319489</v>
                </pt>
                <pt idx="41">
                  <v>176.4452094236709</v>
                </pt>
                <pt idx="42">
                  <v>176.5823715189577</v>
                </pt>
                <pt idx="43">
                  <v>176.7514026481223</v>
                </pt>
                <pt idx="44">
                  <v>176.9113886914246</v>
                </pt>
                <pt idx="45">
                  <v>177.0725689034502</v>
                </pt>
                <pt idx="46">
                  <v>177.2617970735652</v>
                </pt>
                <pt idx="47">
                  <v>177.4366050628829</v>
                </pt>
                <pt idx="48">
                  <v>177.6151463060383</v>
                </pt>
                <pt idx="49">
                  <v>177.7997717159285</v>
                </pt>
                <pt idx="50">
                  <v>177.9710177685064</v>
                </pt>
                <pt idx="51">
                  <v>178.1554852533969</v>
                </pt>
                <pt idx="52">
                  <v>178.3371222160497</v>
                </pt>
                <pt idx="53">
                  <v>178.5250115472332</v>
                </pt>
                <pt idx="54">
                  <v>178.7114293427832</v>
                </pt>
                <pt idx="55">
                  <v>178.875494722457</v>
                </pt>
                <pt idx="56">
                  <v>179.0269823371589</v>
                </pt>
                <pt idx="57">
                  <v>179.1869128611673</v>
                </pt>
                <pt idx="58">
                  <v>179.3542072605587</v>
                </pt>
                <pt idx="59">
                  <v>179.5203345514984</v>
                </pt>
                <pt idx="60">
                  <v>179.6793361977521</v>
                </pt>
                <pt idx="61">
                  <v>179.8695915589686</v>
                </pt>
                <pt idx="62">
                  <v>180.0970583096256</v>
                </pt>
                <pt idx="63">
                  <v>180.3173860876392</v>
                </pt>
                <pt idx="64">
                  <v>180.5442777683593</v>
                </pt>
                <pt idx="65">
                  <v>180.7875187855895</v>
                </pt>
                <pt idx="66">
                  <v>181.0401802902105</v>
                </pt>
                <pt idx="67">
                  <v>181.2949048644373</v>
                </pt>
                <pt idx="68">
                  <v>181.539632179219</v>
                </pt>
                <pt idx="69">
                  <v>181.79993434659</v>
                </pt>
                <pt idx="70">
                  <v>182.0545618655294</v>
                </pt>
                <pt idx="71">
                  <v>182.3220786628873</v>
                </pt>
                <pt idx="72">
                  <v>182.5707146960924</v>
                </pt>
                <pt idx="73">
                  <v>182.8305085797134</v>
                </pt>
                <pt idx="74">
                  <v>183.1065234197163</v>
                </pt>
                <pt idx="75">
                  <v>183.4084485598186</v>
                </pt>
                <pt idx="76">
                  <v>183.7171207134523</v>
                </pt>
                <pt idx="77">
                  <v>184.0261045869503</v>
                </pt>
                <pt idx="78">
                  <v>184.3882328995179</v>
                </pt>
                <pt idx="79">
                  <v>184.7511360547466</v>
                </pt>
                <pt idx="80">
                  <v>185.1500302233561</v>
                </pt>
                <pt idx="81">
                  <v>185.5509254450143</v>
                </pt>
                <pt idx="82">
                  <v>185.9269361371037</v>
                </pt>
                <pt idx="83">
                  <v>186.2722402551424</v>
                </pt>
                <pt idx="84">
                  <v>186.5878398545938</v>
                </pt>
                <pt idx="85">
                  <v>186.8942295077819</v>
                </pt>
                <pt idx="86">
                  <v>187.2175705077045</v>
                </pt>
                <pt idx="87">
                  <v>187.579684233996</v>
                </pt>
                <pt idx="88">
                  <v>187.9050605102747</v>
                </pt>
                <pt idx="89">
                  <v>188.2578459778341</v>
                </pt>
                <pt idx="90">
                  <v>188.6209519880049</v>
                </pt>
                <pt idx="91">
                  <v>188.9700967443432</v>
                </pt>
                <pt idx="92">
                  <v>189.3176579707677</v>
                </pt>
                <pt idx="93">
                  <v>189.6362882397153</v>
                </pt>
                <pt idx="94">
                  <v>189.9546336303649</v>
                </pt>
                <pt idx="95">
                  <v>190.2764780718538</v>
                </pt>
                <pt idx="96">
                  <v>190.598105155716</v>
                </pt>
                <pt idx="97">
                  <v>190.9130493830223</v>
                </pt>
                <pt idx="98">
                  <v>191.2368996379176</v>
                </pt>
                <pt idx="99">
                  <v>191.5060847161473</v>
                </pt>
                <pt idx="100">
                  <v>191.7914968085239</v>
                </pt>
                <pt idx="101">
                  <v>192.0771535566978</v>
                </pt>
                <pt idx="102">
                  <v>192.3944953123525</v>
                </pt>
                <pt idx="103">
                  <v>192.6998237172048</v>
                </pt>
                <pt idx="104">
                  <v>193.0330593021082</v>
                </pt>
                <pt idx="105">
                  <v>193.3610885627838</v>
                </pt>
                <pt idx="106">
                  <v>193.7129185273332</v>
                </pt>
                <pt idx="107">
                  <v>194.0425412285538</v>
                </pt>
                <pt idx="108">
                  <v>194.334456241205</v>
                </pt>
                <pt idx="109">
                  <v>194.6327203582079</v>
                </pt>
                <pt idx="110">
                  <v>194.9241360760367</v>
                </pt>
                <pt idx="111">
                  <v>195.2246919359767</v>
                </pt>
                <pt idx="112">
                  <v>195.5124064440764</v>
                </pt>
                <pt idx="113">
                  <v>195.7809397132896</v>
                </pt>
                <pt idx="114">
                  <v>195.9555572285803</v>
                </pt>
                <pt idx="115">
                  <v>196.1132133755596</v>
                </pt>
                <pt idx="116">
                  <v>196.2769624962008</v>
                </pt>
                <pt idx="117">
                  <v>196.459082272358</v>
                </pt>
                <pt idx="118">
                  <v>196.6640665283545</v>
                </pt>
                <pt idx="119">
                  <v>196.8463146225997</v>
                </pt>
                <pt idx="120">
                  <v>197.0252567656584</v>
                </pt>
                <pt idx="121">
                  <v>197.2052044595325</v>
                </pt>
                <pt idx="122">
                  <v>197.417988494761</v>
                </pt>
                <pt idx="123">
                  <v>197.625172688843</v>
                </pt>
                <pt idx="124">
                  <v>197.8303948511431</v>
                </pt>
                <pt idx="125">
                  <v>198.0800426635695</v>
                </pt>
                <pt idx="126">
                  <v>198.2607387564694</v>
                </pt>
                <pt idx="127">
                  <v>198.429288619589</v>
                </pt>
                <pt idx="128">
                  <v>198.5997434591951</v>
                </pt>
                <pt idx="129">
                  <v>198.7753679023872</v>
                </pt>
                <pt idx="130">
                  <v>198.952627923259</v>
                </pt>
                <pt idx="131">
                  <v>199.1100147100923</v>
                </pt>
                <pt idx="132">
                  <v>199.2555867030267</v>
                </pt>
                <pt idx="133">
                  <v>199.4119490243896</v>
                </pt>
                <pt idx="134">
                  <v>199.5231734122066</v>
                </pt>
                <pt idx="135">
                  <v>199.644236363329</v>
                </pt>
                <pt idx="136">
                  <v>199.7460847577237</v>
                </pt>
                <pt idx="137">
                  <v>199.8436361531692</v>
                </pt>
                <pt idx="138">
                  <v>199.8685750969188</v>
                </pt>
                <pt idx="139">
                  <v>199.8760519616261</v>
                </pt>
                <pt idx="140">
                  <v>199.8975837829034</v>
                </pt>
                <pt idx="141">
                  <v>199.9120356855611</v>
                </pt>
                <pt idx="142">
                  <v>199.9487318478938</v>
                </pt>
                <pt idx="143">
                  <v>199.9992917300044</v>
                </pt>
                <pt idx="144">
                  <v>200.0193982799546</v>
                </pt>
                <pt idx="145">
                  <v>200.0284589935869</v>
                </pt>
                <pt idx="146">
                  <v>200.0280763170338</v>
                </pt>
                <pt idx="147">
                  <v>200.0778467019389</v>
                </pt>
                <pt idx="148">
                  <v>200.1462263367455</v>
                </pt>
                <pt idx="149">
                  <v>200.2681544328973</v>
                </pt>
                <pt idx="150">
                  <v>200.3674762793362</v>
                </pt>
                <pt idx="151">
                  <v>200.4732725352632</v>
                </pt>
                <pt idx="152">
                  <v>200.6154290274496</v>
                </pt>
                <pt idx="153">
                  <v>200.7150764998133</v>
                </pt>
                <pt idx="154">
                  <v>200.8003991217057</v>
                </pt>
                <pt idx="155">
                  <v>200.9221861951216</v>
                </pt>
                <pt idx="156">
                  <v>201.060174392185</v>
                </pt>
                <pt idx="157">
                  <v>201.0868393236061</v>
                </pt>
                <pt idx="158">
                  <v>201.1027911711324</v>
                </pt>
                <pt idx="159">
                  <v>201.1072410102256</v>
                </pt>
                <pt idx="160">
                  <v>201.1210993086314</v>
                </pt>
                <pt idx="161">
                  <v>201.1611878727246</v>
                </pt>
                <pt idx="162">
                  <v>201.1831661028467</v>
                </pt>
                <pt idx="163">
                  <v>201.1113933058035</v>
                </pt>
                <pt idx="164">
                  <v>201.037548596293</v>
                </pt>
                <pt idx="165">
                  <v>200.9873242321509</v>
                </pt>
                <pt idx="166">
                  <v>200.9425747373036</v>
                </pt>
                <pt idx="167">
                  <v>200.9710068294697</v>
                </pt>
                <pt idx="168">
                  <v>201.02920576649</v>
                </pt>
                <pt idx="169">
                  <v>201.0963778484154</v>
                </pt>
                <pt idx="170">
                  <v>201.1565133922123</v>
                </pt>
                <pt idx="171">
                  <v>201.2167470898023</v>
                </pt>
                <pt idx="172">
                  <v>201.2885207506002</v>
                </pt>
                <pt idx="173">
                  <v>201.3675404446241</v>
                </pt>
                <pt idx="174">
                  <v>201.4699529775134</v>
                </pt>
                <pt idx="175">
                  <v>201.55970468918</v>
                </pt>
                <pt idx="176">
                  <v>201.7087623539643</v>
                </pt>
                <pt idx="177">
                  <v>201.7999189474572</v>
                </pt>
                <pt idx="178">
                  <v>201.9040988584278</v>
                </pt>
                <pt idx="179">
                  <v>202.0080381732693</v>
                </pt>
                <pt idx="180">
                  <v>202.0913412760228</v>
                </pt>
                <pt idx="181">
                  <v>202.1684423578535</v>
                </pt>
                <pt idx="182">
                  <v>202.2652737771783</v>
                </pt>
                <pt idx="183">
                  <v>202.3589526450671</v>
                </pt>
                <pt idx="184">
                  <v>202.463341175962</v>
                </pt>
                <pt idx="185">
                  <v>202.5498750946091</v>
                </pt>
                <pt idx="186">
                  <v>202.6506723573494</v>
                </pt>
                <pt idx="187">
                  <v>202.7592228811568</v>
                </pt>
                <pt idx="188">
                  <v>202.8872903151752</v>
                </pt>
                <pt idx="189">
                  <v>203.0058247398998</v>
                </pt>
                <pt idx="190">
                  <v>203.09551802607</v>
                </pt>
                <pt idx="191">
                  <v>203.1834233193429</v>
                </pt>
                <pt idx="192">
                  <v>203.2927424902948</v>
                </pt>
                <pt idx="193">
                  <v>203.4194813709883</v>
                </pt>
                <pt idx="194">
                  <v>203.573118372272</v>
                </pt>
                <pt idx="195">
                  <v>203.7455251546375</v>
                </pt>
                <pt idx="196">
                  <v>203.9437786356859</v>
                </pt>
                <pt idx="197">
                  <v>204.1509052164253</v>
                </pt>
                <pt idx="198">
                  <v>204.3518912341723</v>
                </pt>
                <pt idx="199">
                  <v>204.5344594805985</v>
                </pt>
                <pt idx="200">
                  <v>204.7350121225826</v>
                </pt>
                <pt idx="201">
                  <v>204.8986438427559</v>
                </pt>
                <pt idx="202">
                  <v>205.0815429089972</v>
                </pt>
                <pt idx="203">
                  <v>205.2790399944798</v>
                </pt>
                <pt idx="204">
                  <v>205.4817361139378</v>
                </pt>
                <pt idx="205">
                  <v>205.6841068988737</v>
                </pt>
                <pt idx="206">
                  <v>205.8806829496312</v>
                </pt>
                <pt idx="207">
                  <v>206.0909249103314</v>
                </pt>
                <pt idx="208">
                  <v>206.2651445629649</v>
                </pt>
                <pt idx="209">
                  <v>206.3951431245274</v>
                </pt>
                <pt idx="210">
                  <v>206.5372810038854</v>
                </pt>
                <pt idx="211">
                  <v>206.6873578098169</v>
                </pt>
                <pt idx="212">
                  <v>206.8596229062366</v>
                </pt>
                <pt idx="213">
                  <v>207.0244027778164</v>
                </pt>
                <pt idx="214">
                  <v>207.2143092178381</v>
                </pt>
                <pt idx="215">
                  <v>207.3849131062178</v>
                </pt>
                <pt idx="216">
                  <v>207.5498393439669</v>
                </pt>
                <pt idx="217">
                  <v>207.6974031315891</v>
                </pt>
                <pt idx="218">
                  <v>207.8323543442102</v>
                </pt>
                <pt idx="219">
                  <v>208.0043707188946</v>
                </pt>
                <pt idx="220">
                  <v>208.1842277266668</v>
                </pt>
                <pt idx="221">
                  <v>208.3742354109786</v>
                </pt>
                <pt idx="222">
                  <v>208.517775357138</v>
                </pt>
                <pt idx="223">
                  <v>208.6300362988581</v>
                </pt>
                <pt idx="224">
                  <v>208.7771006142924</v>
                </pt>
                <pt idx="225">
                  <v>208.9122538420109</v>
                </pt>
                <pt idx="226">
                  <v>209.1158135052745</v>
                </pt>
                <pt idx="227">
                  <v>209.3340641171623</v>
                </pt>
                <pt idx="228">
                  <v>209.4999938274393</v>
                </pt>
                <pt idx="229">
                  <v>209.7075560779126</v>
                </pt>
                <pt idx="230">
                  <v>209.9536500472866</v>
                </pt>
                <pt idx="231">
                  <v>210.1496336289056</v>
                </pt>
                <pt idx="232">
                  <v>210.3628711052349</v>
                </pt>
                <pt idx="233">
                  <v>210.6231410444863</v>
                </pt>
                <pt idx="234">
                  <v>210.8999257107104</v>
                </pt>
                <pt idx="235">
                  <v>211.1894786887133</v>
                </pt>
                <pt idx="236">
                  <v>211.4774440748952</v>
                </pt>
                <pt idx="237">
                  <v>211.7325938850953</v>
                </pt>
                <pt idx="238">
                  <v>212.0248068812635</v>
                </pt>
                <pt idx="239">
                  <v>212.3276446237385</v>
                </pt>
                <pt idx="240">
                  <v>212.7537377120595</v>
                </pt>
                <pt idx="241">
                  <v>213.1380786303475</v>
                </pt>
                <pt idx="242">
                  <v>213.5389932708415</v>
                </pt>
                <pt idx="243">
                  <v>213.970844084067</v>
                </pt>
                <pt idx="244">
                  <v>214.4012834464146</v>
                </pt>
                <pt idx="245">
                  <v>214.8657482877438</v>
                </pt>
                <pt idx="246">
                  <v>215.3502682052787</v>
                </pt>
                <pt idx="247">
                  <v>215.817429715674</v>
                </pt>
                <pt idx="248">
                  <v>216.315266235916</v>
                </pt>
                <pt idx="249">
                  <v>216.8238705519766</v>
                </pt>
                <pt idx="250">
                  <v>217.3315932330515</v>
                </pt>
                <pt idx="251">
                  <v>217.8057067332201</v>
                </pt>
                <pt idx="252">
                  <v>218.2985852731881</v>
                </pt>
                <pt idx="253">
                  <v>218.8246690018131</v>
                </pt>
                <pt idx="254">
                  <v>219.3010404545314</v>
                </pt>
                <pt idx="255">
                  <v>219.7552589574714</v>
                </pt>
                <pt idx="256">
                  <v>220.2510275250587</v>
                </pt>
                <pt idx="257">
                  <v>220.7392760073964</v>
                </pt>
                <pt idx="258">
                  <v>221.2366961466263</v>
                </pt>
                <pt idx="259">
                  <v>221.6906593690479</v>
                </pt>
                <pt idx="260">
                  <v>222.1655781812962</v>
                </pt>
                <pt idx="261">
                  <v>222.6316918312336</v>
                </pt>
                <pt idx="262">
                  <v>223.1203317135099</v>
                </pt>
                <pt idx="263">
                  <v>223.6424179651168</v>
                </pt>
                <pt idx="264">
                  <v>224.1470705226778</v>
                </pt>
                <pt idx="265">
                  <v>224.6293882289199</v>
                </pt>
                <pt idx="266">
                  <v>225.1193445649505</v>
                </pt>
                <pt idx="267">
                  <v>225.5936794449013</v>
                </pt>
                <pt idx="268">
                  <v>226.064588107141</v>
                </pt>
                <pt idx="269">
                  <v>226.4986718075675</v>
                </pt>
                <pt idx="270">
                  <v>226.8942074114723</v>
                </pt>
                <pt idx="271">
                  <v>227.310881964592</v>
                </pt>
                <pt idx="272">
                  <v>227.6947537858399</v>
                </pt>
                <pt idx="273">
                  <v>228.1171940466773</v>
                </pt>
                <pt idx="274">
                  <v>228.5311523148696</v>
                </pt>
                <pt idx="275">
                  <v>228.9001955754182</v>
                </pt>
                <pt idx="276">
                  <v>229.2550195000409</v>
                </pt>
                <pt idx="277">
                  <v>229.6156660721798</v>
                </pt>
                <pt idx="278">
                  <v>229.9456594445959</v>
                </pt>
                <pt idx="279">
                  <v>230.2493842262417</v>
                </pt>
                <pt idx="280">
                  <v>230.5308828906572</v>
                </pt>
                <pt idx="281">
                  <v>230.8067945036856</v>
                </pt>
                <pt idx="282">
                  <v>231.0482194339971</v>
                </pt>
                <pt idx="283">
                  <v>231.2572918774399</v>
                </pt>
                <pt idx="284">
                  <v>231.4883636000525</v>
                </pt>
                <pt idx="285">
                  <v>231.7654943104997</v>
                </pt>
                <pt idx="286">
                  <v>232.0106137700967</v>
                </pt>
                <pt idx="287">
                  <v>232.2745877624341</v>
                </pt>
                <pt idx="288">
                  <v>232.5628008195243</v>
                </pt>
                <pt idx="289">
                  <v>232.8502356372405</v>
                </pt>
                <pt idx="290">
                  <v>233.0968004567704</v>
                </pt>
                <pt idx="291">
                  <v>233.3618074173996</v>
                </pt>
                <pt idx="292">
                  <v>233.6707446570275</v>
                </pt>
                <pt idx="293">
                  <v>233.9769064017337</v>
                </pt>
                <pt idx="294">
                  <v>234.3016138007214</v>
                </pt>
                <pt idx="295">
                  <v>234.640403713152</v>
                </pt>
                <pt idx="296">
                  <v>234.9716434772003</v>
                </pt>
                <pt idx="297">
                  <v>235.3270500097655</v>
                </pt>
                <pt idx="298">
                  <v>235.6926515022056</v>
                </pt>
                <pt idx="299">
                  <v>236.034913676313</v>
                </pt>
                <pt idx="300">
                  <v>236.3504866745587</v>
                </pt>
                <pt idx="301">
                  <v>236.6902828270506</v>
                </pt>
                <pt idx="302">
                  <v>236.9222203113586</v>
                </pt>
                <pt idx="303">
                  <v>237.1428947361212</v>
                </pt>
                <pt idx="304">
                  <v>237.3724181715827</v>
                </pt>
                <pt idx="305">
                  <v>237.6192597818157</v>
                </pt>
                <pt idx="306">
                  <v>237.8506104307529</v>
                </pt>
                <pt idx="307">
                  <v>238.0432411727355</v>
                </pt>
                <pt idx="308">
                  <v>238.2542536983799</v>
                </pt>
                <pt idx="309">
                  <v>238.4107287859582</v>
                </pt>
                <pt idx="310">
                  <v>238.5450498925656</v>
                </pt>
                <pt idx="311">
                  <v>238.69962651055</v>
                </pt>
                <pt idx="312">
                  <v>238.8694809731317</v>
                </pt>
                <pt idx="313">
                  <v>239.002023451011</v>
                </pt>
                <pt idx="314">
                  <v>239.1160331679163</v>
                </pt>
                <pt idx="315">
                  <v>239.2360726388823</v>
                </pt>
                <pt idx="316">
                  <v>239.3290470404855</v>
                </pt>
                <pt idx="317">
                  <v>239.4112455773961</v>
                </pt>
                <pt idx="318">
                  <v>239.4948152731434</v>
                </pt>
                <pt idx="319">
                  <v>239.5460111410723</v>
                </pt>
                <pt idx="320">
                  <v>239.6412747118079</v>
                </pt>
                <pt idx="321">
                  <v>239.7836500878099</v>
                </pt>
                <pt idx="322">
                  <v>239.9115739675331</v>
                </pt>
                <pt idx="323">
                  <v>240.0751403957169</v>
                </pt>
                <pt idx="324">
                  <v>240.2297161131725</v>
                </pt>
                <pt idx="325">
                  <v>240.2917089876683</v>
                </pt>
                <pt idx="326">
                  <v>240.3665178534627</v>
                </pt>
                <pt idx="327">
                  <v>240.4382937952193</v>
                </pt>
                <pt idx="328">
                  <v>240.4951266927793</v>
                </pt>
                <pt idx="329">
                  <v>240.5487075217069</v>
                </pt>
                <pt idx="330">
                  <v>240.6204616757198</v>
                </pt>
                <pt idx="331">
                  <v>240.7006560869066</v>
                </pt>
                <pt idx="332">
                  <v>240.7306993099225</v>
                </pt>
                <pt idx="333">
                  <v>240.7738764312168</v>
                </pt>
                <pt idx="334">
                  <v>240.805181143344</v>
                </pt>
                <pt idx="335">
                  <v>240.8390599379376</v>
                </pt>
                <pt idx="336">
                  <v>240.8503130728835</v>
                </pt>
                <pt idx="337">
                  <v>240.8642403059892</v>
                </pt>
                <pt idx="338">
                  <v>240.9324568203574</v>
                </pt>
                <pt idx="339">
                  <v>241.0693477972693</v>
                </pt>
                <pt idx="340">
                  <v>241.1831851326199</v>
                </pt>
                <pt idx="341">
                  <v>241.3097206039371</v>
                </pt>
                <pt idx="342">
                  <v>241.5236537322561</v>
                </pt>
                <pt idx="343">
                  <v>241.6657069289501</v>
                </pt>
                <pt idx="344">
                  <v>241.8092322331397</v>
                </pt>
                <pt idx="345">
                  <v>241.9518269372875</v>
                </pt>
                <pt idx="346">
                  <v>242.1374804005981</v>
                </pt>
                <pt idx="347">
                  <v>242.3167094513385</v>
                </pt>
                <pt idx="348">
                  <v>242.3982347304296</v>
                </pt>
                <pt idx="349">
                  <v>242.5113866236592</v>
                </pt>
                <pt idx="350">
                  <v>242.7024176025282</v>
                </pt>
                <pt idx="351">
                  <v>242.9196074771299</v>
                </pt>
                <pt idx="352">
                  <v>243.1890641191486</v>
                </pt>
                <pt idx="353">
                  <v>243.5007152224406</v>
                </pt>
                <pt idx="354">
                  <v>243.7756334789338</v>
                </pt>
                <pt idx="355">
                  <v>244.0001545388449</v>
                </pt>
                <pt idx="356">
                  <v>244.133784841941</v>
                </pt>
                <pt idx="357">
                  <v>244.1537471818222</v>
                </pt>
                <pt idx="358">
                  <v>244.1245556675752</v>
                </pt>
                <pt idx="359">
                  <v>244.1465003873008</v>
                </pt>
                <pt idx="360">
                  <v>244.1484257565814</v>
                </pt>
                <pt idx="361">
                  <v>244.1260533609936</v>
                </pt>
                <pt idx="362">
                  <v>244.1232070588941</v>
                </pt>
                <pt idx="363">
                  <v>244.1070557448753</v>
                </pt>
                <pt idx="364">
                  <v>244.1315626528865</v>
                </pt>
                <pt idx="365">
                  <v>244.1345321787284</v>
                </pt>
                <pt idx="366">
                  <v>244.1360791222237</v>
                </pt>
                <pt idx="367">
                  <v>244.150645499117</v>
                </pt>
                <pt idx="368">
                  <v>244.1873554941507</v>
                </pt>
                <pt idx="369">
                  <v>244.2250932504278</v>
                </pt>
                <pt idx="370">
                  <v>244.3312117255479</v>
                </pt>
                <pt idx="371">
                  <v>244.3943837481793</v>
                </pt>
                <pt idx="372">
                  <v>244.3547381387447</v>
                </pt>
                <pt idx="373">
                  <v>244.2693178587572</v>
                </pt>
                <pt idx="374">
                  <v>244.2395734024512</v>
                </pt>
                <pt idx="375">
                  <v>244.2492293884964</v>
                </pt>
                <pt idx="376">
                  <v>244.1971972552776</v>
                </pt>
                <pt idx="377">
                  <v>244.103991312439</v>
                </pt>
                <pt idx="378">
                  <v>243.9851456277381</v>
                </pt>
                <pt idx="379">
                  <v>243.8655919399</v>
                </pt>
                <pt idx="380">
                  <v>243.7458348061696</v>
                </pt>
                <pt idx="381">
                  <v>243.6384135643172</v>
                </pt>
                <pt idx="382">
                  <v>243.5320611905429</v>
                </pt>
                <pt idx="383">
                  <v>243.4598018752142</v>
                </pt>
                <pt idx="384">
                  <v>243.4002018565553</v>
                </pt>
                <pt idx="385">
                  <v>243.3949262161916</v>
                </pt>
                <pt idx="386">
                  <v>243.4120911294634</v>
                </pt>
                <pt idx="387">
                  <v>243.4219210684737</v>
                </pt>
                <pt idx="388">
                  <v>243.5238920031157</v>
                </pt>
                <pt idx="389">
                  <v>243.6087288986071</v>
                </pt>
                <pt idx="390">
                  <v>243.6955077155364</v>
                </pt>
                <pt idx="391">
                  <v>243.7569454497102</v>
                </pt>
                <pt idx="392">
                  <v>243.8153838034444</v>
                </pt>
                <pt idx="393">
                  <v>243.8826934173405</v>
                </pt>
                <pt idx="394">
                  <v>243.9459501992575</v>
                </pt>
                <pt idx="395">
                  <v>244.0104681077226</v>
                </pt>
                <pt idx="396">
                  <v>244.045090315606</v>
                </pt>
                <pt idx="397">
                  <v>244.0094177751522</v>
                </pt>
                <pt idx="398">
                  <v>243.9804683445537</v>
                </pt>
                <pt idx="399">
                  <v>243.9550905500805</v>
                </pt>
                <pt idx="400">
                  <v>243.8961344252041</v>
                </pt>
                <pt idx="401">
                  <v>243.8393569682369</v>
                </pt>
                <pt idx="402">
                  <v>243.8174728192992</v>
                </pt>
                <pt idx="403">
                  <v>243.8182939852764</v>
                </pt>
                <pt idx="404">
                  <v>243.8550273784577</v>
                </pt>
                <pt idx="405">
                  <v>243.9032360612592</v>
                </pt>
                <pt idx="406">
                  <v>243.9916615730874</v>
                </pt>
                <pt idx="407">
                  <v>244.1159236469871</v>
                </pt>
                <pt idx="408">
                  <v>244.2604418196539</v>
                </pt>
                <pt idx="409">
                  <v>244.434168766722</v>
                </pt>
                <pt idx="410">
                  <v>244.5884556446651</v>
                </pt>
                <pt idx="411">
                  <v>244.6793167825291</v>
                </pt>
                <pt idx="412">
                  <v>244.7677812921557</v>
                </pt>
                <pt idx="413">
                  <v>244.8809376972089</v>
                </pt>
                <pt idx="414">
                  <v>244.9969482673859</v>
                </pt>
                <pt idx="415">
                  <v>245.1313069910935</v>
                </pt>
                <pt idx="416">
                  <v>245.2747765732717</v>
                </pt>
                <pt idx="417">
                  <v>245.582788746672</v>
                </pt>
                <pt idx="418">
                  <v>245.8648505501877</v>
                </pt>
                <pt idx="419">
                  <v>246.1088818879968</v>
                </pt>
                <pt idx="420">
                  <v>246.3352611726934</v>
                </pt>
                <pt idx="421">
                  <v>246.5972983749551</v>
                </pt>
                <pt idx="422">
                  <v>247.0336436647565</v>
                </pt>
                <pt idx="423">
                  <v>247.4670402452067</v>
                </pt>
                <pt idx="424">
                  <v>247.913238849732</v>
                </pt>
                <pt idx="425">
                  <v>248.3523110999835</v>
                </pt>
                <pt idx="426">
                  <v>248.7505965616752</v>
                </pt>
                <pt idx="427">
                  <v>249.1382523172804</v>
                </pt>
                <pt idx="428">
                  <v>249.4720010504418</v>
                </pt>
                <pt idx="429">
                  <v>249.7685980549151</v>
                </pt>
                <pt idx="430">
                  <v>250.0568707110851</v>
                </pt>
                <pt idx="431">
                  <v>250.3350113010245</v>
                </pt>
                <pt idx="432">
                  <v>250.6083942731537</v>
                </pt>
                <pt idx="433">
                  <v>250.9125893550128</v>
                </pt>
                <pt idx="434">
                  <v>251.2478869733709</v>
                </pt>
                <pt idx="435">
                  <v>251.6371617298548</v>
                </pt>
                <pt idx="436">
                  <v>252.0029611156274</v>
                </pt>
                <pt idx="437">
                  <v>252.3451207065167</v>
                </pt>
                <pt idx="438">
                  <v>252.7011891571981</v>
                </pt>
                <pt idx="439">
                  <v>253.0429683695643</v>
                </pt>
                <pt idx="440">
                  <v>253.3758741569318</v>
                </pt>
                <pt idx="441">
                  <v>253.6970097374599</v>
                </pt>
                <pt idx="442">
                  <v>254.0346514316145</v>
                </pt>
                <pt idx="443">
                  <v>254.3612718153796</v>
                </pt>
                <pt idx="444">
                  <v>254.6286223445798</v>
                </pt>
                <pt idx="445">
                  <v>254.8443574456288</v>
                </pt>
                <pt idx="446">
                  <v>255.0902842372146</v>
                </pt>
                <pt idx="447">
                  <v>255.3193361353517</v>
                </pt>
                <pt idx="448">
                  <v>255.5228253280348</v>
                </pt>
                <pt idx="449">
                  <v>255.7365285586016</v>
                </pt>
                <pt idx="450">
                  <v>255.9048218067747</v>
                </pt>
                <pt idx="451">
                  <v>255.9942265649163</v>
                </pt>
                <pt idx="452">
                  <v>256.0432392359122</v>
                </pt>
                <pt idx="453">
                  <v>256.1137542683907</v>
                </pt>
                <pt idx="454">
                  <v>256.1809805940784</v>
                </pt>
                <pt idx="455">
                  <v>256.2618663593115</v>
                </pt>
                <pt idx="456">
                  <v>256.3443353507611</v>
                </pt>
                <pt idx="457">
                  <v>256.404192710455</v>
                </pt>
                <pt idx="458">
                  <v>256.4216634297539</v>
                </pt>
                <pt idx="459">
                  <v>256.4297065797066</v>
                </pt>
                <pt idx="460">
                  <v>256.4211522853812</v>
                </pt>
                <pt idx="461">
                  <v>256.4282054964719</v>
                </pt>
                <pt idx="462">
                  <v>256.4376760885469</v>
                </pt>
                <pt idx="463">
                  <v>256.3933211025912</v>
                </pt>
                <pt idx="464">
                  <v>256.3822432806749</v>
                </pt>
                <pt idx="465">
                  <v>256.3355542928074</v>
                </pt>
                <pt idx="466">
                  <v>256.3325139515855</v>
                </pt>
                <pt idx="467">
                  <v>256.3697028674901</v>
                </pt>
                <pt idx="468">
                  <v>256.487317764331</v>
                </pt>
                <pt idx="469">
                  <v>256.613513607472</v>
                </pt>
                <pt idx="470">
                  <v>256.747707501925</v>
                </pt>
                <pt idx="471">
                  <v>256.934595984493</v>
                </pt>
                <pt idx="472">
                  <v>257.1081820941001</v>
                </pt>
                <pt idx="473">
                  <v>257.2845185906762</v>
                </pt>
                <pt idx="474">
                  <v>257.4860656693759</v>
                </pt>
                <pt idx="475">
                  <v>257.6602341701782</v>
                </pt>
                <pt idx="476">
                  <v>257.8337641784351</v>
                </pt>
                <pt idx="477">
                  <v>257.9767117985502</v>
                </pt>
                <pt idx="478">
                  <v>258.1596300891119</v>
                </pt>
                <pt idx="479">
                  <v>258.3187382474292</v>
                </pt>
                <pt idx="480">
                  <v>258.446511996211</v>
                </pt>
                <pt idx="481">
                  <v>258.5820690907761</v>
                </pt>
                <pt idx="482">
                  <v>258.7387649207186</v>
                </pt>
                <pt idx="483">
                  <v>258.9225583045921</v>
                </pt>
                <pt idx="484">
                  <v>259.0618363314121</v>
                </pt>
                <pt idx="485">
                  <v>259.1563454226418</v>
                </pt>
                <pt idx="486">
                  <v>259.2420534283867</v>
                </pt>
                <pt idx="487">
                  <v>259.2875056330794</v>
                </pt>
                <pt idx="488">
                  <v>259.3874309501632</v>
                </pt>
                <pt idx="489">
                  <v>259.4976057665795</v>
                </pt>
                <pt idx="490">
                  <v>259.6295698883051</v>
                </pt>
                <pt idx="491">
                  <v>259.6827084963817</v>
                </pt>
                <pt idx="492">
                  <v>259.6718357750246</v>
                </pt>
                <pt idx="493">
                  <v>259.6040563145766</v>
                </pt>
                <pt idx="494">
                  <v>259.5240159532376</v>
                </pt>
                <pt idx="495">
                  <v>259.4271600731059</v>
                </pt>
                <pt idx="496">
                  <v>259.3386311171545</v>
                </pt>
                <pt idx="497">
                  <v>259.1971522005659</v>
                </pt>
                <pt idx="498">
                  <v>259.0788720791673</v>
                </pt>
                <pt idx="499">
                  <v>258.8867439987775</v>
                </pt>
                <pt idx="500">
                  <v>258.6476719191877</v>
                </pt>
                <pt idx="501">
                  <v>258.4656055319321</v>
                </pt>
                <pt idx="502">
                  <v>258.2338084619627</v>
                </pt>
                <pt idx="503">
                  <v>257.8623277807491</v>
                </pt>
                <pt idx="504">
                  <v>257.4989215341745</v>
                </pt>
                <pt idx="505">
                  <v>257.1726636084614</v>
                </pt>
                <pt idx="506">
                  <v>256.8741296422081</v>
                </pt>
                <pt idx="507">
                  <v>256.5573721333304</v>
                </pt>
                <pt idx="508">
                  <v>256.3062540026505</v>
                </pt>
                <pt idx="509">
                  <v>256.0950474951615</v>
                </pt>
                <pt idx="510">
                  <v>255.9000718981947</v>
                </pt>
                <pt idx="511">
                  <v>255.7529070036853</v>
                </pt>
                <pt idx="512">
                  <v>255.5834253419571</v>
                </pt>
                <pt idx="513">
                  <v>255.3694609106938</v>
                </pt>
                <pt idx="514">
                  <v>255.224590652876</v>
                </pt>
                <pt idx="515">
                  <v>255.0828534324494</v>
                </pt>
                <pt idx="516">
                  <v>254.9035215574996</v>
                </pt>
                <pt idx="517">
                  <v>254.7307501987185</v>
                </pt>
                <pt idx="518">
                  <v>254.5139268136567</v>
                </pt>
                <pt idx="519">
                  <v>254.3028429647646</v>
                </pt>
                <pt idx="520">
                  <v>254.1333619402396</v>
                </pt>
                <pt idx="521">
                  <v>253.9937264980481</v>
                </pt>
                <pt idx="522">
                  <v>253.8264257368735</v>
                </pt>
                <pt idx="523">
                  <v>253.5967100578997</v>
                </pt>
                <pt idx="524">
                  <v>253.3472900573236</v>
                </pt>
                <pt idx="525">
                  <v>253.0800533403353</v>
                </pt>
                <pt idx="526">
                  <v>252.9452269389389</v>
                </pt>
                <pt idx="527">
                  <v>252.7724386111883</v>
                </pt>
                <pt idx="528">
                  <v>252.6682352419228</v>
                </pt>
                <pt idx="529">
                  <v>252.576810015635</v>
                </pt>
                <pt idx="530">
                  <v>252.4967422542855</v>
                </pt>
                <pt idx="531">
                  <v>252.3778691970289</v>
                </pt>
                <pt idx="532">
                  <v>252.273910299546</v>
                </pt>
                <pt idx="533">
                  <v>252.0937718886053</v>
                </pt>
                <pt idx="534">
                  <v>251.9791074917038</v>
                </pt>
                <pt idx="535">
                  <v>251.9050865216371</v>
                </pt>
                <pt idx="536">
                  <v>251.8812548149541</v>
                </pt>
                <pt idx="537">
                  <v>251.8330831252531</v>
                </pt>
                <pt idx="538">
                  <v>251.7689728453998</v>
                </pt>
                <pt idx="539">
                  <v>251.7051024688287</v>
                </pt>
                <pt idx="540">
                  <v>251.8108228422732</v>
                </pt>
                <pt idx="541">
                  <v>251.9284265950864</v>
                </pt>
                <pt idx="542">
                  <v>252.0788900120507</v>
                </pt>
                <pt idx="543">
                  <v>252.2576075243686</v>
                </pt>
                <pt idx="544">
                  <v>252.4066860564645</v>
                </pt>
                <pt idx="545">
                  <v>252.5403508718231</v>
                </pt>
                <pt idx="546">
                  <v>252.6983573308099</v>
                </pt>
                <pt idx="547">
                  <v>252.8668313872197</v>
                </pt>
                <pt idx="548">
                  <v>253.0607932639639</v>
                </pt>
                <pt idx="549">
                  <v>253.2153127339742</v>
                </pt>
                <pt idx="550">
                  <v>253.3457076321436</v>
                </pt>
                <pt idx="551">
                  <v>253.5220687502317</v>
                </pt>
                <pt idx="552">
                  <v>253.7408541358016</v>
                </pt>
                <pt idx="553">
                  <v>253.9624376767389</v>
                </pt>
                <pt idx="554">
                  <v>254.1551497396569</v>
                </pt>
                <pt idx="555">
                  <v>254.3181830755807</v>
                </pt>
                <pt idx="556">
                  <v>254.4909374728387</v>
                </pt>
                <pt idx="557">
                  <v>254.6272465527109</v>
                </pt>
                <pt idx="558">
                  <v>254.7818013133805</v>
                </pt>
                <pt idx="559">
                  <v>254.858897817725</v>
                </pt>
                <pt idx="560">
                  <v>254.9628888842153</v>
                </pt>
                <pt idx="561">
                  <v>255.0634571540241</v>
                </pt>
                <pt idx="562">
                  <v>255.1462088241333</v>
                </pt>
                <pt idx="563">
                  <v>255.2436594825997</v>
                </pt>
                <pt idx="564">
                  <v>255.3514837663549</v>
                </pt>
                <pt idx="565">
                  <v>255.4541555696748</v>
                </pt>
                <pt idx="566">
                  <v>255.547248549081</v>
                </pt>
                <pt idx="567">
                  <v>255.6512560262046</v>
                </pt>
                <pt idx="568">
                  <v>255.7452733791777</v>
                </pt>
                <pt idx="569">
                  <v>255.7987532460515</v>
                </pt>
                <pt idx="570">
                  <v>255.8955815719615</v>
                </pt>
                <pt idx="571">
                  <v>255.9440832478624</v>
                </pt>
                <pt idx="572">
                  <v>255.996181922013</v>
                </pt>
                <pt idx="573">
                  <v>256.0264686690577</v>
                </pt>
                <pt idx="574">
                  <v>256.0474988315546</v>
                </pt>
                <pt idx="575">
                  <v>256.0464291914396</v>
                </pt>
                <pt idx="576">
                  <v>256.0961164631667</v>
                </pt>
                <pt idx="577">
                  <v>256.1795381899013</v>
                </pt>
                <pt idx="578">
                  <v>256.1642194019421</v>
                </pt>
                <pt idx="579">
                  <v>256.1721376168482</v>
                </pt>
                <pt idx="580">
                  <v>256.2319173420537</v>
                </pt>
                <pt idx="581">
                  <v>256.2775699058143</v>
                </pt>
                <pt idx="582">
                  <v>256.3610766729207</v>
                </pt>
                <pt idx="583">
                  <v>256.4541007856279</v>
                </pt>
                <pt idx="584">
                  <v>256.5514729171142</v>
                </pt>
                <pt idx="585">
                  <v>256.655438360725</v>
                </pt>
                <pt idx="586">
                  <v>256.752896685494</v>
                </pt>
                <pt idx="587">
                  <v>256.8842111463348</v>
                </pt>
                <pt idx="588">
                  <v>257.0219801896549</v>
                </pt>
                <pt idx="589">
                  <v>257.1411644663747</v>
                </pt>
                <pt idx="590">
                  <v>257.2684165612367</v>
                </pt>
                <pt idx="591">
                  <v>257.3111188840105</v>
                </pt>
                <pt idx="592">
                  <v>257.3440430742193</v>
                </pt>
                <pt idx="593">
                  <v>257.4004207550728</v>
                </pt>
                <pt idx="594">
                  <v>257.4919588570124</v>
                </pt>
                <pt idx="595">
                  <v>257.5667652365447</v>
                </pt>
                <pt idx="596">
                  <v>257.6683894630467</v>
                </pt>
                <pt idx="597">
                  <v>257.7822363340612</v>
                </pt>
                <pt idx="598">
                  <v>257.9179354750158</v>
                </pt>
                <pt idx="599">
                  <v>258.0862147240206</v>
                </pt>
                <pt idx="600">
                  <v>258.205854378508</v>
                </pt>
                <pt idx="601">
                  <v>258.3622140364333</v>
                </pt>
                <pt idx="602">
                  <v>258.5055750907971</v>
                </pt>
                <pt idx="603">
                  <v>258.6664151396449</v>
                </pt>
                <pt idx="604">
                  <v>258.8283413571609</v>
                </pt>
                <pt idx="605">
                  <v>259.0574125874379</v>
                </pt>
                <pt idx="606">
                  <v>259.2973388303489</v>
                </pt>
                <pt idx="607">
                  <v>259.519156354425</v>
                </pt>
                <pt idx="608">
                  <v>259.7438413658238</v>
                </pt>
                <pt idx="609">
                  <v>260.0102708049699</v>
                </pt>
                <pt idx="610">
                  <v>260.2613128865125</v>
                </pt>
                <pt idx="611">
                  <v>260.5760261911243</v>
                </pt>
                <pt idx="612">
                  <v>260.9249214529041</v>
                </pt>
                <pt idx="613">
                  <v>261.2450714881986</v>
                </pt>
                <pt idx="614">
                  <v>261.5473095828434</v>
                </pt>
                <pt idx="615">
                  <v>261.829226900427</v>
                </pt>
                <pt idx="616">
                  <v>262.1377918068904</v>
                </pt>
                <pt idx="617">
                  <v>262.3780127839363</v>
                </pt>
                <pt idx="618">
                  <v>262.6357440000165</v>
                </pt>
                <pt idx="619">
                  <v>262.9319057512602</v>
                </pt>
                <pt idx="620">
                  <v>263.2042250970188</v>
                </pt>
                <pt idx="621">
                  <v>263.4827900214266</v>
                </pt>
                <pt idx="622">
                  <v>263.7580856431039</v>
                </pt>
                <pt idx="623">
                  <v>264.0307415073516</v>
                </pt>
                <pt idx="624">
                  <v>264.3006843779253</v>
                </pt>
                <pt idx="625">
                  <v>264.5811750806325</v>
                </pt>
                <pt idx="626">
                  <v>264.8146957265963</v>
                </pt>
                <pt idx="627">
                  <v>265.0884798487197</v>
                </pt>
                <pt idx="628">
                  <v>265.3842163676379</v>
                </pt>
                <pt idx="629">
                  <v>265.7178062545271</v>
                </pt>
                <pt idx="630">
                  <v>265.9836987296064</v>
                </pt>
                <pt idx="631">
                  <v>266.2667465034412</v>
                </pt>
                <pt idx="632">
                  <v>266.6188186775363</v>
                </pt>
                <pt idx="633">
                  <v>266.9006214767648</v>
                </pt>
                <pt idx="634">
                  <v>267.1705655416726</v>
                </pt>
                <pt idx="635">
                  <v>267.4172265810589</v>
                </pt>
                <pt idx="636">
                  <v>267.6643188538842</v>
                </pt>
                <pt idx="637">
                  <v>267.971937571756</v>
                </pt>
                <pt idx="638">
                  <v>268.2686347103456</v>
                </pt>
                <pt idx="639">
                  <v>268.5733249122327</v>
                </pt>
                <pt idx="640">
                  <v>268.8620480474344</v>
                </pt>
                <pt idx="641">
                  <v>269.1102863753206</v>
                </pt>
                <pt idx="642">
                  <v>269.365507406412</v>
                </pt>
                <pt idx="643">
                  <v>269.6632635516218</v>
                </pt>
                <pt idx="644">
                  <v>269.9951713769788</v>
                </pt>
                <pt idx="645">
                  <v>270.369547781188</v>
                </pt>
                <pt idx="646">
                  <v>270.6806965594847</v>
                </pt>
                <pt idx="647">
                  <v>271.0059632603853</v>
                </pt>
                <pt idx="648">
                  <v>271.3412273075456</v>
                </pt>
                <pt idx="649">
                  <v>271.6728568865751</v>
                </pt>
                <pt idx="650">
                  <v>271.9636742309872</v>
                </pt>
                <pt idx="651">
                  <v>272.2867222485893</v>
                </pt>
                <pt idx="652">
                  <v>272.5913319774591</v>
                </pt>
                <pt idx="653">
                  <v>272.8782838980814</v>
                </pt>
                <pt idx="654">
                  <v>273.1755149040706</v>
                </pt>
                <pt idx="655">
                  <v>273.5326739597515</v>
                </pt>
                <pt idx="656">
                  <v>273.8268762089082</v>
                </pt>
                <pt idx="657">
                  <v>274.049792863546</v>
                </pt>
                <pt idx="658">
                  <v>274.2617352231127</v>
                </pt>
                <pt idx="659">
                  <v>274.4727627333305</v>
                </pt>
                <pt idx="660">
                  <v>274.7025859897153</v>
                </pt>
                <pt idx="661">
                  <v>274.8913164773798</v>
                </pt>
                <pt idx="662">
                  <v>275.0621491492467</v>
                </pt>
                <pt idx="663">
                  <v>275.2380481626871</v>
                </pt>
                <pt idx="664">
                  <v>275.4049332555957</v>
                </pt>
                <pt idx="665">
                  <v>275.5759289445947</v>
                </pt>
                <pt idx="666">
                  <v>275.7689047759918</v>
                </pt>
                <pt idx="667">
                  <v>275.9105077135441</v>
                </pt>
                <pt idx="668">
                  <v>276.0457265422651</v>
                </pt>
                <pt idx="669">
                  <v>276.1701471736853</v>
                </pt>
                <pt idx="670">
                  <v>276.3302452117582</v>
                </pt>
                <pt idx="671">
                  <v>276.4175064534322</v>
                </pt>
                <pt idx="672">
                  <v>276.5158397225523</v>
                </pt>
                <pt idx="673">
                  <v>276.6231447999398</v>
                </pt>
                <pt idx="674">
                  <v>276.784506543224</v>
                </pt>
                <pt idx="675">
                  <v>276.9667502592118</v>
                </pt>
                <pt idx="676">
                  <v>277.1470811024038</v>
                </pt>
                <pt idx="677">
                  <v>277.2161648725291</v>
                </pt>
                <pt idx="678">
                  <v>277.2496358688223</v>
                </pt>
                <pt idx="679">
                  <v>277.2777986959983</v>
                </pt>
                <pt idx="680">
                  <v>277.3234922413117</v>
                </pt>
                <pt idx="681">
                  <v>277.3922137115474</v>
                </pt>
                <pt idx="682">
                  <v>277.4775648188952</v>
                </pt>
                <pt idx="683">
                  <v>277.5805741241799</v>
                </pt>
                <pt idx="684">
                  <v>277.6761903020488</v>
                </pt>
                <pt idx="685">
                  <v>277.8258799507846</v>
                </pt>
                <pt idx="686">
                  <v>277.997562737344</v>
                </pt>
                <pt idx="687">
                  <v>278.1890297747834</v>
                </pt>
                <pt idx="688">
                  <v>278.3249598267756</v>
                </pt>
                <pt idx="689">
                  <v>278.439537340937</v>
                </pt>
                <pt idx="690">
                  <v>278.5803379644103</v>
                </pt>
                <pt idx="691">
                  <v>278.7302848503366</v>
                </pt>
                <pt idx="692">
                  <v>278.8908790309303</v>
                </pt>
                <pt idx="693">
                  <v>279.0589299858464</v>
                </pt>
                <pt idx="694">
                  <v>279.1781446128529</v>
                </pt>
                <pt idx="695">
                  <v>279.3531879500384</v>
                </pt>
                <pt idx="696">
                  <v>279.5513651843664</v>
                </pt>
                <pt idx="697">
                  <v>279.7144361775569</v>
                </pt>
                <pt idx="698">
                  <v>279.8832477578797</v>
                </pt>
                <pt idx="699">
                  <v>280.0039119592939</v>
                </pt>
                <pt idx="700">
                  <v>280.0577038800969</v>
                </pt>
                <pt idx="701">
                  <v>280.1401147867627</v>
                </pt>
                <pt idx="702">
                  <v>280.2568300625163</v>
                </pt>
                <pt idx="703">
                  <v>280.3724834947301</v>
                </pt>
                <pt idx="704">
                  <v>280.4965383853298</v>
                </pt>
                <pt idx="705">
                  <v>280.6273190979136</v>
                </pt>
                <pt idx="706">
                  <v>280.7623706491781</v>
                </pt>
                <pt idx="707">
                  <v>280.8743868616241</v>
                </pt>
                <pt idx="708">
                  <v>280.9540447037971</v>
                </pt>
                <pt idx="709">
                  <v>280.9964920201772</v>
                </pt>
                <pt idx="710">
                  <v>281.1124473234591</v>
                </pt>
                <pt idx="711">
                  <v>281.2672488426286</v>
                </pt>
                <pt idx="712">
                  <v>281.4521518392194</v>
                </pt>
                <pt idx="713">
                  <v>281.5582995821127</v>
                </pt>
                <pt idx="714">
                  <v>281.7331423723404</v>
                </pt>
                <pt idx="715">
                  <v>282.0305240402773</v>
                </pt>
                <pt idx="716">
                  <v>282.3050461891303</v>
                </pt>
                <pt idx="717">
                  <v>282.590966127547</v>
                </pt>
                <pt idx="718">
                  <v>282.7490659670739</v>
                </pt>
                <pt idx="719">
                  <v>282.9377319773519</v>
                </pt>
                <pt idx="720">
                  <v>283.1669087735971</v>
                </pt>
                <pt idx="721">
                  <v>283.2960937609245</v>
                </pt>
                <pt idx="722">
                  <v>283.4524510369353</v>
                </pt>
                <pt idx="723">
                  <v>283.6496405788563</v>
                </pt>
                <pt idx="724">
                  <v>283.8130272397632</v>
                </pt>
                <pt idx="725">
                  <v>283.9780717448402</v>
                </pt>
                <pt idx="726">
                  <v>284.1242600856875</v>
                </pt>
                <pt idx="727">
                  <v>284.2795410798598</v>
                </pt>
                <pt idx="728">
                  <v>284.4306899248363</v>
                </pt>
                <pt idx="729">
                  <v>284.5909815673753</v>
                </pt>
                <pt idx="730">
                  <v>284.803210606506</v>
                </pt>
                <pt idx="731">
                  <v>285.063974680073</v>
                </pt>
                <pt idx="732">
                  <v>285.3269202056445</v>
                </pt>
                <pt idx="733">
                  <v>285.5799856762351</v>
                </pt>
                <pt idx="734">
                  <v>285.9594883063223</v>
                </pt>
                <pt idx="735">
                  <v>286.3710356863589</v>
                </pt>
                <pt idx="736">
                  <v>286.8088363262956</v>
                </pt>
                <pt idx="737">
                  <v>287.1369076066309</v>
                </pt>
                <pt idx="738">
                  <v>287.4830080284555</v>
                </pt>
                <pt idx="739">
                  <v>287.8826795903614</v>
                </pt>
                <pt idx="740">
                  <v>288.0253394949349</v>
                </pt>
                <pt idx="741">
                  <v>288.1381221865277</v>
                </pt>
                <pt idx="742">
                  <v>288.2845090304428</v>
                </pt>
                <pt idx="743">
                  <v>288.4537178958116</v>
                </pt>
                <pt idx="744">
                  <v>288.6759694590373</v>
                </pt>
                <pt idx="745">
                  <v>288.9666563300917</v>
                </pt>
                <pt idx="746">
                  <v>289.1314657198421</v>
                </pt>
                <pt idx="747">
                  <v>289.3290630758636</v>
                </pt>
                <pt idx="748">
                  <v>289.5347440402829</v>
                </pt>
                <pt idx="749">
                  <v>289.7005674826681</v>
                </pt>
                <pt idx="750">
                  <v>289.8030493982635</v>
                </pt>
                <pt idx="751">
                  <v>289.8645115933057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7397136"/>
        <axId val="1946248847"/>
      </lineChart>
      <dateAx>
        <axId val="487397136"/>
        <scaling>
          <orientation val="minMax"/>
        </scaling>
        <delete val="0"/>
        <axPos val="b"/>
        <numFmt formatCode="yyyy\-mm\-dd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VN"/>
          </a:p>
        </txPr>
        <crossAx val="1946248847"/>
        <crosses val="autoZero"/>
        <lblOffset val="100"/>
        <baseTimeUnit val="days"/>
        <majorUnit val="2"/>
        <majorTimeUnit val="months"/>
        <minorUnit val="2"/>
        <minorTimeUnit val="months"/>
      </dateAx>
      <valAx>
        <axId val="194624884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prstDash val="solid"/>
              <a:round/>
            </a:ln>
          </spPr>
        </majorGridlines>
        <numFmt formatCode="\$#,##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VN"/>
          </a:p>
        </txPr>
        <crossAx val="48739713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VN"/>
        </a:p>
      </txPr>
    </legend>
    <plotVisOnly val="1"/>
    <dispBlanksAs val="gap"/>
  </chart>
  <spPr>
    <a:noFill/>
    <a:ln w="9525" cap="flat" cmpd="sng" algn="ctr">
      <a:solidFill>
        <a:schemeClr val="tx1">
          <a:lumMod val="50000"/>
          <a:lumOff val="50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Revenue / EBITDA / EBIT / Net Income Trend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Analysis'!A8</f>
            </strRef>
          </tx>
          <spPr>
            <a:ln w="24000">
              <a:solidFill>
                <a:srgbClr val="1F4E7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'Financial Analysis'!$B$6:$F$6</f>
            </numRef>
          </cat>
          <val>
            <numRef>
              <f>'Financial Analysis'!$B$8:$F$8</f>
            </numRef>
          </val>
        </ser>
        <ser>
          <idx val="1"/>
          <order val="1"/>
          <tx>
            <strRef>
              <f>'Financial Analysis'!A13</f>
            </strRef>
          </tx>
          <spPr>
            <a:ln w="24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'Financial Analysis'!$B$6:$F$6</f>
            </numRef>
          </cat>
          <val>
            <numRef>
              <f>'Financial Analysis'!$B$13:$F$13</f>
            </numRef>
          </val>
        </ser>
        <ser>
          <idx val="2"/>
          <order val="2"/>
          <tx>
            <strRef>
              <f>'Financial Analysis'!A14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'Financial Analysis'!$B$6:$F$6</f>
            </numRef>
          </cat>
          <val>
            <numRef>
              <f>'Financial Analysis'!$B$14:$F$14</f>
            </numRef>
          </val>
        </ser>
        <ser>
          <idx val="3"/>
          <order val="3"/>
          <tx>
            <strRef>
              <f>'Financial Analysis'!A15</f>
            </strRef>
          </tx>
          <spPr>
            <a:ln w="24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'Financial Analysis'!$B$6:$F$6</f>
            </numRef>
          </cat>
          <val>
            <numRef>
              <f>'Financial Analysis'!$B$15:$F$15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Margin Trend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Analysis'!A52</f>
            </strRef>
          </tx>
          <spPr>
            <a:ln w="24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'Financial Analysis'!$B$6:$F$6</f>
            </numRef>
          </cat>
          <val>
            <numRef>
              <f>'Financial Analysis'!$B$52:$F$52</f>
            </numRef>
          </val>
        </ser>
        <ser>
          <idx val="1"/>
          <order val="1"/>
          <tx>
            <strRef>
              <f>'Financial Analysis'!A53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'Financial Analysis'!$B$6:$F$6</f>
            </numRef>
          </cat>
          <val>
            <numRef>
              <f>'Financial Analysis'!$B$53:$F$53</f>
            </numRef>
          </val>
        </ser>
        <ser>
          <idx val="2"/>
          <order val="2"/>
          <tx>
            <strRef>
              <f>'Financial Analysis'!A54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'Financial Analysis'!$B$6:$F$6</f>
            </numRef>
          </cat>
          <val>
            <numRef>
              <f>'Financial Analysis'!$B$54:$F$54</f>
            </numRef>
          </val>
        </ser>
        <ser>
          <idx val="3"/>
          <order val="3"/>
          <tx>
            <strRef>
              <f>'Financial Analysis'!A55</f>
            </strRef>
          </tx>
          <spPr>
            <a:ln w="24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'Financial Analysis'!$B$6:$F$6</f>
            </numRef>
          </cat>
          <val>
            <numRef>
              <f>'Financial Analysis'!$B$55:$F$55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Peer EBITDA Margin Snapshot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'Financial Analysis'!M50</f>
            </strRef>
          </tx>
          <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spPr>
          <cat>
            <numRef>
              <f>'Financial Analysis'!$I$51:$I$56</f>
            </numRef>
          </cat>
          <val>
            <numRef>
              <f>'Financial Analysis'!$M$51:$M$56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EBITDA Margin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Selected Macro Drivers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'Industry &amp; Macro Analysis'!$D$24</f>
              <strCache>
                <ptCount val="1"/>
                <pt idx="0">
                  <v>7365-12-15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'Industry &amp; Macro Analysis'!$A$25:$A$60</f>
              <numCache>
                <formatCode>#,##0.0</formatCode>
                <ptCount val="36"/>
                <pt idx="0">
                  <v>45017</v>
                </pt>
                <pt idx="1">
                  <v>45047</v>
                </pt>
                <pt idx="2">
                  <v>45078</v>
                </pt>
                <pt idx="3">
                  <v>45108</v>
                </pt>
                <pt idx="4">
                  <v>45139</v>
                </pt>
                <pt idx="5">
                  <v>45170</v>
                </pt>
                <pt idx="6">
                  <v>45200</v>
                </pt>
                <pt idx="7">
                  <v>45231</v>
                </pt>
                <pt idx="8">
                  <v>45261</v>
                </pt>
                <pt idx="9">
                  <v>45292</v>
                </pt>
                <pt idx="10">
                  <v>45323</v>
                </pt>
                <pt idx="11">
                  <v>45352</v>
                </pt>
                <pt idx="12">
                  <v>45383</v>
                </pt>
                <pt idx="13">
                  <v>45413</v>
                </pt>
                <pt idx="14">
                  <v>45444</v>
                </pt>
                <pt idx="15">
                  <v>45474</v>
                </pt>
                <pt idx="16">
                  <v>45505</v>
                </pt>
                <pt idx="17">
                  <v>45536</v>
                </pt>
                <pt idx="18">
                  <v>45566</v>
                </pt>
                <pt idx="19">
                  <v>45597</v>
                </pt>
                <pt idx="20">
                  <v>45627</v>
                </pt>
                <pt idx="21">
                  <v>45658</v>
                </pt>
                <pt idx="22">
                  <v>45689</v>
                </pt>
                <pt idx="23">
                  <v>45717</v>
                </pt>
                <pt idx="24">
                  <v>45748</v>
                </pt>
                <pt idx="25">
                  <v>45778</v>
                </pt>
                <pt idx="26">
                  <v>45809</v>
                </pt>
                <pt idx="27">
                  <v>45839</v>
                </pt>
                <pt idx="28">
                  <v>45870</v>
                </pt>
                <pt idx="29">
                  <v>45901</v>
                </pt>
                <pt idx="30">
                  <v>45931</v>
                </pt>
                <pt idx="31">
                  <v>45962</v>
                </pt>
                <pt idx="32">
                  <v>45992</v>
                </pt>
                <pt idx="33">
                  <v>46023</v>
                </pt>
                <pt idx="34">
                  <v>46054</v>
                </pt>
              </numCache>
            </numRef>
          </cat>
          <val>
            <numRef>
              <f>'Industry &amp; Macro Analysis'!$D$25:$D$60</f>
              <numCache>
                <formatCode>yyyy\-mm\-dd</formatCode>
                <ptCount val="36"/>
                <pt idx="0">
                  <v>2023621</v>
                </pt>
                <pt idx="1">
                  <v>2054535</v>
                </pt>
                <pt idx="2">
                  <v>2071559</v>
                </pt>
                <pt idx="3">
                  <v>2085773</v>
                </pt>
                <pt idx="4">
                  <v>2108277</v>
                </pt>
                <pt idx="5">
                  <v>2123480</v>
                </pt>
                <pt idx="6">
                  <v>2142735</v>
                </pt>
                <pt idx="7">
                  <v>2167301</v>
                </pt>
                <pt idx="8">
                  <v>2176796</v>
                </pt>
                <pt idx="9">
                  <v>2161405</v>
                </pt>
                <pt idx="10">
                  <v>2184616</v>
                </pt>
                <pt idx="11">
                  <v>2174863</v>
                </pt>
                <pt idx="12">
                  <v>2206494</v>
                </pt>
                <pt idx="13">
                  <v>2215350</v>
                </pt>
                <pt idx="14">
                  <v>2199846</v>
                </pt>
                <pt idx="15">
                  <v>2200746</v>
                </pt>
                <pt idx="16">
                  <v>2205322</v>
                </pt>
                <pt idx="17">
                  <v>2197940</v>
                </pt>
                <pt idx="18">
                  <v>2197116</v>
                </pt>
                <pt idx="19">
                  <v>2192932</v>
                </pt>
                <pt idx="20">
                  <v>2176642</v>
                </pt>
                <pt idx="21">
                  <v>2169595</v>
                </pt>
                <pt idx="22">
                  <v>2165431</v>
                </pt>
                <pt idx="23">
                  <v>2150847</v>
                </pt>
                <pt idx="24">
                  <v>2153440</v>
                </pt>
                <pt idx="25">
                  <v>2149124</v>
                </pt>
                <pt idx="26">
                  <v>2160743</v>
                </pt>
                <pt idx="27">
                  <v>2168482</v>
                </pt>
                <pt idx="28">
                  <v>2177240</v>
                </pt>
                <pt idx="29">
                  <v>2169503</v>
                </pt>
                <pt idx="30">
                  <v>2167944</v>
                </pt>
                <pt idx="31">
                  <v>2163119</v>
                </pt>
                <pt idx="32">
                  <v>2168775</v>
                </pt>
              </numCache>
            </numRef>
          </val>
          <smooth val="0"/>
        </ser>
        <ser>
          <idx val="1"/>
          <order val="1"/>
          <tx>
            <strRef>
              <f>'Industry &amp; Macro Analysis'!$E$24</f>
              <strCache>
                <ptCount val="1"/>
                <pt idx="0">
                  <v>1903-10-08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'Industry &amp; Macro Analysis'!$A$25:$A$60</f>
              <numCache>
                <formatCode>#,##0.0</formatCode>
                <ptCount val="36"/>
                <pt idx="0">
                  <v>45017</v>
                </pt>
                <pt idx="1">
                  <v>45047</v>
                </pt>
                <pt idx="2">
                  <v>45078</v>
                </pt>
                <pt idx="3">
                  <v>45108</v>
                </pt>
                <pt idx="4">
                  <v>45139</v>
                </pt>
                <pt idx="5">
                  <v>45170</v>
                </pt>
                <pt idx="6">
                  <v>45200</v>
                </pt>
                <pt idx="7">
                  <v>45231</v>
                </pt>
                <pt idx="8">
                  <v>45261</v>
                </pt>
                <pt idx="9">
                  <v>45292</v>
                </pt>
                <pt idx="10">
                  <v>45323</v>
                </pt>
                <pt idx="11">
                  <v>45352</v>
                </pt>
                <pt idx="12">
                  <v>45383</v>
                </pt>
                <pt idx="13">
                  <v>45413</v>
                </pt>
                <pt idx="14">
                  <v>45444</v>
                </pt>
                <pt idx="15">
                  <v>45474</v>
                </pt>
                <pt idx="16">
                  <v>45505</v>
                </pt>
                <pt idx="17">
                  <v>45536</v>
                </pt>
                <pt idx="18">
                  <v>45566</v>
                </pt>
                <pt idx="19">
                  <v>45597</v>
                </pt>
                <pt idx="20">
                  <v>45627</v>
                </pt>
                <pt idx="21">
                  <v>45658</v>
                </pt>
                <pt idx="22">
                  <v>45689</v>
                </pt>
                <pt idx="23">
                  <v>45717</v>
                </pt>
                <pt idx="24">
                  <v>45748</v>
                </pt>
                <pt idx="25">
                  <v>45778</v>
                </pt>
                <pt idx="26">
                  <v>45809</v>
                </pt>
                <pt idx="27">
                  <v>45839</v>
                </pt>
                <pt idx="28">
                  <v>45870</v>
                </pt>
                <pt idx="29">
                  <v>45901</v>
                </pt>
                <pt idx="30">
                  <v>45931</v>
                </pt>
                <pt idx="31">
                  <v>45962</v>
                </pt>
                <pt idx="32">
                  <v>45992</v>
                </pt>
                <pt idx="33">
                  <v>46023</v>
                </pt>
                <pt idx="34">
                  <v>46054</v>
                </pt>
              </numCache>
            </numRef>
          </cat>
          <val>
            <numRef>
              <f>'Industry &amp; Macro Analysis'!$E$25:$E$60</f>
              <numCache>
                <formatCode>yyyy\-mm\-dd</formatCode>
                <ptCount val="36"/>
                <pt idx="0">
                  <v>1354</v>
                </pt>
                <pt idx="1">
                  <v>1584</v>
                </pt>
                <pt idx="2">
                  <v>1421</v>
                </pt>
                <pt idx="3">
                  <v>1460</v>
                </pt>
                <pt idx="4">
                  <v>1317</v>
                </pt>
                <pt idx="5">
                  <v>1371</v>
                </pt>
                <pt idx="6">
                  <v>1368</v>
                </pt>
                <pt idx="7">
                  <v>1514</v>
                </pt>
                <pt idx="8">
                  <v>1521</v>
                </pt>
                <pt idx="9">
                  <v>1381</v>
                </pt>
                <pt idx="10">
                  <v>1552</v>
                </pt>
                <pt idx="11">
                  <v>1312</v>
                </pt>
                <pt idx="12">
                  <v>1385</v>
                </pt>
                <pt idx="13">
                  <v>1316</v>
                </pt>
                <pt idx="14">
                  <v>1327</v>
                </pt>
                <pt idx="15">
                  <v>1265</v>
                </pt>
                <pt idx="16">
                  <v>1391</v>
                </pt>
                <pt idx="17">
                  <v>1357</v>
                </pt>
                <pt idx="18">
                  <v>1352</v>
                </pt>
                <pt idx="19">
                  <v>1295</v>
                </pt>
                <pt idx="20">
                  <v>1514</v>
                </pt>
                <pt idx="21">
                  <v>1358</v>
                </pt>
                <pt idx="22">
                  <v>1490</v>
                </pt>
                <pt idx="23">
                  <v>1355</v>
                </pt>
                <pt idx="24">
                  <v>1398</v>
                </pt>
                <pt idx="25">
                  <v>1282</v>
                </pt>
                <pt idx="26">
                  <v>1382</v>
                </pt>
                <pt idx="27">
                  <v>1420</v>
                </pt>
                <pt idx="28">
                  <v>1291</v>
                </pt>
                <pt idx="29">
                  <v>1328</v>
                </pt>
                <pt idx="30">
                  <v>1272</v>
                </pt>
                <pt idx="31">
                  <v>1322</v>
                </pt>
                <pt idx="32">
                  <v>1404</v>
                </pt>
              </numCache>
            </numRef>
          </val>
          <smooth val="0"/>
        </ser>
        <ser>
          <idx val="2"/>
          <order val="2"/>
          <tx>
            <strRef>
              <f>'Industry &amp; Macro Analysis'!$B$24</f>
              <strCache>
                <ptCount val="1"/>
                <pt idx="0">
                  <v>465,00%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'Industry &amp; Macro Analysis'!$A$25:$A$60</f>
              <numCache>
                <formatCode>#,##0.0</formatCode>
                <ptCount val="36"/>
                <pt idx="0">
                  <v>45017</v>
                </pt>
                <pt idx="1">
                  <v>45047</v>
                </pt>
                <pt idx="2">
                  <v>45078</v>
                </pt>
                <pt idx="3">
                  <v>45108</v>
                </pt>
                <pt idx="4">
                  <v>45139</v>
                </pt>
                <pt idx="5">
                  <v>45170</v>
                </pt>
                <pt idx="6">
                  <v>45200</v>
                </pt>
                <pt idx="7">
                  <v>45231</v>
                </pt>
                <pt idx="8">
                  <v>45261</v>
                </pt>
                <pt idx="9">
                  <v>45292</v>
                </pt>
                <pt idx="10">
                  <v>45323</v>
                </pt>
                <pt idx="11">
                  <v>45352</v>
                </pt>
                <pt idx="12">
                  <v>45383</v>
                </pt>
                <pt idx="13">
                  <v>45413</v>
                </pt>
                <pt idx="14">
                  <v>45444</v>
                </pt>
                <pt idx="15">
                  <v>45474</v>
                </pt>
                <pt idx="16">
                  <v>45505</v>
                </pt>
                <pt idx="17">
                  <v>45536</v>
                </pt>
                <pt idx="18">
                  <v>45566</v>
                </pt>
                <pt idx="19">
                  <v>45597</v>
                </pt>
                <pt idx="20">
                  <v>45627</v>
                </pt>
                <pt idx="21">
                  <v>45658</v>
                </pt>
                <pt idx="22">
                  <v>45689</v>
                </pt>
                <pt idx="23">
                  <v>45717</v>
                </pt>
                <pt idx="24">
                  <v>45748</v>
                </pt>
                <pt idx="25">
                  <v>45778</v>
                </pt>
                <pt idx="26">
                  <v>45809</v>
                </pt>
                <pt idx="27">
                  <v>45839</v>
                </pt>
                <pt idx="28">
                  <v>45870</v>
                </pt>
                <pt idx="29">
                  <v>45901</v>
                </pt>
                <pt idx="30">
                  <v>45931</v>
                </pt>
                <pt idx="31">
                  <v>45962</v>
                </pt>
                <pt idx="32">
                  <v>45992</v>
                </pt>
                <pt idx="33">
                  <v>46023</v>
                </pt>
                <pt idx="34">
                  <v>46054</v>
                </pt>
              </numCache>
            </numRef>
          </cat>
          <val>
            <numRef>
              <f>'Industry &amp; Macro Analysis'!$B$25:$B$60</f>
              <numCache>
                <formatCode>0.00%</formatCode>
                <ptCount val="36"/>
                <pt idx="0">
                  <v>4.83</v>
                </pt>
                <pt idx="1">
                  <v>5.06</v>
                </pt>
                <pt idx="2">
                  <v>5.08</v>
                </pt>
                <pt idx="3">
                  <v>5.12</v>
                </pt>
                <pt idx="4">
                  <v>5.33</v>
                </pt>
                <pt idx="5">
                  <v>5.33</v>
                </pt>
                <pt idx="6">
                  <v>5.33</v>
                </pt>
                <pt idx="7">
                  <v>5.33</v>
                </pt>
                <pt idx="8">
                  <v>5.33</v>
                </pt>
                <pt idx="9">
                  <v>5.33</v>
                </pt>
                <pt idx="10">
                  <v>5.33</v>
                </pt>
                <pt idx="11">
                  <v>5.33</v>
                </pt>
                <pt idx="12">
                  <v>5.33</v>
                </pt>
                <pt idx="13">
                  <v>5.33</v>
                </pt>
                <pt idx="14">
                  <v>5.33</v>
                </pt>
                <pt idx="15">
                  <v>5.33</v>
                </pt>
                <pt idx="16">
                  <v>5.33</v>
                </pt>
                <pt idx="17">
                  <v>5.13</v>
                </pt>
                <pt idx="18">
                  <v>4.83</v>
                </pt>
                <pt idx="19">
                  <v>4.64</v>
                </pt>
                <pt idx="20">
                  <v>4.48</v>
                </pt>
                <pt idx="21">
                  <v>4.33</v>
                </pt>
                <pt idx="22">
                  <v>4.33</v>
                </pt>
                <pt idx="23">
                  <v>4.33</v>
                </pt>
                <pt idx="24">
                  <v>4.33</v>
                </pt>
                <pt idx="25">
                  <v>4.33</v>
                </pt>
                <pt idx="26">
                  <v>4.33</v>
                </pt>
                <pt idx="27">
                  <v>4.33</v>
                </pt>
                <pt idx="28">
                  <v>4.33</v>
                </pt>
                <pt idx="29">
                  <v>4.22</v>
                </pt>
                <pt idx="30">
                  <v>4.09</v>
                </pt>
                <pt idx="31">
                  <v>3.88</v>
                </pt>
                <pt idx="32">
                  <v>3.72</v>
                </pt>
                <pt idx="33">
                  <v>3.64</v>
                </pt>
                <pt idx="34">
                  <v>3.64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070001"/>
        <axId val="50070002"/>
      </lineChart>
      <catAx>
        <axId val="50070001"/>
        <scaling>
          <orientation val="minMax"/>
        </scaling>
        <delete val="0"/>
        <axPos val="b"/>
        <numFmt formatCode="#,##0.0" sourceLinked="1"/>
        <majorTickMark val="out"/>
        <minorTickMark val="none"/>
        <tickLblPos val="nextTo"/>
        <crossAx val="50070002"/>
        <crosses val="autoZero"/>
        <auto val="1"/>
        <lblAlgn val="ctr"/>
        <lblOffset val="100"/>
        <noMultiLvlLbl val="0"/>
      </catAx>
      <valAx>
        <axId val="50070002"/>
        <scaling>
          <orientation val="minMax"/>
        </scaling>
        <delete val="0"/>
        <axPos val="l"/>
        <majorGridlines/>
        <numFmt formatCode="yyyy\-mm\-dd" sourceLinked="1"/>
        <majorTickMark val="out"/>
        <minorTickMark val="none"/>
        <tickLblPos val="nextTo"/>
        <crossAx val="50070001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23</col>
      <colOff>637673</colOff>
      <row>93</row>
      <rowOff>164793</rowOff>
    </from>
    <to>
      <col>33</col>
      <colOff>259434</colOff>
      <row>115</row>
      <rowOff>15638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</col>
      <colOff>334819</colOff>
      <row>3</row>
      <rowOff>34636</rowOff>
    </from>
    <to>
      <col>10</col>
      <colOff>419101</colOff>
      <row>15</row>
      <rowOff>92364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23</col>
      <colOff>539180</colOff>
      <row>74</row>
      <rowOff>154283</rowOff>
    </from>
    <to>
      <col>32</col>
      <colOff>136777</colOff>
      <row>90</row>
      <rowOff>169427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10</col>
      <colOff>816151</colOff>
      <row>3</row>
      <rowOff>127000</rowOff>
    </from>
    <to>
      <col>17</col>
      <colOff>584200</colOff>
      <row>15</row>
      <rowOff>92364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579781</colOff>
      <row>60</row>
      <rowOff>27609</rowOff>
    </from>
    <to>
      <col>32</col>
      <colOff>183873</colOff>
      <row>72</row>
      <rowOff>75233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4</col>
      <colOff>333662</colOff>
      <row>15</row>
      <rowOff>381000</rowOff>
    </from>
    <to>
      <col>10</col>
      <colOff>450271</colOff>
      <row>29</row>
      <rowOff>263236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10</col>
      <colOff>766618</colOff>
      <row>15</row>
      <rowOff>392546</rowOff>
    </from>
    <to>
      <col>17</col>
      <colOff>588818</colOff>
      <row>29</row>
      <rowOff>277092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3168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81</row>
      <rowOff>0</rowOff>
    </from>
    <ext cx="3168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81</row>
      <rowOff>0</rowOff>
    </from>
    <ext cx="3168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2</row>
      <rowOff>0</rowOff>
    </from>
    <to>
      <col>18</col>
      <colOff>419100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88"/>
  <sheetViews>
    <sheetView zoomScale="110" zoomScaleNormal="11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R18" sqref="R18"/>
    </sheetView>
  </sheetViews>
  <sheetFormatPr baseColWidth="10" defaultColWidth="0" defaultRowHeight="15"/>
  <cols>
    <col width="19" customWidth="1" style="16" min="1" max="1"/>
    <col width="14.6640625" customWidth="1" style="16" min="2" max="3"/>
    <col width="26" customWidth="1" style="16" min="4" max="4"/>
    <col width="14.6640625" customWidth="1" style="16" min="5" max="8"/>
    <col width="15" customWidth="1" style="16" min="9" max="9"/>
    <col width="14.6640625" customWidth="1" style="16" min="10" max="23"/>
    <col width="8.83203125" customWidth="1" style="16" min="24" max="40"/>
    <col hidden="1" width="8.83203125" customWidth="1" style="16" min="41" max="16384"/>
  </cols>
  <sheetData>
    <row r="1" ht="21" customHeight="1" s="200">
      <c r="A1" s="15" t="inlineStr">
        <is>
          <t>Vulcan Materials Equity Research Model</t>
        </is>
      </c>
    </row>
    <row r="2" ht="48" customHeight="1" s="200">
      <c r="A2" s="17" t="inlineStr">
        <is>
          <t>Sheet 1: Share Price Analysis</t>
        </is>
      </c>
      <c r="E2" s="18" t="inlineStr">
        <is>
          <t>Analysis period: 2023-03-06 to 2026-03-04</t>
        </is>
      </c>
    </row>
    <row r="3" ht="80" customHeight="1" s="200">
      <c r="A3" s="19" t="n"/>
      <c r="B3" s="19" t="n"/>
      <c r="C3" s="19" t="n"/>
      <c r="D3" s="19" t="n"/>
      <c r="E3" s="18" t="inlineStr">
        <is>
          <t>Benchmarks: SPY (market), XLB (sector) | Source priority used: refinitiv_lseg</t>
        </is>
      </c>
      <c r="F3" s="19" t="n"/>
      <c r="G3" s="19" t="n"/>
      <c r="H3" s="19" t="n"/>
      <c r="I3" s="19" t="n"/>
      <c r="J3" s="19" t="n"/>
      <c r="K3" s="19" t="n"/>
      <c r="L3" s="19" t="n"/>
    </row>
    <row r="4" ht="20" customHeight="1" s="200">
      <c r="A4" s="65" t="inlineStr">
        <is>
          <t>General Information</t>
        </is>
      </c>
      <c r="B4" s="66" t="n"/>
      <c r="C4" s="67" t="inlineStr">
        <is>
          <t>Assumptions</t>
        </is>
      </c>
      <c r="D4" s="68" t="n"/>
      <c r="E4" s="20" t="n"/>
      <c r="M4" s="21" t="n"/>
    </row>
    <row r="5" ht="26" customHeight="1" s="200">
      <c r="A5" s="60" t="inlineStr">
        <is>
          <t>Analysis Company</t>
        </is>
      </c>
      <c r="B5" s="51" t="inlineStr">
        <is>
          <t>Vulcan Materials (VMC)</t>
        </is>
      </c>
      <c r="C5" s="50" t="inlineStr">
        <is>
          <t>Risk-Free Rate (Annual)</t>
        </is>
      </c>
      <c r="D5" s="57" t="n">
        <v>0.04</v>
      </c>
      <c r="E5" s="20" t="n"/>
      <c r="M5" s="21" t="n"/>
    </row>
    <row r="6" ht="26" customHeight="1" s="200">
      <c r="A6" s="60" t="inlineStr">
        <is>
          <t>Ticker</t>
        </is>
      </c>
      <c r="B6" s="51" t="inlineStr">
        <is>
          <t>VMC.N</t>
        </is>
      </c>
      <c r="C6" s="50" t="inlineStr">
        <is>
          <t>Risk-Free Rate (Daily)</t>
        </is>
      </c>
      <c r="D6" s="57">
        <f>POWER(1+D5,1/252)-1</f>
        <v/>
      </c>
      <c r="E6" s="20" t="n"/>
      <c r="M6" s="21" t="n"/>
    </row>
    <row r="7" ht="26" customHeight="1" s="200">
      <c r="A7" s="60" t="inlineStr">
        <is>
          <t>Industry / Sector</t>
        </is>
      </c>
      <c r="B7" s="51" t="inlineStr">
        <is>
          <t>Construction Materials</t>
        </is>
      </c>
      <c r="C7" s="50" t="inlineStr">
        <is>
          <t>Trading Days</t>
        </is>
      </c>
      <c r="D7" s="58" t="n">
        <v>252</v>
      </c>
      <c r="E7" s="20" t="n"/>
      <c r="M7" s="21" t="n"/>
    </row>
    <row r="8" ht="26" customHeight="1" s="200">
      <c r="A8" s="60" t="inlineStr">
        <is>
          <t>Benchmark</t>
        </is>
      </c>
      <c r="B8" s="51" t="inlineStr">
        <is>
          <t>S&amp;P500 (SPY)</t>
        </is>
      </c>
      <c r="C8" s="50" t="inlineStr">
        <is>
          <t>End Date</t>
        </is>
      </c>
      <c r="D8" s="59" t="n">
        <v>46085</v>
      </c>
      <c r="E8" s="20" t="n"/>
      <c r="M8" s="21" t="n"/>
    </row>
    <row r="9" ht="26" customHeight="1" s="200">
      <c r="A9" s="61" t="inlineStr">
        <is>
          <t>Sector ETF</t>
        </is>
      </c>
      <c r="B9" s="62" t="inlineStr">
        <is>
          <t xml:space="preserve">XLB - Materials </t>
        </is>
      </c>
      <c r="C9" s="63" t="inlineStr">
        <is>
          <t>Start Date</t>
        </is>
      </c>
      <c r="D9" s="64" t="n">
        <v>44989</v>
      </c>
      <c r="E9" s="69" t="n"/>
      <c r="F9" s="49" t="n"/>
      <c r="G9" s="49" t="n"/>
      <c r="H9" s="30" t="n"/>
      <c r="I9" s="30" t="n"/>
      <c r="J9" s="30" t="n"/>
      <c r="K9" s="30" t="n"/>
      <c r="L9" s="30" t="n"/>
    </row>
    <row r="10" ht="20" customHeight="1" s="200">
      <c r="A10" s="30" t="n"/>
      <c r="E10" s="47" t="n"/>
      <c r="F10" s="47" t="n"/>
      <c r="G10" s="47" t="n"/>
      <c r="H10" s="21" t="n"/>
    </row>
    <row r="12">
      <c r="A12" s="107" t="inlineStr">
        <is>
          <t>Equity Research Commentary</t>
        </is>
      </c>
      <c r="D12" s="203" t="n"/>
    </row>
    <row r="13" ht="35" customHeight="1" s="200">
      <c r="A13" s="204">
        <f>IF(B22="","", "VMC delivered "&amp;TEXT(B22,"0.0%")&amp;" annualized return over the refreshed 3-year window, versus "&amp;TEXT(C22,"0.0%")&amp;" for SPY.")</f>
        <v/>
      </c>
      <c r="B13" s="205" t="n"/>
      <c r="C13" s="205" t="n"/>
      <c r="D13" s="206" t="n"/>
    </row>
    <row r="14" ht="35" customHeight="1" s="200">
      <c r="A14" s="207">
        <f>IF(B22="","","Relative to SPY, VMC "&amp;IF(B22&gt;C22,"outperformed","underperformed")&amp;" over the period and recorded a tracking error of "&amp;TEXT(B28,"0.0%")&amp;".")</f>
        <v/>
      </c>
      <c r="B14" s="208" t="n"/>
      <c r="C14" s="208" t="n"/>
      <c r="D14" s="209" t="n"/>
      <c r="E14" s="37" t="n"/>
      <c r="F14" s="30" t="n"/>
      <c r="G14" s="30" t="n"/>
    </row>
    <row r="15" ht="35" customHeight="1" s="200">
      <c r="A15" s="210">
        <f>IF(D22="","", "Relative to XLB, VMC "&amp;IF(B22&gt;D22,"outperformed","underperformed")&amp;" the sector benchmark, with beta vs XLB of "&amp;TEXT(B26,"0.00x")&amp;".")</f>
        <v/>
      </c>
      <c r="D15" s="203" t="n"/>
      <c r="E15" s="21" t="n"/>
    </row>
    <row r="16" ht="35" customHeight="1" s="200">
      <c r="A16" s="211">
        <f>IF(B23="","", "Volatility was "&amp;IF(B23&gt;C23,"above","below")&amp;" market levels, while the latest price versus the 200-day EMA signals a "&amp;IF(W787&gt;P787,"constructive","softer")&amp;" medium-term trend.")</f>
        <v/>
      </c>
      <c r="B16" s="212" t="n"/>
      <c r="C16" s="212" t="n"/>
      <c r="D16" s="213" t="n"/>
      <c r="E16" s="21" t="n"/>
    </row>
    <row r="17" ht="23" customHeight="1" s="200">
      <c r="A17" s="30" t="n"/>
      <c r="B17" s="30" t="n"/>
      <c r="C17" s="30" t="n"/>
      <c r="D17" s="30" t="n"/>
      <c r="E17" s="21" t="n"/>
    </row>
    <row r="18" ht="23" customHeight="1" s="200">
      <c r="E18" s="21" t="n"/>
    </row>
    <row r="19" ht="23" customHeight="1" s="200">
      <c r="E19" s="21" t="n"/>
    </row>
    <row r="20" ht="23" customHeight="1" s="200">
      <c r="E20" s="21" t="n"/>
    </row>
    <row r="21" ht="23" customHeight="1" s="200">
      <c r="A21" s="70" t="inlineStr">
        <is>
          <t>Metric</t>
        </is>
      </c>
      <c r="B21" s="70" t="inlineStr">
        <is>
          <t>VMC</t>
        </is>
      </c>
      <c r="C21" s="70" t="inlineStr">
        <is>
          <t>SPY</t>
        </is>
      </c>
      <c r="D21" s="71" t="inlineStr">
        <is>
          <t>XLB</t>
        </is>
      </c>
      <c r="E21" s="21" t="n"/>
    </row>
    <row r="22" ht="23" customHeight="1" s="200">
      <c r="A22" s="22" t="inlineStr">
        <is>
          <t>Annualized Return</t>
        </is>
      </c>
      <c r="B22" s="52">
        <f>IFERROR((1+$H$787)^(252/COUNT($E$37:$E$787))-1,"")</f>
        <v/>
      </c>
      <c r="C22" s="52">
        <f>IFERROR((1+$I$787)^(252/COUNT($F$37:$F$787))-1,"")</f>
        <v/>
      </c>
      <c r="D22" s="23">
        <f>IFERROR((1+$J$787)^(252/COUNT($G$37:$G$787))-1,"")</f>
        <v/>
      </c>
    </row>
    <row r="23" ht="23" customHeight="1" s="200">
      <c r="A23" s="24" t="inlineStr">
        <is>
          <t>Annualized Volatility</t>
        </is>
      </c>
      <c r="B23" s="25">
        <f>IFERROR(_xlfn.STDEV.S($E$37:$E$787)*SQRT($D$7),"")</f>
        <v/>
      </c>
      <c r="C23" s="25">
        <f>IFERROR(_xlfn.STDEV.S($F$37:$F$787)*SQRT($D$7),"")</f>
        <v/>
      </c>
      <c r="D23" s="26">
        <f>IFERROR(_xlfn.STDEV.S($G$37:$G$787)*SQRT($D$7),"")</f>
        <v/>
      </c>
    </row>
    <row r="24" ht="23" customHeight="1" s="200">
      <c r="A24" s="24" t="inlineStr">
        <is>
          <t>Total Return</t>
        </is>
      </c>
      <c r="B24" s="25">
        <f>(B787/B36)-1</f>
        <v/>
      </c>
      <c r="C24" s="25">
        <f>(C787/C36)-1</f>
        <v/>
      </c>
      <c r="D24" s="26">
        <f>(D787/D36)-1</f>
        <v/>
      </c>
    </row>
    <row r="25" ht="23" customHeight="1" s="200">
      <c r="A25" s="24" t="inlineStr">
        <is>
          <t>Beta vs SPY</t>
        </is>
      </c>
      <c r="B25" s="27">
        <f>IFERROR(SLOPE($E$37:$E$787,$F$37:$F$787),"")</f>
        <v/>
      </c>
      <c r="D25" s="28" t="n"/>
    </row>
    <row r="26" ht="23" customHeight="1" s="200">
      <c r="A26" s="24" t="inlineStr">
        <is>
          <t>Beta vs XLB</t>
        </is>
      </c>
      <c r="B26" s="27">
        <f>IFERROR(SLOPE($E$37:$E$787,$G$37:$G$787),"")</f>
        <v/>
      </c>
      <c r="D26" s="28" t="n"/>
    </row>
    <row r="27" ht="23" customHeight="1" s="200">
      <c r="A27" s="24" t="inlineStr">
        <is>
          <t>Sharpe Ratio</t>
        </is>
      </c>
      <c r="B27" s="27">
        <f>IFERROR((B22-$D$5)/B23,"")</f>
        <v/>
      </c>
      <c r="D27" s="28" t="n"/>
    </row>
    <row r="28" ht="23" customHeight="1" s="200">
      <c r="A28" s="24" t="inlineStr">
        <is>
          <t>Sortino Ratio</t>
        </is>
      </c>
      <c r="B28" s="27">
        <f>IFERROR((B22-$D$5)/(SQRT(SUMSQ($U$37:$U$787)/COUNT($E$37:$E$787))*SQRT($D$7)),"")</f>
        <v/>
      </c>
      <c r="D28" s="28" t="n"/>
    </row>
    <row r="29" ht="23" customHeight="1" s="200">
      <c r="A29" s="72" t="n"/>
      <c r="B29" s="73" t="n"/>
      <c r="C29" s="19" t="n"/>
      <c r="D29" s="74" t="n"/>
    </row>
    <row r="30" ht="23" customHeight="1" s="200">
      <c r="A30" s="29" t="inlineStr">
        <is>
          <t>Max Drawdown</t>
        </is>
      </c>
      <c r="B30" s="31">
        <f>MIN($S$36:$S$787)</f>
        <v/>
      </c>
      <c r="C30" s="32" t="n"/>
      <c r="D30" s="33" t="n"/>
    </row>
    <row r="31" ht="23" customHeight="1" s="200">
      <c r="A31" s="55" t="n"/>
      <c r="B31" s="56" t="n"/>
      <c r="C31" s="19" t="n"/>
      <c r="D31" s="53" t="n"/>
    </row>
    <row r="32" ht="23" customHeight="1" s="200">
      <c r="A32" s="55" t="n"/>
      <c r="B32" s="56" t="n"/>
      <c r="C32" s="19" t="n"/>
      <c r="D32" s="53" t="n"/>
    </row>
    <row r="33" customFormat="1" s="54">
      <c r="A33" s="47" t="n"/>
      <c r="B33" s="47" t="n"/>
      <c r="C33" s="47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53" t="n"/>
    </row>
    <row r="34" customFormat="1" s="20">
      <c r="A34" s="34" t="inlineStr">
        <is>
          <t>Price Data and Excel Formula Calculations</t>
        </is>
      </c>
      <c r="B34" s="35" t="n"/>
      <c r="C34" s="35" t="n"/>
      <c r="D34" s="35" t="n"/>
      <c r="E34" s="35" t="n"/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48" t="n"/>
    </row>
    <row r="35" customFormat="1" s="30">
      <c r="A35" s="36" t="inlineStr">
        <is>
          <t>Date</t>
        </is>
      </c>
      <c r="B35" s="36" t="inlineStr">
        <is>
          <t>VMC Adj Close</t>
        </is>
      </c>
      <c r="C35" s="36" t="inlineStr">
        <is>
          <t>SPY Adj Close</t>
        </is>
      </c>
      <c r="D35" s="36" t="inlineStr">
        <is>
          <t>XLB Adj Close</t>
        </is>
      </c>
      <c r="E35" s="36" t="inlineStr">
        <is>
          <t>VMC Daily Return</t>
        </is>
      </c>
      <c r="F35" s="36" t="inlineStr">
        <is>
          <t>SPY Daily Return</t>
        </is>
      </c>
      <c r="G35" s="36" t="inlineStr">
        <is>
          <t>XLB Daily Return</t>
        </is>
      </c>
      <c r="H35" s="36" t="inlineStr">
        <is>
          <t>VMC Cumulative Return</t>
        </is>
      </c>
      <c r="I35" s="36" t="inlineStr">
        <is>
          <t>SPY Cumulative Return</t>
        </is>
      </c>
      <c r="J35" s="36" t="inlineStr">
        <is>
          <t>XLB Cumulative Return</t>
        </is>
      </c>
      <c r="K35" s="36" t="inlineStr">
        <is>
          <t>VMC Normalized</t>
        </is>
      </c>
      <c r="L35" s="36" t="inlineStr">
        <is>
          <t>SPY Normalized</t>
        </is>
      </c>
      <c r="M35" s="36" t="inlineStr">
        <is>
          <t>XLB Normalized</t>
        </is>
      </c>
      <c r="N35" s="36" t="inlineStr">
        <is>
          <t>Relative vs SPY</t>
        </is>
      </c>
      <c r="O35" s="36" t="inlineStr">
        <is>
          <t>Relative vs XLB</t>
        </is>
      </c>
      <c r="P35" s="45" t="inlineStr">
        <is>
          <t>VMC EMA 200D</t>
        </is>
      </c>
      <c r="Q35" s="36" t="inlineStr">
        <is>
          <t>VMC Wealth Index</t>
        </is>
      </c>
      <c r="R35" s="36" t="inlineStr">
        <is>
          <t>VMC Running Peak</t>
        </is>
      </c>
      <c r="S35" s="36" t="inlineStr">
        <is>
          <t>VMC Drawdown</t>
        </is>
      </c>
      <c r="T35" s="36" t="inlineStr">
        <is>
          <t>Rolling Volatility 60D</t>
        </is>
      </c>
      <c r="U35" s="36" t="inlineStr">
        <is>
          <t>Downside Return</t>
        </is>
      </c>
      <c r="V35" s="36" t="inlineStr">
        <is>
          <t>Active Return vs SPY</t>
        </is>
      </c>
      <c r="W35" s="36" t="inlineStr">
        <is>
          <t>VMC Price Link</t>
        </is>
      </c>
      <c r="X35" s="37" t="n"/>
    </row>
    <row r="36">
      <c r="A36" s="38" t="n">
        <v>44991</v>
      </c>
      <c r="B36" s="39" t="n">
        <v>179.79</v>
      </c>
      <c r="C36" s="39" t="n">
        <v>404.47</v>
      </c>
      <c r="D36" s="39" t="n">
        <v>41.615</v>
      </c>
      <c r="E36" s="40" t="n"/>
      <c r="F36" s="40" t="n"/>
      <c r="G36" s="40" t="n"/>
      <c r="H36" s="41" t="n">
        <v>0</v>
      </c>
      <c r="I36" s="41" t="n">
        <v>0</v>
      </c>
      <c r="J36" s="41" t="n">
        <v>0</v>
      </c>
      <c r="K36" s="42">
        <f>IFERROR(B36/$B$36*100,"")</f>
        <v/>
      </c>
      <c r="L36" s="42">
        <f>IFERROR(C36/$C$36*100,"")</f>
        <v/>
      </c>
      <c r="M36" s="42">
        <f>IFERROR(D36/$D$36*100,"")</f>
        <v/>
      </c>
      <c r="N36" s="41" t="n">
        <v>0</v>
      </c>
      <c r="O36" s="43" t="n">
        <v>0</v>
      </c>
      <c r="P36" s="39">
        <f>B36</f>
        <v/>
      </c>
      <c r="Q36" s="44" t="n">
        <v>1</v>
      </c>
      <c r="R36" s="42" t="n">
        <v>1</v>
      </c>
      <c r="S36" s="41" t="n">
        <v>0</v>
      </c>
      <c r="T36" s="41">
        <f>IFERROR(_xlfn.STDEV.S(#REF!)*SQRT($D$7),"")</f>
        <v/>
      </c>
      <c r="U36" s="40" t="n"/>
      <c r="V36" s="40" t="n"/>
      <c r="W36" s="39">
        <f>B36</f>
        <v/>
      </c>
      <c r="X36" s="21" t="n"/>
    </row>
    <row r="37">
      <c r="A37" s="38" t="n">
        <v>44992</v>
      </c>
      <c r="B37" s="39" t="n">
        <v>177.23</v>
      </c>
      <c r="C37" s="39" t="n">
        <v>398.27</v>
      </c>
      <c r="D37" s="39" t="n">
        <v>40.795</v>
      </c>
      <c r="E37" s="41">
        <f>IFERROR(B37/B36-1,"")</f>
        <v/>
      </c>
      <c r="F37" s="41">
        <f>IFERROR(C37/C36-1,"")</f>
        <v/>
      </c>
      <c r="G37" s="41">
        <f>IFERROR(D37/D36-1,"")</f>
        <v/>
      </c>
      <c r="H37" s="41">
        <f>IFERROR((1+E37)*(1+H36)-1,"")</f>
        <v/>
      </c>
      <c r="I37" s="41">
        <f>IFERROR((1+F37)*(1+I36)-1,"")</f>
        <v/>
      </c>
      <c r="J37" s="41">
        <f>IFERROR((1+G37)*(1+J36)-1,"")</f>
        <v/>
      </c>
      <c r="K37" s="42">
        <f>IFERROR(B37/$B$36*100,"")</f>
        <v/>
      </c>
      <c r="L37" s="42">
        <f>IFERROR(C37/$C$36*100,"")</f>
        <v/>
      </c>
      <c r="M37" s="42">
        <f>IFERROR(D37/$D$36*100,"")</f>
        <v/>
      </c>
      <c r="N37" s="41">
        <f>IFERROR((1+H37)/(1+I37)-1,"")</f>
        <v/>
      </c>
      <c r="O37" s="41">
        <f>IFERROR((1+H37)/(1+J37)-1,"")</f>
        <v/>
      </c>
      <c r="P37" s="46">
        <f>IFERROR(B37*0.0099502487562189+P36*(1-0.0099502487562189),"")</f>
        <v/>
      </c>
      <c r="Q37" s="42">
        <f>Q36*(1+E37)</f>
        <v/>
      </c>
      <c r="R37" s="42">
        <f>MAX(R36,Q37)</f>
        <v/>
      </c>
      <c r="S37" s="41">
        <f>IFERROR(Q37/R37-1,"")</f>
        <v/>
      </c>
      <c r="T37" s="41">
        <f>IFERROR(_xlfn.STDEV.S(#REF!)*SQRT($D$7),"")</f>
        <v/>
      </c>
      <c r="U37" s="41">
        <f>IFERROR(MIN(E37-$D$6,0),"")</f>
        <v/>
      </c>
      <c r="V37" s="41">
        <f>IFERROR(E37-F37,"")</f>
        <v/>
      </c>
      <c r="W37" s="39">
        <f>B37</f>
        <v/>
      </c>
      <c r="X37" s="21" t="n"/>
    </row>
    <row r="38">
      <c r="A38" s="38" t="n">
        <v>44993</v>
      </c>
      <c r="B38" s="39" t="n">
        <v>178.92</v>
      </c>
      <c r="C38" s="39" t="n">
        <v>398.92</v>
      </c>
      <c r="D38" s="39" t="n">
        <v>40.995</v>
      </c>
      <c r="E38" s="41">
        <f>IFERROR(B38/B37-1,"")</f>
        <v/>
      </c>
      <c r="F38" s="41">
        <f>IFERROR(C38/C37-1,"")</f>
        <v/>
      </c>
      <c r="G38" s="41">
        <f>IFERROR(D38/D37-1,"")</f>
        <v/>
      </c>
      <c r="H38" s="41">
        <f>IFERROR((1+E38)*(1+H37)-1,"")</f>
        <v/>
      </c>
      <c r="I38" s="41">
        <f>IFERROR((1+F38)*(1+I37)-1,"")</f>
        <v/>
      </c>
      <c r="J38" s="41">
        <f>IFERROR((1+G38)*(1+J37)-1,"")</f>
        <v/>
      </c>
      <c r="K38" s="42">
        <f>IFERROR(B38/$B$36*100,"")</f>
        <v/>
      </c>
      <c r="L38" s="42">
        <f>IFERROR(C38/$C$36*100,"")</f>
        <v/>
      </c>
      <c r="M38" s="42">
        <f>IFERROR(D38/$D$36*100,"")</f>
        <v/>
      </c>
      <c r="N38" s="41">
        <f>IFERROR((1+H38)/(1+I38)-1,"")</f>
        <v/>
      </c>
      <c r="O38" s="41">
        <f>IFERROR((1+H38)/(1+J38)-1,"")</f>
        <v/>
      </c>
      <c r="P38" s="39">
        <f>IFERROR(B38*0.0099502487562189+P37*(1-0.0099502487562189),"")</f>
        <v/>
      </c>
      <c r="Q38" s="42">
        <f>Q37*(1+E38)</f>
        <v/>
      </c>
      <c r="R38" s="42">
        <f>MAX(R37,Q38)</f>
        <v/>
      </c>
      <c r="S38" s="41">
        <f>IFERROR(Q38/R38-1,"")</f>
        <v/>
      </c>
      <c r="T38" s="41">
        <f>IFERROR(_xlfn.STDEV.S(#REF!)*SQRT($D$7),"")</f>
        <v/>
      </c>
      <c r="U38" s="41">
        <f>IFERROR(MIN(E38-$D$6,0),"")</f>
        <v/>
      </c>
      <c r="V38" s="41">
        <f>IFERROR(E38-F38,"")</f>
        <v/>
      </c>
      <c r="W38" s="39">
        <f>B38</f>
        <v/>
      </c>
      <c r="X38" s="21" t="n"/>
    </row>
    <row r="39">
      <c r="A39" s="38" t="n">
        <v>44994</v>
      </c>
      <c r="B39" s="39" t="n">
        <v>174.07</v>
      </c>
      <c r="C39" s="39" t="n">
        <v>391.56</v>
      </c>
      <c r="D39" s="39" t="n">
        <v>39.94</v>
      </c>
      <c r="E39" s="41">
        <f>IFERROR(B39/B38-1,"")</f>
        <v/>
      </c>
      <c r="F39" s="41">
        <f>IFERROR(C39/C38-1,"")</f>
        <v/>
      </c>
      <c r="G39" s="41">
        <f>IFERROR(D39/D38-1,"")</f>
        <v/>
      </c>
      <c r="H39" s="41">
        <f>IFERROR((1+E39)*(1+H38)-1,"")</f>
        <v/>
      </c>
      <c r="I39" s="41">
        <f>IFERROR((1+F39)*(1+I38)-1,"")</f>
        <v/>
      </c>
      <c r="J39" s="41">
        <f>IFERROR((1+G39)*(1+J38)-1,"")</f>
        <v/>
      </c>
      <c r="K39" s="42">
        <f>IFERROR(B39/$B$36*100,"")</f>
        <v/>
      </c>
      <c r="L39" s="42">
        <f>IFERROR(C39/$C$36*100,"")</f>
        <v/>
      </c>
      <c r="M39" s="42">
        <f>IFERROR(D39/$D$36*100,"")</f>
        <v/>
      </c>
      <c r="N39" s="41">
        <f>IFERROR((1+H39)/(1+I39)-1,"")</f>
        <v/>
      </c>
      <c r="O39" s="41">
        <f>IFERROR((1+H39)/(1+J39)-1,"")</f>
        <v/>
      </c>
      <c r="P39" s="39">
        <f>IFERROR(B39*0.0099502487562189+P38*(1-0.0099502487562189),"")</f>
        <v/>
      </c>
      <c r="Q39" s="42">
        <f>Q38*(1+E39)</f>
        <v/>
      </c>
      <c r="R39" s="42">
        <f>MAX(R38,Q39)</f>
        <v/>
      </c>
      <c r="S39" s="41">
        <f>IFERROR(Q39/R39-1,"")</f>
        <v/>
      </c>
      <c r="T39" s="41">
        <f>IFERROR(_xlfn.STDEV.S(#REF!)*SQRT($D$7),"")</f>
        <v/>
      </c>
      <c r="U39" s="41">
        <f>IFERROR(MIN(E39-$D$6,0),"")</f>
        <v/>
      </c>
      <c r="V39" s="41">
        <f>IFERROR(E39-F39,"")</f>
        <v/>
      </c>
      <c r="W39" s="39">
        <f>B39</f>
        <v/>
      </c>
      <c r="X39" s="21" t="n"/>
    </row>
    <row r="40">
      <c r="A40" s="38" t="n">
        <v>44995</v>
      </c>
      <c r="B40" s="39" t="n">
        <v>169.29</v>
      </c>
      <c r="C40" s="39" t="n">
        <v>385.91</v>
      </c>
      <c r="D40" s="39" t="n">
        <v>39.09</v>
      </c>
      <c r="E40" s="41">
        <f>IFERROR(B40/B39-1,"")</f>
        <v/>
      </c>
      <c r="F40" s="41">
        <f>IFERROR(C40/C39-1,"")</f>
        <v/>
      </c>
      <c r="G40" s="41">
        <f>IFERROR(D40/D39-1,"")</f>
        <v/>
      </c>
      <c r="H40" s="41">
        <f>IFERROR((1+E40)*(1+H39)-1,"")</f>
        <v/>
      </c>
      <c r="I40" s="41">
        <f>IFERROR((1+F40)*(1+I39)-1,"")</f>
        <v/>
      </c>
      <c r="J40" s="41">
        <f>IFERROR((1+G40)*(1+J39)-1,"")</f>
        <v/>
      </c>
      <c r="K40" s="42">
        <f>IFERROR(B40/$B$36*100,"")</f>
        <v/>
      </c>
      <c r="L40" s="42">
        <f>IFERROR(C40/$C$36*100,"")</f>
        <v/>
      </c>
      <c r="M40" s="42">
        <f>IFERROR(D40/$D$36*100,"")</f>
        <v/>
      </c>
      <c r="N40" s="41">
        <f>IFERROR((1+H40)/(1+I40)-1,"")</f>
        <v/>
      </c>
      <c r="O40" s="41">
        <f>IFERROR((1+H40)/(1+J40)-1,"")</f>
        <v/>
      </c>
      <c r="P40" s="39">
        <f>IFERROR(B40*0.0099502487562189+P39*(1-0.0099502487562189),"")</f>
        <v/>
      </c>
      <c r="Q40" s="42">
        <f>Q39*(1+E40)</f>
        <v/>
      </c>
      <c r="R40" s="42">
        <f>MAX(R39,Q40)</f>
        <v/>
      </c>
      <c r="S40" s="41">
        <f>IFERROR(Q40/R40-1,"")</f>
        <v/>
      </c>
      <c r="T40" s="41">
        <f>IFERROR(_xlfn.STDEV.S(#REF!)*SQRT($D$7),"")</f>
        <v/>
      </c>
      <c r="U40" s="41">
        <f>IFERROR(MIN(E40-$D$6,0),"")</f>
        <v/>
      </c>
      <c r="V40" s="41">
        <f>IFERROR(E40-F40,"")</f>
        <v/>
      </c>
      <c r="W40" s="39">
        <f>B40</f>
        <v/>
      </c>
      <c r="X40" s="21" t="n"/>
    </row>
    <row r="41">
      <c r="A41" s="38" t="n">
        <v>44998</v>
      </c>
      <c r="B41" s="39" t="n">
        <v>165.98</v>
      </c>
      <c r="C41" s="39" t="n">
        <v>385.36</v>
      </c>
      <c r="D41" s="39" t="n">
        <v>38.69</v>
      </c>
      <c r="E41" s="41">
        <f>IFERROR(B41/B40-1,"")</f>
        <v/>
      </c>
      <c r="F41" s="41">
        <f>IFERROR(C41/C40-1,"")</f>
        <v/>
      </c>
      <c r="G41" s="41">
        <f>IFERROR(D41/D40-1,"")</f>
        <v/>
      </c>
      <c r="H41" s="41">
        <f>IFERROR((1+E41)*(1+H40)-1,"")</f>
        <v/>
      </c>
      <c r="I41" s="41">
        <f>IFERROR((1+F41)*(1+I40)-1,"")</f>
        <v/>
      </c>
      <c r="J41" s="41">
        <f>IFERROR((1+G41)*(1+J40)-1,"")</f>
        <v/>
      </c>
      <c r="K41" s="42">
        <f>IFERROR(B41/$B$36*100,"")</f>
        <v/>
      </c>
      <c r="L41" s="42">
        <f>IFERROR(C41/$C$36*100,"")</f>
        <v/>
      </c>
      <c r="M41" s="42">
        <f>IFERROR(D41/$D$36*100,"")</f>
        <v/>
      </c>
      <c r="N41" s="41">
        <f>IFERROR((1+H41)/(1+I41)-1,"")</f>
        <v/>
      </c>
      <c r="O41" s="41">
        <f>IFERROR((1+H41)/(1+J41)-1,"")</f>
        <v/>
      </c>
      <c r="P41" s="39">
        <f>IFERROR(B41*0.0099502487562189+P40*(1-0.0099502487562189),"")</f>
        <v/>
      </c>
      <c r="Q41" s="42">
        <f>Q40*(1+E41)</f>
        <v/>
      </c>
      <c r="R41" s="42">
        <f>MAX(R40,Q41)</f>
        <v/>
      </c>
      <c r="S41" s="41">
        <f>IFERROR(Q41/R41-1,"")</f>
        <v/>
      </c>
      <c r="T41" s="41">
        <f>IFERROR(_xlfn.STDEV.S(#REF!)*SQRT($D$7),"")</f>
        <v/>
      </c>
      <c r="U41" s="41">
        <f>IFERROR(MIN(E41-$D$6,0),"")</f>
        <v/>
      </c>
      <c r="V41" s="41">
        <f>IFERROR(E41-F41,"")</f>
        <v/>
      </c>
      <c r="W41" s="39">
        <f>B41</f>
        <v/>
      </c>
      <c r="X41" s="21" t="n"/>
    </row>
    <row r="42">
      <c r="A42" s="38" t="n">
        <v>44999</v>
      </c>
      <c r="B42" s="39" t="n">
        <v>167.51</v>
      </c>
      <c r="C42" s="39" t="n">
        <v>391.73</v>
      </c>
      <c r="D42" s="39" t="n">
        <v>39.185</v>
      </c>
      <c r="E42" s="41">
        <f>IFERROR(B42/B41-1,"")</f>
        <v/>
      </c>
      <c r="F42" s="41">
        <f>IFERROR(C42/C41-1,"")</f>
        <v/>
      </c>
      <c r="G42" s="41">
        <f>IFERROR(D42/D41-1,"")</f>
        <v/>
      </c>
      <c r="H42" s="41">
        <f>IFERROR((1+E42)*(1+H41)-1,"")</f>
        <v/>
      </c>
      <c r="I42" s="41">
        <f>IFERROR((1+F42)*(1+I41)-1,"")</f>
        <v/>
      </c>
      <c r="J42" s="41">
        <f>IFERROR((1+G42)*(1+J41)-1,"")</f>
        <v/>
      </c>
      <c r="K42" s="42">
        <f>IFERROR(B42/$B$36*100,"")</f>
        <v/>
      </c>
      <c r="L42" s="42">
        <f>IFERROR(C42/$C$36*100,"")</f>
        <v/>
      </c>
      <c r="M42" s="42">
        <f>IFERROR(D42/$D$36*100,"")</f>
        <v/>
      </c>
      <c r="N42" s="41">
        <f>IFERROR((1+H42)/(1+I42)-1,"")</f>
        <v/>
      </c>
      <c r="O42" s="41">
        <f>IFERROR((1+H42)/(1+J42)-1,"")</f>
        <v/>
      </c>
      <c r="P42" s="39">
        <f>IFERROR(B42*0.0099502487562189+P41*(1-0.0099502487562189),"")</f>
        <v/>
      </c>
      <c r="Q42" s="42">
        <f>Q41*(1+E42)</f>
        <v/>
      </c>
      <c r="R42" s="42">
        <f>MAX(R41,Q42)</f>
        <v/>
      </c>
      <c r="S42" s="41">
        <f>IFERROR(Q42/R42-1,"")</f>
        <v/>
      </c>
      <c r="T42" s="41">
        <f>IFERROR(_xlfn.STDEV.S(#REF!)*SQRT($D$7),"")</f>
        <v/>
      </c>
      <c r="U42" s="41">
        <f>IFERROR(MIN(E42-$D$6,0),"")</f>
        <v/>
      </c>
      <c r="V42" s="41">
        <f>IFERROR(E42-F42,"")</f>
        <v/>
      </c>
      <c r="W42" s="39">
        <f>B42</f>
        <v/>
      </c>
      <c r="X42" s="21" t="n"/>
    </row>
    <row r="43">
      <c r="A43" s="38" t="n">
        <v>45000</v>
      </c>
      <c r="B43" s="39" t="n">
        <v>162.81</v>
      </c>
      <c r="C43" s="39" t="n">
        <v>389.28</v>
      </c>
      <c r="D43" s="39" t="n">
        <v>37.915</v>
      </c>
      <c r="E43" s="41">
        <f>IFERROR(B43/B42-1,"")</f>
        <v/>
      </c>
      <c r="F43" s="41">
        <f>IFERROR(C43/C42-1,"")</f>
        <v/>
      </c>
      <c r="G43" s="41">
        <f>IFERROR(D43/D42-1,"")</f>
        <v/>
      </c>
      <c r="H43" s="41">
        <f>IFERROR((1+E43)*(1+H42)-1,"")</f>
        <v/>
      </c>
      <c r="I43" s="41">
        <f>IFERROR((1+F43)*(1+I42)-1,"")</f>
        <v/>
      </c>
      <c r="J43" s="41">
        <f>IFERROR((1+G43)*(1+J42)-1,"")</f>
        <v/>
      </c>
      <c r="K43" s="42">
        <f>IFERROR(B43/$B$36*100,"")</f>
        <v/>
      </c>
      <c r="L43" s="42">
        <f>IFERROR(C43/$C$36*100,"")</f>
        <v/>
      </c>
      <c r="M43" s="42">
        <f>IFERROR(D43/$D$36*100,"")</f>
        <v/>
      </c>
      <c r="N43" s="41">
        <f>IFERROR((1+H43)/(1+I43)-1,"")</f>
        <v/>
      </c>
      <c r="O43" s="41">
        <f>IFERROR((1+H43)/(1+J43)-1,"")</f>
        <v/>
      </c>
      <c r="P43" s="39">
        <f>IFERROR(B43*0.0099502487562189+P42*(1-0.0099502487562189),"")</f>
        <v/>
      </c>
      <c r="Q43" s="42">
        <f>Q42*(1+E43)</f>
        <v/>
      </c>
      <c r="R43" s="42">
        <f>MAX(R42,Q43)</f>
        <v/>
      </c>
      <c r="S43" s="41">
        <f>IFERROR(Q43/R43-1,"")</f>
        <v/>
      </c>
      <c r="T43" s="41">
        <f>IFERROR(_xlfn.STDEV.S(#REF!)*SQRT($D$7),"")</f>
        <v/>
      </c>
      <c r="U43" s="41">
        <f>IFERROR(MIN(E43-$D$6,0),"")</f>
        <v/>
      </c>
      <c r="V43" s="41">
        <f>IFERROR(E43-F43,"")</f>
        <v/>
      </c>
      <c r="W43" s="39">
        <f>B43</f>
        <v/>
      </c>
      <c r="X43" s="21" t="n"/>
    </row>
    <row r="44">
      <c r="A44" s="38" t="n">
        <v>45001</v>
      </c>
      <c r="B44" s="39" t="n">
        <v>166.21</v>
      </c>
      <c r="C44" s="39" t="n">
        <v>396.11</v>
      </c>
      <c r="D44" s="39" t="n">
        <v>38.35</v>
      </c>
      <c r="E44" s="41">
        <f>IFERROR(B44/B43-1,"")</f>
        <v/>
      </c>
      <c r="F44" s="41">
        <f>IFERROR(C44/C43-1,"")</f>
        <v/>
      </c>
      <c r="G44" s="41">
        <f>IFERROR(D44/D43-1,"")</f>
        <v/>
      </c>
      <c r="H44" s="41">
        <f>IFERROR((1+E44)*(1+H43)-1,"")</f>
        <v/>
      </c>
      <c r="I44" s="41">
        <f>IFERROR((1+F44)*(1+I43)-1,"")</f>
        <v/>
      </c>
      <c r="J44" s="41">
        <f>IFERROR((1+G44)*(1+J43)-1,"")</f>
        <v/>
      </c>
      <c r="K44" s="42">
        <f>IFERROR(B44/$B$36*100,"")</f>
        <v/>
      </c>
      <c r="L44" s="42">
        <f>IFERROR(C44/$C$36*100,"")</f>
        <v/>
      </c>
      <c r="M44" s="42">
        <f>IFERROR(D44/$D$36*100,"")</f>
        <v/>
      </c>
      <c r="N44" s="41">
        <f>IFERROR((1+H44)/(1+I44)-1,"")</f>
        <v/>
      </c>
      <c r="O44" s="41">
        <f>IFERROR((1+H44)/(1+J44)-1,"")</f>
        <v/>
      </c>
      <c r="P44" s="39">
        <f>IFERROR(B44*0.0099502487562189+P43*(1-0.0099502487562189),"")</f>
        <v/>
      </c>
      <c r="Q44" s="42">
        <f>Q43*(1+E44)</f>
        <v/>
      </c>
      <c r="R44" s="42">
        <f>MAX(R43,Q44)</f>
        <v/>
      </c>
      <c r="S44" s="41">
        <f>IFERROR(Q44/R44-1,"")</f>
        <v/>
      </c>
      <c r="T44" s="41">
        <f>IFERROR(_xlfn.STDEV.S(#REF!)*SQRT($D$7),"")</f>
        <v/>
      </c>
      <c r="U44" s="41">
        <f>IFERROR(MIN(E44-$D$6,0),"")</f>
        <v/>
      </c>
      <c r="V44" s="41">
        <f>IFERROR(E44-F44,"")</f>
        <v/>
      </c>
      <c r="W44" s="39">
        <f>B44</f>
        <v/>
      </c>
      <c r="X44" s="21" t="n"/>
    </row>
    <row r="45">
      <c r="A45" s="38" t="n">
        <v>45002</v>
      </c>
      <c r="B45" s="39" t="n">
        <v>161.02</v>
      </c>
      <c r="C45" s="39" t="n">
        <v>389.99</v>
      </c>
      <c r="D45" s="39" t="n">
        <v>37.755</v>
      </c>
      <c r="E45" s="41">
        <f>IFERROR(B45/B44-1,"")</f>
        <v/>
      </c>
      <c r="F45" s="41">
        <f>IFERROR(C45/C44-1,"")</f>
        <v/>
      </c>
      <c r="G45" s="41">
        <f>IFERROR(D45/D44-1,"")</f>
        <v/>
      </c>
      <c r="H45" s="41">
        <f>IFERROR((1+E45)*(1+H44)-1,"")</f>
        <v/>
      </c>
      <c r="I45" s="41">
        <f>IFERROR((1+F45)*(1+I44)-1,"")</f>
        <v/>
      </c>
      <c r="J45" s="41">
        <f>IFERROR((1+G45)*(1+J44)-1,"")</f>
        <v/>
      </c>
      <c r="K45" s="42">
        <f>IFERROR(B45/$B$36*100,"")</f>
        <v/>
      </c>
      <c r="L45" s="42">
        <f>IFERROR(C45/$C$36*100,"")</f>
        <v/>
      </c>
      <c r="M45" s="42">
        <f>IFERROR(D45/$D$36*100,"")</f>
        <v/>
      </c>
      <c r="N45" s="41">
        <f>IFERROR((1+H45)/(1+I45)-1,"")</f>
        <v/>
      </c>
      <c r="O45" s="41">
        <f>IFERROR((1+H45)/(1+J45)-1,"")</f>
        <v/>
      </c>
      <c r="P45" s="39">
        <f>IFERROR(B45*0.0099502487562189+P44*(1-0.0099502487562189),"")</f>
        <v/>
      </c>
      <c r="Q45" s="42">
        <f>Q44*(1+E45)</f>
        <v/>
      </c>
      <c r="R45" s="42">
        <f>MAX(R44,Q45)</f>
        <v/>
      </c>
      <c r="S45" s="41">
        <f>IFERROR(Q45/R45-1,"")</f>
        <v/>
      </c>
      <c r="T45" s="41">
        <f>IFERROR(_xlfn.STDEV.S(#REF!)*SQRT($D$7),"")</f>
        <v/>
      </c>
      <c r="U45" s="41">
        <f>IFERROR(MIN(E45-$D$6,0),"")</f>
        <v/>
      </c>
      <c r="V45" s="41">
        <f>IFERROR(E45-F45,"")</f>
        <v/>
      </c>
      <c r="W45" s="39">
        <f>B45</f>
        <v/>
      </c>
      <c r="X45" s="21" t="n"/>
    </row>
    <row r="46">
      <c r="A46" s="38" t="n">
        <v>45005</v>
      </c>
      <c r="B46" s="39" t="n">
        <v>163.27</v>
      </c>
      <c r="C46" s="39" t="n">
        <v>393.74</v>
      </c>
      <c r="D46" s="39" t="n">
        <v>38.365</v>
      </c>
      <c r="E46" s="41">
        <f>IFERROR(B46/B45-1,"")</f>
        <v/>
      </c>
      <c r="F46" s="41">
        <f>IFERROR(C46/C45-1,"")</f>
        <v/>
      </c>
      <c r="G46" s="41">
        <f>IFERROR(D46/D45-1,"")</f>
        <v/>
      </c>
      <c r="H46" s="41">
        <f>IFERROR((1+E46)*(1+H45)-1,"")</f>
        <v/>
      </c>
      <c r="I46" s="41">
        <f>IFERROR((1+F46)*(1+I45)-1,"")</f>
        <v/>
      </c>
      <c r="J46" s="41">
        <f>IFERROR((1+G46)*(1+J45)-1,"")</f>
        <v/>
      </c>
      <c r="K46" s="42">
        <f>IFERROR(B46/$B$36*100,"")</f>
        <v/>
      </c>
      <c r="L46" s="42">
        <f>IFERROR(C46/$C$36*100,"")</f>
        <v/>
      </c>
      <c r="M46" s="42">
        <f>IFERROR(D46/$D$36*100,"")</f>
        <v/>
      </c>
      <c r="N46" s="41">
        <f>IFERROR((1+H46)/(1+I46)-1,"")</f>
        <v/>
      </c>
      <c r="O46" s="41">
        <f>IFERROR((1+H46)/(1+J46)-1,"")</f>
        <v/>
      </c>
      <c r="P46" s="39">
        <f>IFERROR(B46*0.0099502487562189+P45*(1-0.0099502487562189),"")</f>
        <v/>
      </c>
      <c r="Q46" s="42">
        <f>Q45*(1+E46)</f>
        <v/>
      </c>
      <c r="R46" s="42">
        <f>MAX(R45,Q46)</f>
        <v/>
      </c>
      <c r="S46" s="41">
        <f>IFERROR(Q46/R46-1,"")</f>
        <v/>
      </c>
      <c r="T46" s="41">
        <f>IFERROR(_xlfn.STDEV.S(#REF!)*SQRT($D$7),"")</f>
        <v/>
      </c>
      <c r="U46" s="41">
        <f>IFERROR(MIN(E46-$D$6,0),"")</f>
        <v/>
      </c>
      <c r="V46" s="41">
        <f>IFERROR(E46-F46,"")</f>
        <v/>
      </c>
      <c r="W46" s="39">
        <f>B46</f>
        <v/>
      </c>
      <c r="X46" s="21" t="n"/>
    </row>
    <row r="47">
      <c r="A47" s="38" t="n">
        <v>45006</v>
      </c>
      <c r="B47" s="39" t="n">
        <v>166.14</v>
      </c>
      <c r="C47" s="39" t="n">
        <v>398.91</v>
      </c>
      <c r="D47" s="39" t="n">
        <v>38.83</v>
      </c>
      <c r="E47" s="41">
        <f>IFERROR(B47/B46-1,"")</f>
        <v/>
      </c>
      <c r="F47" s="41">
        <f>IFERROR(C47/C46-1,"")</f>
        <v/>
      </c>
      <c r="G47" s="41">
        <f>IFERROR(D47/D46-1,"")</f>
        <v/>
      </c>
      <c r="H47" s="41">
        <f>IFERROR((1+E47)*(1+H46)-1,"")</f>
        <v/>
      </c>
      <c r="I47" s="41">
        <f>IFERROR((1+F47)*(1+I46)-1,"")</f>
        <v/>
      </c>
      <c r="J47" s="41">
        <f>IFERROR((1+G47)*(1+J46)-1,"")</f>
        <v/>
      </c>
      <c r="K47" s="42">
        <f>IFERROR(B47/$B$36*100,"")</f>
        <v/>
      </c>
      <c r="L47" s="42">
        <f>IFERROR(C47/$C$36*100,"")</f>
        <v/>
      </c>
      <c r="M47" s="42">
        <f>IFERROR(D47/$D$36*100,"")</f>
        <v/>
      </c>
      <c r="N47" s="41">
        <f>IFERROR((1+H47)/(1+I47)-1,"")</f>
        <v/>
      </c>
      <c r="O47" s="41">
        <f>IFERROR((1+H47)/(1+J47)-1,"")</f>
        <v/>
      </c>
      <c r="P47" s="39">
        <f>IFERROR(B47*0.0099502487562189+P46*(1-0.0099502487562189),"")</f>
        <v/>
      </c>
      <c r="Q47" s="42">
        <f>Q46*(1+E47)</f>
        <v/>
      </c>
      <c r="R47" s="42">
        <f>MAX(R46,Q47)</f>
        <v/>
      </c>
      <c r="S47" s="41">
        <f>IFERROR(Q47/R47-1,"")</f>
        <v/>
      </c>
      <c r="T47" s="41">
        <f>IFERROR(_xlfn.STDEV.S(#REF!)*SQRT($D$7),"")</f>
        <v/>
      </c>
      <c r="U47" s="41">
        <f>IFERROR(MIN(E47-$D$6,0),"")</f>
        <v/>
      </c>
      <c r="V47" s="41">
        <f>IFERROR(E47-F47,"")</f>
        <v/>
      </c>
      <c r="W47" s="39">
        <f>B47</f>
        <v/>
      </c>
      <c r="X47" s="21" t="n"/>
    </row>
    <row r="48">
      <c r="A48" s="38" t="n">
        <v>45007</v>
      </c>
      <c r="B48" s="39" t="n">
        <v>163.71</v>
      </c>
      <c r="C48" s="39" t="n">
        <v>392.11</v>
      </c>
      <c r="D48" s="39" t="n">
        <v>38.14</v>
      </c>
      <c r="E48" s="41">
        <f>IFERROR(B48/B47-1,"")</f>
        <v/>
      </c>
      <c r="F48" s="41">
        <f>IFERROR(C48/C47-1,"")</f>
        <v/>
      </c>
      <c r="G48" s="41">
        <f>IFERROR(D48/D47-1,"")</f>
        <v/>
      </c>
      <c r="H48" s="41">
        <f>IFERROR((1+E48)*(1+H47)-1,"")</f>
        <v/>
      </c>
      <c r="I48" s="41">
        <f>IFERROR((1+F48)*(1+I47)-1,"")</f>
        <v/>
      </c>
      <c r="J48" s="41">
        <f>IFERROR((1+G48)*(1+J47)-1,"")</f>
        <v/>
      </c>
      <c r="K48" s="42">
        <f>IFERROR(B48/$B$36*100,"")</f>
        <v/>
      </c>
      <c r="L48" s="42">
        <f>IFERROR(C48/$C$36*100,"")</f>
        <v/>
      </c>
      <c r="M48" s="42">
        <f>IFERROR(D48/$D$36*100,"")</f>
        <v/>
      </c>
      <c r="N48" s="41">
        <f>IFERROR((1+H48)/(1+I48)-1,"")</f>
        <v/>
      </c>
      <c r="O48" s="41">
        <f>IFERROR((1+H48)/(1+J48)-1,"")</f>
        <v/>
      </c>
      <c r="P48" s="39">
        <f>IFERROR(B48*0.0099502487562189+P47*(1-0.0099502487562189),"")</f>
        <v/>
      </c>
      <c r="Q48" s="42">
        <f>Q47*(1+E48)</f>
        <v/>
      </c>
      <c r="R48" s="42">
        <f>MAX(R47,Q48)</f>
        <v/>
      </c>
      <c r="S48" s="41">
        <f>IFERROR(Q48/R48-1,"")</f>
        <v/>
      </c>
      <c r="T48" s="41">
        <f>IFERROR(_xlfn.STDEV.S(#REF!)*SQRT($D$7),"")</f>
        <v/>
      </c>
      <c r="U48" s="41">
        <f>IFERROR(MIN(E48-$D$6,0),"")</f>
        <v/>
      </c>
      <c r="V48" s="41">
        <f>IFERROR(E48-F48,"")</f>
        <v/>
      </c>
      <c r="W48" s="39">
        <f>B48</f>
        <v/>
      </c>
      <c r="X48" s="21" t="n"/>
    </row>
    <row r="49">
      <c r="A49" s="38" t="n">
        <v>45008</v>
      </c>
      <c r="B49" s="39" t="n">
        <v>164.5</v>
      </c>
      <c r="C49" s="39" t="n">
        <v>393.17</v>
      </c>
      <c r="D49" s="39" t="n">
        <v>38.095</v>
      </c>
      <c r="E49" s="41">
        <f>IFERROR(B49/B48-1,"")</f>
        <v/>
      </c>
      <c r="F49" s="41">
        <f>IFERROR(C49/C48-1,"")</f>
        <v/>
      </c>
      <c r="G49" s="41">
        <f>IFERROR(D49/D48-1,"")</f>
        <v/>
      </c>
      <c r="H49" s="41">
        <f>IFERROR((1+E49)*(1+H48)-1,"")</f>
        <v/>
      </c>
      <c r="I49" s="41">
        <f>IFERROR((1+F49)*(1+I48)-1,"")</f>
        <v/>
      </c>
      <c r="J49" s="41">
        <f>IFERROR((1+G49)*(1+J48)-1,"")</f>
        <v/>
      </c>
      <c r="K49" s="42">
        <f>IFERROR(B49/$B$36*100,"")</f>
        <v/>
      </c>
      <c r="L49" s="42">
        <f>IFERROR(C49/$C$36*100,"")</f>
        <v/>
      </c>
      <c r="M49" s="42">
        <f>IFERROR(D49/$D$36*100,"")</f>
        <v/>
      </c>
      <c r="N49" s="41">
        <f>IFERROR((1+H49)/(1+I49)-1,"")</f>
        <v/>
      </c>
      <c r="O49" s="41">
        <f>IFERROR((1+H49)/(1+J49)-1,"")</f>
        <v/>
      </c>
      <c r="P49" s="39">
        <f>IFERROR(B49*0.0099502487562189+P48*(1-0.0099502487562189),"")</f>
        <v/>
      </c>
      <c r="Q49" s="42">
        <f>Q48*(1+E49)</f>
        <v/>
      </c>
      <c r="R49" s="42">
        <f>MAX(R48,Q49)</f>
        <v/>
      </c>
      <c r="S49" s="41">
        <f>IFERROR(Q49/R49-1,"")</f>
        <v/>
      </c>
      <c r="T49" s="41">
        <f>IFERROR(_xlfn.STDEV.S(#REF!)*SQRT($D$7),"")</f>
        <v/>
      </c>
      <c r="U49" s="41">
        <f>IFERROR(MIN(E49-$D$6,0),"")</f>
        <v/>
      </c>
      <c r="V49" s="41">
        <f>IFERROR(E49-F49,"")</f>
        <v/>
      </c>
      <c r="W49" s="39">
        <f>B49</f>
        <v/>
      </c>
      <c r="X49" s="21" t="n"/>
    </row>
    <row r="50">
      <c r="A50" s="38" t="n">
        <v>45009</v>
      </c>
      <c r="B50" s="39" t="n">
        <v>166.2</v>
      </c>
      <c r="C50" s="39" t="n">
        <v>395.75</v>
      </c>
      <c r="D50" s="39" t="n">
        <v>38.405</v>
      </c>
      <c r="E50" s="41">
        <f>IFERROR(B50/B49-1,"")</f>
        <v/>
      </c>
      <c r="F50" s="41">
        <f>IFERROR(C50/C49-1,"")</f>
        <v/>
      </c>
      <c r="G50" s="41">
        <f>IFERROR(D50/D49-1,"")</f>
        <v/>
      </c>
      <c r="H50" s="41">
        <f>IFERROR((1+E50)*(1+H49)-1,"")</f>
        <v/>
      </c>
      <c r="I50" s="41">
        <f>IFERROR((1+F50)*(1+I49)-1,"")</f>
        <v/>
      </c>
      <c r="J50" s="41">
        <f>IFERROR((1+G50)*(1+J49)-1,"")</f>
        <v/>
      </c>
      <c r="K50" s="42">
        <f>IFERROR(B50/$B$36*100,"")</f>
        <v/>
      </c>
      <c r="L50" s="42">
        <f>IFERROR(C50/$C$36*100,"")</f>
        <v/>
      </c>
      <c r="M50" s="42">
        <f>IFERROR(D50/$D$36*100,"")</f>
        <v/>
      </c>
      <c r="N50" s="41">
        <f>IFERROR((1+H50)/(1+I50)-1,"")</f>
        <v/>
      </c>
      <c r="O50" s="41">
        <f>IFERROR((1+H50)/(1+J50)-1,"")</f>
        <v/>
      </c>
      <c r="P50" s="39">
        <f>IFERROR(B50*0.0099502487562189+P49*(1-0.0099502487562189),"")</f>
        <v/>
      </c>
      <c r="Q50" s="42">
        <f>Q49*(1+E50)</f>
        <v/>
      </c>
      <c r="R50" s="42">
        <f>MAX(R49,Q50)</f>
        <v/>
      </c>
      <c r="S50" s="41">
        <f>IFERROR(Q50/R50-1,"")</f>
        <v/>
      </c>
      <c r="T50" s="41">
        <f>IFERROR(_xlfn.STDEV.S(#REF!)*SQRT($D$7),"")</f>
        <v/>
      </c>
      <c r="U50" s="41">
        <f>IFERROR(MIN(E50-$D$6,0),"")</f>
        <v/>
      </c>
      <c r="V50" s="41">
        <f>IFERROR(E50-F50,"")</f>
        <v/>
      </c>
      <c r="W50" s="39">
        <f>B50</f>
        <v/>
      </c>
      <c r="X50" s="21" t="n"/>
    </row>
    <row r="51">
      <c r="A51" s="38" t="n">
        <v>45012</v>
      </c>
      <c r="B51" s="39" t="n">
        <v>165.8</v>
      </c>
      <c r="C51" s="39" t="n">
        <v>396.49</v>
      </c>
      <c r="D51" s="39" t="n">
        <v>38.69</v>
      </c>
      <c r="E51" s="41">
        <f>IFERROR(B51/B50-1,"")</f>
        <v/>
      </c>
      <c r="F51" s="41">
        <f>IFERROR(C51/C50-1,"")</f>
        <v/>
      </c>
      <c r="G51" s="41">
        <f>IFERROR(D51/D50-1,"")</f>
        <v/>
      </c>
      <c r="H51" s="41">
        <f>IFERROR((1+E51)*(1+H50)-1,"")</f>
        <v/>
      </c>
      <c r="I51" s="41">
        <f>IFERROR((1+F51)*(1+I50)-1,"")</f>
        <v/>
      </c>
      <c r="J51" s="41">
        <f>IFERROR((1+G51)*(1+J50)-1,"")</f>
        <v/>
      </c>
      <c r="K51" s="42">
        <f>IFERROR(B51/$B$36*100,"")</f>
        <v/>
      </c>
      <c r="L51" s="42">
        <f>IFERROR(C51/$C$36*100,"")</f>
        <v/>
      </c>
      <c r="M51" s="42">
        <f>IFERROR(D51/$D$36*100,"")</f>
        <v/>
      </c>
      <c r="N51" s="41">
        <f>IFERROR((1+H51)/(1+I51)-1,"")</f>
        <v/>
      </c>
      <c r="O51" s="41">
        <f>IFERROR((1+H51)/(1+J51)-1,"")</f>
        <v/>
      </c>
      <c r="P51" s="39">
        <f>IFERROR(B51*0.0099502487562189+P50*(1-0.0099502487562189),"")</f>
        <v/>
      </c>
      <c r="Q51" s="42">
        <f>Q50*(1+E51)</f>
        <v/>
      </c>
      <c r="R51" s="42">
        <f>MAX(R50,Q51)</f>
        <v/>
      </c>
      <c r="S51" s="41">
        <f>IFERROR(Q51/R51-1,"")</f>
        <v/>
      </c>
      <c r="T51" s="41">
        <f>IFERROR(_xlfn.STDEV.S(#REF!)*SQRT($D$7),"")</f>
        <v/>
      </c>
      <c r="U51" s="41">
        <f>IFERROR(MIN(E51-$D$6,0),"")</f>
        <v/>
      </c>
      <c r="V51" s="41">
        <f>IFERROR(E51-F51,"")</f>
        <v/>
      </c>
      <c r="W51" s="39">
        <f>B51</f>
        <v/>
      </c>
      <c r="X51" s="21" t="n"/>
    </row>
    <row r="52">
      <c r="A52" s="38" t="n">
        <v>45013</v>
      </c>
      <c r="B52" s="39" t="n">
        <v>168.04</v>
      </c>
      <c r="C52" s="39" t="n">
        <v>395.6</v>
      </c>
      <c r="D52" s="39" t="n">
        <v>38.875</v>
      </c>
      <c r="E52" s="41">
        <f>IFERROR(B52/B51-1,"")</f>
        <v/>
      </c>
      <c r="F52" s="41">
        <f>IFERROR(C52/C51-1,"")</f>
        <v/>
      </c>
      <c r="G52" s="41">
        <f>IFERROR(D52/D51-1,"")</f>
        <v/>
      </c>
      <c r="H52" s="41">
        <f>IFERROR((1+E52)*(1+H51)-1,"")</f>
        <v/>
      </c>
      <c r="I52" s="41">
        <f>IFERROR((1+F52)*(1+I51)-1,"")</f>
        <v/>
      </c>
      <c r="J52" s="41">
        <f>IFERROR((1+G52)*(1+J51)-1,"")</f>
        <v/>
      </c>
      <c r="K52" s="42">
        <f>IFERROR(B52/$B$36*100,"")</f>
        <v/>
      </c>
      <c r="L52" s="42">
        <f>IFERROR(C52/$C$36*100,"")</f>
        <v/>
      </c>
      <c r="M52" s="42">
        <f>IFERROR(D52/$D$36*100,"")</f>
        <v/>
      </c>
      <c r="N52" s="41">
        <f>IFERROR((1+H52)/(1+I52)-1,"")</f>
        <v/>
      </c>
      <c r="O52" s="41">
        <f>IFERROR((1+H52)/(1+J52)-1,"")</f>
        <v/>
      </c>
      <c r="P52" s="39">
        <f>IFERROR(B52*0.0099502487562189+P51*(1-0.0099502487562189),"")</f>
        <v/>
      </c>
      <c r="Q52" s="42">
        <f>Q51*(1+E52)</f>
        <v/>
      </c>
      <c r="R52" s="42">
        <f>MAX(R51,Q52)</f>
        <v/>
      </c>
      <c r="S52" s="41">
        <f>IFERROR(Q52/R52-1,"")</f>
        <v/>
      </c>
      <c r="T52" s="41">
        <f>IFERROR(_xlfn.STDEV.S(#REF!)*SQRT($D$7),"")</f>
        <v/>
      </c>
      <c r="U52" s="41">
        <f>IFERROR(MIN(E52-$D$6,0),"")</f>
        <v/>
      </c>
      <c r="V52" s="41">
        <f>IFERROR(E52-F52,"")</f>
        <v/>
      </c>
      <c r="W52" s="39">
        <f>B52</f>
        <v/>
      </c>
      <c r="X52" s="21" t="n"/>
    </row>
    <row r="53">
      <c r="A53" s="38" t="n">
        <v>45014</v>
      </c>
      <c r="B53" s="39" t="n">
        <v>169.99</v>
      </c>
      <c r="C53" s="39" t="n">
        <v>401.35</v>
      </c>
      <c r="D53" s="39" t="n">
        <v>39.415</v>
      </c>
      <c r="E53" s="41">
        <f>IFERROR(B53/B52-1,"")</f>
        <v/>
      </c>
      <c r="F53" s="41">
        <f>IFERROR(C53/C52-1,"")</f>
        <v/>
      </c>
      <c r="G53" s="41">
        <f>IFERROR(D53/D52-1,"")</f>
        <v/>
      </c>
      <c r="H53" s="41">
        <f>IFERROR((1+E53)*(1+H52)-1,"")</f>
        <v/>
      </c>
      <c r="I53" s="41">
        <f>IFERROR((1+F53)*(1+I52)-1,"")</f>
        <v/>
      </c>
      <c r="J53" s="41">
        <f>IFERROR((1+G53)*(1+J52)-1,"")</f>
        <v/>
      </c>
      <c r="K53" s="42">
        <f>IFERROR(B53/$B$36*100,"")</f>
        <v/>
      </c>
      <c r="L53" s="42">
        <f>IFERROR(C53/$C$36*100,"")</f>
        <v/>
      </c>
      <c r="M53" s="42">
        <f>IFERROR(D53/$D$36*100,"")</f>
        <v/>
      </c>
      <c r="N53" s="41">
        <f>IFERROR((1+H53)/(1+I53)-1,"")</f>
        <v/>
      </c>
      <c r="O53" s="41">
        <f>IFERROR((1+H53)/(1+J53)-1,"")</f>
        <v/>
      </c>
      <c r="P53" s="39">
        <f>IFERROR(B53*0.0099502487562189+P52*(1-0.0099502487562189),"")</f>
        <v/>
      </c>
      <c r="Q53" s="42">
        <f>Q52*(1+E53)</f>
        <v/>
      </c>
      <c r="R53" s="42">
        <f>MAX(R52,Q53)</f>
        <v/>
      </c>
      <c r="S53" s="41">
        <f>IFERROR(Q53/R53-1,"")</f>
        <v/>
      </c>
      <c r="T53" s="41">
        <f>IFERROR(_xlfn.STDEV.S(#REF!)*SQRT($D$7),"")</f>
        <v/>
      </c>
      <c r="U53" s="41">
        <f>IFERROR(MIN(E53-$D$6,0),"")</f>
        <v/>
      </c>
      <c r="V53" s="41">
        <f>IFERROR(E53-F53,"")</f>
        <v/>
      </c>
      <c r="W53" s="39">
        <f>B53</f>
        <v/>
      </c>
      <c r="X53" s="21" t="n"/>
    </row>
    <row r="54">
      <c r="A54" s="38" t="n">
        <v>45015</v>
      </c>
      <c r="B54" s="39" t="n">
        <v>170.14</v>
      </c>
      <c r="C54" s="39" t="n">
        <v>403.7</v>
      </c>
      <c r="D54" s="39" t="n">
        <v>39.685</v>
      </c>
      <c r="E54" s="41">
        <f>IFERROR(B54/B53-1,"")</f>
        <v/>
      </c>
      <c r="F54" s="41">
        <f>IFERROR(C54/C53-1,"")</f>
        <v/>
      </c>
      <c r="G54" s="41">
        <f>IFERROR(D54/D53-1,"")</f>
        <v/>
      </c>
      <c r="H54" s="41">
        <f>IFERROR((1+E54)*(1+H53)-1,"")</f>
        <v/>
      </c>
      <c r="I54" s="41">
        <f>IFERROR((1+F54)*(1+I53)-1,"")</f>
        <v/>
      </c>
      <c r="J54" s="41">
        <f>IFERROR((1+G54)*(1+J53)-1,"")</f>
        <v/>
      </c>
      <c r="K54" s="42">
        <f>IFERROR(B54/$B$36*100,"")</f>
        <v/>
      </c>
      <c r="L54" s="42">
        <f>IFERROR(C54/$C$36*100,"")</f>
        <v/>
      </c>
      <c r="M54" s="42">
        <f>IFERROR(D54/$D$36*100,"")</f>
        <v/>
      </c>
      <c r="N54" s="41">
        <f>IFERROR((1+H54)/(1+I54)-1,"")</f>
        <v/>
      </c>
      <c r="O54" s="41">
        <f>IFERROR((1+H54)/(1+J54)-1,"")</f>
        <v/>
      </c>
      <c r="P54" s="39">
        <f>IFERROR(B54*0.0099502487562189+P53*(1-0.0099502487562189),"")</f>
        <v/>
      </c>
      <c r="Q54" s="42">
        <f>Q53*(1+E54)</f>
        <v/>
      </c>
      <c r="R54" s="42">
        <f>MAX(R53,Q54)</f>
        <v/>
      </c>
      <c r="S54" s="41">
        <f>IFERROR(Q54/R54-1,"")</f>
        <v/>
      </c>
      <c r="T54" s="41">
        <f>IFERROR(_xlfn.STDEV.S(#REF!)*SQRT($D$7),"")</f>
        <v/>
      </c>
      <c r="U54" s="41">
        <f>IFERROR(MIN(E54-$D$6,0),"")</f>
        <v/>
      </c>
      <c r="V54" s="41">
        <f>IFERROR(E54-F54,"")</f>
        <v/>
      </c>
      <c r="W54" s="39">
        <f>B54</f>
        <v/>
      </c>
      <c r="X54" s="21" t="n"/>
    </row>
    <row r="55">
      <c r="A55" s="38" t="n">
        <v>45016</v>
      </c>
      <c r="B55" s="39" t="n">
        <v>171.56</v>
      </c>
      <c r="C55" s="39" t="n">
        <v>409.39</v>
      </c>
      <c r="D55" s="39" t="n">
        <v>40.33</v>
      </c>
      <c r="E55" s="41">
        <f>IFERROR(B55/B54-1,"")</f>
        <v/>
      </c>
      <c r="F55" s="41">
        <f>IFERROR(C55/C54-1,"")</f>
        <v/>
      </c>
      <c r="G55" s="41">
        <f>IFERROR(D55/D54-1,"")</f>
        <v/>
      </c>
      <c r="H55" s="41">
        <f>IFERROR((1+E55)*(1+H54)-1,"")</f>
        <v/>
      </c>
      <c r="I55" s="41">
        <f>IFERROR((1+F55)*(1+I54)-1,"")</f>
        <v/>
      </c>
      <c r="J55" s="41">
        <f>IFERROR((1+G55)*(1+J54)-1,"")</f>
        <v/>
      </c>
      <c r="K55" s="42">
        <f>IFERROR(B55/$B$36*100,"")</f>
        <v/>
      </c>
      <c r="L55" s="42">
        <f>IFERROR(C55/$C$36*100,"")</f>
        <v/>
      </c>
      <c r="M55" s="42">
        <f>IFERROR(D55/$D$36*100,"")</f>
        <v/>
      </c>
      <c r="N55" s="41">
        <f>IFERROR((1+H55)/(1+I55)-1,"")</f>
        <v/>
      </c>
      <c r="O55" s="41">
        <f>IFERROR((1+H55)/(1+J55)-1,"")</f>
        <v/>
      </c>
      <c r="P55" s="39">
        <f>IFERROR(B55*0.0099502487562189+P54*(1-0.0099502487562189),"")</f>
        <v/>
      </c>
      <c r="Q55" s="42">
        <f>Q54*(1+E55)</f>
        <v/>
      </c>
      <c r="R55" s="42">
        <f>MAX(R54,Q55)</f>
        <v/>
      </c>
      <c r="S55" s="41">
        <f>IFERROR(Q55/R55-1,"")</f>
        <v/>
      </c>
      <c r="T55" s="41">
        <f>IFERROR(_xlfn.STDEV.S(#REF!)*SQRT($D$7),"")</f>
        <v/>
      </c>
      <c r="U55" s="41">
        <f>IFERROR(MIN(E55-$D$6,0),"")</f>
        <v/>
      </c>
      <c r="V55" s="41">
        <f>IFERROR(E55-F55,"")</f>
        <v/>
      </c>
      <c r="W55" s="39">
        <f>B55</f>
        <v/>
      </c>
      <c r="X55" s="21" t="n"/>
    </row>
    <row r="56">
      <c r="A56" s="38" t="n">
        <v>45019</v>
      </c>
      <c r="B56" s="39" t="n">
        <v>172.93</v>
      </c>
      <c r="C56" s="39" t="n">
        <v>410.95</v>
      </c>
      <c r="D56" s="39" t="n">
        <v>40.585</v>
      </c>
      <c r="E56" s="41">
        <f>IFERROR(B56/B55-1,"")</f>
        <v/>
      </c>
      <c r="F56" s="41">
        <f>IFERROR(C56/C55-1,"")</f>
        <v/>
      </c>
      <c r="G56" s="41">
        <f>IFERROR(D56/D55-1,"")</f>
        <v/>
      </c>
      <c r="H56" s="41">
        <f>IFERROR((1+E56)*(1+H55)-1,"")</f>
        <v/>
      </c>
      <c r="I56" s="41">
        <f>IFERROR((1+F56)*(1+I55)-1,"")</f>
        <v/>
      </c>
      <c r="J56" s="41">
        <f>IFERROR((1+G56)*(1+J55)-1,"")</f>
        <v/>
      </c>
      <c r="K56" s="42">
        <f>IFERROR(B56/$B$36*100,"")</f>
        <v/>
      </c>
      <c r="L56" s="42">
        <f>IFERROR(C56/$C$36*100,"")</f>
        <v/>
      </c>
      <c r="M56" s="42">
        <f>IFERROR(D56/$D$36*100,"")</f>
        <v/>
      </c>
      <c r="N56" s="41">
        <f>IFERROR((1+H56)/(1+I56)-1,"")</f>
        <v/>
      </c>
      <c r="O56" s="41">
        <f>IFERROR((1+H56)/(1+J56)-1,"")</f>
        <v/>
      </c>
      <c r="P56" s="39">
        <f>IFERROR(B56*0.0099502487562189+P55*(1-0.0099502487562189),"")</f>
        <v/>
      </c>
      <c r="Q56" s="42">
        <f>Q55*(1+E56)</f>
        <v/>
      </c>
      <c r="R56" s="42">
        <f>MAX(R55,Q56)</f>
        <v/>
      </c>
      <c r="S56" s="41">
        <f>IFERROR(Q56/R56-1,"")</f>
        <v/>
      </c>
      <c r="T56" s="41">
        <f>IFERROR(_xlfn.STDEV.S(#REF!)*SQRT($D$7),"")</f>
        <v/>
      </c>
      <c r="U56" s="41">
        <f>IFERROR(MIN(E56-$D$6,0),"")</f>
        <v/>
      </c>
      <c r="V56" s="41">
        <f>IFERROR(E56-F56,"")</f>
        <v/>
      </c>
      <c r="W56" s="39">
        <f>B56</f>
        <v/>
      </c>
      <c r="X56" s="21" t="n"/>
    </row>
    <row r="57">
      <c r="A57" s="38" t="n">
        <v>45020</v>
      </c>
      <c r="B57" s="39" t="n">
        <v>168.86</v>
      </c>
      <c r="C57" s="39" t="n">
        <v>408.67</v>
      </c>
      <c r="D57" s="39" t="n">
        <v>40</v>
      </c>
      <c r="E57" s="41">
        <f>IFERROR(B57/B56-1,"")</f>
        <v/>
      </c>
      <c r="F57" s="41">
        <f>IFERROR(C57/C56-1,"")</f>
        <v/>
      </c>
      <c r="G57" s="41">
        <f>IFERROR(D57/D56-1,"")</f>
        <v/>
      </c>
      <c r="H57" s="41">
        <f>IFERROR((1+E57)*(1+H56)-1,"")</f>
        <v/>
      </c>
      <c r="I57" s="41">
        <f>IFERROR((1+F57)*(1+I56)-1,"")</f>
        <v/>
      </c>
      <c r="J57" s="41">
        <f>IFERROR((1+G57)*(1+J56)-1,"")</f>
        <v/>
      </c>
      <c r="K57" s="42">
        <f>IFERROR(B57/$B$36*100,"")</f>
        <v/>
      </c>
      <c r="L57" s="42">
        <f>IFERROR(C57/$C$36*100,"")</f>
        <v/>
      </c>
      <c r="M57" s="42">
        <f>IFERROR(D57/$D$36*100,"")</f>
        <v/>
      </c>
      <c r="N57" s="41">
        <f>IFERROR((1+H57)/(1+I57)-1,"")</f>
        <v/>
      </c>
      <c r="O57" s="41">
        <f>IFERROR((1+H57)/(1+J57)-1,"")</f>
        <v/>
      </c>
      <c r="P57" s="39">
        <f>IFERROR(B57*0.0099502487562189+P56*(1-0.0099502487562189),"")</f>
        <v/>
      </c>
      <c r="Q57" s="42">
        <f>Q56*(1+E57)</f>
        <v/>
      </c>
      <c r="R57" s="42">
        <f>MAX(R56,Q57)</f>
        <v/>
      </c>
      <c r="S57" s="41">
        <f>IFERROR(Q57/R57-1,"")</f>
        <v/>
      </c>
      <c r="T57" s="41">
        <f>IFERROR(_xlfn.STDEV.S(#REF!)*SQRT($D$7),"")</f>
        <v/>
      </c>
      <c r="U57" s="41">
        <f>IFERROR(MIN(E57-$D$6,0),"")</f>
        <v/>
      </c>
      <c r="V57" s="41">
        <f>IFERROR(E57-F57,"")</f>
        <v/>
      </c>
      <c r="W57" s="39">
        <f>B57</f>
        <v/>
      </c>
      <c r="X57" s="21" t="n"/>
    </row>
    <row r="58">
      <c r="A58" s="38" t="n">
        <v>45021</v>
      </c>
      <c r="B58" s="39" t="n">
        <v>164.06</v>
      </c>
      <c r="C58" s="39" t="n">
        <v>407.6</v>
      </c>
      <c r="D58" s="39" t="n">
        <v>39.91</v>
      </c>
      <c r="E58" s="41">
        <f>IFERROR(B58/B57-1,"")</f>
        <v/>
      </c>
      <c r="F58" s="41">
        <f>IFERROR(C58/C57-1,"")</f>
        <v/>
      </c>
      <c r="G58" s="41">
        <f>IFERROR(D58/D57-1,"")</f>
        <v/>
      </c>
      <c r="H58" s="41">
        <f>IFERROR((1+E58)*(1+H57)-1,"")</f>
        <v/>
      </c>
      <c r="I58" s="41">
        <f>IFERROR((1+F58)*(1+I57)-1,"")</f>
        <v/>
      </c>
      <c r="J58" s="41">
        <f>IFERROR((1+G58)*(1+J57)-1,"")</f>
        <v/>
      </c>
      <c r="K58" s="42">
        <f>IFERROR(B58/$B$36*100,"")</f>
        <v/>
      </c>
      <c r="L58" s="42">
        <f>IFERROR(C58/$C$36*100,"")</f>
        <v/>
      </c>
      <c r="M58" s="42">
        <f>IFERROR(D58/$D$36*100,"")</f>
        <v/>
      </c>
      <c r="N58" s="41">
        <f>IFERROR((1+H58)/(1+I58)-1,"")</f>
        <v/>
      </c>
      <c r="O58" s="41">
        <f>IFERROR((1+H58)/(1+J58)-1,"")</f>
        <v/>
      </c>
      <c r="P58" s="39">
        <f>IFERROR(B58*0.0099502487562189+P57*(1-0.0099502487562189),"")</f>
        <v/>
      </c>
      <c r="Q58" s="42">
        <f>Q57*(1+E58)</f>
        <v/>
      </c>
      <c r="R58" s="42">
        <f>MAX(R57,Q58)</f>
        <v/>
      </c>
      <c r="S58" s="41">
        <f>IFERROR(Q58/R58-1,"")</f>
        <v/>
      </c>
      <c r="T58" s="41">
        <f>IFERROR(_xlfn.STDEV.S(#REF!)*SQRT($D$7),"")</f>
        <v/>
      </c>
      <c r="U58" s="41">
        <f>IFERROR(MIN(E58-$D$6,0),"")</f>
        <v/>
      </c>
      <c r="V58" s="41">
        <f>IFERROR(E58-F58,"")</f>
        <v/>
      </c>
      <c r="W58" s="39">
        <f>B58</f>
        <v/>
      </c>
      <c r="X58" s="21" t="n"/>
    </row>
    <row r="59">
      <c r="A59" s="38" t="n">
        <v>45022</v>
      </c>
      <c r="B59" s="39" t="n">
        <v>164.93</v>
      </c>
      <c r="C59" s="39" t="n">
        <v>409.19</v>
      </c>
      <c r="D59" s="39" t="n">
        <v>39.815</v>
      </c>
      <c r="E59" s="41">
        <f>IFERROR(B59/B58-1,"")</f>
        <v/>
      </c>
      <c r="F59" s="41">
        <f>IFERROR(C59/C58-1,"")</f>
        <v/>
      </c>
      <c r="G59" s="41">
        <f>IFERROR(D59/D58-1,"")</f>
        <v/>
      </c>
      <c r="H59" s="41">
        <f>IFERROR((1+E59)*(1+H58)-1,"")</f>
        <v/>
      </c>
      <c r="I59" s="41">
        <f>IFERROR((1+F59)*(1+I58)-1,"")</f>
        <v/>
      </c>
      <c r="J59" s="41">
        <f>IFERROR((1+G59)*(1+J58)-1,"")</f>
        <v/>
      </c>
      <c r="K59" s="42">
        <f>IFERROR(B59/$B$36*100,"")</f>
        <v/>
      </c>
      <c r="L59" s="42">
        <f>IFERROR(C59/$C$36*100,"")</f>
        <v/>
      </c>
      <c r="M59" s="42">
        <f>IFERROR(D59/$D$36*100,"")</f>
        <v/>
      </c>
      <c r="N59" s="41">
        <f>IFERROR((1+H59)/(1+I59)-1,"")</f>
        <v/>
      </c>
      <c r="O59" s="41">
        <f>IFERROR((1+H59)/(1+J59)-1,"")</f>
        <v/>
      </c>
      <c r="P59" s="39">
        <f>IFERROR(B59*0.0099502487562189+P58*(1-0.0099502487562189),"")</f>
        <v/>
      </c>
      <c r="Q59" s="42">
        <f>Q58*(1+E59)</f>
        <v/>
      </c>
      <c r="R59" s="42">
        <f>MAX(R58,Q59)</f>
        <v/>
      </c>
      <c r="S59" s="41">
        <f>IFERROR(Q59/R59-1,"")</f>
        <v/>
      </c>
      <c r="T59" s="41">
        <f>IFERROR(_xlfn.STDEV.S(#REF!)*SQRT($D$7),"")</f>
        <v/>
      </c>
      <c r="U59" s="41">
        <f>IFERROR(MIN(E59-$D$6,0),"")</f>
        <v/>
      </c>
      <c r="V59" s="41">
        <f>IFERROR(E59-F59,"")</f>
        <v/>
      </c>
      <c r="W59" s="39">
        <f>B59</f>
        <v/>
      </c>
      <c r="X59" s="21" t="n"/>
    </row>
    <row r="60">
      <c r="A60" s="38" t="n">
        <v>45026</v>
      </c>
      <c r="B60" s="39" t="n">
        <v>166.01</v>
      </c>
      <c r="C60" s="39" t="n">
        <v>409.61</v>
      </c>
      <c r="D60" s="39" t="n">
        <v>40.005</v>
      </c>
      <c r="E60" s="41">
        <f>IFERROR(B60/B59-1,"")</f>
        <v/>
      </c>
      <c r="F60" s="41">
        <f>IFERROR(C60/C59-1,"")</f>
        <v/>
      </c>
      <c r="G60" s="41">
        <f>IFERROR(D60/D59-1,"")</f>
        <v/>
      </c>
      <c r="H60" s="41">
        <f>IFERROR((1+E60)*(1+H59)-1,"")</f>
        <v/>
      </c>
      <c r="I60" s="41">
        <f>IFERROR((1+F60)*(1+I59)-1,"")</f>
        <v/>
      </c>
      <c r="J60" s="41">
        <f>IFERROR((1+G60)*(1+J59)-1,"")</f>
        <v/>
      </c>
      <c r="K60" s="42">
        <f>IFERROR(B60/$B$36*100,"")</f>
        <v/>
      </c>
      <c r="L60" s="42">
        <f>IFERROR(C60/$C$36*100,"")</f>
        <v/>
      </c>
      <c r="M60" s="42">
        <f>IFERROR(D60/$D$36*100,"")</f>
        <v/>
      </c>
      <c r="N60" s="41">
        <f>IFERROR((1+H60)/(1+I60)-1,"")</f>
        <v/>
      </c>
      <c r="O60" s="41">
        <f>IFERROR((1+H60)/(1+J60)-1,"")</f>
        <v/>
      </c>
      <c r="P60" s="39">
        <f>IFERROR(B60*0.0099502487562189+P59*(1-0.0099502487562189),"")</f>
        <v/>
      </c>
      <c r="Q60" s="42">
        <f>Q59*(1+E60)</f>
        <v/>
      </c>
      <c r="R60" s="42">
        <f>MAX(R59,Q60)</f>
        <v/>
      </c>
      <c r="S60" s="41">
        <f>IFERROR(Q60/R60-1,"")</f>
        <v/>
      </c>
      <c r="T60" s="41">
        <f>IFERROR(_xlfn.STDEV.S(#REF!)*SQRT($D$7),"")</f>
        <v/>
      </c>
      <c r="U60" s="41">
        <f>IFERROR(MIN(E60-$D$6,0),"")</f>
        <v/>
      </c>
      <c r="V60" s="41">
        <f>IFERROR(E60-F60,"")</f>
        <v/>
      </c>
      <c r="W60" s="39">
        <f>B60</f>
        <v/>
      </c>
      <c r="X60" s="21" t="n"/>
    </row>
    <row r="61">
      <c r="A61" s="38" t="n">
        <v>45027</v>
      </c>
      <c r="B61" s="39" t="n">
        <v>166.57</v>
      </c>
      <c r="C61" s="39" t="n">
        <v>409.72</v>
      </c>
      <c r="D61" s="39" t="n">
        <v>40.315</v>
      </c>
      <c r="E61" s="41">
        <f>IFERROR(B61/B60-1,"")</f>
        <v/>
      </c>
      <c r="F61" s="41">
        <f>IFERROR(C61/C60-1,"")</f>
        <v/>
      </c>
      <c r="G61" s="41">
        <f>IFERROR(D61/D60-1,"")</f>
        <v/>
      </c>
      <c r="H61" s="41">
        <f>IFERROR((1+E61)*(1+H60)-1,"")</f>
        <v/>
      </c>
      <c r="I61" s="41">
        <f>IFERROR((1+F61)*(1+I60)-1,"")</f>
        <v/>
      </c>
      <c r="J61" s="41">
        <f>IFERROR((1+G61)*(1+J60)-1,"")</f>
        <v/>
      </c>
      <c r="K61" s="42">
        <f>IFERROR(B61/$B$36*100,"")</f>
        <v/>
      </c>
      <c r="L61" s="42">
        <f>IFERROR(C61/$C$36*100,"")</f>
        <v/>
      </c>
      <c r="M61" s="42">
        <f>IFERROR(D61/$D$36*100,"")</f>
        <v/>
      </c>
      <c r="N61" s="41">
        <f>IFERROR((1+H61)/(1+I61)-1,"")</f>
        <v/>
      </c>
      <c r="O61" s="41">
        <f>IFERROR((1+H61)/(1+J61)-1,"")</f>
        <v/>
      </c>
      <c r="P61" s="39">
        <f>IFERROR(B61*0.0099502487562189+P60*(1-0.0099502487562189),"")</f>
        <v/>
      </c>
      <c r="Q61" s="42">
        <f>Q60*(1+E61)</f>
        <v/>
      </c>
      <c r="R61" s="42">
        <f>MAX(R60,Q61)</f>
        <v/>
      </c>
      <c r="S61" s="41">
        <f>IFERROR(Q61/R61-1,"")</f>
        <v/>
      </c>
      <c r="T61" s="41">
        <f>IFERROR(_xlfn.STDEV.S(#REF!)*SQRT($D$7),"")</f>
        <v/>
      </c>
      <c r="U61" s="41">
        <f>IFERROR(MIN(E61-$D$6,0),"")</f>
        <v/>
      </c>
      <c r="V61" s="41">
        <f>IFERROR(E61-F61,"")</f>
        <v/>
      </c>
      <c r="W61" s="39">
        <f>B61</f>
        <v/>
      </c>
      <c r="X61" s="21" t="n"/>
    </row>
    <row r="62">
      <c r="A62" s="38" t="n">
        <v>45028</v>
      </c>
      <c r="B62" s="39" t="n">
        <v>167.32</v>
      </c>
      <c r="C62" s="39" t="n">
        <v>408.05</v>
      </c>
      <c r="D62" s="39" t="n">
        <v>40.345</v>
      </c>
      <c r="E62" s="41">
        <f>IFERROR(B62/B61-1,"")</f>
        <v/>
      </c>
      <c r="F62" s="41">
        <f>IFERROR(C62/C61-1,"")</f>
        <v/>
      </c>
      <c r="G62" s="41">
        <f>IFERROR(D62/D61-1,"")</f>
        <v/>
      </c>
      <c r="H62" s="41">
        <f>IFERROR((1+E62)*(1+H61)-1,"")</f>
        <v/>
      </c>
      <c r="I62" s="41">
        <f>IFERROR((1+F62)*(1+I61)-1,"")</f>
        <v/>
      </c>
      <c r="J62" s="41">
        <f>IFERROR((1+G62)*(1+J61)-1,"")</f>
        <v/>
      </c>
      <c r="K62" s="42">
        <f>IFERROR(B62/$B$36*100,"")</f>
        <v/>
      </c>
      <c r="L62" s="42">
        <f>IFERROR(C62/$C$36*100,"")</f>
        <v/>
      </c>
      <c r="M62" s="42">
        <f>IFERROR(D62/$D$36*100,"")</f>
        <v/>
      </c>
      <c r="N62" s="41">
        <f>IFERROR((1+H62)/(1+I62)-1,"")</f>
        <v/>
      </c>
      <c r="O62" s="41">
        <f>IFERROR((1+H62)/(1+J62)-1,"")</f>
        <v/>
      </c>
      <c r="P62" s="39">
        <f>IFERROR(B62*0.0099502487562189+P61*(1-0.0099502487562189),"")</f>
        <v/>
      </c>
      <c r="Q62" s="42">
        <f>Q61*(1+E62)</f>
        <v/>
      </c>
      <c r="R62" s="42">
        <f>MAX(R61,Q62)</f>
        <v/>
      </c>
      <c r="S62" s="41">
        <f>IFERROR(Q62/R62-1,"")</f>
        <v/>
      </c>
      <c r="T62" s="41">
        <f>IFERROR(_xlfn.STDEV.S(#REF!)*SQRT($D$7),"")</f>
        <v/>
      </c>
      <c r="U62" s="41">
        <f>IFERROR(MIN(E62-$D$6,0),"")</f>
        <v/>
      </c>
      <c r="V62" s="41">
        <f>IFERROR(E62-F62,"")</f>
        <v/>
      </c>
      <c r="W62" s="39">
        <f>B62</f>
        <v/>
      </c>
      <c r="X62" s="21" t="n"/>
    </row>
    <row r="63">
      <c r="A63" s="38" t="n">
        <v>45029</v>
      </c>
      <c r="B63" s="39" t="n">
        <v>169.46</v>
      </c>
      <c r="C63" s="39" t="n">
        <v>413.47</v>
      </c>
      <c r="D63" s="39" t="n">
        <v>40.76</v>
      </c>
      <c r="E63" s="41">
        <f>IFERROR(B63/B62-1,"")</f>
        <v/>
      </c>
      <c r="F63" s="41">
        <f>IFERROR(C63/C62-1,"")</f>
        <v/>
      </c>
      <c r="G63" s="41">
        <f>IFERROR(D63/D62-1,"")</f>
        <v/>
      </c>
      <c r="H63" s="41">
        <f>IFERROR((1+E63)*(1+H62)-1,"")</f>
        <v/>
      </c>
      <c r="I63" s="41">
        <f>IFERROR((1+F63)*(1+I62)-1,"")</f>
        <v/>
      </c>
      <c r="J63" s="41">
        <f>IFERROR((1+G63)*(1+J62)-1,"")</f>
        <v/>
      </c>
      <c r="K63" s="42">
        <f>IFERROR(B63/$B$36*100,"")</f>
        <v/>
      </c>
      <c r="L63" s="42">
        <f>IFERROR(C63/$C$36*100,"")</f>
        <v/>
      </c>
      <c r="M63" s="42">
        <f>IFERROR(D63/$D$36*100,"")</f>
        <v/>
      </c>
      <c r="N63" s="41">
        <f>IFERROR((1+H63)/(1+I63)-1,"")</f>
        <v/>
      </c>
      <c r="O63" s="41">
        <f>IFERROR((1+H63)/(1+J63)-1,"")</f>
        <v/>
      </c>
      <c r="P63" s="39">
        <f>IFERROR(B63*0.0099502487562189+P62*(1-0.0099502487562189),"")</f>
        <v/>
      </c>
      <c r="Q63" s="42">
        <f>Q62*(1+E63)</f>
        <v/>
      </c>
      <c r="R63" s="42">
        <f>MAX(R62,Q63)</f>
        <v/>
      </c>
      <c r="S63" s="41">
        <f>IFERROR(Q63/R63-1,"")</f>
        <v/>
      </c>
      <c r="T63" s="41">
        <f>IFERROR(_xlfn.STDEV.S(#REF!)*SQRT($D$7),"")</f>
        <v/>
      </c>
      <c r="U63" s="41">
        <f>IFERROR(MIN(E63-$D$6,0),"")</f>
        <v/>
      </c>
      <c r="V63" s="41">
        <f>IFERROR(E63-F63,"")</f>
        <v/>
      </c>
      <c r="W63" s="39">
        <f>B63</f>
        <v/>
      </c>
      <c r="X63" s="21" t="n"/>
    </row>
    <row r="64">
      <c r="A64" s="38" t="n">
        <v>45030</v>
      </c>
      <c r="B64" s="39" t="n">
        <v>169.08</v>
      </c>
      <c r="C64" s="39" t="n">
        <v>412.46</v>
      </c>
      <c r="D64" s="39" t="n">
        <v>40.465</v>
      </c>
      <c r="E64" s="41">
        <f>IFERROR(B64/B63-1,"")</f>
        <v/>
      </c>
      <c r="F64" s="41">
        <f>IFERROR(C64/C63-1,"")</f>
        <v/>
      </c>
      <c r="G64" s="41">
        <f>IFERROR(D64/D63-1,"")</f>
        <v/>
      </c>
      <c r="H64" s="41">
        <f>IFERROR((1+E64)*(1+H63)-1,"")</f>
        <v/>
      </c>
      <c r="I64" s="41">
        <f>IFERROR((1+F64)*(1+I63)-1,"")</f>
        <v/>
      </c>
      <c r="J64" s="41">
        <f>IFERROR((1+G64)*(1+J63)-1,"")</f>
        <v/>
      </c>
      <c r="K64" s="42">
        <f>IFERROR(B64/$B$36*100,"")</f>
        <v/>
      </c>
      <c r="L64" s="42">
        <f>IFERROR(C64/$C$36*100,"")</f>
        <v/>
      </c>
      <c r="M64" s="42">
        <f>IFERROR(D64/$D$36*100,"")</f>
        <v/>
      </c>
      <c r="N64" s="41">
        <f>IFERROR((1+H64)/(1+I64)-1,"")</f>
        <v/>
      </c>
      <c r="O64" s="41">
        <f>IFERROR((1+H64)/(1+J64)-1,"")</f>
        <v/>
      </c>
      <c r="P64" s="39">
        <f>IFERROR(B64*0.0099502487562189+P63*(1-0.0099502487562189),"")</f>
        <v/>
      </c>
      <c r="Q64" s="42">
        <f>Q63*(1+E64)</f>
        <v/>
      </c>
      <c r="R64" s="42">
        <f>MAX(R63,Q64)</f>
        <v/>
      </c>
      <c r="S64" s="41">
        <f>IFERROR(Q64/R64-1,"")</f>
        <v/>
      </c>
      <c r="T64" s="41">
        <f>IFERROR(_xlfn.STDEV.S(#REF!)*SQRT($D$7),"")</f>
        <v/>
      </c>
      <c r="U64" s="41">
        <f>IFERROR(MIN(E64-$D$6,0),"")</f>
        <v/>
      </c>
      <c r="V64" s="41">
        <f>IFERROR(E64-F64,"")</f>
        <v/>
      </c>
      <c r="W64" s="39">
        <f>B64</f>
        <v/>
      </c>
      <c r="X64" s="21" t="n"/>
    </row>
    <row r="65">
      <c r="A65" s="38" t="n">
        <v>45033</v>
      </c>
      <c r="B65" s="39" t="n">
        <v>171.88</v>
      </c>
      <c r="C65" s="39" t="n">
        <v>413.94</v>
      </c>
      <c r="D65" s="39" t="n">
        <v>40.7</v>
      </c>
      <c r="E65" s="41">
        <f>IFERROR(B65/B64-1,"")</f>
        <v/>
      </c>
      <c r="F65" s="41">
        <f>IFERROR(C65/C64-1,"")</f>
        <v/>
      </c>
      <c r="G65" s="41">
        <f>IFERROR(D65/D64-1,"")</f>
        <v/>
      </c>
      <c r="H65" s="41">
        <f>IFERROR((1+E65)*(1+H64)-1,"")</f>
        <v/>
      </c>
      <c r="I65" s="41">
        <f>IFERROR((1+F65)*(1+I64)-1,"")</f>
        <v/>
      </c>
      <c r="J65" s="41">
        <f>IFERROR((1+G65)*(1+J64)-1,"")</f>
        <v/>
      </c>
      <c r="K65" s="42">
        <f>IFERROR(B65/$B$36*100,"")</f>
        <v/>
      </c>
      <c r="L65" s="42">
        <f>IFERROR(C65/$C$36*100,"")</f>
        <v/>
      </c>
      <c r="M65" s="42">
        <f>IFERROR(D65/$D$36*100,"")</f>
        <v/>
      </c>
      <c r="N65" s="41">
        <f>IFERROR((1+H65)/(1+I65)-1,"")</f>
        <v/>
      </c>
      <c r="O65" s="41">
        <f>IFERROR((1+H65)/(1+J65)-1,"")</f>
        <v/>
      </c>
      <c r="P65" s="39">
        <f>IFERROR(B65*0.0099502487562189+P64*(1-0.0099502487562189),"")</f>
        <v/>
      </c>
      <c r="Q65" s="42">
        <f>Q64*(1+E65)</f>
        <v/>
      </c>
      <c r="R65" s="42">
        <f>MAX(R64,Q65)</f>
        <v/>
      </c>
      <c r="S65" s="41">
        <f>IFERROR(Q65/R65-1,"")</f>
        <v/>
      </c>
      <c r="T65" s="41">
        <f>IFERROR(_xlfn.STDEV.S(#REF!)*SQRT($D$7),"")</f>
        <v/>
      </c>
      <c r="U65" s="41">
        <f>IFERROR(MIN(E65-$D$6,0),"")</f>
        <v/>
      </c>
      <c r="V65" s="41">
        <f>IFERROR(E65-F65,"")</f>
        <v/>
      </c>
      <c r="W65" s="39">
        <f>B65</f>
        <v/>
      </c>
      <c r="X65" s="21" t="n"/>
    </row>
    <row r="66">
      <c r="A66" s="38" t="n">
        <v>45034</v>
      </c>
      <c r="B66" s="39" t="n">
        <v>172.36</v>
      </c>
      <c r="C66" s="39" t="n">
        <v>414.21</v>
      </c>
      <c r="D66" s="39" t="n">
        <v>40.87</v>
      </c>
      <c r="E66" s="41">
        <f>IFERROR(B66/B65-1,"")</f>
        <v/>
      </c>
      <c r="F66" s="41">
        <f>IFERROR(C66/C65-1,"")</f>
        <v/>
      </c>
      <c r="G66" s="41">
        <f>IFERROR(D66/D65-1,"")</f>
        <v/>
      </c>
      <c r="H66" s="41">
        <f>IFERROR((1+E66)*(1+H65)-1,"")</f>
        <v/>
      </c>
      <c r="I66" s="41">
        <f>IFERROR((1+F66)*(1+I65)-1,"")</f>
        <v/>
      </c>
      <c r="J66" s="41">
        <f>IFERROR((1+G66)*(1+J65)-1,"")</f>
        <v/>
      </c>
      <c r="K66" s="42">
        <f>IFERROR(B66/$B$36*100,"")</f>
        <v/>
      </c>
      <c r="L66" s="42">
        <f>IFERROR(C66/$C$36*100,"")</f>
        <v/>
      </c>
      <c r="M66" s="42">
        <f>IFERROR(D66/$D$36*100,"")</f>
        <v/>
      </c>
      <c r="N66" s="41">
        <f>IFERROR((1+H66)/(1+I66)-1,"")</f>
        <v/>
      </c>
      <c r="O66" s="41">
        <f>IFERROR((1+H66)/(1+J66)-1,"")</f>
        <v/>
      </c>
      <c r="P66" s="39">
        <f>IFERROR(B66*0.0099502487562189+P65*(1-0.0099502487562189),"")</f>
        <v/>
      </c>
      <c r="Q66" s="42">
        <f>Q65*(1+E66)</f>
        <v/>
      </c>
      <c r="R66" s="42">
        <f>MAX(R65,Q66)</f>
        <v/>
      </c>
      <c r="S66" s="41">
        <f>IFERROR(Q66/R66-1,"")</f>
        <v/>
      </c>
      <c r="T66" s="41">
        <f>IFERROR(_xlfn.STDEV.S(#REF!)*SQRT($D$7),"")</f>
        <v/>
      </c>
      <c r="U66" s="41">
        <f>IFERROR(MIN(E66-$D$6,0),"")</f>
        <v/>
      </c>
      <c r="V66" s="41">
        <f>IFERROR(E66-F66,"")</f>
        <v/>
      </c>
      <c r="W66" s="39">
        <f>B66</f>
        <v/>
      </c>
      <c r="X66" s="21" t="n"/>
    </row>
    <row r="67">
      <c r="A67" s="38" t="n">
        <v>45035</v>
      </c>
      <c r="B67" s="39" t="n">
        <v>173.54</v>
      </c>
      <c r="C67" s="39" t="n">
        <v>414.14</v>
      </c>
      <c r="D67" s="39" t="n">
        <v>40.755</v>
      </c>
      <c r="E67" s="41">
        <f>IFERROR(B67/B66-1,"")</f>
        <v/>
      </c>
      <c r="F67" s="41">
        <f>IFERROR(C67/C66-1,"")</f>
        <v/>
      </c>
      <c r="G67" s="41">
        <f>IFERROR(D67/D66-1,"")</f>
        <v/>
      </c>
      <c r="H67" s="41">
        <f>IFERROR((1+E67)*(1+H66)-1,"")</f>
        <v/>
      </c>
      <c r="I67" s="41">
        <f>IFERROR((1+F67)*(1+I66)-1,"")</f>
        <v/>
      </c>
      <c r="J67" s="41">
        <f>IFERROR((1+G67)*(1+J66)-1,"")</f>
        <v/>
      </c>
      <c r="K67" s="42">
        <f>IFERROR(B67/$B$36*100,"")</f>
        <v/>
      </c>
      <c r="L67" s="42">
        <f>IFERROR(C67/$C$36*100,"")</f>
        <v/>
      </c>
      <c r="M67" s="42">
        <f>IFERROR(D67/$D$36*100,"")</f>
        <v/>
      </c>
      <c r="N67" s="41">
        <f>IFERROR((1+H67)/(1+I67)-1,"")</f>
        <v/>
      </c>
      <c r="O67" s="41">
        <f>IFERROR((1+H67)/(1+J67)-1,"")</f>
        <v/>
      </c>
      <c r="P67" s="39">
        <f>IFERROR(B67*0.0099502487562189+P66*(1-0.0099502487562189),"")</f>
        <v/>
      </c>
      <c r="Q67" s="42">
        <f>Q66*(1+E67)</f>
        <v/>
      </c>
      <c r="R67" s="42">
        <f>MAX(R66,Q67)</f>
        <v/>
      </c>
      <c r="S67" s="41">
        <f>IFERROR(Q67/R67-1,"")</f>
        <v/>
      </c>
      <c r="T67" s="41">
        <f>IFERROR(_xlfn.STDEV.S(#REF!)*SQRT($D$7),"")</f>
        <v/>
      </c>
      <c r="U67" s="41">
        <f>IFERROR(MIN(E67-$D$6,0),"")</f>
        <v/>
      </c>
      <c r="V67" s="41">
        <f>IFERROR(E67-F67,"")</f>
        <v/>
      </c>
      <c r="W67" s="39">
        <f>B67</f>
        <v/>
      </c>
      <c r="X67" s="21" t="n"/>
    </row>
    <row r="68">
      <c r="A68" s="38" t="n">
        <v>45036</v>
      </c>
      <c r="B68" s="39" t="n">
        <v>172.44</v>
      </c>
      <c r="C68" s="39" t="n">
        <v>411.88</v>
      </c>
      <c r="D68" s="39" t="n">
        <v>40.71</v>
      </c>
      <c r="E68" s="41">
        <f>IFERROR(B68/B67-1,"")</f>
        <v/>
      </c>
      <c r="F68" s="41">
        <f>IFERROR(C68/C67-1,"")</f>
        <v/>
      </c>
      <c r="G68" s="41">
        <f>IFERROR(D68/D67-1,"")</f>
        <v/>
      </c>
      <c r="H68" s="41">
        <f>IFERROR((1+E68)*(1+H67)-1,"")</f>
        <v/>
      </c>
      <c r="I68" s="41">
        <f>IFERROR((1+F68)*(1+I67)-1,"")</f>
        <v/>
      </c>
      <c r="J68" s="41">
        <f>IFERROR((1+G68)*(1+J67)-1,"")</f>
        <v/>
      </c>
      <c r="K68" s="42">
        <f>IFERROR(B68/$B$36*100,"")</f>
        <v/>
      </c>
      <c r="L68" s="42">
        <f>IFERROR(C68/$C$36*100,"")</f>
        <v/>
      </c>
      <c r="M68" s="42">
        <f>IFERROR(D68/$D$36*100,"")</f>
        <v/>
      </c>
      <c r="N68" s="41">
        <f>IFERROR((1+H68)/(1+I68)-1,"")</f>
        <v/>
      </c>
      <c r="O68" s="41">
        <f>IFERROR((1+H68)/(1+J68)-1,"")</f>
        <v/>
      </c>
      <c r="P68" s="39">
        <f>IFERROR(B68*0.0099502487562189+P67*(1-0.0099502487562189),"")</f>
        <v/>
      </c>
      <c r="Q68" s="42">
        <f>Q67*(1+E68)</f>
        <v/>
      </c>
      <c r="R68" s="42">
        <f>MAX(R67,Q68)</f>
        <v/>
      </c>
      <c r="S68" s="41">
        <f>IFERROR(Q68/R68-1,"")</f>
        <v/>
      </c>
      <c r="T68" s="41">
        <f>IFERROR(_xlfn.STDEV.S(#REF!)*SQRT($D$7),"")</f>
        <v/>
      </c>
      <c r="U68" s="41">
        <f>IFERROR(MIN(E68-$D$6,0),"")</f>
        <v/>
      </c>
      <c r="V68" s="41">
        <f>IFERROR(E68-F68,"")</f>
        <v/>
      </c>
      <c r="W68" s="39">
        <f>B68</f>
        <v/>
      </c>
      <c r="X68" s="21" t="n"/>
    </row>
    <row r="69">
      <c r="A69" s="38" t="n">
        <v>45037</v>
      </c>
      <c r="B69" s="39" t="n">
        <v>171.14</v>
      </c>
      <c r="C69" s="39" t="n">
        <v>412.2</v>
      </c>
      <c r="D69" s="39" t="n">
        <v>40.35</v>
      </c>
      <c r="E69" s="41">
        <f>IFERROR(B69/B68-1,"")</f>
        <v/>
      </c>
      <c r="F69" s="41">
        <f>IFERROR(C69/C68-1,"")</f>
        <v/>
      </c>
      <c r="G69" s="41">
        <f>IFERROR(D69/D68-1,"")</f>
        <v/>
      </c>
      <c r="H69" s="41">
        <f>IFERROR((1+E69)*(1+H68)-1,"")</f>
        <v/>
      </c>
      <c r="I69" s="41">
        <f>IFERROR((1+F69)*(1+I68)-1,"")</f>
        <v/>
      </c>
      <c r="J69" s="41">
        <f>IFERROR((1+G69)*(1+J68)-1,"")</f>
        <v/>
      </c>
      <c r="K69" s="42">
        <f>IFERROR(B69/$B$36*100,"")</f>
        <v/>
      </c>
      <c r="L69" s="42">
        <f>IFERROR(C69/$C$36*100,"")</f>
        <v/>
      </c>
      <c r="M69" s="42">
        <f>IFERROR(D69/$D$36*100,"")</f>
        <v/>
      </c>
      <c r="N69" s="41">
        <f>IFERROR((1+H69)/(1+I69)-1,"")</f>
        <v/>
      </c>
      <c r="O69" s="41">
        <f>IFERROR((1+H69)/(1+J69)-1,"")</f>
        <v/>
      </c>
      <c r="P69" s="39">
        <f>IFERROR(B69*0.0099502487562189+P68*(1-0.0099502487562189),"")</f>
        <v/>
      </c>
      <c r="Q69" s="42">
        <f>Q68*(1+E69)</f>
        <v/>
      </c>
      <c r="R69" s="42">
        <f>MAX(R68,Q69)</f>
        <v/>
      </c>
      <c r="S69" s="41">
        <f>IFERROR(Q69/R69-1,"")</f>
        <v/>
      </c>
      <c r="T69" s="41">
        <f>IFERROR(_xlfn.STDEV.S(#REF!)*SQRT($D$7),"")</f>
        <v/>
      </c>
      <c r="U69" s="41">
        <f>IFERROR(MIN(E69-$D$6,0),"")</f>
        <v/>
      </c>
      <c r="V69" s="41">
        <f>IFERROR(E69-F69,"")</f>
        <v/>
      </c>
      <c r="W69" s="39">
        <f>B69</f>
        <v/>
      </c>
      <c r="X69" s="21" t="n"/>
    </row>
    <row r="70">
      <c r="A70" s="38" t="n">
        <v>45040</v>
      </c>
      <c r="B70" s="39" t="n">
        <v>171.41</v>
      </c>
      <c r="C70" s="39" t="n">
        <v>412.63</v>
      </c>
      <c r="D70" s="39" t="n">
        <v>40.625</v>
      </c>
      <c r="E70" s="41">
        <f>IFERROR(B70/B69-1,"")</f>
        <v/>
      </c>
      <c r="F70" s="41">
        <f>IFERROR(C70/C69-1,"")</f>
        <v/>
      </c>
      <c r="G70" s="41">
        <f>IFERROR(D70/D69-1,"")</f>
        <v/>
      </c>
      <c r="H70" s="41">
        <f>IFERROR((1+E70)*(1+H69)-1,"")</f>
        <v/>
      </c>
      <c r="I70" s="41">
        <f>IFERROR((1+F70)*(1+I69)-1,"")</f>
        <v/>
      </c>
      <c r="J70" s="41">
        <f>IFERROR((1+G70)*(1+J69)-1,"")</f>
        <v/>
      </c>
      <c r="K70" s="42">
        <f>IFERROR(B70/$B$36*100,"")</f>
        <v/>
      </c>
      <c r="L70" s="42">
        <f>IFERROR(C70/$C$36*100,"")</f>
        <v/>
      </c>
      <c r="M70" s="42">
        <f>IFERROR(D70/$D$36*100,"")</f>
        <v/>
      </c>
      <c r="N70" s="41">
        <f>IFERROR((1+H70)/(1+I70)-1,"")</f>
        <v/>
      </c>
      <c r="O70" s="41">
        <f>IFERROR((1+H70)/(1+J70)-1,"")</f>
        <v/>
      </c>
      <c r="P70" s="39">
        <f>IFERROR(B70*0.0099502487562189+P69*(1-0.0099502487562189),"")</f>
        <v/>
      </c>
      <c r="Q70" s="42">
        <f>Q69*(1+E70)</f>
        <v/>
      </c>
      <c r="R70" s="42">
        <f>MAX(R69,Q70)</f>
        <v/>
      </c>
      <c r="S70" s="41">
        <f>IFERROR(Q70/R70-1,"")</f>
        <v/>
      </c>
      <c r="T70" s="41">
        <f>IFERROR(_xlfn.STDEV.S(#REF!)*SQRT($D$7),"")</f>
        <v/>
      </c>
      <c r="U70" s="41">
        <f>IFERROR(MIN(E70-$D$6,0),"")</f>
        <v/>
      </c>
      <c r="V70" s="41">
        <f>IFERROR(E70-F70,"")</f>
        <v/>
      </c>
      <c r="W70" s="39">
        <f>B70</f>
        <v/>
      </c>
      <c r="X70" s="21" t="n"/>
    </row>
    <row r="71">
      <c r="A71" s="38" t="n">
        <v>45041</v>
      </c>
      <c r="B71" s="39" t="n">
        <v>169.67</v>
      </c>
      <c r="C71" s="39" t="n">
        <v>406.08</v>
      </c>
      <c r="D71" s="39" t="n">
        <v>39.745</v>
      </c>
      <c r="E71" s="41">
        <f>IFERROR(B71/B70-1,"")</f>
        <v/>
      </c>
      <c r="F71" s="41">
        <f>IFERROR(C71/C70-1,"")</f>
        <v/>
      </c>
      <c r="G71" s="41">
        <f>IFERROR(D71/D70-1,"")</f>
        <v/>
      </c>
      <c r="H71" s="41">
        <f>IFERROR((1+E71)*(1+H70)-1,"")</f>
        <v/>
      </c>
      <c r="I71" s="41">
        <f>IFERROR((1+F71)*(1+I70)-1,"")</f>
        <v/>
      </c>
      <c r="J71" s="41">
        <f>IFERROR((1+G71)*(1+J70)-1,"")</f>
        <v/>
      </c>
      <c r="K71" s="42">
        <f>IFERROR(B71/$B$36*100,"")</f>
        <v/>
      </c>
      <c r="L71" s="42">
        <f>IFERROR(C71/$C$36*100,"")</f>
        <v/>
      </c>
      <c r="M71" s="42">
        <f>IFERROR(D71/$D$36*100,"")</f>
        <v/>
      </c>
      <c r="N71" s="41">
        <f>IFERROR((1+H71)/(1+I71)-1,"")</f>
        <v/>
      </c>
      <c r="O71" s="41">
        <f>IFERROR((1+H71)/(1+J71)-1,"")</f>
        <v/>
      </c>
      <c r="P71" s="39">
        <f>IFERROR(B71*0.0099502487562189+P70*(1-0.0099502487562189),"")</f>
        <v/>
      </c>
      <c r="Q71" s="42">
        <f>Q70*(1+E71)</f>
        <v/>
      </c>
      <c r="R71" s="42">
        <f>MAX(R70,Q71)</f>
        <v/>
      </c>
      <c r="S71" s="41">
        <f>IFERROR(Q71/R71-1,"")</f>
        <v/>
      </c>
      <c r="T71" s="41">
        <f>IFERROR(_xlfn.STDEV.S(#REF!)*SQRT($D$7),"")</f>
        <v/>
      </c>
      <c r="U71" s="41">
        <f>IFERROR(MIN(E71-$D$6,0),"")</f>
        <v/>
      </c>
      <c r="V71" s="41">
        <f>IFERROR(E71-F71,"")</f>
        <v/>
      </c>
      <c r="W71" s="39">
        <f>B71</f>
        <v/>
      </c>
      <c r="X71" s="21" t="n"/>
    </row>
    <row r="72">
      <c r="A72" s="38" t="n">
        <v>45042</v>
      </c>
      <c r="B72" s="39" t="n">
        <v>166.65</v>
      </c>
      <c r="C72" s="39" t="n">
        <v>404.36</v>
      </c>
      <c r="D72" s="39" t="n">
        <v>39.275</v>
      </c>
      <c r="E72" s="41">
        <f>IFERROR(B72/B71-1,"")</f>
        <v/>
      </c>
      <c r="F72" s="41">
        <f>IFERROR(C72/C71-1,"")</f>
        <v/>
      </c>
      <c r="G72" s="41">
        <f>IFERROR(D72/D71-1,"")</f>
        <v/>
      </c>
      <c r="H72" s="41">
        <f>IFERROR((1+E72)*(1+H71)-1,"")</f>
        <v/>
      </c>
      <c r="I72" s="41">
        <f>IFERROR((1+F72)*(1+I71)-1,"")</f>
        <v/>
      </c>
      <c r="J72" s="41">
        <f>IFERROR((1+G72)*(1+J71)-1,"")</f>
        <v/>
      </c>
      <c r="K72" s="42">
        <f>IFERROR(B72/$B$36*100,"")</f>
        <v/>
      </c>
      <c r="L72" s="42">
        <f>IFERROR(C72/$C$36*100,"")</f>
        <v/>
      </c>
      <c r="M72" s="42">
        <f>IFERROR(D72/$D$36*100,"")</f>
        <v/>
      </c>
      <c r="N72" s="41">
        <f>IFERROR((1+H72)/(1+I72)-1,"")</f>
        <v/>
      </c>
      <c r="O72" s="41">
        <f>IFERROR((1+H72)/(1+J72)-1,"")</f>
        <v/>
      </c>
      <c r="P72" s="39">
        <f>IFERROR(B72*0.0099502487562189+P71*(1-0.0099502487562189),"")</f>
        <v/>
      </c>
      <c r="Q72" s="42">
        <f>Q71*(1+E72)</f>
        <v/>
      </c>
      <c r="R72" s="42">
        <f>MAX(R71,Q72)</f>
        <v/>
      </c>
      <c r="S72" s="41">
        <f>IFERROR(Q72/R72-1,"")</f>
        <v/>
      </c>
      <c r="T72" s="41">
        <f>IFERROR(_xlfn.STDEV.S(#REF!)*SQRT($D$7),"")</f>
        <v/>
      </c>
      <c r="U72" s="41">
        <f>IFERROR(MIN(E72-$D$6,0),"")</f>
        <v/>
      </c>
      <c r="V72" s="41">
        <f>IFERROR(E72-F72,"")</f>
        <v/>
      </c>
      <c r="W72" s="39">
        <f>B72</f>
        <v/>
      </c>
      <c r="X72" s="21" t="n"/>
    </row>
    <row r="73">
      <c r="A73" s="38" t="n">
        <v>45043</v>
      </c>
      <c r="B73" s="39" t="n">
        <v>172.98</v>
      </c>
      <c r="C73" s="39" t="n">
        <v>412.41</v>
      </c>
      <c r="D73" s="39" t="n">
        <v>39.81</v>
      </c>
      <c r="E73" s="41">
        <f>IFERROR(B73/B72-1,"")</f>
        <v/>
      </c>
      <c r="F73" s="41">
        <f>IFERROR(C73/C72-1,"")</f>
        <v/>
      </c>
      <c r="G73" s="41">
        <f>IFERROR(D73/D72-1,"")</f>
        <v/>
      </c>
      <c r="H73" s="41">
        <f>IFERROR((1+E73)*(1+H72)-1,"")</f>
        <v/>
      </c>
      <c r="I73" s="41">
        <f>IFERROR((1+F73)*(1+I72)-1,"")</f>
        <v/>
      </c>
      <c r="J73" s="41">
        <f>IFERROR((1+G73)*(1+J72)-1,"")</f>
        <v/>
      </c>
      <c r="K73" s="42">
        <f>IFERROR(B73/$B$36*100,"")</f>
        <v/>
      </c>
      <c r="L73" s="42">
        <f>IFERROR(C73/$C$36*100,"")</f>
        <v/>
      </c>
      <c r="M73" s="42">
        <f>IFERROR(D73/$D$36*100,"")</f>
        <v/>
      </c>
      <c r="N73" s="41">
        <f>IFERROR((1+H73)/(1+I73)-1,"")</f>
        <v/>
      </c>
      <c r="O73" s="41">
        <f>IFERROR((1+H73)/(1+J73)-1,"")</f>
        <v/>
      </c>
      <c r="P73" s="39">
        <f>IFERROR(B73*0.0099502487562189+P72*(1-0.0099502487562189),"")</f>
        <v/>
      </c>
      <c r="Q73" s="42">
        <f>Q72*(1+E73)</f>
        <v/>
      </c>
      <c r="R73" s="42">
        <f>MAX(R72,Q73)</f>
        <v/>
      </c>
      <c r="S73" s="41">
        <f>IFERROR(Q73/R73-1,"")</f>
        <v/>
      </c>
      <c r="T73" s="41">
        <f>IFERROR(_xlfn.STDEV.S(#REF!)*SQRT($D$7),"")</f>
        <v/>
      </c>
      <c r="U73" s="41">
        <f>IFERROR(MIN(E73-$D$6,0),"")</f>
        <v/>
      </c>
      <c r="V73" s="41">
        <f>IFERROR(E73-F73,"")</f>
        <v/>
      </c>
      <c r="W73" s="39">
        <f>B73</f>
        <v/>
      </c>
      <c r="X73" s="21" t="n"/>
    </row>
    <row r="74">
      <c r="A74" s="38" t="n">
        <v>45044</v>
      </c>
      <c r="B74" s="39" t="n">
        <v>175.12</v>
      </c>
      <c r="C74" s="39" t="n">
        <v>415.93</v>
      </c>
      <c r="D74" s="39" t="n">
        <v>40.275</v>
      </c>
      <c r="E74" s="41">
        <f>IFERROR(B74/B73-1,"")</f>
        <v/>
      </c>
      <c r="F74" s="41">
        <f>IFERROR(C74/C73-1,"")</f>
        <v/>
      </c>
      <c r="G74" s="41">
        <f>IFERROR(D74/D73-1,"")</f>
        <v/>
      </c>
      <c r="H74" s="41">
        <f>IFERROR((1+E74)*(1+H73)-1,"")</f>
        <v/>
      </c>
      <c r="I74" s="41">
        <f>IFERROR((1+F74)*(1+I73)-1,"")</f>
        <v/>
      </c>
      <c r="J74" s="41">
        <f>IFERROR((1+G74)*(1+J73)-1,"")</f>
        <v/>
      </c>
      <c r="K74" s="42">
        <f>IFERROR(B74/$B$36*100,"")</f>
        <v/>
      </c>
      <c r="L74" s="42">
        <f>IFERROR(C74/$C$36*100,"")</f>
        <v/>
      </c>
      <c r="M74" s="42">
        <f>IFERROR(D74/$D$36*100,"")</f>
        <v/>
      </c>
      <c r="N74" s="41">
        <f>IFERROR((1+H74)/(1+I74)-1,"")</f>
        <v/>
      </c>
      <c r="O74" s="41">
        <f>IFERROR((1+H74)/(1+J74)-1,"")</f>
        <v/>
      </c>
      <c r="P74" s="39">
        <f>IFERROR(B74*0.0099502487562189+P73*(1-0.0099502487562189),"")</f>
        <v/>
      </c>
      <c r="Q74" s="42">
        <f>Q73*(1+E74)</f>
        <v/>
      </c>
      <c r="R74" s="42">
        <f>MAX(R73,Q74)</f>
        <v/>
      </c>
      <c r="S74" s="41">
        <f>IFERROR(Q74/R74-1,"")</f>
        <v/>
      </c>
      <c r="T74" s="41">
        <f>IFERROR(_xlfn.STDEV.S(#REF!)*SQRT($D$7),"")</f>
        <v/>
      </c>
      <c r="U74" s="41">
        <f>IFERROR(MIN(E74-$D$6,0),"")</f>
        <v/>
      </c>
      <c r="V74" s="41">
        <f>IFERROR(E74-F74,"")</f>
        <v/>
      </c>
      <c r="W74" s="39">
        <f>B74</f>
        <v/>
      </c>
      <c r="X74" s="21" t="n"/>
    </row>
    <row r="75">
      <c r="A75" s="38" t="n">
        <v>45047</v>
      </c>
      <c r="B75" s="39" t="n">
        <v>177.51</v>
      </c>
      <c r="C75" s="39" t="n">
        <v>415.51</v>
      </c>
      <c r="D75" s="39" t="n">
        <v>40.255</v>
      </c>
      <c r="E75" s="41">
        <f>IFERROR(B75/B74-1,"")</f>
        <v/>
      </c>
      <c r="F75" s="41">
        <f>IFERROR(C75/C74-1,"")</f>
        <v/>
      </c>
      <c r="G75" s="41">
        <f>IFERROR(D75/D74-1,"")</f>
        <v/>
      </c>
      <c r="H75" s="41">
        <f>IFERROR((1+E75)*(1+H74)-1,"")</f>
        <v/>
      </c>
      <c r="I75" s="41">
        <f>IFERROR((1+F75)*(1+I74)-1,"")</f>
        <v/>
      </c>
      <c r="J75" s="41">
        <f>IFERROR((1+G75)*(1+J74)-1,"")</f>
        <v/>
      </c>
      <c r="K75" s="42">
        <f>IFERROR(B75/$B$36*100,"")</f>
        <v/>
      </c>
      <c r="L75" s="42">
        <f>IFERROR(C75/$C$36*100,"")</f>
        <v/>
      </c>
      <c r="M75" s="42">
        <f>IFERROR(D75/$D$36*100,"")</f>
        <v/>
      </c>
      <c r="N75" s="41">
        <f>IFERROR((1+H75)/(1+I75)-1,"")</f>
        <v/>
      </c>
      <c r="O75" s="41">
        <f>IFERROR((1+H75)/(1+J75)-1,"")</f>
        <v/>
      </c>
      <c r="P75" s="39">
        <f>IFERROR(B75*0.0099502487562189+P74*(1-0.0099502487562189),"")</f>
        <v/>
      </c>
      <c r="Q75" s="42">
        <f>Q74*(1+E75)</f>
        <v/>
      </c>
      <c r="R75" s="42">
        <f>MAX(R74,Q75)</f>
        <v/>
      </c>
      <c r="S75" s="41">
        <f>IFERROR(Q75/R75-1,"")</f>
        <v/>
      </c>
      <c r="T75" s="41">
        <f>IFERROR(_xlfn.STDEV.S(#REF!)*SQRT($D$7),"")</f>
        <v/>
      </c>
      <c r="U75" s="41">
        <f>IFERROR(MIN(E75-$D$6,0),"")</f>
        <v/>
      </c>
      <c r="V75" s="41">
        <f>IFERROR(E75-F75,"")</f>
        <v/>
      </c>
      <c r="W75" s="39">
        <f>B75</f>
        <v/>
      </c>
      <c r="X75" s="21" t="n"/>
    </row>
    <row r="76">
      <c r="A76" s="38" t="n">
        <v>45048</v>
      </c>
      <c r="B76" s="39" t="n">
        <v>179.27</v>
      </c>
      <c r="C76" s="39" t="n">
        <v>410.84</v>
      </c>
      <c r="D76" s="39" t="n">
        <v>39.865</v>
      </c>
      <c r="E76" s="41">
        <f>IFERROR(B76/B75-1,"")</f>
        <v/>
      </c>
      <c r="F76" s="41">
        <f>IFERROR(C76/C75-1,"")</f>
        <v/>
      </c>
      <c r="G76" s="41">
        <f>IFERROR(D76/D75-1,"")</f>
        <v/>
      </c>
      <c r="H76" s="41">
        <f>IFERROR((1+E76)*(1+H75)-1,"")</f>
        <v/>
      </c>
      <c r="I76" s="41">
        <f>IFERROR((1+F76)*(1+I75)-1,"")</f>
        <v/>
      </c>
      <c r="J76" s="41">
        <f>IFERROR((1+G76)*(1+J75)-1,"")</f>
        <v/>
      </c>
      <c r="K76" s="42">
        <f>IFERROR(B76/$B$36*100,"")</f>
        <v/>
      </c>
      <c r="L76" s="42">
        <f>IFERROR(C76/$C$36*100,"")</f>
        <v/>
      </c>
      <c r="M76" s="42">
        <f>IFERROR(D76/$D$36*100,"")</f>
        <v/>
      </c>
      <c r="N76" s="41">
        <f>IFERROR((1+H76)/(1+I76)-1,"")</f>
        <v/>
      </c>
      <c r="O76" s="41">
        <f>IFERROR((1+H76)/(1+J76)-1,"")</f>
        <v/>
      </c>
      <c r="P76" s="39">
        <f>IFERROR(B76*0.0099502487562189+P75*(1-0.0099502487562189),"")</f>
        <v/>
      </c>
      <c r="Q76" s="42">
        <f>Q75*(1+E76)</f>
        <v/>
      </c>
      <c r="R76" s="42">
        <f>MAX(R75,Q76)</f>
        <v/>
      </c>
      <c r="S76" s="41">
        <f>IFERROR(Q76/R76-1,"")</f>
        <v/>
      </c>
      <c r="T76" s="41">
        <f>IFERROR(_xlfn.STDEV.S(E14:E76)*SQRT($D$7),"")</f>
        <v/>
      </c>
      <c r="U76" s="41">
        <f>IFERROR(MIN(E76-$D$6,0),"")</f>
        <v/>
      </c>
      <c r="V76" s="41">
        <f>IFERROR(E76-F76,"")</f>
        <v/>
      </c>
      <c r="W76" s="39">
        <f>B76</f>
        <v/>
      </c>
      <c r="X76" s="21" t="n"/>
    </row>
    <row r="77">
      <c r="A77" s="38" t="n">
        <v>45049</v>
      </c>
      <c r="B77" s="39" t="n">
        <v>178.62</v>
      </c>
      <c r="C77" s="39" t="n">
        <v>408.02</v>
      </c>
      <c r="D77" s="39" t="n">
        <v>39.425</v>
      </c>
      <c r="E77" s="41">
        <f>IFERROR(B77/B76-1,"")</f>
        <v/>
      </c>
      <c r="F77" s="41">
        <f>IFERROR(C77/C76-1,"")</f>
        <v/>
      </c>
      <c r="G77" s="41">
        <f>IFERROR(D77/D76-1,"")</f>
        <v/>
      </c>
      <c r="H77" s="41">
        <f>IFERROR((1+E77)*(1+H76)-1,"")</f>
        <v/>
      </c>
      <c r="I77" s="41">
        <f>IFERROR((1+F77)*(1+I76)-1,"")</f>
        <v/>
      </c>
      <c r="J77" s="41">
        <f>IFERROR((1+G77)*(1+J76)-1,"")</f>
        <v/>
      </c>
      <c r="K77" s="42">
        <f>IFERROR(B77/$B$36*100,"")</f>
        <v/>
      </c>
      <c r="L77" s="42">
        <f>IFERROR(C77/$C$36*100,"")</f>
        <v/>
      </c>
      <c r="M77" s="42">
        <f>IFERROR(D77/$D$36*100,"")</f>
        <v/>
      </c>
      <c r="N77" s="41">
        <f>IFERROR((1+H77)/(1+I77)-1,"")</f>
        <v/>
      </c>
      <c r="O77" s="41">
        <f>IFERROR((1+H77)/(1+J77)-1,"")</f>
        <v/>
      </c>
      <c r="P77" s="39">
        <f>IFERROR(B77*0.0099502487562189+P76*(1-0.0099502487562189),"")</f>
        <v/>
      </c>
      <c r="Q77" s="42">
        <f>Q76*(1+E77)</f>
        <v/>
      </c>
      <c r="R77" s="42">
        <f>MAX(R76,Q77)</f>
        <v/>
      </c>
      <c r="S77" s="41">
        <f>IFERROR(Q77/R77-1,"")</f>
        <v/>
      </c>
      <c r="T77" s="41">
        <f>IFERROR(_xlfn.STDEV.S(E14:E77)*SQRT($D$7),"")</f>
        <v/>
      </c>
      <c r="U77" s="41">
        <f>IFERROR(MIN(E77-$D$6,0),"")</f>
        <v/>
      </c>
      <c r="V77" s="41">
        <f>IFERROR(E77-F77,"")</f>
        <v/>
      </c>
      <c r="W77" s="39">
        <f>B77</f>
        <v/>
      </c>
      <c r="X77" s="21" t="n"/>
    </row>
    <row r="78">
      <c r="A78" s="38" t="n">
        <v>45050</v>
      </c>
      <c r="B78" s="39" t="n">
        <v>190.23</v>
      </c>
      <c r="C78" s="39" t="n">
        <v>405.13</v>
      </c>
      <c r="D78" s="39" t="n">
        <v>39.17</v>
      </c>
      <c r="E78" s="41">
        <f>IFERROR(B78/B77-1,"")</f>
        <v/>
      </c>
      <c r="F78" s="41">
        <f>IFERROR(C78/C77-1,"")</f>
        <v/>
      </c>
      <c r="G78" s="41">
        <f>IFERROR(D78/D77-1,"")</f>
        <v/>
      </c>
      <c r="H78" s="41">
        <f>IFERROR((1+E78)*(1+H77)-1,"")</f>
        <v/>
      </c>
      <c r="I78" s="41">
        <f>IFERROR((1+F78)*(1+I77)-1,"")</f>
        <v/>
      </c>
      <c r="J78" s="41">
        <f>IFERROR((1+G78)*(1+J77)-1,"")</f>
        <v/>
      </c>
      <c r="K78" s="42">
        <f>IFERROR(B78/$B$36*100,"")</f>
        <v/>
      </c>
      <c r="L78" s="42">
        <f>IFERROR(C78/$C$36*100,"")</f>
        <v/>
      </c>
      <c r="M78" s="42">
        <f>IFERROR(D78/$D$36*100,"")</f>
        <v/>
      </c>
      <c r="N78" s="41">
        <f>IFERROR((1+H78)/(1+I78)-1,"")</f>
        <v/>
      </c>
      <c r="O78" s="41">
        <f>IFERROR((1+H78)/(1+J78)-1,"")</f>
        <v/>
      </c>
      <c r="P78" s="39">
        <f>IFERROR(B78*0.0099502487562189+P77*(1-0.0099502487562189),"")</f>
        <v/>
      </c>
      <c r="Q78" s="42">
        <f>Q77*(1+E78)</f>
        <v/>
      </c>
      <c r="R78" s="42">
        <f>MAX(R77,Q78)</f>
        <v/>
      </c>
      <c r="S78" s="41">
        <f>IFERROR(Q78/R78-1,"")</f>
        <v/>
      </c>
      <c r="T78" s="41">
        <f>IFERROR(_xlfn.STDEV.S(E14:E78)*SQRT($D$7),"")</f>
        <v/>
      </c>
      <c r="U78" s="41">
        <f>IFERROR(MIN(E78-$D$6,0),"")</f>
        <v/>
      </c>
      <c r="V78" s="41">
        <f>IFERROR(E78-F78,"")</f>
        <v/>
      </c>
      <c r="W78" s="39">
        <f>B78</f>
        <v/>
      </c>
      <c r="X78" s="21" t="n"/>
    </row>
    <row r="79">
      <c r="A79" s="38" t="n">
        <v>45051</v>
      </c>
      <c r="B79" s="39" t="n">
        <v>193.57</v>
      </c>
      <c r="C79" s="39" t="n">
        <v>412.63</v>
      </c>
      <c r="D79" s="39" t="n">
        <v>39.83</v>
      </c>
      <c r="E79" s="41">
        <f>IFERROR(B79/B78-1,"")</f>
        <v/>
      </c>
      <c r="F79" s="41">
        <f>IFERROR(C79/C78-1,"")</f>
        <v/>
      </c>
      <c r="G79" s="41">
        <f>IFERROR(D79/D78-1,"")</f>
        <v/>
      </c>
      <c r="H79" s="41">
        <f>IFERROR((1+E79)*(1+H78)-1,"")</f>
        <v/>
      </c>
      <c r="I79" s="41">
        <f>IFERROR((1+F79)*(1+I78)-1,"")</f>
        <v/>
      </c>
      <c r="J79" s="41">
        <f>IFERROR((1+G79)*(1+J78)-1,"")</f>
        <v/>
      </c>
      <c r="K79" s="42">
        <f>IFERROR(B79/$B$36*100,"")</f>
        <v/>
      </c>
      <c r="L79" s="42">
        <f>IFERROR(C79/$C$36*100,"")</f>
        <v/>
      </c>
      <c r="M79" s="42">
        <f>IFERROR(D79/$D$36*100,"")</f>
        <v/>
      </c>
      <c r="N79" s="41">
        <f>IFERROR((1+H79)/(1+I79)-1,"")</f>
        <v/>
      </c>
      <c r="O79" s="41">
        <f>IFERROR((1+H79)/(1+J79)-1,"")</f>
        <v/>
      </c>
      <c r="P79" s="39">
        <f>IFERROR(B79*0.0099502487562189+P78*(1-0.0099502487562189),"")</f>
        <v/>
      </c>
      <c r="Q79" s="42">
        <f>Q78*(1+E79)</f>
        <v/>
      </c>
      <c r="R79" s="42">
        <f>MAX(R78,Q79)</f>
        <v/>
      </c>
      <c r="S79" s="41">
        <f>IFERROR(Q79/R79-1,"")</f>
        <v/>
      </c>
      <c r="T79" s="41">
        <f>IFERROR(_xlfn.STDEV.S(E15:E79)*SQRT($D$7),"")</f>
        <v/>
      </c>
      <c r="U79" s="41">
        <f>IFERROR(MIN(E79-$D$6,0),"")</f>
        <v/>
      </c>
      <c r="V79" s="41">
        <f>IFERROR(E79-F79,"")</f>
        <v/>
      </c>
      <c r="W79" s="39">
        <f>B79</f>
        <v/>
      </c>
      <c r="X79" s="21" t="n"/>
    </row>
    <row r="80">
      <c r="A80" s="38" t="n">
        <v>45054</v>
      </c>
      <c r="B80" s="39" t="n">
        <v>192.83</v>
      </c>
      <c r="C80" s="39" t="n">
        <v>412.74</v>
      </c>
      <c r="D80" s="39" t="n">
        <v>39.7</v>
      </c>
      <c r="E80" s="41">
        <f>IFERROR(B80/B79-1,"")</f>
        <v/>
      </c>
      <c r="F80" s="41">
        <f>IFERROR(C80/C79-1,"")</f>
        <v/>
      </c>
      <c r="G80" s="41">
        <f>IFERROR(D80/D79-1,"")</f>
        <v/>
      </c>
      <c r="H80" s="41">
        <f>IFERROR((1+E80)*(1+H79)-1,"")</f>
        <v/>
      </c>
      <c r="I80" s="41">
        <f>IFERROR((1+F80)*(1+I79)-1,"")</f>
        <v/>
      </c>
      <c r="J80" s="41">
        <f>IFERROR((1+G80)*(1+J79)-1,"")</f>
        <v/>
      </c>
      <c r="K80" s="42">
        <f>IFERROR(B80/$B$36*100,"")</f>
        <v/>
      </c>
      <c r="L80" s="42">
        <f>IFERROR(C80/$C$36*100,"")</f>
        <v/>
      </c>
      <c r="M80" s="42">
        <f>IFERROR(D80/$D$36*100,"")</f>
        <v/>
      </c>
      <c r="N80" s="41">
        <f>IFERROR((1+H80)/(1+I80)-1,"")</f>
        <v/>
      </c>
      <c r="O80" s="41">
        <f>IFERROR((1+H80)/(1+J80)-1,"")</f>
        <v/>
      </c>
      <c r="P80" s="39">
        <f>IFERROR(B80*0.0099502487562189+P79*(1-0.0099502487562189),"")</f>
        <v/>
      </c>
      <c r="Q80" s="42">
        <f>Q79*(1+E80)</f>
        <v/>
      </c>
      <c r="R80" s="42">
        <f>MAX(R79,Q80)</f>
        <v/>
      </c>
      <c r="S80" s="41">
        <f>IFERROR(Q80/R80-1,"")</f>
        <v/>
      </c>
      <c r="T80" s="41">
        <f>IFERROR(_xlfn.STDEV.S(E16:E80)*SQRT($D$7),"")</f>
        <v/>
      </c>
      <c r="U80" s="41">
        <f>IFERROR(MIN(E80-$D$6,0),"")</f>
        <v/>
      </c>
      <c r="V80" s="41">
        <f>IFERROR(E80-F80,"")</f>
        <v/>
      </c>
      <c r="W80" s="39">
        <f>B80</f>
        <v/>
      </c>
      <c r="X80" s="21" t="n"/>
    </row>
    <row r="81">
      <c r="A81" s="38" t="n">
        <v>45055</v>
      </c>
      <c r="B81" s="39" t="n">
        <v>193.11</v>
      </c>
      <c r="C81" s="39" t="n">
        <v>410.93</v>
      </c>
      <c r="D81" s="39" t="n">
        <v>39.34</v>
      </c>
      <c r="E81" s="41">
        <f>IFERROR(B81/B80-1,"")</f>
        <v/>
      </c>
      <c r="F81" s="41">
        <f>IFERROR(C81/C80-1,"")</f>
        <v/>
      </c>
      <c r="G81" s="41">
        <f>IFERROR(D81/D80-1,"")</f>
        <v/>
      </c>
      <c r="H81" s="41">
        <f>IFERROR((1+E81)*(1+H80)-1,"")</f>
        <v/>
      </c>
      <c r="I81" s="41">
        <f>IFERROR((1+F81)*(1+I80)-1,"")</f>
        <v/>
      </c>
      <c r="J81" s="41">
        <f>IFERROR((1+G81)*(1+J80)-1,"")</f>
        <v/>
      </c>
      <c r="K81" s="42">
        <f>IFERROR(B81/$B$36*100,"")</f>
        <v/>
      </c>
      <c r="L81" s="42">
        <f>IFERROR(C81/$C$36*100,"")</f>
        <v/>
      </c>
      <c r="M81" s="42">
        <f>IFERROR(D81/$D$36*100,"")</f>
        <v/>
      </c>
      <c r="N81" s="41">
        <f>IFERROR((1+H81)/(1+I81)-1,"")</f>
        <v/>
      </c>
      <c r="O81" s="41">
        <f>IFERROR((1+H81)/(1+J81)-1,"")</f>
        <v/>
      </c>
      <c r="P81" s="39">
        <f>IFERROR(B81*0.0099502487562189+P80*(1-0.0099502487562189),"")</f>
        <v/>
      </c>
      <c r="Q81" s="42">
        <f>Q80*(1+E81)</f>
        <v/>
      </c>
      <c r="R81" s="42">
        <f>MAX(R80,Q81)</f>
        <v/>
      </c>
      <c r="S81" s="41">
        <f>IFERROR(Q81/R81-1,"")</f>
        <v/>
      </c>
      <c r="T81" s="41">
        <f>IFERROR(_xlfn.STDEV.S(E18:E81)*SQRT($D$7),"")</f>
        <v/>
      </c>
      <c r="U81" s="41">
        <f>IFERROR(MIN(E81-$D$6,0),"")</f>
        <v/>
      </c>
      <c r="V81" s="41">
        <f>IFERROR(E81-F81,"")</f>
        <v/>
      </c>
      <c r="W81" s="39">
        <f>B81</f>
        <v/>
      </c>
      <c r="X81" s="21" t="n"/>
    </row>
    <row r="82">
      <c r="A82" s="38" t="n">
        <v>45056</v>
      </c>
      <c r="B82" s="39" t="n">
        <v>196.09</v>
      </c>
      <c r="C82" s="39" t="n">
        <v>412.85</v>
      </c>
      <c r="D82" s="39" t="n">
        <v>39.365</v>
      </c>
      <c r="E82" s="41">
        <f>IFERROR(B82/B81-1,"")</f>
        <v/>
      </c>
      <c r="F82" s="41">
        <f>IFERROR(C82/C81-1,"")</f>
        <v/>
      </c>
      <c r="G82" s="41">
        <f>IFERROR(D82/D81-1,"")</f>
        <v/>
      </c>
      <c r="H82" s="41">
        <f>IFERROR((1+E82)*(1+H81)-1,"")</f>
        <v/>
      </c>
      <c r="I82" s="41">
        <f>IFERROR((1+F82)*(1+I81)-1,"")</f>
        <v/>
      </c>
      <c r="J82" s="41">
        <f>IFERROR((1+G82)*(1+J81)-1,"")</f>
        <v/>
      </c>
      <c r="K82" s="42">
        <f>IFERROR(B82/$B$36*100,"")</f>
        <v/>
      </c>
      <c r="L82" s="42">
        <f>IFERROR(C82/$C$36*100,"")</f>
        <v/>
      </c>
      <c r="M82" s="42">
        <f>IFERROR(D82/$D$36*100,"")</f>
        <v/>
      </c>
      <c r="N82" s="41">
        <f>IFERROR((1+H82)/(1+I82)-1,"")</f>
        <v/>
      </c>
      <c r="O82" s="41">
        <f>IFERROR((1+H82)/(1+J82)-1,"")</f>
        <v/>
      </c>
      <c r="P82" s="39">
        <f>IFERROR(B82*0.0099502487562189+P81*(1-0.0099502487562189),"")</f>
        <v/>
      </c>
      <c r="Q82" s="42">
        <f>Q81*(1+E82)</f>
        <v/>
      </c>
      <c r="R82" s="42">
        <f>MAX(R81,Q82)</f>
        <v/>
      </c>
      <c r="S82" s="41">
        <f>IFERROR(Q82/R82-1,"")</f>
        <v/>
      </c>
      <c r="T82" s="41">
        <f>IFERROR(_xlfn.STDEV.S(E19:E82)*SQRT($D$7),"")</f>
        <v/>
      </c>
      <c r="U82" s="41">
        <f>IFERROR(MIN(E82-$D$6,0),"")</f>
        <v/>
      </c>
      <c r="V82" s="41">
        <f>IFERROR(E82-F82,"")</f>
        <v/>
      </c>
      <c r="W82" s="39">
        <f>B82</f>
        <v/>
      </c>
      <c r="X82" s="21" t="n"/>
    </row>
    <row r="83">
      <c r="A83" s="38" t="n">
        <v>45057</v>
      </c>
      <c r="B83" s="39" t="n">
        <v>194.83</v>
      </c>
      <c r="C83" s="39" t="n">
        <v>412.13</v>
      </c>
      <c r="D83" s="39" t="n">
        <v>38.98</v>
      </c>
      <c r="E83" s="41">
        <f>IFERROR(B83/B82-1,"")</f>
        <v/>
      </c>
      <c r="F83" s="41">
        <f>IFERROR(C83/C82-1,"")</f>
        <v/>
      </c>
      <c r="G83" s="41">
        <f>IFERROR(D83/D82-1,"")</f>
        <v/>
      </c>
      <c r="H83" s="41">
        <f>IFERROR((1+E83)*(1+H82)-1,"")</f>
        <v/>
      </c>
      <c r="I83" s="41">
        <f>IFERROR((1+F83)*(1+I82)-1,"")</f>
        <v/>
      </c>
      <c r="J83" s="41">
        <f>IFERROR((1+G83)*(1+J82)-1,"")</f>
        <v/>
      </c>
      <c r="K83" s="42">
        <f>IFERROR(B83/$B$36*100,"")</f>
        <v/>
      </c>
      <c r="L83" s="42">
        <f>IFERROR(C83/$C$36*100,"")</f>
        <v/>
      </c>
      <c r="M83" s="42">
        <f>IFERROR(D83/$D$36*100,"")</f>
        <v/>
      </c>
      <c r="N83" s="41">
        <f>IFERROR((1+H83)/(1+I83)-1,"")</f>
        <v/>
      </c>
      <c r="O83" s="41">
        <f>IFERROR((1+H83)/(1+J83)-1,"")</f>
        <v/>
      </c>
      <c r="P83" s="39">
        <f>IFERROR(B83*0.0099502487562189+P82*(1-0.0099502487562189),"")</f>
        <v/>
      </c>
      <c r="Q83" s="42">
        <f>Q82*(1+E83)</f>
        <v/>
      </c>
      <c r="R83" s="42">
        <f>MAX(R82,Q83)</f>
        <v/>
      </c>
      <c r="S83" s="41">
        <f>IFERROR(Q83/R83-1,"")</f>
        <v/>
      </c>
      <c r="T83" s="41">
        <f>IFERROR(_xlfn.STDEV.S(E20:E83)*SQRT($D$7),"")</f>
        <v/>
      </c>
      <c r="U83" s="41">
        <f>IFERROR(MIN(E83-$D$6,0),"")</f>
        <v/>
      </c>
      <c r="V83" s="41">
        <f>IFERROR(E83-F83,"")</f>
        <v/>
      </c>
      <c r="W83" s="39">
        <f>B83</f>
        <v/>
      </c>
      <c r="X83" s="21" t="n"/>
    </row>
    <row r="84">
      <c r="A84" s="38" t="n">
        <v>45058</v>
      </c>
      <c r="B84" s="39" t="n">
        <v>195.38</v>
      </c>
      <c r="C84" s="39" t="n">
        <v>411.59</v>
      </c>
      <c r="D84" s="39" t="n">
        <v>39.05</v>
      </c>
      <c r="E84" s="41">
        <f>IFERROR(B84/B83-1,"")</f>
        <v/>
      </c>
      <c r="F84" s="41">
        <f>IFERROR(C84/C83-1,"")</f>
        <v/>
      </c>
      <c r="G84" s="41">
        <f>IFERROR(D84/D83-1,"")</f>
        <v/>
      </c>
      <c r="H84" s="41">
        <f>IFERROR((1+E84)*(1+H83)-1,"")</f>
        <v/>
      </c>
      <c r="I84" s="41">
        <f>IFERROR((1+F84)*(1+I83)-1,"")</f>
        <v/>
      </c>
      <c r="J84" s="41">
        <f>IFERROR((1+G84)*(1+J83)-1,"")</f>
        <v/>
      </c>
      <c r="K84" s="42">
        <f>IFERROR(B84/$B$36*100,"")</f>
        <v/>
      </c>
      <c r="L84" s="42">
        <f>IFERROR(C84/$C$36*100,"")</f>
        <v/>
      </c>
      <c r="M84" s="42">
        <f>IFERROR(D84/$D$36*100,"")</f>
        <v/>
      </c>
      <c r="N84" s="41">
        <f>IFERROR((1+H84)/(1+I84)-1,"")</f>
        <v/>
      </c>
      <c r="O84" s="41">
        <f>IFERROR((1+H84)/(1+J84)-1,"")</f>
        <v/>
      </c>
      <c r="P84" s="39">
        <f>IFERROR(B84*0.0099502487562189+P83*(1-0.0099502487562189),"")</f>
        <v/>
      </c>
      <c r="Q84" s="42">
        <f>Q83*(1+E84)</f>
        <v/>
      </c>
      <c r="R84" s="42">
        <f>MAX(R83,Q84)</f>
        <v/>
      </c>
      <c r="S84" s="41">
        <f>IFERROR(Q84/R84-1,"")</f>
        <v/>
      </c>
      <c r="T84" s="41">
        <f>IFERROR(_xlfn.STDEV.S(E21:E84)*SQRT($D$7),"")</f>
        <v/>
      </c>
      <c r="U84" s="41">
        <f>IFERROR(MIN(E84-$D$6,0),"")</f>
        <v/>
      </c>
      <c r="V84" s="41">
        <f>IFERROR(E84-F84,"")</f>
        <v/>
      </c>
      <c r="W84" s="39">
        <f>B84</f>
        <v/>
      </c>
      <c r="X84" s="21" t="n"/>
    </row>
    <row r="85">
      <c r="A85" s="38" t="n">
        <v>45061</v>
      </c>
      <c r="B85" s="39" t="n">
        <v>196.17</v>
      </c>
      <c r="C85" s="39" t="n">
        <v>413.01</v>
      </c>
      <c r="D85" s="39" t="n">
        <v>39.38</v>
      </c>
      <c r="E85" s="41">
        <f>IFERROR(B85/B84-1,"")</f>
        <v/>
      </c>
      <c r="F85" s="41">
        <f>IFERROR(C85/C84-1,"")</f>
        <v/>
      </c>
      <c r="G85" s="41">
        <f>IFERROR(D85/D84-1,"")</f>
        <v/>
      </c>
      <c r="H85" s="41">
        <f>IFERROR((1+E85)*(1+H84)-1,"")</f>
        <v/>
      </c>
      <c r="I85" s="41">
        <f>IFERROR((1+F85)*(1+I84)-1,"")</f>
        <v/>
      </c>
      <c r="J85" s="41">
        <f>IFERROR((1+G85)*(1+J84)-1,"")</f>
        <v/>
      </c>
      <c r="K85" s="42">
        <f>IFERROR(B85/$B$36*100,"")</f>
        <v/>
      </c>
      <c r="L85" s="42">
        <f>IFERROR(C85/$C$36*100,"")</f>
        <v/>
      </c>
      <c r="M85" s="42">
        <f>IFERROR(D85/$D$36*100,"")</f>
        <v/>
      </c>
      <c r="N85" s="41">
        <f>IFERROR((1+H85)/(1+I85)-1,"")</f>
        <v/>
      </c>
      <c r="O85" s="41">
        <f>IFERROR((1+H85)/(1+J85)-1,"")</f>
        <v/>
      </c>
      <c r="P85" s="39">
        <f>IFERROR(B85*0.0099502487562189+P84*(1-0.0099502487562189),"")</f>
        <v/>
      </c>
      <c r="Q85" s="42">
        <f>Q84*(1+E85)</f>
        <v/>
      </c>
      <c r="R85" s="42">
        <f>MAX(R84,Q85)</f>
        <v/>
      </c>
      <c r="S85" s="41">
        <f>IFERROR(Q85/R85-1,"")</f>
        <v/>
      </c>
      <c r="T85" s="41">
        <f>IFERROR(_xlfn.STDEV.S(E22:E85)*SQRT($D$7),"")</f>
        <v/>
      </c>
      <c r="U85" s="41">
        <f>IFERROR(MIN(E85-$D$6,0),"")</f>
        <v/>
      </c>
      <c r="V85" s="41">
        <f>IFERROR(E85-F85,"")</f>
        <v/>
      </c>
      <c r="W85" s="39">
        <f>B85</f>
        <v/>
      </c>
      <c r="X85" s="21" t="n"/>
    </row>
    <row r="86">
      <c r="A86" s="38" t="n">
        <v>45062</v>
      </c>
      <c r="B86" s="39" t="n">
        <v>195.01</v>
      </c>
      <c r="C86" s="39" t="n">
        <v>410.25</v>
      </c>
      <c r="D86" s="39" t="n">
        <v>38.73</v>
      </c>
      <c r="E86" s="41">
        <f>IFERROR(B86/B85-1,"")</f>
        <v/>
      </c>
      <c r="F86" s="41">
        <f>IFERROR(C86/C85-1,"")</f>
        <v/>
      </c>
      <c r="G86" s="41">
        <f>IFERROR(D86/D85-1,"")</f>
        <v/>
      </c>
      <c r="H86" s="41">
        <f>IFERROR((1+E86)*(1+H85)-1,"")</f>
        <v/>
      </c>
      <c r="I86" s="41">
        <f>IFERROR((1+F86)*(1+I85)-1,"")</f>
        <v/>
      </c>
      <c r="J86" s="41">
        <f>IFERROR((1+G86)*(1+J85)-1,"")</f>
        <v/>
      </c>
      <c r="K86" s="42">
        <f>IFERROR(B86/$B$36*100,"")</f>
        <v/>
      </c>
      <c r="L86" s="42">
        <f>IFERROR(C86/$C$36*100,"")</f>
        <v/>
      </c>
      <c r="M86" s="42">
        <f>IFERROR(D86/$D$36*100,"")</f>
        <v/>
      </c>
      <c r="N86" s="41">
        <f>IFERROR((1+H86)/(1+I86)-1,"")</f>
        <v/>
      </c>
      <c r="O86" s="41">
        <f>IFERROR((1+H86)/(1+J86)-1,"")</f>
        <v/>
      </c>
      <c r="P86" s="39">
        <f>IFERROR(B86*0.0099502487562189+P85*(1-0.0099502487562189),"")</f>
        <v/>
      </c>
      <c r="Q86" s="42">
        <f>Q85*(1+E86)</f>
        <v/>
      </c>
      <c r="R86" s="42">
        <f>MAX(R85,Q86)</f>
        <v/>
      </c>
      <c r="S86" s="41">
        <f>IFERROR(Q86/R86-1,"")</f>
        <v/>
      </c>
      <c r="T86" s="41">
        <f>IFERROR(_xlfn.STDEV.S(E22:E86)*SQRT($D$7),"")</f>
        <v/>
      </c>
      <c r="U86" s="41">
        <f>IFERROR(MIN(E86-$D$6,0),"")</f>
        <v/>
      </c>
      <c r="V86" s="41">
        <f>IFERROR(E86-F86,"")</f>
        <v/>
      </c>
      <c r="W86" s="39">
        <f>B86</f>
        <v/>
      </c>
      <c r="X86" s="21" t="n"/>
    </row>
    <row r="87">
      <c r="A87" s="38" t="n">
        <v>45063</v>
      </c>
      <c r="B87" s="39" t="n">
        <v>196.51</v>
      </c>
      <c r="C87" s="39" t="n">
        <v>415.23</v>
      </c>
      <c r="D87" s="39" t="n">
        <v>38.985</v>
      </c>
      <c r="E87" s="41">
        <f>IFERROR(B87/B86-1,"")</f>
        <v/>
      </c>
      <c r="F87" s="41">
        <f>IFERROR(C87/C86-1,"")</f>
        <v/>
      </c>
      <c r="G87" s="41">
        <f>IFERROR(D87/D86-1,"")</f>
        <v/>
      </c>
      <c r="H87" s="41">
        <f>IFERROR((1+E87)*(1+H86)-1,"")</f>
        <v/>
      </c>
      <c r="I87" s="41">
        <f>IFERROR((1+F87)*(1+I86)-1,"")</f>
        <v/>
      </c>
      <c r="J87" s="41">
        <f>IFERROR((1+G87)*(1+J86)-1,"")</f>
        <v/>
      </c>
      <c r="K87" s="42">
        <f>IFERROR(B87/$B$36*100,"")</f>
        <v/>
      </c>
      <c r="L87" s="42">
        <f>IFERROR(C87/$C$36*100,"")</f>
        <v/>
      </c>
      <c r="M87" s="42">
        <f>IFERROR(D87/$D$36*100,"")</f>
        <v/>
      </c>
      <c r="N87" s="41">
        <f>IFERROR((1+H87)/(1+I87)-1,"")</f>
        <v/>
      </c>
      <c r="O87" s="41">
        <f>IFERROR((1+H87)/(1+J87)-1,"")</f>
        <v/>
      </c>
      <c r="P87" s="39">
        <f>IFERROR(B87*0.0099502487562189+P86*(1-0.0099502487562189),"")</f>
        <v/>
      </c>
      <c r="Q87" s="42">
        <f>Q86*(1+E87)</f>
        <v/>
      </c>
      <c r="R87" s="42">
        <f>MAX(R86,Q87)</f>
        <v/>
      </c>
      <c r="S87" s="41">
        <f>IFERROR(Q87/R87-1,"")</f>
        <v/>
      </c>
      <c r="T87" s="41">
        <f>IFERROR(_xlfn.STDEV.S(E22:E87)*SQRT($D$7),"")</f>
        <v/>
      </c>
      <c r="U87" s="41">
        <f>IFERROR(MIN(E87-$D$6,0),"")</f>
        <v/>
      </c>
      <c r="V87" s="41">
        <f>IFERROR(E87-F87,"")</f>
        <v/>
      </c>
      <c r="W87" s="39">
        <f>B87</f>
        <v/>
      </c>
      <c r="X87" s="21" t="n"/>
    </row>
    <row r="88">
      <c r="A88" s="38" t="n">
        <v>45064</v>
      </c>
      <c r="B88" s="39" t="n">
        <v>196.41</v>
      </c>
      <c r="C88" s="39" t="n">
        <v>419.23</v>
      </c>
      <c r="D88" s="39" t="n">
        <v>39.215</v>
      </c>
      <c r="E88" s="41">
        <f>IFERROR(B88/B87-1,"")</f>
        <v/>
      </c>
      <c r="F88" s="41">
        <f>IFERROR(C88/C87-1,"")</f>
        <v/>
      </c>
      <c r="G88" s="41">
        <f>IFERROR(D88/D87-1,"")</f>
        <v/>
      </c>
      <c r="H88" s="41">
        <f>IFERROR((1+E88)*(1+H87)-1,"")</f>
        <v/>
      </c>
      <c r="I88" s="41">
        <f>IFERROR((1+F88)*(1+I87)-1,"")</f>
        <v/>
      </c>
      <c r="J88" s="41">
        <f>IFERROR((1+G88)*(1+J87)-1,"")</f>
        <v/>
      </c>
      <c r="K88" s="42">
        <f>IFERROR(B88/$B$36*100,"")</f>
        <v/>
      </c>
      <c r="L88" s="42">
        <f>IFERROR(C88/$C$36*100,"")</f>
        <v/>
      </c>
      <c r="M88" s="42">
        <f>IFERROR(D88/$D$36*100,"")</f>
        <v/>
      </c>
      <c r="N88" s="41">
        <f>IFERROR((1+H88)/(1+I88)-1,"")</f>
        <v/>
      </c>
      <c r="O88" s="41">
        <f>IFERROR((1+H88)/(1+J88)-1,"")</f>
        <v/>
      </c>
      <c r="P88" s="39">
        <f>IFERROR(B88*0.0099502487562189+P87*(1-0.0099502487562189),"")</f>
        <v/>
      </c>
      <c r="Q88" s="42">
        <f>Q87*(1+E88)</f>
        <v/>
      </c>
      <c r="R88" s="42">
        <f>MAX(R87,Q88)</f>
        <v/>
      </c>
      <c r="S88" s="41">
        <f>IFERROR(Q88/R88-1,"")</f>
        <v/>
      </c>
      <c r="T88" s="41">
        <f>IFERROR(_xlfn.STDEV.S(E33:E88)*SQRT($D$7),"")</f>
        <v/>
      </c>
      <c r="U88" s="41">
        <f>IFERROR(MIN(E88-$D$6,0),"")</f>
        <v/>
      </c>
      <c r="V88" s="41">
        <f>IFERROR(E88-F88,"")</f>
        <v/>
      </c>
      <c r="W88" s="39">
        <f>B88</f>
        <v/>
      </c>
      <c r="X88" s="21" t="n"/>
    </row>
    <row r="89">
      <c r="A89" s="38" t="n">
        <v>45065</v>
      </c>
      <c r="B89" s="39" t="n">
        <v>197.22</v>
      </c>
      <c r="C89" s="39" t="n">
        <v>418.62</v>
      </c>
      <c r="D89" s="39" t="n">
        <v>39.315</v>
      </c>
      <c r="E89" s="41">
        <f>IFERROR(B89/B88-1,"")</f>
        <v/>
      </c>
      <c r="F89" s="41">
        <f>IFERROR(C89/C88-1,"")</f>
        <v/>
      </c>
      <c r="G89" s="41">
        <f>IFERROR(D89/D88-1,"")</f>
        <v/>
      </c>
      <c r="H89" s="41">
        <f>IFERROR((1+E89)*(1+H88)-1,"")</f>
        <v/>
      </c>
      <c r="I89" s="41">
        <f>IFERROR((1+F89)*(1+I88)-1,"")</f>
        <v/>
      </c>
      <c r="J89" s="41">
        <f>IFERROR((1+G89)*(1+J88)-1,"")</f>
        <v/>
      </c>
      <c r="K89" s="42">
        <f>IFERROR(B89/$B$36*100,"")</f>
        <v/>
      </c>
      <c r="L89" s="42">
        <f>IFERROR(C89/$C$36*100,"")</f>
        <v/>
      </c>
      <c r="M89" s="42">
        <f>IFERROR(D89/$D$36*100,"")</f>
        <v/>
      </c>
      <c r="N89" s="41">
        <f>IFERROR((1+H89)/(1+I89)-1,"")</f>
        <v/>
      </c>
      <c r="O89" s="41">
        <f>IFERROR((1+H89)/(1+J89)-1,"")</f>
        <v/>
      </c>
      <c r="P89" s="39">
        <f>IFERROR(B89*0.0099502487562189+P88*(1-0.0099502487562189),"")</f>
        <v/>
      </c>
      <c r="Q89" s="42">
        <f>Q88*(1+E89)</f>
        <v/>
      </c>
      <c r="R89" s="42">
        <f>MAX(R88,Q89)</f>
        <v/>
      </c>
      <c r="S89" s="41">
        <f>IFERROR(Q89/R89-1,"")</f>
        <v/>
      </c>
      <c r="T89" s="41">
        <f>IFERROR(_xlfn.STDEV.S(E33:E89)*SQRT($D$7),"")</f>
        <v/>
      </c>
      <c r="U89" s="41">
        <f>IFERROR(MIN(E89-$D$6,0),"")</f>
        <v/>
      </c>
      <c r="V89" s="41">
        <f>IFERROR(E89-F89,"")</f>
        <v/>
      </c>
      <c r="W89" s="39">
        <f>B89</f>
        <v/>
      </c>
      <c r="X89" s="21" t="n"/>
    </row>
    <row r="90">
      <c r="A90" s="38" t="n">
        <v>45068</v>
      </c>
      <c r="B90" s="39" t="n">
        <v>197.26</v>
      </c>
      <c r="C90" s="39" t="n">
        <v>418.79</v>
      </c>
      <c r="D90" s="39" t="n">
        <v>39.11</v>
      </c>
      <c r="E90" s="41">
        <f>IFERROR(B90/B89-1,"")</f>
        <v/>
      </c>
      <c r="F90" s="41">
        <f>IFERROR(C90/C89-1,"")</f>
        <v/>
      </c>
      <c r="G90" s="41">
        <f>IFERROR(D90/D89-1,"")</f>
        <v/>
      </c>
      <c r="H90" s="41">
        <f>IFERROR((1+E90)*(1+H89)-1,"")</f>
        <v/>
      </c>
      <c r="I90" s="41">
        <f>IFERROR((1+F90)*(1+I89)-1,"")</f>
        <v/>
      </c>
      <c r="J90" s="41">
        <f>IFERROR((1+G90)*(1+J89)-1,"")</f>
        <v/>
      </c>
      <c r="K90" s="42">
        <f>IFERROR(B90/$B$36*100,"")</f>
        <v/>
      </c>
      <c r="L90" s="42">
        <f>IFERROR(C90/$C$36*100,"")</f>
        <v/>
      </c>
      <c r="M90" s="42">
        <f>IFERROR(D90/$D$36*100,"")</f>
        <v/>
      </c>
      <c r="N90" s="41">
        <f>IFERROR((1+H90)/(1+I90)-1,"")</f>
        <v/>
      </c>
      <c r="O90" s="41">
        <f>IFERROR((1+H90)/(1+J90)-1,"")</f>
        <v/>
      </c>
      <c r="P90" s="39">
        <f>IFERROR(B90*0.0099502487562189+P89*(1-0.0099502487562189),"")</f>
        <v/>
      </c>
      <c r="Q90" s="42">
        <f>Q89*(1+E90)</f>
        <v/>
      </c>
      <c r="R90" s="42">
        <f>MAX(R89,Q90)</f>
        <v/>
      </c>
      <c r="S90" s="41">
        <f>IFERROR(Q90/R90-1,"")</f>
        <v/>
      </c>
      <c r="T90" s="41">
        <f>IFERROR(_xlfn.STDEV.S(E33:E90)*SQRT($D$7),"")</f>
        <v/>
      </c>
      <c r="U90" s="41">
        <f>IFERROR(MIN(E90-$D$6,0),"")</f>
        <v/>
      </c>
      <c r="V90" s="41">
        <f>IFERROR(E90-F90,"")</f>
        <v/>
      </c>
      <c r="W90" s="39">
        <f>B90</f>
        <v/>
      </c>
      <c r="X90" s="21" t="n"/>
    </row>
    <row r="91">
      <c r="A91" s="38" t="n">
        <v>45069</v>
      </c>
      <c r="B91" s="39" t="n">
        <v>195.2</v>
      </c>
      <c r="C91" s="39" t="n">
        <v>414.09</v>
      </c>
      <c r="D91" s="39" t="n">
        <v>38.505</v>
      </c>
      <c r="E91" s="41">
        <f>IFERROR(B91/B90-1,"")</f>
        <v/>
      </c>
      <c r="F91" s="41">
        <f>IFERROR(C91/C90-1,"")</f>
        <v/>
      </c>
      <c r="G91" s="41">
        <f>IFERROR(D91/D90-1,"")</f>
        <v/>
      </c>
      <c r="H91" s="41">
        <f>IFERROR((1+E91)*(1+H90)-1,"")</f>
        <v/>
      </c>
      <c r="I91" s="41">
        <f>IFERROR((1+F91)*(1+I90)-1,"")</f>
        <v/>
      </c>
      <c r="J91" s="41">
        <f>IFERROR((1+G91)*(1+J90)-1,"")</f>
        <v/>
      </c>
      <c r="K91" s="42">
        <f>IFERROR(B91/$B$36*100,"")</f>
        <v/>
      </c>
      <c r="L91" s="42">
        <f>IFERROR(C91/$C$36*100,"")</f>
        <v/>
      </c>
      <c r="M91" s="42">
        <f>IFERROR(D91/$D$36*100,"")</f>
        <v/>
      </c>
      <c r="N91" s="41">
        <f>IFERROR((1+H91)/(1+I91)-1,"")</f>
        <v/>
      </c>
      <c r="O91" s="41">
        <f>IFERROR((1+H91)/(1+J91)-1,"")</f>
        <v/>
      </c>
      <c r="P91" s="39">
        <f>IFERROR(B91*0.0099502487562189+P90*(1-0.0099502487562189),"")</f>
        <v/>
      </c>
      <c r="Q91" s="42">
        <f>Q90*(1+E91)</f>
        <v/>
      </c>
      <c r="R91" s="42">
        <f>MAX(R90,Q91)</f>
        <v/>
      </c>
      <c r="S91" s="41">
        <f>IFERROR(Q91/R91-1,"")</f>
        <v/>
      </c>
      <c r="T91" s="41">
        <f>IFERROR(_xlfn.STDEV.S(E33:E91)*SQRT($D$7),"")</f>
        <v/>
      </c>
      <c r="U91" s="41">
        <f>IFERROR(MIN(E91-$D$6,0),"")</f>
        <v/>
      </c>
      <c r="V91" s="41">
        <f>IFERROR(E91-F91,"")</f>
        <v/>
      </c>
      <c r="W91" s="39">
        <f>B91</f>
        <v/>
      </c>
      <c r="X91" s="21" t="n"/>
    </row>
    <row r="92">
      <c r="A92" s="38" t="n">
        <v>45070</v>
      </c>
      <c r="B92" s="39" t="n">
        <v>194.1</v>
      </c>
      <c r="C92" s="39" t="n">
        <v>411.09</v>
      </c>
      <c r="D92" s="39" t="n">
        <v>38.065</v>
      </c>
      <c r="E92" s="41">
        <f>IFERROR(B92/B91-1,"")</f>
        <v/>
      </c>
      <c r="F92" s="41">
        <f>IFERROR(C92/C91-1,"")</f>
        <v/>
      </c>
      <c r="G92" s="41">
        <f>IFERROR(D92/D91-1,"")</f>
        <v/>
      </c>
      <c r="H92" s="41">
        <f>IFERROR((1+E92)*(1+H91)-1,"")</f>
        <v/>
      </c>
      <c r="I92" s="41">
        <f>IFERROR((1+F92)*(1+I91)-1,"")</f>
        <v/>
      </c>
      <c r="J92" s="41">
        <f>IFERROR((1+G92)*(1+J91)-1,"")</f>
        <v/>
      </c>
      <c r="K92" s="42">
        <f>IFERROR(B92/$B$36*100,"")</f>
        <v/>
      </c>
      <c r="L92" s="42">
        <f>IFERROR(C92/$C$36*100,"")</f>
        <v/>
      </c>
      <c r="M92" s="42">
        <f>IFERROR(D92/$D$36*100,"")</f>
        <v/>
      </c>
      <c r="N92" s="41">
        <f>IFERROR((1+H92)/(1+I92)-1,"")</f>
        <v/>
      </c>
      <c r="O92" s="41">
        <f>IFERROR((1+H92)/(1+J92)-1,"")</f>
        <v/>
      </c>
      <c r="P92" s="39">
        <f>IFERROR(B92*0.0099502487562189+P91*(1-0.0099502487562189),"")</f>
        <v/>
      </c>
      <c r="Q92" s="42">
        <f>Q91*(1+E92)</f>
        <v/>
      </c>
      <c r="R92" s="42">
        <f>MAX(R91,Q92)</f>
        <v/>
      </c>
      <c r="S92" s="41">
        <f>IFERROR(Q92/R92-1,"")</f>
        <v/>
      </c>
      <c r="T92" s="41">
        <f>IFERROR(_xlfn.STDEV.S(E33:E92)*SQRT($D$7),"")</f>
        <v/>
      </c>
      <c r="U92" s="41">
        <f>IFERROR(MIN(E92-$D$6,0),"")</f>
        <v/>
      </c>
      <c r="V92" s="41">
        <f>IFERROR(E92-F92,"")</f>
        <v/>
      </c>
      <c r="W92" s="39">
        <f>B92</f>
        <v/>
      </c>
      <c r="X92" s="21" t="n"/>
    </row>
    <row r="93">
      <c r="A93" s="38" t="n">
        <v>45071</v>
      </c>
      <c r="B93" s="39" t="n">
        <v>195.1</v>
      </c>
      <c r="C93" s="39" t="n">
        <v>414.65</v>
      </c>
      <c r="D93" s="39" t="n">
        <v>37.93</v>
      </c>
      <c r="E93" s="41">
        <f>IFERROR(B93/B92-1,"")</f>
        <v/>
      </c>
      <c r="F93" s="41">
        <f>IFERROR(C93/C92-1,"")</f>
        <v/>
      </c>
      <c r="G93" s="41">
        <f>IFERROR(D93/D92-1,"")</f>
        <v/>
      </c>
      <c r="H93" s="41">
        <f>IFERROR((1+E93)*(1+H92)-1,"")</f>
        <v/>
      </c>
      <c r="I93" s="41">
        <f>IFERROR((1+F93)*(1+I92)-1,"")</f>
        <v/>
      </c>
      <c r="J93" s="41">
        <f>IFERROR((1+G93)*(1+J92)-1,"")</f>
        <v/>
      </c>
      <c r="K93" s="42">
        <f>IFERROR(B93/$B$36*100,"")</f>
        <v/>
      </c>
      <c r="L93" s="42">
        <f>IFERROR(C93/$C$36*100,"")</f>
        <v/>
      </c>
      <c r="M93" s="42">
        <f>IFERROR(D93/$D$36*100,"")</f>
        <v/>
      </c>
      <c r="N93" s="41">
        <f>IFERROR((1+H93)/(1+I93)-1,"")</f>
        <v/>
      </c>
      <c r="O93" s="41">
        <f>IFERROR((1+H93)/(1+J93)-1,"")</f>
        <v/>
      </c>
      <c r="P93" s="39">
        <f>IFERROR(B93*0.0099502487562189+P92*(1-0.0099502487562189),"")</f>
        <v/>
      </c>
      <c r="Q93" s="42">
        <f>Q92*(1+E93)</f>
        <v/>
      </c>
      <c r="R93" s="42">
        <f>MAX(R92,Q93)</f>
        <v/>
      </c>
      <c r="S93" s="41">
        <f>IFERROR(Q93/R93-1,"")</f>
        <v/>
      </c>
      <c r="T93" s="41">
        <f>IFERROR(_xlfn.STDEV.S(E34:E93)*SQRT($D$7),"")</f>
        <v/>
      </c>
      <c r="U93" s="41">
        <f>IFERROR(MIN(E93-$D$6,0),"")</f>
        <v/>
      </c>
      <c r="V93" s="41">
        <f>IFERROR(E93-F93,"")</f>
        <v/>
      </c>
      <c r="W93" s="39">
        <f>B93</f>
        <v/>
      </c>
      <c r="X93" s="21" t="n"/>
    </row>
    <row r="94">
      <c r="A94" s="38" t="n">
        <v>45072</v>
      </c>
      <c r="B94" s="39" t="n">
        <v>196</v>
      </c>
      <c r="C94" s="39" t="n">
        <v>420.02</v>
      </c>
      <c r="D94" s="39" t="n">
        <v>38.12</v>
      </c>
      <c r="E94" s="41">
        <f>IFERROR(B94/B93-1,"")</f>
        <v/>
      </c>
      <c r="F94" s="41">
        <f>IFERROR(C94/C93-1,"")</f>
        <v/>
      </c>
      <c r="G94" s="41">
        <f>IFERROR(D94/D93-1,"")</f>
        <v/>
      </c>
      <c r="H94" s="41">
        <f>IFERROR((1+E94)*(1+H93)-1,"")</f>
        <v/>
      </c>
      <c r="I94" s="41">
        <f>IFERROR((1+F94)*(1+I93)-1,"")</f>
        <v/>
      </c>
      <c r="J94" s="41">
        <f>IFERROR((1+G94)*(1+J93)-1,"")</f>
        <v/>
      </c>
      <c r="K94" s="42">
        <f>IFERROR(B94/$B$36*100,"")</f>
        <v/>
      </c>
      <c r="L94" s="42">
        <f>IFERROR(C94/$C$36*100,"")</f>
        <v/>
      </c>
      <c r="M94" s="42">
        <f>IFERROR(D94/$D$36*100,"")</f>
        <v/>
      </c>
      <c r="N94" s="41">
        <f>IFERROR((1+H94)/(1+I94)-1,"")</f>
        <v/>
      </c>
      <c r="O94" s="41">
        <f>IFERROR((1+H94)/(1+J94)-1,"")</f>
        <v/>
      </c>
      <c r="P94" s="39">
        <f>IFERROR(B94*0.0099502487562189+P93*(1-0.0099502487562189),"")</f>
        <v/>
      </c>
      <c r="Q94" s="42">
        <f>Q93*(1+E94)</f>
        <v/>
      </c>
      <c r="R94" s="42">
        <f>MAX(R93,Q94)</f>
        <v/>
      </c>
      <c r="S94" s="41">
        <f>IFERROR(Q94/R94-1,"")</f>
        <v/>
      </c>
      <c r="T94" s="41">
        <f>IFERROR(_xlfn.STDEV.S(E35:E94)*SQRT($D$7),"")</f>
        <v/>
      </c>
      <c r="U94" s="41">
        <f>IFERROR(MIN(E94-$D$6,0),"")</f>
        <v/>
      </c>
      <c r="V94" s="41">
        <f>IFERROR(E94-F94,"")</f>
        <v/>
      </c>
      <c r="W94" s="39">
        <f>B94</f>
        <v/>
      </c>
      <c r="X94" s="21" t="n"/>
    </row>
    <row r="95">
      <c r="A95" s="38" t="n">
        <v>45076</v>
      </c>
      <c r="B95" s="39" t="n">
        <v>196.05</v>
      </c>
      <c r="C95" s="39" t="n">
        <v>420.18</v>
      </c>
      <c r="D95" s="39" t="n">
        <v>37.915</v>
      </c>
      <c r="E95" s="41">
        <f>IFERROR(B95/B94-1,"")</f>
        <v/>
      </c>
      <c r="F95" s="41">
        <f>IFERROR(C95/C94-1,"")</f>
        <v/>
      </c>
      <c r="G95" s="41">
        <f>IFERROR(D95/D94-1,"")</f>
        <v/>
      </c>
      <c r="H95" s="41">
        <f>IFERROR((1+E95)*(1+H94)-1,"")</f>
        <v/>
      </c>
      <c r="I95" s="41">
        <f>IFERROR((1+F95)*(1+I94)-1,"")</f>
        <v/>
      </c>
      <c r="J95" s="41">
        <f>IFERROR((1+G95)*(1+J94)-1,"")</f>
        <v/>
      </c>
      <c r="K95" s="42">
        <f>IFERROR(B95/$B$36*100,"")</f>
        <v/>
      </c>
      <c r="L95" s="42">
        <f>IFERROR(C95/$C$36*100,"")</f>
        <v/>
      </c>
      <c r="M95" s="42">
        <f>IFERROR(D95/$D$36*100,"")</f>
        <v/>
      </c>
      <c r="N95" s="41">
        <f>IFERROR((1+H95)/(1+I95)-1,"")</f>
        <v/>
      </c>
      <c r="O95" s="41">
        <f>IFERROR((1+H95)/(1+J95)-1,"")</f>
        <v/>
      </c>
      <c r="P95" s="39">
        <f>IFERROR(B95*0.0099502487562189+P94*(1-0.0099502487562189),"")</f>
        <v/>
      </c>
      <c r="Q95" s="42">
        <f>Q94*(1+E95)</f>
        <v/>
      </c>
      <c r="R95" s="42">
        <f>MAX(R94,Q95)</f>
        <v/>
      </c>
      <c r="S95" s="41">
        <f>IFERROR(Q95/R95-1,"")</f>
        <v/>
      </c>
      <c r="T95" s="41">
        <f>IFERROR(_xlfn.STDEV.S(E36:E95)*SQRT($D$7),"")</f>
        <v/>
      </c>
      <c r="U95" s="41">
        <f>IFERROR(MIN(E95-$D$6,0),"")</f>
        <v/>
      </c>
      <c r="V95" s="41">
        <f>IFERROR(E95-F95,"")</f>
        <v/>
      </c>
      <c r="W95" s="39">
        <f>B95</f>
        <v/>
      </c>
      <c r="X95" s="21" t="n"/>
    </row>
    <row r="96">
      <c r="A96" s="38" t="n">
        <v>45077</v>
      </c>
      <c r="B96" s="39" t="n">
        <v>195.5</v>
      </c>
      <c r="C96" s="39" t="n">
        <v>417.85</v>
      </c>
      <c r="D96" s="39" t="n">
        <v>37.51</v>
      </c>
      <c r="E96" s="41">
        <f>IFERROR(B96/B95-1,"")</f>
        <v/>
      </c>
      <c r="F96" s="41">
        <f>IFERROR(C96/C95-1,"")</f>
        <v/>
      </c>
      <c r="G96" s="41">
        <f>IFERROR(D96/D95-1,"")</f>
        <v/>
      </c>
      <c r="H96" s="41">
        <f>IFERROR((1+E96)*(1+H95)-1,"")</f>
        <v/>
      </c>
      <c r="I96" s="41">
        <f>IFERROR((1+F96)*(1+I95)-1,"")</f>
        <v/>
      </c>
      <c r="J96" s="41">
        <f>IFERROR((1+G96)*(1+J95)-1,"")</f>
        <v/>
      </c>
      <c r="K96" s="42">
        <f>IFERROR(B96/$B$36*100,"")</f>
        <v/>
      </c>
      <c r="L96" s="42">
        <f>IFERROR(C96/$C$36*100,"")</f>
        <v/>
      </c>
      <c r="M96" s="42">
        <f>IFERROR(D96/$D$36*100,"")</f>
        <v/>
      </c>
      <c r="N96" s="41">
        <f>IFERROR((1+H96)/(1+I96)-1,"")</f>
        <v/>
      </c>
      <c r="O96" s="41">
        <f>IFERROR((1+H96)/(1+J96)-1,"")</f>
        <v/>
      </c>
      <c r="P96" s="39">
        <f>IFERROR(B96*0.0099502487562189+P95*(1-0.0099502487562189),"")</f>
        <v/>
      </c>
      <c r="Q96" s="42">
        <f>Q95*(1+E96)</f>
        <v/>
      </c>
      <c r="R96" s="42">
        <f>MAX(R95,Q96)</f>
        <v/>
      </c>
      <c r="S96" s="41">
        <f>IFERROR(Q96/R96-1,"")</f>
        <v/>
      </c>
      <c r="T96" s="41">
        <f>IFERROR(_xlfn.STDEV.S(E37:E96)*SQRT($D$7),"")</f>
        <v/>
      </c>
      <c r="U96" s="41">
        <f>IFERROR(MIN(E96-$D$6,0),"")</f>
        <v/>
      </c>
      <c r="V96" s="41">
        <f>IFERROR(E96-F96,"")</f>
        <v/>
      </c>
      <c r="W96" s="39">
        <f>B96</f>
        <v/>
      </c>
      <c r="X96" s="21" t="n"/>
    </row>
    <row r="97">
      <c r="A97" s="38" t="n">
        <v>45078</v>
      </c>
      <c r="B97" s="39" t="n">
        <v>198.8</v>
      </c>
      <c r="C97" s="39" t="n">
        <v>421.82</v>
      </c>
      <c r="D97" s="39" t="n">
        <v>38.01</v>
      </c>
      <c r="E97" s="41">
        <f>IFERROR(B97/B96-1,"")</f>
        <v/>
      </c>
      <c r="F97" s="41">
        <f>IFERROR(C97/C96-1,"")</f>
        <v/>
      </c>
      <c r="G97" s="41">
        <f>IFERROR(D97/D96-1,"")</f>
        <v/>
      </c>
      <c r="H97" s="41">
        <f>IFERROR((1+E97)*(1+H96)-1,"")</f>
        <v/>
      </c>
      <c r="I97" s="41">
        <f>IFERROR((1+F97)*(1+I96)-1,"")</f>
        <v/>
      </c>
      <c r="J97" s="41">
        <f>IFERROR((1+G97)*(1+J96)-1,"")</f>
        <v/>
      </c>
      <c r="K97" s="42">
        <f>IFERROR(B97/$B$36*100,"")</f>
        <v/>
      </c>
      <c r="L97" s="42">
        <f>IFERROR(C97/$C$36*100,"")</f>
        <v/>
      </c>
      <c r="M97" s="42">
        <f>IFERROR(D97/$D$36*100,"")</f>
        <v/>
      </c>
      <c r="N97" s="41">
        <f>IFERROR((1+H97)/(1+I97)-1,"")</f>
        <v/>
      </c>
      <c r="O97" s="41">
        <f>IFERROR((1+H97)/(1+J97)-1,"")</f>
        <v/>
      </c>
      <c r="P97" s="39">
        <f>IFERROR(B97*0.0099502487562189+P96*(1-0.0099502487562189),"")</f>
        <v/>
      </c>
      <c r="Q97" s="42">
        <f>Q96*(1+E97)</f>
        <v/>
      </c>
      <c r="R97" s="42">
        <f>MAX(R96,Q97)</f>
        <v/>
      </c>
      <c r="S97" s="41">
        <f>IFERROR(Q97/R97-1,"")</f>
        <v/>
      </c>
      <c r="T97" s="41">
        <f>IFERROR(_xlfn.STDEV.S(E38:E97)*SQRT($D$7),"")</f>
        <v/>
      </c>
      <c r="U97" s="41">
        <f>IFERROR(MIN(E97-$D$6,0),"")</f>
        <v/>
      </c>
      <c r="V97" s="41">
        <f>IFERROR(E97-F97,"")</f>
        <v/>
      </c>
      <c r="W97" s="39">
        <f>B97</f>
        <v/>
      </c>
      <c r="X97" s="21" t="n"/>
    </row>
    <row r="98">
      <c r="A98" s="38" t="n">
        <v>45079</v>
      </c>
      <c r="B98" s="39" t="n">
        <v>202.73</v>
      </c>
      <c r="C98" s="39" t="n">
        <v>427.92</v>
      </c>
      <c r="D98" s="39" t="n">
        <v>39.285</v>
      </c>
      <c r="E98" s="41">
        <f>IFERROR(B98/B97-1,"")</f>
        <v/>
      </c>
      <c r="F98" s="41">
        <f>IFERROR(C98/C97-1,"")</f>
        <v/>
      </c>
      <c r="G98" s="41">
        <f>IFERROR(D98/D97-1,"")</f>
        <v/>
      </c>
      <c r="H98" s="41">
        <f>IFERROR((1+E98)*(1+H97)-1,"")</f>
        <v/>
      </c>
      <c r="I98" s="41">
        <f>IFERROR((1+F98)*(1+I97)-1,"")</f>
        <v/>
      </c>
      <c r="J98" s="41">
        <f>IFERROR((1+G98)*(1+J97)-1,"")</f>
        <v/>
      </c>
      <c r="K98" s="42">
        <f>IFERROR(B98/$B$36*100,"")</f>
        <v/>
      </c>
      <c r="L98" s="42">
        <f>IFERROR(C98/$C$36*100,"")</f>
        <v/>
      </c>
      <c r="M98" s="42">
        <f>IFERROR(D98/$D$36*100,"")</f>
        <v/>
      </c>
      <c r="N98" s="41">
        <f>IFERROR((1+H98)/(1+I98)-1,"")</f>
        <v/>
      </c>
      <c r="O98" s="41">
        <f>IFERROR((1+H98)/(1+J98)-1,"")</f>
        <v/>
      </c>
      <c r="P98" s="39">
        <f>IFERROR(B98*0.0099502487562189+P97*(1-0.0099502487562189),"")</f>
        <v/>
      </c>
      <c r="Q98" s="42">
        <f>Q97*(1+E98)</f>
        <v/>
      </c>
      <c r="R98" s="42">
        <f>MAX(R97,Q98)</f>
        <v/>
      </c>
      <c r="S98" s="41">
        <f>IFERROR(Q98/R98-1,"")</f>
        <v/>
      </c>
      <c r="T98" s="41">
        <f>IFERROR(_xlfn.STDEV.S(E39:E98)*SQRT($D$7),"")</f>
        <v/>
      </c>
      <c r="U98" s="41">
        <f>IFERROR(MIN(E98-$D$6,0),"")</f>
        <v/>
      </c>
      <c r="V98" s="41">
        <f>IFERROR(E98-F98,"")</f>
        <v/>
      </c>
      <c r="W98" s="39">
        <f>B98</f>
        <v/>
      </c>
      <c r="X98" s="21" t="n"/>
    </row>
    <row r="99">
      <c r="A99" s="38" t="n">
        <v>45082</v>
      </c>
      <c r="B99" s="39" t="n">
        <v>202.24</v>
      </c>
      <c r="C99" s="39" t="n">
        <v>427.1</v>
      </c>
      <c r="D99" s="39" t="n">
        <v>39.255</v>
      </c>
      <c r="E99" s="41">
        <f>IFERROR(B99/B98-1,"")</f>
        <v/>
      </c>
      <c r="F99" s="41">
        <f>IFERROR(C99/C98-1,"")</f>
        <v/>
      </c>
      <c r="G99" s="41">
        <f>IFERROR(D99/D98-1,"")</f>
        <v/>
      </c>
      <c r="H99" s="41">
        <f>IFERROR((1+E99)*(1+H98)-1,"")</f>
        <v/>
      </c>
      <c r="I99" s="41">
        <f>IFERROR((1+F99)*(1+I98)-1,"")</f>
        <v/>
      </c>
      <c r="J99" s="41">
        <f>IFERROR((1+G99)*(1+J98)-1,"")</f>
        <v/>
      </c>
      <c r="K99" s="42">
        <f>IFERROR(B99/$B$36*100,"")</f>
        <v/>
      </c>
      <c r="L99" s="42">
        <f>IFERROR(C99/$C$36*100,"")</f>
        <v/>
      </c>
      <c r="M99" s="42">
        <f>IFERROR(D99/$D$36*100,"")</f>
        <v/>
      </c>
      <c r="N99" s="41">
        <f>IFERROR((1+H99)/(1+I99)-1,"")</f>
        <v/>
      </c>
      <c r="O99" s="41">
        <f>IFERROR((1+H99)/(1+J99)-1,"")</f>
        <v/>
      </c>
      <c r="P99" s="39">
        <f>IFERROR(B99*0.0099502487562189+P98*(1-0.0099502487562189),"")</f>
        <v/>
      </c>
      <c r="Q99" s="42">
        <f>Q98*(1+E99)</f>
        <v/>
      </c>
      <c r="R99" s="42">
        <f>MAX(R98,Q99)</f>
        <v/>
      </c>
      <c r="S99" s="41">
        <f>IFERROR(Q99/R99-1,"")</f>
        <v/>
      </c>
      <c r="T99" s="41">
        <f>IFERROR(_xlfn.STDEV.S(E40:E99)*SQRT($D$7),"")</f>
        <v/>
      </c>
      <c r="U99" s="41">
        <f>IFERROR(MIN(E99-$D$6,0),"")</f>
        <v/>
      </c>
      <c r="V99" s="41">
        <f>IFERROR(E99-F99,"")</f>
        <v/>
      </c>
      <c r="W99" s="39">
        <f>B99</f>
        <v/>
      </c>
      <c r="X99" s="21" t="n"/>
    </row>
    <row r="100">
      <c r="A100" s="38" t="n">
        <v>45083</v>
      </c>
      <c r="B100" s="39" t="n">
        <v>203.12</v>
      </c>
      <c r="C100" s="39" t="n">
        <v>428.03</v>
      </c>
      <c r="D100" s="39" t="n">
        <v>39.505</v>
      </c>
      <c r="E100" s="41">
        <f>IFERROR(B100/B99-1,"")</f>
        <v/>
      </c>
      <c r="F100" s="41">
        <f>IFERROR(C100/C99-1,"")</f>
        <v/>
      </c>
      <c r="G100" s="41">
        <f>IFERROR(D100/D99-1,"")</f>
        <v/>
      </c>
      <c r="H100" s="41">
        <f>IFERROR((1+E100)*(1+H99)-1,"")</f>
        <v/>
      </c>
      <c r="I100" s="41">
        <f>IFERROR((1+F100)*(1+I99)-1,"")</f>
        <v/>
      </c>
      <c r="J100" s="41">
        <f>IFERROR((1+G100)*(1+J99)-1,"")</f>
        <v/>
      </c>
      <c r="K100" s="42">
        <f>IFERROR(B100/$B$36*100,"")</f>
        <v/>
      </c>
      <c r="L100" s="42">
        <f>IFERROR(C100/$C$36*100,"")</f>
        <v/>
      </c>
      <c r="M100" s="42">
        <f>IFERROR(D100/$D$36*100,"")</f>
        <v/>
      </c>
      <c r="N100" s="41">
        <f>IFERROR((1+H100)/(1+I100)-1,"")</f>
        <v/>
      </c>
      <c r="O100" s="41">
        <f>IFERROR((1+H100)/(1+J100)-1,"")</f>
        <v/>
      </c>
      <c r="P100" s="39">
        <f>IFERROR(B100*0.0099502487562189+P99*(1-0.0099502487562189),"")</f>
        <v/>
      </c>
      <c r="Q100" s="42">
        <f>Q99*(1+E100)</f>
        <v/>
      </c>
      <c r="R100" s="42">
        <f>MAX(R99,Q100)</f>
        <v/>
      </c>
      <c r="S100" s="41">
        <f>IFERROR(Q100/R100-1,"")</f>
        <v/>
      </c>
      <c r="T100" s="41">
        <f>IFERROR(_xlfn.STDEV.S(E41:E100)*SQRT($D$7),"")</f>
        <v/>
      </c>
      <c r="U100" s="41">
        <f>IFERROR(MIN(E100-$D$6,0),"")</f>
        <v/>
      </c>
      <c r="V100" s="41">
        <f>IFERROR(E100-F100,"")</f>
        <v/>
      </c>
      <c r="W100" s="39">
        <f>B100</f>
        <v/>
      </c>
      <c r="X100" s="21" t="n"/>
    </row>
    <row r="101">
      <c r="A101" s="38" t="n">
        <v>45084</v>
      </c>
      <c r="B101" s="39" t="n">
        <v>204.99</v>
      </c>
      <c r="C101" s="39" t="n">
        <v>426.55</v>
      </c>
      <c r="D101" s="39" t="n">
        <v>39.975</v>
      </c>
      <c r="E101" s="41">
        <f>IFERROR(B101/B100-1,"")</f>
        <v/>
      </c>
      <c r="F101" s="41">
        <f>IFERROR(C101/C100-1,"")</f>
        <v/>
      </c>
      <c r="G101" s="41">
        <f>IFERROR(D101/D100-1,"")</f>
        <v/>
      </c>
      <c r="H101" s="41">
        <f>IFERROR((1+E101)*(1+H100)-1,"")</f>
        <v/>
      </c>
      <c r="I101" s="41">
        <f>IFERROR((1+F101)*(1+I100)-1,"")</f>
        <v/>
      </c>
      <c r="J101" s="41">
        <f>IFERROR((1+G101)*(1+J100)-1,"")</f>
        <v/>
      </c>
      <c r="K101" s="42">
        <f>IFERROR(B101/$B$36*100,"")</f>
        <v/>
      </c>
      <c r="L101" s="42">
        <f>IFERROR(C101/$C$36*100,"")</f>
        <v/>
      </c>
      <c r="M101" s="42">
        <f>IFERROR(D101/$D$36*100,"")</f>
        <v/>
      </c>
      <c r="N101" s="41">
        <f>IFERROR((1+H101)/(1+I101)-1,"")</f>
        <v/>
      </c>
      <c r="O101" s="41">
        <f>IFERROR((1+H101)/(1+J101)-1,"")</f>
        <v/>
      </c>
      <c r="P101" s="39">
        <f>IFERROR(B101*0.0099502487562189+P100*(1-0.0099502487562189),"")</f>
        <v/>
      </c>
      <c r="Q101" s="42">
        <f>Q100*(1+E101)</f>
        <v/>
      </c>
      <c r="R101" s="42">
        <f>MAX(R100,Q101)</f>
        <v/>
      </c>
      <c r="S101" s="41">
        <f>IFERROR(Q101/R101-1,"")</f>
        <v/>
      </c>
      <c r="T101" s="41">
        <f>IFERROR(_xlfn.STDEV.S(E42:E101)*SQRT($D$7),"")</f>
        <v/>
      </c>
      <c r="U101" s="41">
        <f>IFERROR(MIN(E101-$D$6,0),"")</f>
        <v/>
      </c>
      <c r="V101" s="41">
        <f>IFERROR(E101-F101,"")</f>
        <v/>
      </c>
      <c r="W101" s="39">
        <f>B101</f>
        <v/>
      </c>
      <c r="X101" s="21" t="n"/>
    </row>
    <row r="102">
      <c r="A102" s="38" t="n">
        <v>45085</v>
      </c>
      <c r="B102" s="39" t="n">
        <v>206.18</v>
      </c>
      <c r="C102" s="39" t="n">
        <v>429.13</v>
      </c>
      <c r="D102" s="39" t="n">
        <v>39.83</v>
      </c>
      <c r="E102" s="41">
        <f>IFERROR(B102/B101-1,"")</f>
        <v/>
      </c>
      <c r="F102" s="41">
        <f>IFERROR(C102/C101-1,"")</f>
        <v/>
      </c>
      <c r="G102" s="41">
        <f>IFERROR(D102/D101-1,"")</f>
        <v/>
      </c>
      <c r="H102" s="41">
        <f>IFERROR((1+E102)*(1+H101)-1,"")</f>
        <v/>
      </c>
      <c r="I102" s="41">
        <f>IFERROR((1+F102)*(1+I101)-1,"")</f>
        <v/>
      </c>
      <c r="J102" s="41">
        <f>IFERROR((1+G102)*(1+J101)-1,"")</f>
        <v/>
      </c>
      <c r="K102" s="42">
        <f>IFERROR(B102/$B$36*100,"")</f>
        <v/>
      </c>
      <c r="L102" s="42">
        <f>IFERROR(C102/$C$36*100,"")</f>
        <v/>
      </c>
      <c r="M102" s="42">
        <f>IFERROR(D102/$D$36*100,"")</f>
        <v/>
      </c>
      <c r="N102" s="41">
        <f>IFERROR((1+H102)/(1+I102)-1,"")</f>
        <v/>
      </c>
      <c r="O102" s="41">
        <f>IFERROR((1+H102)/(1+J102)-1,"")</f>
        <v/>
      </c>
      <c r="P102" s="39">
        <f>IFERROR(B102*0.0099502487562189+P101*(1-0.0099502487562189),"")</f>
        <v/>
      </c>
      <c r="Q102" s="42">
        <f>Q101*(1+E102)</f>
        <v/>
      </c>
      <c r="R102" s="42">
        <f>MAX(R101,Q102)</f>
        <v/>
      </c>
      <c r="S102" s="41">
        <f>IFERROR(Q102/R102-1,"")</f>
        <v/>
      </c>
      <c r="T102" s="41">
        <f>IFERROR(_xlfn.STDEV.S(E43:E102)*SQRT($D$7),"")</f>
        <v/>
      </c>
      <c r="U102" s="41">
        <f>IFERROR(MIN(E102-$D$6,0),"")</f>
        <v/>
      </c>
      <c r="V102" s="41">
        <f>IFERROR(E102-F102,"")</f>
        <v/>
      </c>
      <c r="W102" s="39">
        <f>B102</f>
        <v/>
      </c>
      <c r="X102" s="21" t="n"/>
    </row>
    <row r="103">
      <c r="A103" s="38" t="n">
        <v>45086</v>
      </c>
      <c r="B103" s="39" t="n">
        <v>206.64</v>
      </c>
      <c r="C103" s="39" t="n">
        <v>429.9</v>
      </c>
      <c r="D103" s="39" t="n">
        <v>39.5</v>
      </c>
      <c r="E103" s="41">
        <f>IFERROR(B103/B102-1,"")</f>
        <v/>
      </c>
      <c r="F103" s="41">
        <f>IFERROR(C103/C102-1,"")</f>
        <v/>
      </c>
      <c r="G103" s="41">
        <f>IFERROR(D103/D102-1,"")</f>
        <v/>
      </c>
      <c r="H103" s="41">
        <f>IFERROR((1+E103)*(1+H102)-1,"")</f>
        <v/>
      </c>
      <c r="I103" s="41">
        <f>IFERROR((1+F103)*(1+I102)-1,"")</f>
        <v/>
      </c>
      <c r="J103" s="41">
        <f>IFERROR((1+G103)*(1+J102)-1,"")</f>
        <v/>
      </c>
      <c r="K103" s="42">
        <f>IFERROR(B103/$B$36*100,"")</f>
        <v/>
      </c>
      <c r="L103" s="42">
        <f>IFERROR(C103/$C$36*100,"")</f>
        <v/>
      </c>
      <c r="M103" s="42">
        <f>IFERROR(D103/$D$36*100,"")</f>
        <v/>
      </c>
      <c r="N103" s="41">
        <f>IFERROR((1+H103)/(1+I103)-1,"")</f>
        <v/>
      </c>
      <c r="O103" s="41">
        <f>IFERROR((1+H103)/(1+J103)-1,"")</f>
        <v/>
      </c>
      <c r="P103" s="39">
        <f>IFERROR(B103*0.0099502487562189+P102*(1-0.0099502487562189),"")</f>
        <v/>
      </c>
      <c r="Q103" s="42">
        <f>Q102*(1+E103)</f>
        <v/>
      </c>
      <c r="R103" s="42">
        <f>MAX(R102,Q103)</f>
        <v/>
      </c>
      <c r="S103" s="41">
        <f>IFERROR(Q103/R103-1,"")</f>
        <v/>
      </c>
      <c r="T103" s="41">
        <f>IFERROR(_xlfn.STDEV.S(E44:E103)*SQRT($D$7),"")</f>
        <v/>
      </c>
      <c r="U103" s="41">
        <f>IFERROR(MIN(E103-$D$6,0),"")</f>
        <v/>
      </c>
      <c r="V103" s="41">
        <f>IFERROR(E103-F103,"")</f>
        <v/>
      </c>
      <c r="W103" s="39">
        <f>B103</f>
        <v/>
      </c>
      <c r="X103" s="21" t="n"/>
    </row>
    <row r="104">
      <c r="A104" s="38" t="n">
        <v>45089</v>
      </c>
      <c r="B104" s="39" t="n">
        <v>205.89</v>
      </c>
      <c r="C104" s="39" t="n">
        <v>433.8</v>
      </c>
      <c r="D104" s="39" t="n">
        <v>39.68</v>
      </c>
      <c r="E104" s="41">
        <f>IFERROR(B104/B103-1,"")</f>
        <v/>
      </c>
      <c r="F104" s="41">
        <f>IFERROR(C104/C103-1,"")</f>
        <v/>
      </c>
      <c r="G104" s="41">
        <f>IFERROR(D104/D103-1,"")</f>
        <v/>
      </c>
      <c r="H104" s="41">
        <f>IFERROR((1+E104)*(1+H103)-1,"")</f>
        <v/>
      </c>
      <c r="I104" s="41">
        <f>IFERROR((1+F104)*(1+I103)-1,"")</f>
        <v/>
      </c>
      <c r="J104" s="41">
        <f>IFERROR((1+G104)*(1+J103)-1,"")</f>
        <v/>
      </c>
      <c r="K104" s="42">
        <f>IFERROR(B104/$B$36*100,"")</f>
        <v/>
      </c>
      <c r="L104" s="42">
        <f>IFERROR(C104/$C$36*100,"")</f>
        <v/>
      </c>
      <c r="M104" s="42">
        <f>IFERROR(D104/$D$36*100,"")</f>
        <v/>
      </c>
      <c r="N104" s="41">
        <f>IFERROR((1+H104)/(1+I104)-1,"")</f>
        <v/>
      </c>
      <c r="O104" s="41">
        <f>IFERROR((1+H104)/(1+J104)-1,"")</f>
        <v/>
      </c>
      <c r="P104" s="39">
        <f>IFERROR(B104*0.0099502487562189+P103*(1-0.0099502487562189),"")</f>
        <v/>
      </c>
      <c r="Q104" s="42">
        <f>Q103*(1+E104)</f>
        <v/>
      </c>
      <c r="R104" s="42">
        <f>MAX(R103,Q104)</f>
        <v/>
      </c>
      <c r="S104" s="41">
        <f>IFERROR(Q104/R104-1,"")</f>
        <v/>
      </c>
      <c r="T104" s="41">
        <f>IFERROR(_xlfn.STDEV.S(E45:E104)*SQRT($D$7),"")</f>
        <v/>
      </c>
      <c r="U104" s="41">
        <f>IFERROR(MIN(E104-$D$6,0),"")</f>
        <v/>
      </c>
      <c r="V104" s="41">
        <f>IFERROR(E104-F104,"")</f>
        <v/>
      </c>
      <c r="W104" s="39">
        <f>B104</f>
        <v/>
      </c>
      <c r="X104" s="21" t="n"/>
    </row>
    <row r="105">
      <c r="A105" s="38" t="n">
        <v>45090</v>
      </c>
      <c r="B105" s="39" t="n">
        <v>207.7</v>
      </c>
      <c r="C105" s="39" t="n">
        <v>436.66</v>
      </c>
      <c r="D105" s="39" t="n">
        <v>40.6</v>
      </c>
      <c r="E105" s="41">
        <f>IFERROR(B105/B104-1,"")</f>
        <v/>
      </c>
      <c r="F105" s="41">
        <f>IFERROR(C105/C104-1,"")</f>
        <v/>
      </c>
      <c r="G105" s="41">
        <f>IFERROR(D105/D104-1,"")</f>
        <v/>
      </c>
      <c r="H105" s="41">
        <f>IFERROR((1+E105)*(1+H104)-1,"")</f>
        <v/>
      </c>
      <c r="I105" s="41">
        <f>IFERROR((1+F105)*(1+I104)-1,"")</f>
        <v/>
      </c>
      <c r="J105" s="41">
        <f>IFERROR((1+G105)*(1+J104)-1,"")</f>
        <v/>
      </c>
      <c r="K105" s="42">
        <f>IFERROR(B105/$B$36*100,"")</f>
        <v/>
      </c>
      <c r="L105" s="42">
        <f>IFERROR(C105/$C$36*100,"")</f>
        <v/>
      </c>
      <c r="M105" s="42">
        <f>IFERROR(D105/$D$36*100,"")</f>
        <v/>
      </c>
      <c r="N105" s="41">
        <f>IFERROR((1+H105)/(1+I105)-1,"")</f>
        <v/>
      </c>
      <c r="O105" s="41">
        <f>IFERROR((1+H105)/(1+J105)-1,"")</f>
        <v/>
      </c>
      <c r="P105" s="39">
        <f>IFERROR(B105*0.0099502487562189+P104*(1-0.0099502487562189),"")</f>
        <v/>
      </c>
      <c r="Q105" s="42">
        <f>Q104*(1+E105)</f>
        <v/>
      </c>
      <c r="R105" s="42">
        <f>MAX(R104,Q105)</f>
        <v/>
      </c>
      <c r="S105" s="41">
        <f>IFERROR(Q105/R105-1,"")</f>
        <v/>
      </c>
      <c r="T105" s="41">
        <f>IFERROR(_xlfn.STDEV.S(E46:E105)*SQRT($D$7),"")</f>
        <v/>
      </c>
      <c r="U105" s="41">
        <f>IFERROR(MIN(E105-$D$6,0),"")</f>
        <v/>
      </c>
      <c r="V105" s="41">
        <f>IFERROR(E105-F105,"")</f>
        <v/>
      </c>
      <c r="W105" s="39">
        <f>B105</f>
        <v/>
      </c>
      <c r="X105" s="21" t="n"/>
    </row>
    <row r="106">
      <c r="A106" s="38" t="n">
        <v>45091</v>
      </c>
      <c r="B106" s="39" t="n">
        <v>207.39</v>
      </c>
      <c r="C106" s="39" t="n">
        <v>437.18</v>
      </c>
      <c r="D106" s="39" t="n">
        <v>40.43</v>
      </c>
      <c r="E106" s="41">
        <f>IFERROR(B106/B105-1,"")</f>
        <v/>
      </c>
      <c r="F106" s="41">
        <f>IFERROR(C106/C105-1,"")</f>
        <v/>
      </c>
      <c r="G106" s="41">
        <f>IFERROR(D106/D105-1,"")</f>
        <v/>
      </c>
      <c r="H106" s="41">
        <f>IFERROR((1+E106)*(1+H105)-1,"")</f>
        <v/>
      </c>
      <c r="I106" s="41">
        <f>IFERROR((1+F106)*(1+I105)-1,"")</f>
        <v/>
      </c>
      <c r="J106" s="41">
        <f>IFERROR((1+G106)*(1+J105)-1,"")</f>
        <v/>
      </c>
      <c r="K106" s="42">
        <f>IFERROR(B106/$B$36*100,"")</f>
        <v/>
      </c>
      <c r="L106" s="42">
        <f>IFERROR(C106/$C$36*100,"")</f>
        <v/>
      </c>
      <c r="M106" s="42">
        <f>IFERROR(D106/$D$36*100,"")</f>
        <v/>
      </c>
      <c r="N106" s="41">
        <f>IFERROR((1+H106)/(1+I106)-1,"")</f>
        <v/>
      </c>
      <c r="O106" s="41">
        <f>IFERROR((1+H106)/(1+J106)-1,"")</f>
        <v/>
      </c>
      <c r="P106" s="39">
        <f>IFERROR(B106*0.0099502487562189+P105*(1-0.0099502487562189),"")</f>
        <v/>
      </c>
      <c r="Q106" s="42">
        <f>Q105*(1+E106)</f>
        <v/>
      </c>
      <c r="R106" s="42">
        <f>MAX(R105,Q106)</f>
        <v/>
      </c>
      <c r="S106" s="41">
        <f>IFERROR(Q106/R106-1,"")</f>
        <v/>
      </c>
      <c r="T106" s="41">
        <f>IFERROR(_xlfn.STDEV.S(E47:E106)*SQRT($D$7),"")</f>
        <v/>
      </c>
      <c r="U106" s="41">
        <f>IFERROR(MIN(E106-$D$6,0),"")</f>
        <v/>
      </c>
      <c r="V106" s="41">
        <f>IFERROR(E106-F106,"")</f>
        <v/>
      </c>
      <c r="W106" s="39">
        <f>B106</f>
        <v/>
      </c>
      <c r="X106" s="21" t="n"/>
    </row>
    <row r="107">
      <c r="A107" s="38" t="n">
        <v>45092</v>
      </c>
      <c r="B107" s="39" t="n">
        <v>208.94</v>
      </c>
      <c r="C107" s="39" t="n">
        <v>442.6</v>
      </c>
      <c r="D107" s="39" t="n">
        <v>40.775</v>
      </c>
      <c r="E107" s="41">
        <f>IFERROR(B107/B106-1,"")</f>
        <v/>
      </c>
      <c r="F107" s="41">
        <f>IFERROR(C107/C106-1,"")</f>
        <v/>
      </c>
      <c r="G107" s="41">
        <f>IFERROR(D107/D106-1,"")</f>
        <v/>
      </c>
      <c r="H107" s="41">
        <f>IFERROR((1+E107)*(1+H106)-1,"")</f>
        <v/>
      </c>
      <c r="I107" s="41">
        <f>IFERROR((1+F107)*(1+I106)-1,"")</f>
        <v/>
      </c>
      <c r="J107" s="41">
        <f>IFERROR((1+G107)*(1+J106)-1,"")</f>
        <v/>
      </c>
      <c r="K107" s="42">
        <f>IFERROR(B107/$B$36*100,"")</f>
        <v/>
      </c>
      <c r="L107" s="42">
        <f>IFERROR(C107/$C$36*100,"")</f>
        <v/>
      </c>
      <c r="M107" s="42">
        <f>IFERROR(D107/$D$36*100,"")</f>
        <v/>
      </c>
      <c r="N107" s="41">
        <f>IFERROR((1+H107)/(1+I107)-1,"")</f>
        <v/>
      </c>
      <c r="O107" s="41">
        <f>IFERROR((1+H107)/(1+J107)-1,"")</f>
        <v/>
      </c>
      <c r="P107" s="39">
        <f>IFERROR(B107*0.0099502487562189+P106*(1-0.0099502487562189),"")</f>
        <v/>
      </c>
      <c r="Q107" s="42">
        <f>Q106*(1+E107)</f>
        <v/>
      </c>
      <c r="R107" s="42">
        <f>MAX(R106,Q107)</f>
        <v/>
      </c>
      <c r="S107" s="41">
        <f>IFERROR(Q107/R107-1,"")</f>
        <v/>
      </c>
      <c r="T107" s="41">
        <f>IFERROR(_xlfn.STDEV.S(E48:E107)*SQRT($D$7),"")</f>
        <v/>
      </c>
      <c r="U107" s="41">
        <f>IFERROR(MIN(E107-$D$6,0),"")</f>
        <v/>
      </c>
      <c r="V107" s="41">
        <f>IFERROR(E107-F107,"")</f>
        <v/>
      </c>
      <c r="W107" s="39">
        <f>B107</f>
        <v/>
      </c>
      <c r="X107" s="21" t="n"/>
    </row>
    <row r="108">
      <c r="A108" s="38" t="n">
        <v>45093</v>
      </c>
      <c r="B108" s="39" t="n">
        <v>207.31</v>
      </c>
      <c r="C108" s="39" t="n">
        <v>439.46</v>
      </c>
      <c r="D108" s="39" t="n">
        <v>40.875</v>
      </c>
      <c r="E108" s="41">
        <f>IFERROR(B108/B107-1,"")</f>
        <v/>
      </c>
      <c r="F108" s="41">
        <f>IFERROR(C108/C107-1,"")</f>
        <v/>
      </c>
      <c r="G108" s="41">
        <f>IFERROR(D108/D107-1,"")</f>
        <v/>
      </c>
      <c r="H108" s="41">
        <f>IFERROR((1+E108)*(1+H107)-1,"")</f>
        <v/>
      </c>
      <c r="I108" s="41">
        <f>IFERROR((1+F108)*(1+I107)-1,"")</f>
        <v/>
      </c>
      <c r="J108" s="41">
        <f>IFERROR((1+G108)*(1+J107)-1,"")</f>
        <v/>
      </c>
      <c r="K108" s="42">
        <f>IFERROR(B108/$B$36*100,"")</f>
        <v/>
      </c>
      <c r="L108" s="42">
        <f>IFERROR(C108/$C$36*100,"")</f>
        <v/>
      </c>
      <c r="M108" s="42">
        <f>IFERROR(D108/$D$36*100,"")</f>
        <v/>
      </c>
      <c r="N108" s="41">
        <f>IFERROR((1+H108)/(1+I108)-1,"")</f>
        <v/>
      </c>
      <c r="O108" s="41">
        <f>IFERROR((1+H108)/(1+J108)-1,"")</f>
        <v/>
      </c>
      <c r="P108" s="39">
        <f>IFERROR(B108*0.0099502487562189+P107*(1-0.0099502487562189),"")</f>
        <v/>
      </c>
      <c r="Q108" s="42">
        <f>Q107*(1+E108)</f>
        <v/>
      </c>
      <c r="R108" s="42">
        <f>MAX(R107,Q108)</f>
        <v/>
      </c>
      <c r="S108" s="41">
        <f>IFERROR(Q108/R108-1,"")</f>
        <v/>
      </c>
      <c r="T108" s="41">
        <f>IFERROR(_xlfn.STDEV.S(E49:E108)*SQRT($D$7),"")</f>
        <v/>
      </c>
      <c r="U108" s="41">
        <f>IFERROR(MIN(E108-$D$6,0),"")</f>
        <v/>
      </c>
      <c r="V108" s="41">
        <f>IFERROR(E108-F108,"")</f>
        <v/>
      </c>
      <c r="W108" s="39">
        <f>B108</f>
        <v/>
      </c>
      <c r="X108" s="21" t="n"/>
    </row>
    <row r="109">
      <c r="A109" s="38" t="n">
        <v>45097</v>
      </c>
      <c r="B109" s="39" t="n">
        <v>208.68</v>
      </c>
      <c r="C109" s="39" t="n">
        <v>437.18</v>
      </c>
      <c r="D109" s="39" t="n">
        <v>40.125</v>
      </c>
      <c r="E109" s="41">
        <f>IFERROR(B109/B108-1,"")</f>
        <v/>
      </c>
      <c r="F109" s="41">
        <f>IFERROR(C109/C108-1,"")</f>
        <v/>
      </c>
      <c r="G109" s="41">
        <f>IFERROR(D109/D108-1,"")</f>
        <v/>
      </c>
      <c r="H109" s="41">
        <f>IFERROR((1+E109)*(1+H108)-1,"")</f>
        <v/>
      </c>
      <c r="I109" s="41">
        <f>IFERROR((1+F109)*(1+I108)-1,"")</f>
        <v/>
      </c>
      <c r="J109" s="41">
        <f>IFERROR((1+G109)*(1+J108)-1,"")</f>
        <v/>
      </c>
      <c r="K109" s="42">
        <f>IFERROR(B109/$B$36*100,"")</f>
        <v/>
      </c>
      <c r="L109" s="42">
        <f>IFERROR(C109/$C$36*100,"")</f>
        <v/>
      </c>
      <c r="M109" s="42">
        <f>IFERROR(D109/$D$36*100,"")</f>
        <v/>
      </c>
      <c r="N109" s="41">
        <f>IFERROR((1+H109)/(1+I109)-1,"")</f>
        <v/>
      </c>
      <c r="O109" s="41">
        <f>IFERROR((1+H109)/(1+J109)-1,"")</f>
        <v/>
      </c>
      <c r="P109" s="39">
        <f>IFERROR(B109*0.0099502487562189+P108*(1-0.0099502487562189),"")</f>
        <v/>
      </c>
      <c r="Q109" s="42">
        <f>Q108*(1+E109)</f>
        <v/>
      </c>
      <c r="R109" s="42">
        <f>MAX(R108,Q109)</f>
        <v/>
      </c>
      <c r="S109" s="41">
        <f>IFERROR(Q109/R109-1,"")</f>
        <v/>
      </c>
      <c r="T109" s="41">
        <f>IFERROR(_xlfn.STDEV.S(E50:E109)*SQRT($D$7),"")</f>
        <v/>
      </c>
      <c r="U109" s="41">
        <f>IFERROR(MIN(E109-$D$6,0),"")</f>
        <v/>
      </c>
      <c r="V109" s="41">
        <f>IFERROR(E109-F109,"")</f>
        <v/>
      </c>
      <c r="W109" s="39">
        <f>B109</f>
        <v/>
      </c>
      <c r="X109" s="21" t="n"/>
    </row>
    <row r="110">
      <c r="A110" s="38" t="n">
        <v>45098</v>
      </c>
      <c r="B110" s="39" t="n">
        <v>210.57</v>
      </c>
      <c r="C110" s="39" t="n">
        <v>434.94</v>
      </c>
      <c r="D110" s="39" t="n">
        <v>40.255</v>
      </c>
      <c r="E110" s="41">
        <f>IFERROR(B110/B109-1,"")</f>
        <v/>
      </c>
      <c r="F110" s="41">
        <f>IFERROR(C110/C109-1,"")</f>
        <v/>
      </c>
      <c r="G110" s="41">
        <f>IFERROR(D110/D109-1,"")</f>
        <v/>
      </c>
      <c r="H110" s="41">
        <f>IFERROR((1+E110)*(1+H109)-1,"")</f>
        <v/>
      </c>
      <c r="I110" s="41">
        <f>IFERROR((1+F110)*(1+I109)-1,"")</f>
        <v/>
      </c>
      <c r="J110" s="41">
        <f>IFERROR((1+G110)*(1+J109)-1,"")</f>
        <v/>
      </c>
      <c r="K110" s="42">
        <f>IFERROR(B110/$B$36*100,"")</f>
        <v/>
      </c>
      <c r="L110" s="42">
        <f>IFERROR(C110/$C$36*100,"")</f>
        <v/>
      </c>
      <c r="M110" s="42">
        <f>IFERROR(D110/$D$36*100,"")</f>
        <v/>
      </c>
      <c r="N110" s="41">
        <f>IFERROR((1+H110)/(1+I110)-1,"")</f>
        <v/>
      </c>
      <c r="O110" s="41">
        <f>IFERROR((1+H110)/(1+J110)-1,"")</f>
        <v/>
      </c>
      <c r="P110" s="39">
        <f>IFERROR(B110*0.0099502487562189+P109*(1-0.0099502487562189),"")</f>
        <v/>
      </c>
      <c r="Q110" s="42">
        <f>Q109*(1+E110)</f>
        <v/>
      </c>
      <c r="R110" s="42">
        <f>MAX(R109,Q110)</f>
        <v/>
      </c>
      <c r="S110" s="41">
        <f>IFERROR(Q110/R110-1,"")</f>
        <v/>
      </c>
      <c r="T110" s="41">
        <f>IFERROR(_xlfn.STDEV.S(E51:E110)*SQRT($D$7),"")</f>
        <v/>
      </c>
      <c r="U110" s="41">
        <f>IFERROR(MIN(E110-$D$6,0),"")</f>
        <v/>
      </c>
      <c r="V110" s="41">
        <f>IFERROR(E110-F110,"")</f>
        <v/>
      </c>
      <c r="W110" s="39">
        <f>B110</f>
        <v/>
      </c>
      <c r="X110" s="21" t="n"/>
    </row>
    <row r="111">
      <c r="A111" s="38" t="n">
        <v>45099</v>
      </c>
      <c r="B111" s="39" t="n">
        <v>213.45</v>
      </c>
      <c r="C111" s="39" t="n">
        <v>436.51</v>
      </c>
      <c r="D111" s="39" t="n">
        <v>40.16</v>
      </c>
      <c r="E111" s="41">
        <f>IFERROR(B111/B110-1,"")</f>
        <v/>
      </c>
      <c r="F111" s="41">
        <f>IFERROR(C111/C110-1,"")</f>
        <v/>
      </c>
      <c r="G111" s="41">
        <f>IFERROR(D111/D110-1,"")</f>
        <v/>
      </c>
      <c r="H111" s="41">
        <f>IFERROR((1+E111)*(1+H110)-1,"")</f>
        <v/>
      </c>
      <c r="I111" s="41">
        <f>IFERROR((1+F111)*(1+I110)-1,"")</f>
        <v/>
      </c>
      <c r="J111" s="41">
        <f>IFERROR((1+G111)*(1+J110)-1,"")</f>
        <v/>
      </c>
      <c r="K111" s="42">
        <f>IFERROR(B111/$B$36*100,"")</f>
        <v/>
      </c>
      <c r="L111" s="42">
        <f>IFERROR(C111/$C$36*100,"")</f>
        <v/>
      </c>
      <c r="M111" s="42">
        <f>IFERROR(D111/$D$36*100,"")</f>
        <v/>
      </c>
      <c r="N111" s="41">
        <f>IFERROR((1+H111)/(1+I111)-1,"")</f>
        <v/>
      </c>
      <c r="O111" s="41">
        <f>IFERROR((1+H111)/(1+J111)-1,"")</f>
        <v/>
      </c>
      <c r="P111" s="39">
        <f>IFERROR(B111*0.0099502487562189+P110*(1-0.0099502487562189),"")</f>
        <v/>
      </c>
      <c r="Q111" s="42">
        <f>Q110*(1+E111)</f>
        <v/>
      </c>
      <c r="R111" s="42">
        <f>MAX(R110,Q111)</f>
        <v/>
      </c>
      <c r="S111" s="41">
        <f>IFERROR(Q111/R111-1,"")</f>
        <v/>
      </c>
      <c r="T111" s="41">
        <f>IFERROR(_xlfn.STDEV.S(E52:E111)*SQRT($D$7),"")</f>
        <v/>
      </c>
      <c r="U111" s="41">
        <f>IFERROR(MIN(E111-$D$6,0),"")</f>
        <v/>
      </c>
      <c r="V111" s="41">
        <f>IFERROR(E111-F111,"")</f>
        <v/>
      </c>
      <c r="W111" s="39">
        <f>B111</f>
        <v/>
      </c>
      <c r="X111" s="21" t="n"/>
    </row>
    <row r="112">
      <c r="A112" s="38" t="n">
        <v>45100</v>
      </c>
      <c r="B112" s="39" t="n">
        <v>214.43</v>
      </c>
      <c r="C112" s="39" t="n">
        <v>433.21</v>
      </c>
      <c r="D112" s="39" t="n">
        <v>39.835</v>
      </c>
      <c r="E112" s="41">
        <f>IFERROR(B112/B111-1,"")</f>
        <v/>
      </c>
      <c r="F112" s="41">
        <f>IFERROR(C112/C111-1,"")</f>
        <v/>
      </c>
      <c r="G112" s="41">
        <f>IFERROR(D112/D111-1,"")</f>
        <v/>
      </c>
      <c r="H112" s="41">
        <f>IFERROR((1+E112)*(1+H111)-1,"")</f>
        <v/>
      </c>
      <c r="I112" s="41">
        <f>IFERROR((1+F112)*(1+I111)-1,"")</f>
        <v/>
      </c>
      <c r="J112" s="41">
        <f>IFERROR((1+G112)*(1+J111)-1,"")</f>
        <v/>
      </c>
      <c r="K112" s="42">
        <f>IFERROR(B112/$B$36*100,"")</f>
        <v/>
      </c>
      <c r="L112" s="42">
        <f>IFERROR(C112/$C$36*100,"")</f>
        <v/>
      </c>
      <c r="M112" s="42">
        <f>IFERROR(D112/$D$36*100,"")</f>
        <v/>
      </c>
      <c r="N112" s="41">
        <f>IFERROR((1+H112)/(1+I112)-1,"")</f>
        <v/>
      </c>
      <c r="O112" s="41">
        <f>IFERROR((1+H112)/(1+J112)-1,"")</f>
        <v/>
      </c>
      <c r="P112" s="39">
        <f>IFERROR(B112*0.0099502487562189+P111*(1-0.0099502487562189),"")</f>
        <v/>
      </c>
      <c r="Q112" s="42">
        <f>Q111*(1+E112)</f>
        <v/>
      </c>
      <c r="R112" s="42">
        <f>MAX(R111,Q112)</f>
        <v/>
      </c>
      <c r="S112" s="41">
        <f>IFERROR(Q112/R112-1,"")</f>
        <v/>
      </c>
      <c r="T112" s="41">
        <f>IFERROR(_xlfn.STDEV.S(E53:E112)*SQRT($D$7),"")</f>
        <v/>
      </c>
      <c r="U112" s="41">
        <f>IFERROR(MIN(E112-$D$6,0),"")</f>
        <v/>
      </c>
      <c r="V112" s="41">
        <f>IFERROR(E112-F112,"")</f>
        <v/>
      </c>
      <c r="W112" s="39">
        <f>B112</f>
        <v/>
      </c>
      <c r="X112" s="21" t="n"/>
    </row>
    <row r="113">
      <c r="A113" s="38" t="n">
        <v>45103</v>
      </c>
      <c r="B113" s="39" t="n">
        <v>214.77</v>
      </c>
      <c r="C113" s="39" t="n">
        <v>431.44</v>
      </c>
      <c r="D113" s="39" t="n">
        <v>40.25</v>
      </c>
      <c r="E113" s="41">
        <f>IFERROR(B113/B112-1,"")</f>
        <v/>
      </c>
      <c r="F113" s="41">
        <f>IFERROR(C113/C112-1,"")</f>
        <v/>
      </c>
      <c r="G113" s="41">
        <f>IFERROR(D113/D112-1,"")</f>
        <v/>
      </c>
      <c r="H113" s="41">
        <f>IFERROR((1+E113)*(1+H112)-1,"")</f>
        <v/>
      </c>
      <c r="I113" s="41">
        <f>IFERROR((1+F113)*(1+I112)-1,"")</f>
        <v/>
      </c>
      <c r="J113" s="41">
        <f>IFERROR((1+G113)*(1+J112)-1,"")</f>
        <v/>
      </c>
      <c r="K113" s="42">
        <f>IFERROR(B113/$B$36*100,"")</f>
        <v/>
      </c>
      <c r="L113" s="42">
        <f>IFERROR(C113/$C$36*100,"")</f>
        <v/>
      </c>
      <c r="M113" s="42">
        <f>IFERROR(D113/$D$36*100,"")</f>
        <v/>
      </c>
      <c r="N113" s="41">
        <f>IFERROR((1+H113)/(1+I113)-1,"")</f>
        <v/>
      </c>
      <c r="O113" s="41">
        <f>IFERROR((1+H113)/(1+J113)-1,"")</f>
        <v/>
      </c>
      <c r="P113" s="39">
        <f>IFERROR(B113*0.0099502487562189+P112*(1-0.0099502487562189),"")</f>
        <v/>
      </c>
      <c r="Q113" s="42">
        <f>Q112*(1+E113)</f>
        <v/>
      </c>
      <c r="R113" s="42">
        <f>MAX(R112,Q113)</f>
        <v/>
      </c>
      <c r="S113" s="41">
        <f>IFERROR(Q113/R113-1,"")</f>
        <v/>
      </c>
      <c r="T113" s="41">
        <f>IFERROR(_xlfn.STDEV.S(E54:E113)*SQRT($D$7),"")</f>
        <v/>
      </c>
      <c r="U113" s="41">
        <f>IFERROR(MIN(E113-$D$6,0),"")</f>
        <v/>
      </c>
      <c r="V113" s="41">
        <f>IFERROR(E113-F113,"")</f>
        <v/>
      </c>
      <c r="W113" s="39">
        <f>B113</f>
        <v/>
      </c>
      <c r="X113" s="21" t="n"/>
    </row>
    <row r="114">
      <c r="A114" s="38" t="n">
        <v>45104</v>
      </c>
      <c r="B114" s="39" t="n">
        <v>220.42</v>
      </c>
      <c r="C114" s="39" t="n">
        <v>436.17</v>
      </c>
      <c r="D114" s="39" t="n">
        <v>40.82</v>
      </c>
      <c r="E114" s="41">
        <f>IFERROR(B114/B113-1,"")</f>
        <v/>
      </c>
      <c r="F114" s="41">
        <f>IFERROR(C114/C113-1,"")</f>
        <v/>
      </c>
      <c r="G114" s="41">
        <f>IFERROR(D114/D113-1,"")</f>
        <v/>
      </c>
      <c r="H114" s="41">
        <f>IFERROR((1+E114)*(1+H113)-1,"")</f>
        <v/>
      </c>
      <c r="I114" s="41">
        <f>IFERROR((1+F114)*(1+I113)-1,"")</f>
        <v/>
      </c>
      <c r="J114" s="41">
        <f>IFERROR((1+G114)*(1+J113)-1,"")</f>
        <v/>
      </c>
      <c r="K114" s="42">
        <f>IFERROR(B114/$B$36*100,"")</f>
        <v/>
      </c>
      <c r="L114" s="42">
        <f>IFERROR(C114/$C$36*100,"")</f>
        <v/>
      </c>
      <c r="M114" s="42">
        <f>IFERROR(D114/$D$36*100,"")</f>
        <v/>
      </c>
      <c r="N114" s="41">
        <f>IFERROR((1+H114)/(1+I114)-1,"")</f>
        <v/>
      </c>
      <c r="O114" s="41">
        <f>IFERROR((1+H114)/(1+J114)-1,"")</f>
        <v/>
      </c>
      <c r="P114" s="39">
        <f>IFERROR(B114*0.0099502487562189+P113*(1-0.0099502487562189),"")</f>
        <v/>
      </c>
      <c r="Q114" s="42">
        <f>Q113*(1+E114)</f>
        <v/>
      </c>
      <c r="R114" s="42">
        <f>MAX(R113,Q114)</f>
        <v/>
      </c>
      <c r="S114" s="41">
        <f>IFERROR(Q114/R114-1,"")</f>
        <v/>
      </c>
      <c r="T114" s="41">
        <f>IFERROR(_xlfn.STDEV.S(E55:E114)*SQRT($D$7),"")</f>
        <v/>
      </c>
      <c r="U114" s="41">
        <f>IFERROR(MIN(E114-$D$6,0),"")</f>
        <v/>
      </c>
      <c r="V114" s="41">
        <f>IFERROR(E114-F114,"")</f>
        <v/>
      </c>
      <c r="W114" s="39">
        <f>B114</f>
        <v/>
      </c>
      <c r="X114" s="21" t="n"/>
    </row>
    <row r="115">
      <c r="A115" s="38" t="n">
        <v>45105</v>
      </c>
      <c r="B115" s="39" t="n">
        <v>220.86</v>
      </c>
      <c r="C115" s="39" t="n">
        <v>436.39</v>
      </c>
      <c r="D115" s="39" t="n">
        <v>40.54</v>
      </c>
      <c r="E115" s="41">
        <f>IFERROR(B115/B114-1,"")</f>
        <v/>
      </c>
      <c r="F115" s="41">
        <f>IFERROR(C115/C114-1,"")</f>
        <v/>
      </c>
      <c r="G115" s="41">
        <f>IFERROR(D115/D114-1,"")</f>
        <v/>
      </c>
      <c r="H115" s="41">
        <f>IFERROR((1+E115)*(1+H114)-1,"")</f>
        <v/>
      </c>
      <c r="I115" s="41">
        <f>IFERROR((1+F115)*(1+I114)-1,"")</f>
        <v/>
      </c>
      <c r="J115" s="41">
        <f>IFERROR((1+G115)*(1+J114)-1,"")</f>
        <v/>
      </c>
      <c r="K115" s="42">
        <f>IFERROR(B115/$B$36*100,"")</f>
        <v/>
      </c>
      <c r="L115" s="42">
        <f>IFERROR(C115/$C$36*100,"")</f>
        <v/>
      </c>
      <c r="M115" s="42">
        <f>IFERROR(D115/$D$36*100,"")</f>
        <v/>
      </c>
      <c r="N115" s="41">
        <f>IFERROR((1+H115)/(1+I115)-1,"")</f>
        <v/>
      </c>
      <c r="O115" s="41">
        <f>IFERROR((1+H115)/(1+J115)-1,"")</f>
        <v/>
      </c>
      <c r="P115" s="39">
        <f>IFERROR(B115*0.0099502487562189+P114*(1-0.0099502487562189),"")</f>
        <v/>
      </c>
      <c r="Q115" s="42">
        <f>Q114*(1+E115)</f>
        <v/>
      </c>
      <c r="R115" s="42">
        <f>MAX(R114,Q115)</f>
        <v/>
      </c>
      <c r="S115" s="41">
        <f>IFERROR(Q115/R115-1,"")</f>
        <v/>
      </c>
      <c r="T115" s="41">
        <f>IFERROR(_xlfn.STDEV.S(E56:E115)*SQRT($D$7),"")</f>
        <v/>
      </c>
      <c r="U115" s="41">
        <f>IFERROR(MIN(E115-$D$6,0),"")</f>
        <v/>
      </c>
      <c r="V115" s="41">
        <f>IFERROR(E115-F115,"")</f>
        <v/>
      </c>
      <c r="W115" s="39">
        <f>B115</f>
        <v/>
      </c>
      <c r="X115" s="21" t="n"/>
    </row>
    <row r="116">
      <c r="A116" s="38" t="n">
        <v>45106</v>
      </c>
      <c r="B116" s="39" t="n">
        <v>224.84</v>
      </c>
      <c r="C116" s="39" t="n">
        <v>438.11</v>
      </c>
      <c r="D116" s="39" t="n">
        <v>41.05</v>
      </c>
      <c r="E116" s="41">
        <f>IFERROR(B116/B115-1,"")</f>
        <v/>
      </c>
      <c r="F116" s="41">
        <f>IFERROR(C116/C115-1,"")</f>
        <v/>
      </c>
      <c r="G116" s="41">
        <f>IFERROR(D116/D115-1,"")</f>
        <v/>
      </c>
      <c r="H116" s="41">
        <f>IFERROR((1+E116)*(1+H115)-1,"")</f>
        <v/>
      </c>
      <c r="I116" s="41">
        <f>IFERROR((1+F116)*(1+I115)-1,"")</f>
        <v/>
      </c>
      <c r="J116" s="41">
        <f>IFERROR((1+G116)*(1+J115)-1,"")</f>
        <v/>
      </c>
      <c r="K116" s="42">
        <f>IFERROR(B116/$B$36*100,"")</f>
        <v/>
      </c>
      <c r="L116" s="42">
        <f>IFERROR(C116/$C$36*100,"")</f>
        <v/>
      </c>
      <c r="M116" s="42">
        <f>IFERROR(D116/$D$36*100,"")</f>
        <v/>
      </c>
      <c r="N116" s="41">
        <f>IFERROR((1+H116)/(1+I116)-1,"")</f>
        <v/>
      </c>
      <c r="O116" s="41">
        <f>IFERROR((1+H116)/(1+J116)-1,"")</f>
        <v/>
      </c>
      <c r="P116" s="39">
        <f>IFERROR(B116*0.0099502487562189+P115*(1-0.0099502487562189),"")</f>
        <v/>
      </c>
      <c r="Q116" s="42">
        <f>Q115*(1+E116)</f>
        <v/>
      </c>
      <c r="R116" s="42">
        <f>MAX(R115,Q116)</f>
        <v/>
      </c>
      <c r="S116" s="41">
        <f>IFERROR(Q116/R116-1,"")</f>
        <v/>
      </c>
      <c r="T116" s="41">
        <f>IFERROR(_xlfn.STDEV.S(E57:E116)*SQRT($D$7),"")</f>
        <v/>
      </c>
      <c r="U116" s="41">
        <f>IFERROR(MIN(E116-$D$6,0),"")</f>
        <v/>
      </c>
      <c r="V116" s="41">
        <f>IFERROR(E116-F116,"")</f>
        <v/>
      </c>
      <c r="W116" s="39">
        <f>B116</f>
        <v/>
      </c>
      <c r="X116" s="21" t="n"/>
    </row>
    <row r="117">
      <c r="A117" s="38" t="n">
        <v>45107</v>
      </c>
      <c r="B117" s="39" t="n">
        <v>225.44</v>
      </c>
      <c r="C117" s="39" t="n">
        <v>443.28</v>
      </c>
      <c r="D117" s="39" t="n">
        <v>41.435</v>
      </c>
      <c r="E117" s="41">
        <f>IFERROR(B117/B116-1,"")</f>
        <v/>
      </c>
      <c r="F117" s="41">
        <f>IFERROR(C117/C116-1,"")</f>
        <v/>
      </c>
      <c r="G117" s="41">
        <f>IFERROR(D117/D116-1,"")</f>
        <v/>
      </c>
      <c r="H117" s="41">
        <f>IFERROR((1+E117)*(1+H116)-1,"")</f>
        <v/>
      </c>
      <c r="I117" s="41">
        <f>IFERROR((1+F117)*(1+I116)-1,"")</f>
        <v/>
      </c>
      <c r="J117" s="41">
        <f>IFERROR((1+G117)*(1+J116)-1,"")</f>
        <v/>
      </c>
      <c r="K117" s="42">
        <f>IFERROR(B117/$B$36*100,"")</f>
        <v/>
      </c>
      <c r="L117" s="42">
        <f>IFERROR(C117/$C$36*100,"")</f>
        <v/>
      </c>
      <c r="M117" s="42">
        <f>IFERROR(D117/$D$36*100,"")</f>
        <v/>
      </c>
      <c r="N117" s="41">
        <f>IFERROR((1+H117)/(1+I117)-1,"")</f>
        <v/>
      </c>
      <c r="O117" s="41">
        <f>IFERROR((1+H117)/(1+J117)-1,"")</f>
        <v/>
      </c>
      <c r="P117" s="39">
        <f>IFERROR(B117*0.0099502487562189+P116*(1-0.0099502487562189),"")</f>
        <v/>
      </c>
      <c r="Q117" s="42">
        <f>Q116*(1+E117)</f>
        <v/>
      </c>
      <c r="R117" s="42">
        <f>MAX(R116,Q117)</f>
        <v/>
      </c>
      <c r="S117" s="41">
        <f>IFERROR(Q117/R117-1,"")</f>
        <v/>
      </c>
      <c r="T117" s="41">
        <f>IFERROR(_xlfn.STDEV.S(E58:E117)*SQRT($D$7),"")</f>
        <v/>
      </c>
      <c r="U117" s="41">
        <f>IFERROR(MIN(E117-$D$6,0),"")</f>
        <v/>
      </c>
      <c r="V117" s="41">
        <f>IFERROR(E117-F117,"")</f>
        <v/>
      </c>
      <c r="W117" s="39">
        <f>B117</f>
        <v/>
      </c>
      <c r="X117" s="21" t="n"/>
    </row>
    <row r="118">
      <c r="A118" s="38" t="n">
        <v>45110</v>
      </c>
      <c r="B118" s="39" t="n">
        <v>223.34</v>
      </c>
      <c r="C118" s="39" t="n">
        <v>443.79</v>
      </c>
      <c r="D118" s="39" t="n">
        <v>41.59</v>
      </c>
      <c r="E118" s="41">
        <f>IFERROR(B118/B117-1,"")</f>
        <v/>
      </c>
      <c r="F118" s="41">
        <f>IFERROR(C118/C117-1,"")</f>
        <v/>
      </c>
      <c r="G118" s="41">
        <f>IFERROR(D118/D117-1,"")</f>
        <v/>
      </c>
      <c r="H118" s="41">
        <f>IFERROR((1+E118)*(1+H117)-1,"")</f>
        <v/>
      </c>
      <c r="I118" s="41">
        <f>IFERROR((1+F118)*(1+I117)-1,"")</f>
        <v/>
      </c>
      <c r="J118" s="41">
        <f>IFERROR((1+G118)*(1+J117)-1,"")</f>
        <v/>
      </c>
      <c r="K118" s="42">
        <f>IFERROR(B118/$B$36*100,"")</f>
        <v/>
      </c>
      <c r="L118" s="42">
        <f>IFERROR(C118/$C$36*100,"")</f>
        <v/>
      </c>
      <c r="M118" s="42">
        <f>IFERROR(D118/$D$36*100,"")</f>
        <v/>
      </c>
      <c r="N118" s="41">
        <f>IFERROR((1+H118)/(1+I118)-1,"")</f>
        <v/>
      </c>
      <c r="O118" s="41">
        <f>IFERROR((1+H118)/(1+J118)-1,"")</f>
        <v/>
      </c>
      <c r="P118" s="39">
        <f>IFERROR(B118*0.0099502487562189+P117*(1-0.0099502487562189),"")</f>
        <v/>
      </c>
      <c r="Q118" s="42">
        <f>Q117*(1+E118)</f>
        <v/>
      </c>
      <c r="R118" s="42">
        <f>MAX(R117,Q118)</f>
        <v/>
      </c>
      <c r="S118" s="41">
        <f>IFERROR(Q118/R118-1,"")</f>
        <v/>
      </c>
      <c r="T118" s="41">
        <f>IFERROR(_xlfn.STDEV.S(E59:E118)*SQRT($D$7),"")</f>
        <v/>
      </c>
      <c r="U118" s="41">
        <f>IFERROR(MIN(E118-$D$6,0),"")</f>
        <v/>
      </c>
      <c r="V118" s="41">
        <f>IFERROR(E118-F118,"")</f>
        <v/>
      </c>
      <c r="W118" s="39">
        <f>B118</f>
        <v/>
      </c>
      <c r="X118" s="21" t="n"/>
    </row>
    <row r="119">
      <c r="A119" s="38" t="n">
        <v>45112</v>
      </c>
      <c r="B119" s="39" t="n">
        <v>220.63</v>
      </c>
      <c r="C119" s="39" t="n">
        <v>443.13</v>
      </c>
      <c r="D119" s="39" t="n">
        <v>40.565</v>
      </c>
      <c r="E119" s="41">
        <f>IFERROR(B119/B118-1,"")</f>
        <v/>
      </c>
      <c r="F119" s="41">
        <f>IFERROR(C119/C118-1,"")</f>
        <v/>
      </c>
      <c r="G119" s="41">
        <f>IFERROR(D119/D118-1,"")</f>
        <v/>
      </c>
      <c r="H119" s="41">
        <f>IFERROR((1+E119)*(1+H118)-1,"")</f>
        <v/>
      </c>
      <c r="I119" s="41">
        <f>IFERROR((1+F119)*(1+I118)-1,"")</f>
        <v/>
      </c>
      <c r="J119" s="41">
        <f>IFERROR((1+G119)*(1+J118)-1,"")</f>
        <v/>
      </c>
      <c r="K119" s="42">
        <f>IFERROR(B119/$B$36*100,"")</f>
        <v/>
      </c>
      <c r="L119" s="42">
        <f>IFERROR(C119/$C$36*100,"")</f>
        <v/>
      </c>
      <c r="M119" s="42">
        <f>IFERROR(D119/$D$36*100,"")</f>
        <v/>
      </c>
      <c r="N119" s="41">
        <f>IFERROR((1+H119)/(1+I119)-1,"")</f>
        <v/>
      </c>
      <c r="O119" s="41">
        <f>IFERROR((1+H119)/(1+J119)-1,"")</f>
        <v/>
      </c>
      <c r="P119" s="39">
        <f>IFERROR(B119*0.0099502487562189+P118*(1-0.0099502487562189),"")</f>
        <v/>
      </c>
      <c r="Q119" s="42">
        <f>Q118*(1+E119)</f>
        <v/>
      </c>
      <c r="R119" s="42">
        <f>MAX(R118,Q119)</f>
        <v/>
      </c>
      <c r="S119" s="41">
        <f>IFERROR(Q119/R119-1,"")</f>
        <v/>
      </c>
      <c r="T119" s="41">
        <f>IFERROR(_xlfn.STDEV.S(E60:E119)*SQRT($D$7),"")</f>
        <v/>
      </c>
      <c r="U119" s="41">
        <f>IFERROR(MIN(E119-$D$6,0),"")</f>
        <v/>
      </c>
      <c r="V119" s="41">
        <f>IFERROR(E119-F119,"")</f>
        <v/>
      </c>
      <c r="W119" s="39">
        <f>B119</f>
        <v/>
      </c>
      <c r="X119" s="21" t="n"/>
    </row>
    <row r="120">
      <c r="A120" s="38" t="n">
        <v>45113</v>
      </c>
      <c r="B120" s="39" t="n">
        <v>217.99</v>
      </c>
      <c r="C120" s="39" t="n">
        <v>439.66</v>
      </c>
      <c r="D120" s="39" t="n">
        <v>40.27</v>
      </c>
      <c r="E120" s="41">
        <f>IFERROR(B120/B119-1,"")</f>
        <v/>
      </c>
      <c r="F120" s="41">
        <f>IFERROR(C120/C119-1,"")</f>
        <v/>
      </c>
      <c r="G120" s="41">
        <f>IFERROR(D120/D119-1,"")</f>
        <v/>
      </c>
      <c r="H120" s="41">
        <f>IFERROR((1+E120)*(1+H119)-1,"")</f>
        <v/>
      </c>
      <c r="I120" s="41">
        <f>IFERROR((1+F120)*(1+I119)-1,"")</f>
        <v/>
      </c>
      <c r="J120" s="41">
        <f>IFERROR((1+G120)*(1+J119)-1,"")</f>
        <v/>
      </c>
      <c r="K120" s="42">
        <f>IFERROR(B120/$B$36*100,"")</f>
        <v/>
      </c>
      <c r="L120" s="42">
        <f>IFERROR(C120/$C$36*100,"")</f>
        <v/>
      </c>
      <c r="M120" s="42">
        <f>IFERROR(D120/$D$36*100,"")</f>
        <v/>
      </c>
      <c r="N120" s="41">
        <f>IFERROR((1+H120)/(1+I120)-1,"")</f>
        <v/>
      </c>
      <c r="O120" s="41">
        <f>IFERROR((1+H120)/(1+J120)-1,"")</f>
        <v/>
      </c>
      <c r="P120" s="39">
        <f>IFERROR(B120*0.0099502487562189+P119*(1-0.0099502487562189),"")</f>
        <v/>
      </c>
      <c r="Q120" s="42">
        <f>Q119*(1+E120)</f>
        <v/>
      </c>
      <c r="R120" s="42">
        <f>MAX(R119,Q120)</f>
        <v/>
      </c>
      <c r="S120" s="41">
        <f>IFERROR(Q120/R120-1,"")</f>
        <v/>
      </c>
      <c r="T120" s="41">
        <f>IFERROR(_xlfn.STDEV.S(E61:E120)*SQRT($D$7),"")</f>
        <v/>
      </c>
      <c r="U120" s="41">
        <f>IFERROR(MIN(E120-$D$6,0),"")</f>
        <v/>
      </c>
      <c r="V120" s="41">
        <f>IFERROR(E120-F120,"")</f>
        <v/>
      </c>
      <c r="W120" s="39">
        <f>B120</f>
        <v/>
      </c>
      <c r="X120" s="21" t="n"/>
    </row>
    <row r="121">
      <c r="A121" s="38" t="n">
        <v>45114</v>
      </c>
      <c r="B121" s="39" t="n">
        <v>217.38</v>
      </c>
      <c r="C121" s="39" t="n">
        <v>438.55</v>
      </c>
      <c r="D121" s="39" t="n">
        <v>40.62</v>
      </c>
      <c r="E121" s="41">
        <f>IFERROR(B121/B120-1,"")</f>
        <v/>
      </c>
      <c r="F121" s="41">
        <f>IFERROR(C121/C120-1,"")</f>
        <v/>
      </c>
      <c r="G121" s="41">
        <f>IFERROR(D121/D120-1,"")</f>
        <v/>
      </c>
      <c r="H121" s="41">
        <f>IFERROR((1+E121)*(1+H120)-1,"")</f>
        <v/>
      </c>
      <c r="I121" s="41">
        <f>IFERROR((1+F121)*(1+I120)-1,"")</f>
        <v/>
      </c>
      <c r="J121" s="41">
        <f>IFERROR((1+G121)*(1+J120)-1,"")</f>
        <v/>
      </c>
      <c r="K121" s="42">
        <f>IFERROR(B121/$B$36*100,"")</f>
        <v/>
      </c>
      <c r="L121" s="42">
        <f>IFERROR(C121/$C$36*100,"")</f>
        <v/>
      </c>
      <c r="M121" s="42">
        <f>IFERROR(D121/$D$36*100,"")</f>
        <v/>
      </c>
      <c r="N121" s="41">
        <f>IFERROR((1+H121)/(1+I121)-1,"")</f>
        <v/>
      </c>
      <c r="O121" s="41">
        <f>IFERROR((1+H121)/(1+J121)-1,"")</f>
        <v/>
      </c>
      <c r="P121" s="39">
        <f>IFERROR(B121*0.0099502487562189+P120*(1-0.0099502487562189),"")</f>
        <v/>
      </c>
      <c r="Q121" s="42">
        <f>Q120*(1+E121)</f>
        <v/>
      </c>
      <c r="R121" s="42">
        <f>MAX(R120,Q121)</f>
        <v/>
      </c>
      <c r="S121" s="41">
        <f>IFERROR(Q121/R121-1,"")</f>
        <v/>
      </c>
      <c r="T121" s="41">
        <f>IFERROR(_xlfn.STDEV.S(E62:E121)*SQRT($D$7),"")</f>
        <v/>
      </c>
      <c r="U121" s="41">
        <f>IFERROR(MIN(E121-$D$6,0),"")</f>
        <v/>
      </c>
      <c r="V121" s="41">
        <f>IFERROR(E121-F121,"")</f>
        <v/>
      </c>
      <c r="W121" s="39">
        <f>B121</f>
        <v/>
      </c>
      <c r="X121" s="21" t="n"/>
    </row>
    <row r="122">
      <c r="A122" s="38" t="n">
        <v>45117</v>
      </c>
      <c r="B122" s="39" t="n">
        <v>219.39</v>
      </c>
      <c r="C122" s="39" t="n">
        <v>439.66</v>
      </c>
      <c r="D122" s="39" t="n">
        <v>40.61</v>
      </c>
      <c r="E122" s="41">
        <f>IFERROR(B122/B121-1,"")</f>
        <v/>
      </c>
      <c r="F122" s="41">
        <f>IFERROR(C122/C121-1,"")</f>
        <v/>
      </c>
      <c r="G122" s="41">
        <f>IFERROR(D122/D121-1,"")</f>
        <v/>
      </c>
      <c r="H122" s="41">
        <f>IFERROR((1+E122)*(1+H121)-1,"")</f>
        <v/>
      </c>
      <c r="I122" s="41">
        <f>IFERROR((1+F122)*(1+I121)-1,"")</f>
        <v/>
      </c>
      <c r="J122" s="41">
        <f>IFERROR((1+G122)*(1+J121)-1,"")</f>
        <v/>
      </c>
      <c r="K122" s="42">
        <f>IFERROR(B122/$B$36*100,"")</f>
        <v/>
      </c>
      <c r="L122" s="42">
        <f>IFERROR(C122/$C$36*100,"")</f>
        <v/>
      </c>
      <c r="M122" s="42">
        <f>IFERROR(D122/$D$36*100,"")</f>
        <v/>
      </c>
      <c r="N122" s="41">
        <f>IFERROR((1+H122)/(1+I122)-1,"")</f>
        <v/>
      </c>
      <c r="O122" s="41">
        <f>IFERROR((1+H122)/(1+J122)-1,"")</f>
        <v/>
      </c>
      <c r="P122" s="39">
        <f>IFERROR(B122*0.0099502487562189+P121*(1-0.0099502487562189),"")</f>
        <v/>
      </c>
      <c r="Q122" s="42">
        <f>Q121*(1+E122)</f>
        <v/>
      </c>
      <c r="R122" s="42">
        <f>MAX(R121,Q122)</f>
        <v/>
      </c>
      <c r="S122" s="41">
        <f>IFERROR(Q122/R122-1,"")</f>
        <v/>
      </c>
      <c r="T122" s="41">
        <f>IFERROR(_xlfn.STDEV.S(E63:E122)*SQRT($D$7),"")</f>
        <v/>
      </c>
      <c r="U122" s="41">
        <f>IFERROR(MIN(E122-$D$6,0),"")</f>
        <v/>
      </c>
      <c r="V122" s="41">
        <f>IFERROR(E122-F122,"")</f>
        <v/>
      </c>
      <c r="W122" s="39">
        <f>B122</f>
        <v/>
      </c>
      <c r="X122" s="21" t="n"/>
    </row>
    <row r="123">
      <c r="A123" s="38" t="n">
        <v>45118</v>
      </c>
      <c r="B123" s="39" t="n">
        <v>223.61</v>
      </c>
      <c r="C123" s="39" t="n">
        <v>442.46</v>
      </c>
      <c r="D123" s="39" t="n">
        <v>41.01</v>
      </c>
      <c r="E123" s="41">
        <f>IFERROR(B123/B122-1,"")</f>
        <v/>
      </c>
      <c r="F123" s="41">
        <f>IFERROR(C123/C122-1,"")</f>
        <v/>
      </c>
      <c r="G123" s="41">
        <f>IFERROR(D123/D122-1,"")</f>
        <v/>
      </c>
      <c r="H123" s="41">
        <f>IFERROR((1+E123)*(1+H122)-1,"")</f>
        <v/>
      </c>
      <c r="I123" s="41">
        <f>IFERROR((1+F123)*(1+I122)-1,"")</f>
        <v/>
      </c>
      <c r="J123" s="41">
        <f>IFERROR((1+G123)*(1+J122)-1,"")</f>
        <v/>
      </c>
      <c r="K123" s="42">
        <f>IFERROR(B123/$B$36*100,"")</f>
        <v/>
      </c>
      <c r="L123" s="42">
        <f>IFERROR(C123/$C$36*100,"")</f>
        <v/>
      </c>
      <c r="M123" s="42">
        <f>IFERROR(D123/$D$36*100,"")</f>
        <v/>
      </c>
      <c r="N123" s="41">
        <f>IFERROR((1+H123)/(1+I123)-1,"")</f>
        <v/>
      </c>
      <c r="O123" s="41">
        <f>IFERROR((1+H123)/(1+J123)-1,"")</f>
        <v/>
      </c>
      <c r="P123" s="39">
        <f>IFERROR(B123*0.0099502487562189+P122*(1-0.0099502487562189),"")</f>
        <v/>
      </c>
      <c r="Q123" s="42">
        <f>Q122*(1+E123)</f>
        <v/>
      </c>
      <c r="R123" s="42">
        <f>MAX(R122,Q123)</f>
        <v/>
      </c>
      <c r="S123" s="41">
        <f>IFERROR(Q123/R123-1,"")</f>
        <v/>
      </c>
      <c r="T123" s="41">
        <f>IFERROR(_xlfn.STDEV.S(E64:E123)*SQRT($D$7),"")</f>
        <v/>
      </c>
      <c r="U123" s="41">
        <f>IFERROR(MIN(E123-$D$6,0),"")</f>
        <v/>
      </c>
      <c r="V123" s="41">
        <f>IFERROR(E123-F123,"")</f>
        <v/>
      </c>
      <c r="W123" s="39">
        <f>B123</f>
        <v/>
      </c>
      <c r="X123" s="21" t="n"/>
    </row>
    <row r="124">
      <c r="A124" s="38" t="n">
        <v>45119</v>
      </c>
      <c r="B124" s="39" t="n">
        <v>220.28</v>
      </c>
      <c r="C124" s="39" t="n">
        <v>446.02</v>
      </c>
      <c r="D124" s="39" t="n">
        <v>41.55</v>
      </c>
      <c r="E124" s="41">
        <f>IFERROR(B124/B123-1,"")</f>
        <v/>
      </c>
      <c r="F124" s="41">
        <f>IFERROR(C124/C123-1,"")</f>
        <v/>
      </c>
      <c r="G124" s="41">
        <f>IFERROR(D124/D123-1,"")</f>
        <v/>
      </c>
      <c r="H124" s="41">
        <f>IFERROR((1+E124)*(1+H123)-1,"")</f>
        <v/>
      </c>
      <c r="I124" s="41">
        <f>IFERROR((1+F124)*(1+I123)-1,"")</f>
        <v/>
      </c>
      <c r="J124" s="41">
        <f>IFERROR((1+G124)*(1+J123)-1,"")</f>
        <v/>
      </c>
      <c r="K124" s="42">
        <f>IFERROR(B124/$B$36*100,"")</f>
        <v/>
      </c>
      <c r="L124" s="42">
        <f>IFERROR(C124/$C$36*100,"")</f>
        <v/>
      </c>
      <c r="M124" s="42">
        <f>IFERROR(D124/$D$36*100,"")</f>
        <v/>
      </c>
      <c r="N124" s="41">
        <f>IFERROR((1+H124)/(1+I124)-1,"")</f>
        <v/>
      </c>
      <c r="O124" s="41">
        <f>IFERROR((1+H124)/(1+J124)-1,"")</f>
        <v/>
      </c>
      <c r="P124" s="39">
        <f>IFERROR(B124*0.0099502487562189+P123*(1-0.0099502487562189),"")</f>
        <v/>
      </c>
      <c r="Q124" s="42">
        <f>Q123*(1+E124)</f>
        <v/>
      </c>
      <c r="R124" s="42">
        <f>MAX(R123,Q124)</f>
        <v/>
      </c>
      <c r="S124" s="41">
        <f>IFERROR(Q124/R124-1,"")</f>
        <v/>
      </c>
      <c r="T124" s="41">
        <f>IFERROR(_xlfn.STDEV.S(E65:E124)*SQRT($D$7),"")</f>
        <v/>
      </c>
      <c r="U124" s="41">
        <f>IFERROR(MIN(E124-$D$6,0),"")</f>
        <v/>
      </c>
      <c r="V124" s="41">
        <f>IFERROR(E124-F124,"")</f>
        <v/>
      </c>
      <c r="W124" s="39">
        <f>B124</f>
        <v/>
      </c>
      <c r="X124" s="21" t="n"/>
    </row>
    <row r="125">
      <c r="A125" s="38" t="n">
        <v>45120</v>
      </c>
      <c r="B125" s="39" t="n">
        <v>223.36</v>
      </c>
      <c r="C125" s="39" t="n">
        <v>449.56</v>
      </c>
      <c r="D125" s="39" t="n">
        <v>41.875</v>
      </c>
      <c r="E125" s="41">
        <f>IFERROR(B125/B124-1,"")</f>
        <v/>
      </c>
      <c r="F125" s="41">
        <f>IFERROR(C125/C124-1,"")</f>
        <v/>
      </c>
      <c r="G125" s="41">
        <f>IFERROR(D125/D124-1,"")</f>
        <v/>
      </c>
      <c r="H125" s="41">
        <f>IFERROR((1+E125)*(1+H124)-1,"")</f>
        <v/>
      </c>
      <c r="I125" s="41">
        <f>IFERROR((1+F125)*(1+I124)-1,"")</f>
        <v/>
      </c>
      <c r="J125" s="41">
        <f>IFERROR((1+G125)*(1+J124)-1,"")</f>
        <v/>
      </c>
      <c r="K125" s="42">
        <f>IFERROR(B125/$B$36*100,"")</f>
        <v/>
      </c>
      <c r="L125" s="42">
        <f>IFERROR(C125/$C$36*100,"")</f>
        <v/>
      </c>
      <c r="M125" s="42">
        <f>IFERROR(D125/$D$36*100,"")</f>
        <v/>
      </c>
      <c r="N125" s="41">
        <f>IFERROR((1+H125)/(1+I125)-1,"")</f>
        <v/>
      </c>
      <c r="O125" s="41">
        <f>IFERROR((1+H125)/(1+J125)-1,"")</f>
        <v/>
      </c>
      <c r="P125" s="39">
        <f>IFERROR(B125*0.0099502487562189+P124*(1-0.0099502487562189),"")</f>
        <v/>
      </c>
      <c r="Q125" s="42">
        <f>Q124*(1+E125)</f>
        <v/>
      </c>
      <c r="R125" s="42">
        <f>MAX(R124,Q125)</f>
        <v/>
      </c>
      <c r="S125" s="41">
        <f>IFERROR(Q125/R125-1,"")</f>
        <v/>
      </c>
      <c r="T125" s="41">
        <f>IFERROR(_xlfn.STDEV.S(E66:E125)*SQRT($D$7),"")</f>
        <v/>
      </c>
      <c r="U125" s="41">
        <f>IFERROR(MIN(E125-$D$6,0),"")</f>
        <v/>
      </c>
      <c r="V125" s="41">
        <f>IFERROR(E125-F125,"")</f>
        <v/>
      </c>
      <c r="W125" s="39">
        <f>B125</f>
        <v/>
      </c>
      <c r="X125" s="21" t="n"/>
    </row>
    <row r="126">
      <c r="A126" s="38" t="n">
        <v>45121</v>
      </c>
      <c r="B126" s="39" t="n">
        <v>224.75</v>
      </c>
      <c r="C126" s="39" t="n">
        <v>449.28</v>
      </c>
      <c r="D126" s="39" t="n">
        <v>41.63</v>
      </c>
      <c r="E126" s="41">
        <f>IFERROR(B126/B125-1,"")</f>
        <v/>
      </c>
      <c r="F126" s="41">
        <f>IFERROR(C126/C125-1,"")</f>
        <v/>
      </c>
      <c r="G126" s="41">
        <f>IFERROR(D126/D125-1,"")</f>
        <v/>
      </c>
      <c r="H126" s="41">
        <f>IFERROR((1+E126)*(1+H125)-1,"")</f>
        <v/>
      </c>
      <c r="I126" s="41">
        <f>IFERROR((1+F126)*(1+I125)-1,"")</f>
        <v/>
      </c>
      <c r="J126" s="41">
        <f>IFERROR((1+G126)*(1+J125)-1,"")</f>
        <v/>
      </c>
      <c r="K126" s="42">
        <f>IFERROR(B126/$B$36*100,"")</f>
        <v/>
      </c>
      <c r="L126" s="42">
        <f>IFERROR(C126/$C$36*100,"")</f>
        <v/>
      </c>
      <c r="M126" s="42">
        <f>IFERROR(D126/$D$36*100,"")</f>
        <v/>
      </c>
      <c r="N126" s="41">
        <f>IFERROR((1+H126)/(1+I126)-1,"")</f>
        <v/>
      </c>
      <c r="O126" s="41">
        <f>IFERROR((1+H126)/(1+J126)-1,"")</f>
        <v/>
      </c>
      <c r="P126" s="39">
        <f>IFERROR(B126*0.0099502487562189+P125*(1-0.0099502487562189),"")</f>
        <v/>
      </c>
      <c r="Q126" s="42">
        <f>Q125*(1+E126)</f>
        <v/>
      </c>
      <c r="R126" s="42">
        <f>MAX(R125,Q126)</f>
        <v/>
      </c>
      <c r="S126" s="41">
        <f>IFERROR(Q126/R126-1,"")</f>
        <v/>
      </c>
      <c r="T126" s="41">
        <f>IFERROR(_xlfn.STDEV.S(E67:E126)*SQRT($D$7),"")</f>
        <v/>
      </c>
      <c r="U126" s="41">
        <f>IFERROR(MIN(E126-$D$6,0),"")</f>
        <v/>
      </c>
      <c r="V126" s="41">
        <f>IFERROR(E126-F126,"")</f>
        <v/>
      </c>
      <c r="W126" s="39">
        <f>B126</f>
        <v/>
      </c>
      <c r="X126" s="21" t="n"/>
    </row>
    <row r="127">
      <c r="A127" s="38" t="n">
        <v>45124</v>
      </c>
      <c r="B127" s="39" t="n">
        <v>223.71</v>
      </c>
      <c r="C127" s="39" t="n">
        <v>450.84</v>
      </c>
      <c r="D127" s="39" t="n">
        <v>41.67</v>
      </c>
      <c r="E127" s="41">
        <f>IFERROR(B127/B126-1,"")</f>
        <v/>
      </c>
      <c r="F127" s="41">
        <f>IFERROR(C127/C126-1,"")</f>
        <v/>
      </c>
      <c r="G127" s="41">
        <f>IFERROR(D127/D126-1,"")</f>
        <v/>
      </c>
      <c r="H127" s="41">
        <f>IFERROR((1+E127)*(1+H126)-1,"")</f>
        <v/>
      </c>
      <c r="I127" s="41">
        <f>IFERROR((1+F127)*(1+I126)-1,"")</f>
        <v/>
      </c>
      <c r="J127" s="41">
        <f>IFERROR((1+G127)*(1+J126)-1,"")</f>
        <v/>
      </c>
      <c r="K127" s="42">
        <f>IFERROR(B127/$B$36*100,"")</f>
        <v/>
      </c>
      <c r="L127" s="42">
        <f>IFERROR(C127/$C$36*100,"")</f>
        <v/>
      </c>
      <c r="M127" s="42">
        <f>IFERROR(D127/$D$36*100,"")</f>
        <v/>
      </c>
      <c r="N127" s="41">
        <f>IFERROR((1+H127)/(1+I127)-1,"")</f>
        <v/>
      </c>
      <c r="O127" s="41">
        <f>IFERROR((1+H127)/(1+J127)-1,"")</f>
        <v/>
      </c>
      <c r="P127" s="39">
        <f>IFERROR(B127*0.0099502487562189+P126*(1-0.0099502487562189),"")</f>
        <v/>
      </c>
      <c r="Q127" s="42">
        <f>Q126*(1+E127)</f>
        <v/>
      </c>
      <c r="R127" s="42">
        <f>MAX(R126,Q127)</f>
        <v/>
      </c>
      <c r="S127" s="41">
        <f>IFERROR(Q127/R127-1,"")</f>
        <v/>
      </c>
      <c r="T127" s="41">
        <f>IFERROR(_xlfn.STDEV.S(E68:E127)*SQRT($D$7),"")</f>
        <v/>
      </c>
      <c r="U127" s="41">
        <f>IFERROR(MIN(E127-$D$6,0),"")</f>
        <v/>
      </c>
      <c r="V127" s="41">
        <f>IFERROR(E127-F127,"")</f>
        <v/>
      </c>
      <c r="W127" s="39">
        <f>B127</f>
        <v/>
      </c>
      <c r="X127" s="21" t="n"/>
    </row>
    <row r="128">
      <c r="A128" s="38" t="n">
        <v>45125</v>
      </c>
      <c r="B128" s="39" t="n">
        <v>223.9</v>
      </c>
      <c r="C128" s="39" t="n">
        <v>454.19</v>
      </c>
      <c r="D128" s="39" t="n">
        <v>41.995</v>
      </c>
      <c r="E128" s="41">
        <f>IFERROR(B128/B127-1,"")</f>
        <v/>
      </c>
      <c r="F128" s="41">
        <f>IFERROR(C128/C127-1,"")</f>
        <v/>
      </c>
      <c r="G128" s="41">
        <f>IFERROR(D128/D127-1,"")</f>
        <v/>
      </c>
      <c r="H128" s="41">
        <f>IFERROR((1+E128)*(1+H127)-1,"")</f>
        <v/>
      </c>
      <c r="I128" s="41">
        <f>IFERROR((1+F128)*(1+I127)-1,"")</f>
        <v/>
      </c>
      <c r="J128" s="41">
        <f>IFERROR((1+G128)*(1+J127)-1,"")</f>
        <v/>
      </c>
      <c r="K128" s="42">
        <f>IFERROR(B128/$B$36*100,"")</f>
        <v/>
      </c>
      <c r="L128" s="42">
        <f>IFERROR(C128/$C$36*100,"")</f>
        <v/>
      </c>
      <c r="M128" s="42">
        <f>IFERROR(D128/$D$36*100,"")</f>
        <v/>
      </c>
      <c r="N128" s="41">
        <f>IFERROR((1+H128)/(1+I128)-1,"")</f>
        <v/>
      </c>
      <c r="O128" s="41">
        <f>IFERROR((1+H128)/(1+J128)-1,"")</f>
        <v/>
      </c>
      <c r="P128" s="39">
        <f>IFERROR(B128*0.0099502487562189+P127*(1-0.0099502487562189),"")</f>
        <v/>
      </c>
      <c r="Q128" s="42">
        <f>Q127*(1+E128)</f>
        <v/>
      </c>
      <c r="R128" s="42">
        <f>MAX(R127,Q128)</f>
        <v/>
      </c>
      <c r="S128" s="41">
        <f>IFERROR(Q128/R128-1,"")</f>
        <v/>
      </c>
      <c r="T128" s="41">
        <f>IFERROR(_xlfn.STDEV.S(E69:E128)*SQRT($D$7),"")</f>
        <v/>
      </c>
      <c r="U128" s="41">
        <f>IFERROR(MIN(E128-$D$6,0),"")</f>
        <v/>
      </c>
      <c r="V128" s="41">
        <f>IFERROR(E128-F128,"")</f>
        <v/>
      </c>
      <c r="W128" s="39">
        <f>B128</f>
        <v/>
      </c>
      <c r="X128" s="21" t="n"/>
    </row>
    <row r="129">
      <c r="A129" s="38" t="n">
        <v>45126</v>
      </c>
      <c r="B129" s="39" t="n">
        <v>221.34</v>
      </c>
      <c r="C129" s="39" t="n">
        <v>455.2</v>
      </c>
      <c r="D129" s="39" t="n">
        <v>41.77</v>
      </c>
      <c r="E129" s="41">
        <f>IFERROR(B129/B128-1,"")</f>
        <v/>
      </c>
      <c r="F129" s="41">
        <f>IFERROR(C129/C128-1,"")</f>
        <v/>
      </c>
      <c r="G129" s="41">
        <f>IFERROR(D129/D128-1,"")</f>
        <v/>
      </c>
      <c r="H129" s="41">
        <f>IFERROR((1+E129)*(1+H128)-1,"")</f>
        <v/>
      </c>
      <c r="I129" s="41">
        <f>IFERROR((1+F129)*(1+I128)-1,"")</f>
        <v/>
      </c>
      <c r="J129" s="41">
        <f>IFERROR((1+G129)*(1+J128)-1,"")</f>
        <v/>
      </c>
      <c r="K129" s="42">
        <f>IFERROR(B129/$B$36*100,"")</f>
        <v/>
      </c>
      <c r="L129" s="42">
        <f>IFERROR(C129/$C$36*100,"")</f>
        <v/>
      </c>
      <c r="M129" s="42">
        <f>IFERROR(D129/$D$36*100,"")</f>
        <v/>
      </c>
      <c r="N129" s="41">
        <f>IFERROR((1+H129)/(1+I129)-1,"")</f>
        <v/>
      </c>
      <c r="O129" s="41">
        <f>IFERROR((1+H129)/(1+J129)-1,"")</f>
        <v/>
      </c>
      <c r="P129" s="39">
        <f>IFERROR(B129*0.0099502487562189+P128*(1-0.0099502487562189),"")</f>
        <v/>
      </c>
      <c r="Q129" s="42">
        <f>Q128*(1+E129)</f>
        <v/>
      </c>
      <c r="R129" s="42">
        <f>MAX(R128,Q129)</f>
        <v/>
      </c>
      <c r="S129" s="41">
        <f>IFERROR(Q129/R129-1,"")</f>
        <v/>
      </c>
      <c r="T129" s="41">
        <f>IFERROR(_xlfn.STDEV.S(E70:E129)*SQRT($D$7),"")</f>
        <v/>
      </c>
      <c r="U129" s="41">
        <f>IFERROR(MIN(E129-$D$6,0),"")</f>
        <v/>
      </c>
      <c r="V129" s="41">
        <f>IFERROR(E129-F129,"")</f>
        <v/>
      </c>
      <c r="W129" s="39">
        <f>B129</f>
        <v/>
      </c>
      <c r="X129" s="21" t="n"/>
    </row>
    <row r="130">
      <c r="A130" s="38" t="n">
        <v>45127</v>
      </c>
      <c r="B130" s="39" t="n">
        <v>221.63</v>
      </c>
      <c r="C130" s="39" t="n">
        <v>452.18</v>
      </c>
      <c r="D130" s="39" t="n">
        <v>41.87</v>
      </c>
      <c r="E130" s="41">
        <f>IFERROR(B130/B129-1,"")</f>
        <v/>
      </c>
      <c r="F130" s="41">
        <f>IFERROR(C130/C129-1,"")</f>
        <v/>
      </c>
      <c r="G130" s="41">
        <f>IFERROR(D130/D129-1,"")</f>
        <v/>
      </c>
      <c r="H130" s="41">
        <f>IFERROR((1+E130)*(1+H129)-1,"")</f>
        <v/>
      </c>
      <c r="I130" s="41">
        <f>IFERROR((1+F130)*(1+I129)-1,"")</f>
        <v/>
      </c>
      <c r="J130" s="41">
        <f>IFERROR((1+G130)*(1+J129)-1,"")</f>
        <v/>
      </c>
      <c r="K130" s="42">
        <f>IFERROR(B130/$B$36*100,"")</f>
        <v/>
      </c>
      <c r="L130" s="42">
        <f>IFERROR(C130/$C$36*100,"")</f>
        <v/>
      </c>
      <c r="M130" s="42">
        <f>IFERROR(D130/$D$36*100,"")</f>
        <v/>
      </c>
      <c r="N130" s="41">
        <f>IFERROR((1+H130)/(1+I130)-1,"")</f>
        <v/>
      </c>
      <c r="O130" s="41">
        <f>IFERROR((1+H130)/(1+J130)-1,"")</f>
        <v/>
      </c>
      <c r="P130" s="39">
        <f>IFERROR(B130*0.0099502487562189+P129*(1-0.0099502487562189),"")</f>
        <v/>
      </c>
      <c r="Q130" s="42">
        <f>Q129*(1+E130)</f>
        <v/>
      </c>
      <c r="R130" s="42">
        <f>MAX(R129,Q130)</f>
        <v/>
      </c>
      <c r="S130" s="41">
        <f>IFERROR(Q130/R130-1,"")</f>
        <v/>
      </c>
      <c r="T130" s="41">
        <f>IFERROR(_xlfn.STDEV.S(E71:E130)*SQRT($D$7),"")</f>
        <v/>
      </c>
      <c r="U130" s="41">
        <f>IFERROR(MIN(E130-$D$6,0),"")</f>
        <v/>
      </c>
      <c r="V130" s="41">
        <f>IFERROR(E130-F130,"")</f>
        <v/>
      </c>
      <c r="W130" s="39">
        <f>B130</f>
        <v/>
      </c>
      <c r="X130" s="21" t="n"/>
    </row>
    <row r="131">
      <c r="A131" s="38" t="n">
        <v>45128</v>
      </c>
      <c r="B131" s="39" t="n">
        <v>222.3</v>
      </c>
      <c r="C131" s="39" t="n">
        <v>452.18</v>
      </c>
      <c r="D131" s="39" t="n">
        <v>41.875</v>
      </c>
      <c r="E131" s="41">
        <f>IFERROR(B131/B130-1,"")</f>
        <v/>
      </c>
      <c r="F131" s="41">
        <f>IFERROR(C131/C130-1,"")</f>
        <v/>
      </c>
      <c r="G131" s="41">
        <f>IFERROR(D131/D130-1,"")</f>
        <v/>
      </c>
      <c r="H131" s="41">
        <f>IFERROR((1+E131)*(1+H130)-1,"")</f>
        <v/>
      </c>
      <c r="I131" s="41">
        <f>IFERROR((1+F131)*(1+I130)-1,"")</f>
        <v/>
      </c>
      <c r="J131" s="41">
        <f>IFERROR((1+G131)*(1+J130)-1,"")</f>
        <v/>
      </c>
      <c r="K131" s="42">
        <f>IFERROR(B131/$B$36*100,"")</f>
        <v/>
      </c>
      <c r="L131" s="42">
        <f>IFERROR(C131/$C$36*100,"")</f>
        <v/>
      </c>
      <c r="M131" s="42">
        <f>IFERROR(D131/$D$36*100,"")</f>
        <v/>
      </c>
      <c r="N131" s="41">
        <f>IFERROR((1+H131)/(1+I131)-1,"")</f>
        <v/>
      </c>
      <c r="O131" s="41">
        <f>IFERROR((1+H131)/(1+J131)-1,"")</f>
        <v/>
      </c>
      <c r="P131" s="39">
        <f>IFERROR(B131*0.0099502487562189+P130*(1-0.0099502487562189),"")</f>
        <v/>
      </c>
      <c r="Q131" s="42">
        <f>Q130*(1+E131)</f>
        <v/>
      </c>
      <c r="R131" s="42">
        <f>MAX(R130,Q131)</f>
        <v/>
      </c>
      <c r="S131" s="41">
        <f>IFERROR(Q131/R131-1,"")</f>
        <v/>
      </c>
      <c r="T131" s="41">
        <f>IFERROR(_xlfn.STDEV.S(E72:E131)*SQRT($D$7),"")</f>
        <v/>
      </c>
      <c r="U131" s="41">
        <f>IFERROR(MIN(E131-$D$6,0),"")</f>
        <v/>
      </c>
      <c r="V131" s="41">
        <f>IFERROR(E131-F131,"")</f>
        <v/>
      </c>
      <c r="W131" s="39">
        <f>B131</f>
        <v/>
      </c>
      <c r="X131" s="21" t="n"/>
    </row>
    <row r="132">
      <c r="A132" s="38" t="n">
        <v>45131</v>
      </c>
      <c r="B132" s="39" t="n">
        <v>222.6</v>
      </c>
      <c r="C132" s="39" t="n">
        <v>454.2</v>
      </c>
      <c r="D132" s="39" t="n">
        <v>42.005</v>
      </c>
      <c r="E132" s="41">
        <f>IFERROR(B132/B131-1,"")</f>
        <v/>
      </c>
      <c r="F132" s="41">
        <f>IFERROR(C132/C131-1,"")</f>
        <v/>
      </c>
      <c r="G132" s="41">
        <f>IFERROR(D132/D131-1,"")</f>
        <v/>
      </c>
      <c r="H132" s="41">
        <f>IFERROR((1+E132)*(1+H131)-1,"")</f>
        <v/>
      </c>
      <c r="I132" s="41">
        <f>IFERROR((1+F132)*(1+I131)-1,"")</f>
        <v/>
      </c>
      <c r="J132" s="41">
        <f>IFERROR((1+G132)*(1+J131)-1,"")</f>
        <v/>
      </c>
      <c r="K132" s="42">
        <f>IFERROR(B132/$B$36*100,"")</f>
        <v/>
      </c>
      <c r="L132" s="42">
        <f>IFERROR(C132/$C$36*100,"")</f>
        <v/>
      </c>
      <c r="M132" s="42">
        <f>IFERROR(D132/$D$36*100,"")</f>
        <v/>
      </c>
      <c r="N132" s="41">
        <f>IFERROR((1+H132)/(1+I132)-1,"")</f>
        <v/>
      </c>
      <c r="O132" s="41">
        <f>IFERROR((1+H132)/(1+J132)-1,"")</f>
        <v/>
      </c>
      <c r="P132" s="39">
        <f>IFERROR(B132*0.0099502487562189+P131*(1-0.0099502487562189),"")</f>
        <v/>
      </c>
      <c r="Q132" s="42">
        <f>Q131*(1+E132)</f>
        <v/>
      </c>
      <c r="R132" s="42">
        <f>MAX(R131,Q132)</f>
        <v/>
      </c>
      <c r="S132" s="41">
        <f>IFERROR(Q132/R132-1,"")</f>
        <v/>
      </c>
      <c r="T132" s="41">
        <f>IFERROR(_xlfn.STDEV.S(E73:E132)*SQRT($D$7),"")</f>
        <v/>
      </c>
      <c r="U132" s="41">
        <f>IFERROR(MIN(E132-$D$6,0),"")</f>
        <v/>
      </c>
      <c r="V132" s="41">
        <f>IFERROR(E132-F132,"")</f>
        <v/>
      </c>
      <c r="W132" s="39">
        <f>B132</f>
        <v/>
      </c>
      <c r="X132" s="21" t="n"/>
    </row>
    <row r="133">
      <c r="A133" s="38" t="n">
        <v>45132</v>
      </c>
      <c r="B133" s="39" t="n">
        <v>222.25</v>
      </c>
      <c r="C133" s="39" t="n">
        <v>455.44</v>
      </c>
      <c r="D133" s="39" t="n">
        <v>42.76</v>
      </c>
      <c r="E133" s="41">
        <f>IFERROR(B133/B132-1,"")</f>
        <v/>
      </c>
      <c r="F133" s="41">
        <f>IFERROR(C133/C132-1,"")</f>
        <v/>
      </c>
      <c r="G133" s="41">
        <f>IFERROR(D133/D132-1,"")</f>
        <v/>
      </c>
      <c r="H133" s="41">
        <f>IFERROR((1+E133)*(1+H132)-1,"")</f>
        <v/>
      </c>
      <c r="I133" s="41">
        <f>IFERROR((1+F133)*(1+I132)-1,"")</f>
        <v/>
      </c>
      <c r="J133" s="41">
        <f>IFERROR((1+G133)*(1+J132)-1,"")</f>
        <v/>
      </c>
      <c r="K133" s="42">
        <f>IFERROR(B133/$B$36*100,"")</f>
        <v/>
      </c>
      <c r="L133" s="42">
        <f>IFERROR(C133/$C$36*100,"")</f>
        <v/>
      </c>
      <c r="M133" s="42">
        <f>IFERROR(D133/$D$36*100,"")</f>
        <v/>
      </c>
      <c r="N133" s="41">
        <f>IFERROR((1+H133)/(1+I133)-1,"")</f>
        <v/>
      </c>
      <c r="O133" s="41">
        <f>IFERROR((1+H133)/(1+J133)-1,"")</f>
        <v/>
      </c>
      <c r="P133" s="39">
        <f>IFERROR(B133*0.0099502487562189+P132*(1-0.0099502487562189),"")</f>
        <v/>
      </c>
      <c r="Q133" s="42">
        <f>Q132*(1+E133)</f>
        <v/>
      </c>
      <c r="R133" s="42">
        <f>MAX(R132,Q133)</f>
        <v/>
      </c>
      <c r="S133" s="41">
        <f>IFERROR(Q133/R133-1,"")</f>
        <v/>
      </c>
      <c r="T133" s="41">
        <f>IFERROR(_xlfn.STDEV.S(E74:E133)*SQRT($D$7),"")</f>
        <v/>
      </c>
      <c r="U133" s="41">
        <f>IFERROR(MIN(E133-$D$6,0),"")</f>
        <v/>
      </c>
      <c r="V133" s="41">
        <f>IFERROR(E133-F133,"")</f>
        <v/>
      </c>
      <c r="W133" s="39">
        <f>B133</f>
        <v/>
      </c>
      <c r="X133" s="21" t="n"/>
    </row>
    <row r="134">
      <c r="A134" s="38" t="n">
        <v>45133</v>
      </c>
      <c r="B134" s="39" t="n">
        <v>223.46</v>
      </c>
      <c r="C134" s="39" t="n">
        <v>455.51</v>
      </c>
      <c r="D134" s="39" t="n">
        <v>42.615</v>
      </c>
      <c r="E134" s="41">
        <f>IFERROR(B134/B133-1,"")</f>
        <v/>
      </c>
      <c r="F134" s="41">
        <f>IFERROR(C134/C133-1,"")</f>
        <v/>
      </c>
      <c r="G134" s="41">
        <f>IFERROR(D134/D133-1,"")</f>
        <v/>
      </c>
      <c r="H134" s="41">
        <f>IFERROR((1+E134)*(1+H133)-1,"")</f>
        <v/>
      </c>
      <c r="I134" s="41">
        <f>IFERROR((1+F134)*(1+I133)-1,"")</f>
        <v/>
      </c>
      <c r="J134" s="41">
        <f>IFERROR((1+G134)*(1+J133)-1,"")</f>
        <v/>
      </c>
      <c r="K134" s="42">
        <f>IFERROR(B134/$B$36*100,"")</f>
        <v/>
      </c>
      <c r="L134" s="42">
        <f>IFERROR(C134/$C$36*100,"")</f>
        <v/>
      </c>
      <c r="M134" s="42">
        <f>IFERROR(D134/$D$36*100,"")</f>
        <v/>
      </c>
      <c r="N134" s="41">
        <f>IFERROR((1+H134)/(1+I134)-1,"")</f>
        <v/>
      </c>
      <c r="O134" s="41">
        <f>IFERROR((1+H134)/(1+J134)-1,"")</f>
        <v/>
      </c>
      <c r="P134" s="39">
        <f>IFERROR(B134*0.0099502487562189+P133*(1-0.0099502487562189),"")</f>
        <v/>
      </c>
      <c r="Q134" s="42">
        <f>Q133*(1+E134)</f>
        <v/>
      </c>
      <c r="R134" s="42">
        <f>MAX(R133,Q134)</f>
        <v/>
      </c>
      <c r="S134" s="41">
        <f>IFERROR(Q134/R134-1,"")</f>
        <v/>
      </c>
      <c r="T134" s="41">
        <f>IFERROR(_xlfn.STDEV.S(E75:E134)*SQRT($D$7),"")</f>
        <v/>
      </c>
      <c r="U134" s="41">
        <f>IFERROR(MIN(E134-$D$6,0),"")</f>
        <v/>
      </c>
      <c r="V134" s="41">
        <f>IFERROR(E134-F134,"")</f>
        <v/>
      </c>
      <c r="W134" s="39">
        <f>B134</f>
        <v/>
      </c>
      <c r="X134" s="21" t="n"/>
    </row>
    <row r="135">
      <c r="A135" s="38" t="n">
        <v>45134</v>
      </c>
      <c r="B135" s="39" t="n">
        <v>218.29</v>
      </c>
      <c r="C135" s="39" t="n">
        <v>452.49</v>
      </c>
      <c r="D135" s="39" t="n">
        <v>42.34</v>
      </c>
      <c r="E135" s="41">
        <f>IFERROR(B135/B134-1,"")</f>
        <v/>
      </c>
      <c r="F135" s="41">
        <f>IFERROR(C135/C134-1,"")</f>
        <v/>
      </c>
      <c r="G135" s="41">
        <f>IFERROR(D135/D134-1,"")</f>
        <v/>
      </c>
      <c r="H135" s="41">
        <f>IFERROR((1+E135)*(1+H134)-1,"")</f>
        <v/>
      </c>
      <c r="I135" s="41">
        <f>IFERROR((1+F135)*(1+I134)-1,"")</f>
        <v/>
      </c>
      <c r="J135" s="41">
        <f>IFERROR((1+G135)*(1+J134)-1,"")</f>
        <v/>
      </c>
      <c r="K135" s="42">
        <f>IFERROR(B135/$B$36*100,"")</f>
        <v/>
      </c>
      <c r="L135" s="42">
        <f>IFERROR(C135/$C$36*100,"")</f>
        <v/>
      </c>
      <c r="M135" s="42">
        <f>IFERROR(D135/$D$36*100,"")</f>
        <v/>
      </c>
      <c r="N135" s="41">
        <f>IFERROR((1+H135)/(1+I135)-1,"")</f>
        <v/>
      </c>
      <c r="O135" s="41">
        <f>IFERROR((1+H135)/(1+J135)-1,"")</f>
        <v/>
      </c>
      <c r="P135" s="39">
        <f>IFERROR(B135*0.0099502487562189+P134*(1-0.0099502487562189),"")</f>
        <v/>
      </c>
      <c r="Q135" s="42">
        <f>Q134*(1+E135)</f>
        <v/>
      </c>
      <c r="R135" s="42">
        <f>MAX(R134,Q135)</f>
        <v/>
      </c>
      <c r="S135" s="41">
        <f>IFERROR(Q135/R135-1,"")</f>
        <v/>
      </c>
      <c r="T135" s="41">
        <f>IFERROR(_xlfn.STDEV.S(E76:E135)*SQRT($D$7),"")</f>
        <v/>
      </c>
      <c r="U135" s="41">
        <f>IFERROR(MIN(E135-$D$6,0),"")</f>
        <v/>
      </c>
      <c r="V135" s="41">
        <f>IFERROR(E135-F135,"")</f>
        <v/>
      </c>
      <c r="W135" s="39">
        <f>B135</f>
        <v/>
      </c>
      <c r="X135" s="21" t="n"/>
    </row>
    <row r="136">
      <c r="A136" s="38" t="n">
        <v>45135</v>
      </c>
      <c r="B136" s="39" t="n">
        <v>220.19</v>
      </c>
      <c r="C136" s="39" t="n">
        <v>456.92</v>
      </c>
      <c r="D136" s="39" t="n">
        <v>42.635</v>
      </c>
      <c r="E136" s="41">
        <f>IFERROR(B136/B135-1,"")</f>
        <v/>
      </c>
      <c r="F136" s="41">
        <f>IFERROR(C136/C135-1,"")</f>
        <v/>
      </c>
      <c r="G136" s="41">
        <f>IFERROR(D136/D135-1,"")</f>
        <v/>
      </c>
      <c r="H136" s="41">
        <f>IFERROR((1+E136)*(1+H135)-1,"")</f>
        <v/>
      </c>
      <c r="I136" s="41">
        <f>IFERROR((1+F136)*(1+I135)-1,"")</f>
        <v/>
      </c>
      <c r="J136" s="41">
        <f>IFERROR((1+G136)*(1+J135)-1,"")</f>
        <v/>
      </c>
      <c r="K136" s="42">
        <f>IFERROR(B136/$B$36*100,"")</f>
        <v/>
      </c>
      <c r="L136" s="42">
        <f>IFERROR(C136/$C$36*100,"")</f>
        <v/>
      </c>
      <c r="M136" s="42">
        <f>IFERROR(D136/$D$36*100,"")</f>
        <v/>
      </c>
      <c r="N136" s="41">
        <f>IFERROR((1+H136)/(1+I136)-1,"")</f>
        <v/>
      </c>
      <c r="O136" s="41">
        <f>IFERROR((1+H136)/(1+J136)-1,"")</f>
        <v/>
      </c>
      <c r="P136" s="39">
        <f>IFERROR(B136*0.0099502487562189+P135*(1-0.0099502487562189),"")</f>
        <v/>
      </c>
      <c r="Q136" s="42">
        <f>Q135*(1+E136)</f>
        <v/>
      </c>
      <c r="R136" s="42">
        <f>MAX(R135,Q136)</f>
        <v/>
      </c>
      <c r="S136" s="41">
        <f>IFERROR(Q136/R136-1,"")</f>
        <v/>
      </c>
      <c r="T136" s="41">
        <f>IFERROR(_xlfn.STDEV.S(E77:E136)*SQRT($D$7),"")</f>
        <v/>
      </c>
      <c r="U136" s="41">
        <f>IFERROR(MIN(E136-$D$6,0),"")</f>
        <v/>
      </c>
      <c r="V136" s="41">
        <f>IFERROR(E136-F136,"")</f>
        <v/>
      </c>
      <c r="W136" s="39">
        <f>B136</f>
        <v/>
      </c>
      <c r="X136" s="21" t="n"/>
    </row>
    <row r="137">
      <c r="A137" s="38" t="n">
        <v>45138</v>
      </c>
      <c r="B137" s="39" t="n">
        <v>220.5</v>
      </c>
      <c r="C137" s="39" t="n">
        <v>457.79</v>
      </c>
      <c r="D137" s="39" t="n">
        <v>42.86</v>
      </c>
      <c r="E137" s="41">
        <f>IFERROR(B137/B136-1,"")</f>
        <v/>
      </c>
      <c r="F137" s="41">
        <f>IFERROR(C137/C136-1,"")</f>
        <v/>
      </c>
      <c r="G137" s="41">
        <f>IFERROR(D137/D136-1,"")</f>
        <v/>
      </c>
      <c r="H137" s="41">
        <f>IFERROR((1+E137)*(1+H136)-1,"")</f>
        <v/>
      </c>
      <c r="I137" s="41">
        <f>IFERROR((1+F137)*(1+I136)-1,"")</f>
        <v/>
      </c>
      <c r="J137" s="41">
        <f>IFERROR((1+G137)*(1+J136)-1,"")</f>
        <v/>
      </c>
      <c r="K137" s="42">
        <f>IFERROR(B137/$B$36*100,"")</f>
        <v/>
      </c>
      <c r="L137" s="42">
        <f>IFERROR(C137/$C$36*100,"")</f>
        <v/>
      </c>
      <c r="M137" s="42">
        <f>IFERROR(D137/$D$36*100,"")</f>
        <v/>
      </c>
      <c r="N137" s="41">
        <f>IFERROR((1+H137)/(1+I137)-1,"")</f>
        <v/>
      </c>
      <c r="O137" s="41">
        <f>IFERROR((1+H137)/(1+J137)-1,"")</f>
        <v/>
      </c>
      <c r="P137" s="39">
        <f>IFERROR(B137*0.0099502487562189+P136*(1-0.0099502487562189),"")</f>
        <v/>
      </c>
      <c r="Q137" s="42">
        <f>Q136*(1+E137)</f>
        <v/>
      </c>
      <c r="R137" s="42">
        <f>MAX(R136,Q137)</f>
        <v/>
      </c>
      <c r="S137" s="41">
        <f>IFERROR(Q137/R137-1,"")</f>
        <v/>
      </c>
      <c r="T137" s="41">
        <f>IFERROR(_xlfn.STDEV.S(E78:E137)*SQRT($D$7),"")</f>
        <v/>
      </c>
      <c r="U137" s="41">
        <f>IFERROR(MIN(E137-$D$6,0),"")</f>
        <v/>
      </c>
      <c r="V137" s="41">
        <f>IFERROR(E137-F137,"")</f>
        <v/>
      </c>
      <c r="W137" s="39">
        <f>B137</f>
        <v/>
      </c>
      <c r="X137" s="21" t="n"/>
    </row>
    <row r="138">
      <c r="A138" s="38" t="n">
        <v>45139</v>
      </c>
      <c r="B138" s="39" t="n">
        <v>223.97</v>
      </c>
      <c r="C138" s="39" t="n">
        <v>456.48</v>
      </c>
      <c r="D138" s="39" t="n">
        <v>42.67</v>
      </c>
      <c r="E138" s="41">
        <f>IFERROR(B138/B137-1,"")</f>
        <v/>
      </c>
      <c r="F138" s="41">
        <f>IFERROR(C138/C137-1,"")</f>
        <v/>
      </c>
      <c r="G138" s="41">
        <f>IFERROR(D138/D137-1,"")</f>
        <v/>
      </c>
      <c r="H138" s="41">
        <f>IFERROR((1+E138)*(1+H137)-1,"")</f>
        <v/>
      </c>
      <c r="I138" s="41">
        <f>IFERROR((1+F138)*(1+I137)-1,"")</f>
        <v/>
      </c>
      <c r="J138" s="41">
        <f>IFERROR((1+G138)*(1+J137)-1,"")</f>
        <v/>
      </c>
      <c r="K138" s="42">
        <f>IFERROR(B138/$B$36*100,"")</f>
        <v/>
      </c>
      <c r="L138" s="42">
        <f>IFERROR(C138/$C$36*100,"")</f>
        <v/>
      </c>
      <c r="M138" s="42">
        <f>IFERROR(D138/$D$36*100,"")</f>
        <v/>
      </c>
      <c r="N138" s="41">
        <f>IFERROR((1+H138)/(1+I138)-1,"")</f>
        <v/>
      </c>
      <c r="O138" s="41">
        <f>IFERROR((1+H138)/(1+J138)-1,"")</f>
        <v/>
      </c>
      <c r="P138" s="39">
        <f>IFERROR(B138*0.0099502487562189+P137*(1-0.0099502487562189),"")</f>
        <v/>
      </c>
      <c r="Q138" s="42">
        <f>Q137*(1+E138)</f>
        <v/>
      </c>
      <c r="R138" s="42">
        <f>MAX(R137,Q138)</f>
        <v/>
      </c>
      <c r="S138" s="41">
        <f>IFERROR(Q138/R138-1,"")</f>
        <v/>
      </c>
      <c r="T138" s="41">
        <f>IFERROR(_xlfn.STDEV.S(E79:E138)*SQRT($D$7),"")</f>
        <v/>
      </c>
      <c r="U138" s="41">
        <f>IFERROR(MIN(E138-$D$6,0),"")</f>
        <v/>
      </c>
      <c r="V138" s="41">
        <f>IFERROR(E138-F138,"")</f>
        <v/>
      </c>
      <c r="W138" s="39">
        <f>B138</f>
        <v/>
      </c>
      <c r="X138" s="21" t="n"/>
    </row>
    <row r="139">
      <c r="A139" s="38" t="n">
        <v>45140</v>
      </c>
      <c r="B139" s="39" t="n">
        <v>223.08</v>
      </c>
      <c r="C139" s="39" t="n">
        <v>450.13</v>
      </c>
      <c r="D139" s="39" t="n">
        <v>42.14</v>
      </c>
      <c r="E139" s="41">
        <f>IFERROR(B139/B138-1,"")</f>
        <v/>
      </c>
      <c r="F139" s="41">
        <f>IFERROR(C139/C138-1,"")</f>
        <v/>
      </c>
      <c r="G139" s="41">
        <f>IFERROR(D139/D138-1,"")</f>
        <v/>
      </c>
      <c r="H139" s="41">
        <f>IFERROR((1+E139)*(1+H138)-1,"")</f>
        <v/>
      </c>
      <c r="I139" s="41">
        <f>IFERROR((1+F139)*(1+I138)-1,"")</f>
        <v/>
      </c>
      <c r="J139" s="41">
        <f>IFERROR((1+G139)*(1+J138)-1,"")</f>
        <v/>
      </c>
      <c r="K139" s="42">
        <f>IFERROR(B139/$B$36*100,"")</f>
        <v/>
      </c>
      <c r="L139" s="42">
        <f>IFERROR(C139/$C$36*100,"")</f>
        <v/>
      </c>
      <c r="M139" s="42">
        <f>IFERROR(D139/$D$36*100,"")</f>
        <v/>
      </c>
      <c r="N139" s="41">
        <f>IFERROR((1+H139)/(1+I139)-1,"")</f>
        <v/>
      </c>
      <c r="O139" s="41">
        <f>IFERROR((1+H139)/(1+J139)-1,"")</f>
        <v/>
      </c>
      <c r="P139" s="39">
        <f>IFERROR(B139*0.0099502487562189+P138*(1-0.0099502487562189),"")</f>
        <v/>
      </c>
      <c r="Q139" s="42">
        <f>Q138*(1+E139)</f>
        <v/>
      </c>
      <c r="R139" s="42">
        <f>MAX(R138,Q139)</f>
        <v/>
      </c>
      <c r="S139" s="41">
        <f>IFERROR(Q139/R139-1,"")</f>
        <v/>
      </c>
      <c r="T139" s="41">
        <f>IFERROR(_xlfn.STDEV.S(E80:E139)*SQRT($D$7),"")</f>
        <v/>
      </c>
      <c r="U139" s="41">
        <f>IFERROR(MIN(E139-$D$6,0),"")</f>
        <v/>
      </c>
      <c r="V139" s="41">
        <f>IFERROR(E139-F139,"")</f>
        <v/>
      </c>
      <c r="W139" s="39">
        <f>B139</f>
        <v/>
      </c>
      <c r="X139" s="21" t="n"/>
    </row>
    <row r="140">
      <c r="A140" s="38" t="n">
        <v>45141</v>
      </c>
      <c r="B140" s="39" t="n">
        <v>226.19</v>
      </c>
      <c r="C140" s="39" t="n">
        <v>448.84</v>
      </c>
      <c r="D140" s="39" t="n">
        <v>41.88</v>
      </c>
      <c r="E140" s="41">
        <f>IFERROR(B140/B139-1,"")</f>
        <v/>
      </c>
      <c r="F140" s="41">
        <f>IFERROR(C140/C139-1,"")</f>
        <v/>
      </c>
      <c r="G140" s="41">
        <f>IFERROR(D140/D139-1,"")</f>
        <v/>
      </c>
      <c r="H140" s="41">
        <f>IFERROR((1+E140)*(1+H139)-1,"")</f>
        <v/>
      </c>
      <c r="I140" s="41">
        <f>IFERROR((1+F140)*(1+I139)-1,"")</f>
        <v/>
      </c>
      <c r="J140" s="41">
        <f>IFERROR((1+G140)*(1+J139)-1,"")</f>
        <v/>
      </c>
      <c r="K140" s="42">
        <f>IFERROR(B140/$B$36*100,"")</f>
        <v/>
      </c>
      <c r="L140" s="42">
        <f>IFERROR(C140/$C$36*100,"")</f>
        <v/>
      </c>
      <c r="M140" s="42">
        <f>IFERROR(D140/$D$36*100,"")</f>
        <v/>
      </c>
      <c r="N140" s="41">
        <f>IFERROR((1+H140)/(1+I140)-1,"")</f>
        <v/>
      </c>
      <c r="O140" s="41">
        <f>IFERROR((1+H140)/(1+J140)-1,"")</f>
        <v/>
      </c>
      <c r="P140" s="39">
        <f>IFERROR(B140*0.0099502487562189+P139*(1-0.0099502487562189),"")</f>
        <v/>
      </c>
      <c r="Q140" s="42">
        <f>Q139*(1+E140)</f>
        <v/>
      </c>
      <c r="R140" s="42">
        <f>MAX(R139,Q140)</f>
        <v/>
      </c>
      <c r="S140" s="41">
        <f>IFERROR(Q140/R140-1,"")</f>
        <v/>
      </c>
      <c r="T140" s="41">
        <f>IFERROR(_xlfn.STDEV.S(E81:E140)*SQRT($D$7),"")</f>
        <v/>
      </c>
      <c r="U140" s="41">
        <f>IFERROR(MIN(E140-$D$6,0),"")</f>
        <v/>
      </c>
      <c r="V140" s="41">
        <f>IFERROR(E140-F140,"")</f>
        <v/>
      </c>
      <c r="W140" s="39">
        <f>B140</f>
        <v/>
      </c>
      <c r="X140" s="21" t="n"/>
    </row>
    <row r="141">
      <c r="A141" s="38" t="n">
        <v>45142</v>
      </c>
      <c r="B141" s="39" t="n">
        <v>226</v>
      </c>
      <c r="C141" s="39" t="n">
        <v>446.81</v>
      </c>
      <c r="D141" s="39" t="n">
        <v>41.785</v>
      </c>
      <c r="E141" s="41">
        <f>IFERROR(B141/B140-1,"")</f>
        <v/>
      </c>
      <c r="F141" s="41">
        <f>IFERROR(C141/C140-1,"")</f>
        <v/>
      </c>
      <c r="G141" s="41">
        <f>IFERROR(D141/D140-1,"")</f>
        <v/>
      </c>
      <c r="H141" s="41">
        <f>IFERROR((1+E141)*(1+H140)-1,"")</f>
        <v/>
      </c>
      <c r="I141" s="41">
        <f>IFERROR((1+F141)*(1+I140)-1,"")</f>
        <v/>
      </c>
      <c r="J141" s="41">
        <f>IFERROR((1+G141)*(1+J140)-1,"")</f>
        <v/>
      </c>
      <c r="K141" s="42">
        <f>IFERROR(B141/$B$36*100,"")</f>
        <v/>
      </c>
      <c r="L141" s="42">
        <f>IFERROR(C141/$C$36*100,"")</f>
        <v/>
      </c>
      <c r="M141" s="42">
        <f>IFERROR(D141/$D$36*100,"")</f>
        <v/>
      </c>
      <c r="N141" s="41">
        <f>IFERROR((1+H141)/(1+I141)-1,"")</f>
        <v/>
      </c>
      <c r="O141" s="41">
        <f>IFERROR((1+H141)/(1+J141)-1,"")</f>
        <v/>
      </c>
      <c r="P141" s="39">
        <f>IFERROR(B141*0.0099502487562189+P140*(1-0.0099502487562189),"")</f>
        <v/>
      </c>
      <c r="Q141" s="42">
        <f>Q140*(1+E141)</f>
        <v/>
      </c>
      <c r="R141" s="42">
        <f>MAX(R140,Q141)</f>
        <v/>
      </c>
      <c r="S141" s="41">
        <f>IFERROR(Q141/R141-1,"")</f>
        <v/>
      </c>
      <c r="T141" s="41">
        <f>IFERROR(_xlfn.STDEV.S(E82:E141)*SQRT($D$7),"")</f>
        <v/>
      </c>
      <c r="U141" s="41">
        <f>IFERROR(MIN(E141-$D$6,0),"")</f>
        <v/>
      </c>
      <c r="V141" s="41">
        <f>IFERROR(E141-F141,"")</f>
        <v/>
      </c>
      <c r="W141" s="39">
        <f>B141</f>
        <v/>
      </c>
      <c r="X141" s="21" t="n"/>
    </row>
    <row r="142">
      <c r="A142" s="38" t="n">
        <v>45145</v>
      </c>
      <c r="B142" s="39" t="n">
        <v>228.72</v>
      </c>
      <c r="C142" s="39" t="n">
        <v>450.71</v>
      </c>
      <c r="D142" s="39" t="n">
        <v>42.06</v>
      </c>
      <c r="E142" s="41">
        <f>IFERROR(B142/B141-1,"")</f>
        <v/>
      </c>
      <c r="F142" s="41">
        <f>IFERROR(C142/C141-1,"")</f>
        <v/>
      </c>
      <c r="G142" s="41">
        <f>IFERROR(D142/D141-1,"")</f>
        <v/>
      </c>
      <c r="H142" s="41">
        <f>IFERROR((1+E142)*(1+H141)-1,"")</f>
        <v/>
      </c>
      <c r="I142" s="41">
        <f>IFERROR((1+F142)*(1+I141)-1,"")</f>
        <v/>
      </c>
      <c r="J142" s="41">
        <f>IFERROR((1+G142)*(1+J141)-1,"")</f>
        <v/>
      </c>
      <c r="K142" s="42">
        <f>IFERROR(B142/$B$36*100,"")</f>
        <v/>
      </c>
      <c r="L142" s="42">
        <f>IFERROR(C142/$C$36*100,"")</f>
        <v/>
      </c>
      <c r="M142" s="42">
        <f>IFERROR(D142/$D$36*100,"")</f>
        <v/>
      </c>
      <c r="N142" s="41">
        <f>IFERROR((1+H142)/(1+I142)-1,"")</f>
        <v/>
      </c>
      <c r="O142" s="41">
        <f>IFERROR((1+H142)/(1+J142)-1,"")</f>
        <v/>
      </c>
      <c r="P142" s="39">
        <f>IFERROR(B142*0.0099502487562189+P141*(1-0.0099502487562189),"")</f>
        <v/>
      </c>
      <c r="Q142" s="42">
        <f>Q141*(1+E142)</f>
        <v/>
      </c>
      <c r="R142" s="42">
        <f>MAX(R141,Q142)</f>
        <v/>
      </c>
      <c r="S142" s="41">
        <f>IFERROR(Q142/R142-1,"")</f>
        <v/>
      </c>
      <c r="T142" s="41">
        <f>IFERROR(_xlfn.STDEV.S(E83:E142)*SQRT($D$7),"")</f>
        <v/>
      </c>
      <c r="U142" s="41">
        <f>IFERROR(MIN(E142-$D$6,0),"")</f>
        <v/>
      </c>
      <c r="V142" s="41">
        <f>IFERROR(E142-F142,"")</f>
        <v/>
      </c>
      <c r="W142" s="39">
        <f>B142</f>
        <v/>
      </c>
      <c r="X142" s="21" t="n"/>
    </row>
    <row r="143">
      <c r="A143" s="38" t="n">
        <v>45146</v>
      </c>
      <c r="B143" s="39" t="n">
        <v>226.84</v>
      </c>
      <c r="C143" s="39" t="n">
        <v>448.75</v>
      </c>
      <c r="D143" s="39" t="n">
        <v>41.615</v>
      </c>
      <c r="E143" s="41">
        <f>IFERROR(B143/B142-1,"")</f>
        <v/>
      </c>
      <c r="F143" s="41">
        <f>IFERROR(C143/C142-1,"")</f>
        <v/>
      </c>
      <c r="G143" s="41">
        <f>IFERROR(D143/D142-1,"")</f>
        <v/>
      </c>
      <c r="H143" s="41">
        <f>IFERROR((1+E143)*(1+H142)-1,"")</f>
        <v/>
      </c>
      <c r="I143" s="41">
        <f>IFERROR((1+F143)*(1+I142)-1,"")</f>
        <v/>
      </c>
      <c r="J143" s="41">
        <f>IFERROR((1+G143)*(1+J142)-1,"")</f>
        <v/>
      </c>
      <c r="K143" s="42">
        <f>IFERROR(B143/$B$36*100,"")</f>
        <v/>
      </c>
      <c r="L143" s="42">
        <f>IFERROR(C143/$C$36*100,"")</f>
        <v/>
      </c>
      <c r="M143" s="42">
        <f>IFERROR(D143/$D$36*100,"")</f>
        <v/>
      </c>
      <c r="N143" s="41">
        <f>IFERROR((1+H143)/(1+I143)-1,"")</f>
        <v/>
      </c>
      <c r="O143" s="41">
        <f>IFERROR((1+H143)/(1+J143)-1,"")</f>
        <v/>
      </c>
      <c r="P143" s="39">
        <f>IFERROR(B143*0.0099502487562189+P142*(1-0.0099502487562189),"")</f>
        <v/>
      </c>
      <c r="Q143" s="42">
        <f>Q142*(1+E143)</f>
        <v/>
      </c>
      <c r="R143" s="42">
        <f>MAX(R142,Q143)</f>
        <v/>
      </c>
      <c r="S143" s="41">
        <f>IFERROR(Q143/R143-1,"")</f>
        <v/>
      </c>
      <c r="T143" s="41">
        <f>IFERROR(_xlfn.STDEV.S(E84:E143)*SQRT($D$7),"")</f>
        <v/>
      </c>
      <c r="U143" s="41">
        <f>IFERROR(MIN(E143-$D$6,0),"")</f>
        <v/>
      </c>
      <c r="V143" s="41">
        <f>IFERROR(E143-F143,"")</f>
        <v/>
      </c>
      <c r="W143" s="39">
        <f>B143</f>
        <v/>
      </c>
      <c r="X143" s="21" t="n"/>
    </row>
    <row r="144">
      <c r="A144" s="38" t="n">
        <v>45147</v>
      </c>
      <c r="B144" s="39" t="n">
        <v>223.38</v>
      </c>
      <c r="C144" s="39" t="n">
        <v>445.75</v>
      </c>
      <c r="D144" s="39" t="n">
        <v>41.445</v>
      </c>
      <c r="E144" s="41">
        <f>IFERROR(B144/B143-1,"")</f>
        <v/>
      </c>
      <c r="F144" s="41">
        <f>IFERROR(C144/C143-1,"")</f>
        <v/>
      </c>
      <c r="G144" s="41">
        <f>IFERROR(D144/D143-1,"")</f>
        <v/>
      </c>
      <c r="H144" s="41">
        <f>IFERROR((1+E144)*(1+H143)-1,"")</f>
        <v/>
      </c>
      <c r="I144" s="41">
        <f>IFERROR((1+F144)*(1+I143)-1,"")</f>
        <v/>
      </c>
      <c r="J144" s="41">
        <f>IFERROR((1+G144)*(1+J143)-1,"")</f>
        <v/>
      </c>
      <c r="K144" s="42">
        <f>IFERROR(B144/$B$36*100,"")</f>
        <v/>
      </c>
      <c r="L144" s="42">
        <f>IFERROR(C144/$C$36*100,"")</f>
        <v/>
      </c>
      <c r="M144" s="42">
        <f>IFERROR(D144/$D$36*100,"")</f>
        <v/>
      </c>
      <c r="N144" s="41">
        <f>IFERROR((1+H144)/(1+I144)-1,"")</f>
        <v/>
      </c>
      <c r="O144" s="41">
        <f>IFERROR((1+H144)/(1+J144)-1,"")</f>
        <v/>
      </c>
      <c r="P144" s="39">
        <f>IFERROR(B144*0.0099502487562189+P143*(1-0.0099502487562189),"")</f>
        <v/>
      </c>
      <c r="Q144" s="42">
        <f>Q143*(1+E144)</f>
        <v/>
      </c>
      <c r="R144" s="42">
        <f>MAX(R143,Q144)</f>
        <v/>
      </c>
      <c r="S144" s="41">
        <f>IFERROR(Q144/R144-1,"")</f>
        <v/>
      </c>
      <c r="T144" s="41">
        <f>IFERROR(_xlfn.STDEV.S(E85:E144)*SQRT($D$7),"")</f>
        <v/>
      </c>
      <c r="U144" s="41">
        <f>IFERROR(MIN(E144-$D$6,0),"")</f>
        <v/>
      </c>
      <c r="V144" s="41">
        <f>IFERROR(E144-F144,"")</f>
        <v/>
      </c>
      <c r="W144" s="39">
        <f>B144</f>
        <v/>
      </c>
      <c r="X144" s="21" t="n"/>
    </row>
    <row r="145">
      <c r="A145" s="38" t="n">
        <v>45148</v>
      </c>
      <c r="B145" s="39" t="n">
        <v>224.31</v>
      </c>
      <c r="C145" s="39" t="n">
        <v>445.91</v>
      </c>
      <c r="D145" s="39" t="n">
        <v>41.475</v>
      </c>
      <c r="E145" s="41">
        <f>IFERROR(B145/B144-1,"")</f>
        <v/>
      </c>
      <c r="F145" s="41">
        <f>IFERROR(C145/C144-1,"")</f>
        <v/>
      </c>
      <c r="G145" s="41">
        <f>IFERROR(D145/D144-1,"")</f>
        <v/>
      </c>
      <c r="H145" s="41">
        <f>IFERROR((1+E145)*(1+H144)-1,"")</f>
        <v/>
      </c>
      <c r="I145" s="41">
        <f>IFERROR((1+F145)*(1+I144)-1,"")</f>
        <v/>
      </c>
      <c r="J145" s="41">
        <f>IFERROR((1+G145)*(1+J144)-1,"")</f>
        <v/>
      </c>
      <c r="K145" s="42">
        <f>IFERROR(B145/$B$36*100,"")</f>
        <v/>
      </c>
      <c r="L145" s="42">
        <f>IFERROR(C145/$C$36*100,"")</f>
        <v/>
      </c>
      <c r="M145" s="42">
        <f>IFERROR(D145/$D$36*100,"")</f>
        <v/>
      </c>
      <c r="N145" s="41">
        <f>IFERROR((1+H145)/(1+I145)-1,"")</f>
        <v/>
      </c>
      <c r="O145" s="41">
        <f>IFERROR((1+H145)/(1+J145)-1,"")</f>
        <v/>
      </c>
      <c r="P145" s="39">
        <f>IFERROR(B145*0.0099502487562189+P144*(1-0.0099502487562189),"")</f>
        <v/>
      </c>
      <c r="Q145" s="42">
        <f>Q144*(1+E145)</f>
        <v/>
      </c>
      <c r="R145" s="42">
        <f>MAX(R144,Q145)</f>
        <v/>
      </c>
      <c r="S145" s="41">
        <f>IFERROR(Q145/R145-1,"")</f>
        <v/>
      </c>
      <c r="T145" s="41">
        <f>IFERROR(_xlfn.STDEV.S(E86:E145)*SQRT($D$7),"")</f>
        <v/>
      </c>
      <c r="U145" s="41">
        <f>IFERROR(MIN(E145-$D$6,0),"")</f>
        <v/>
      </c>
      <c r="V145" s="41">
        <f>IFERROR(E145-F145,"")</f>
        <v/>
      </c>
      <c r="W145" s="39">
        <f>B145</f>
        <v/>
      </c>
      <c r="X145" s="21" t="n"/>
    </row>
    <row r="146">
      <c r="A146" s="38" t="n">
        <v>45149</v>
      </c>
      <c r="B146" s="39" t="n">
        <v>223.92</v>
      </c>
      <c r="C146" s="39" t="n">
        <v>445.65</v>
      </c>
      <c r="D146" s="39" t="n">
        <v>41.36</v>
      </c>
      <c r="E146" s="41">
        <f>IFERROR(B146/B145-1,"")</f>
        <v/>
      </c>
      <c r="F146" s="41">
        <f>IFERROR(C146/C145-1,"")</f>
        <v/>
      </c>
      <c r="G146" s="41">
        <f>IFERROR(D146/D145-1,"")</f>
        <v/>
      </c>
      <c r="H146" s="41">
        <f>IFERROR((1+E146)*(1+H145)-1,"")</f>
        <v/>
      </c>
      <c r="I146" s="41">
        <f>IFERROR((1+F146)*(1+I145)-1,"")</f>
        <v/>
      </c>
      <c r="J146" s="41">
        <f>IFERROR((1+G146)*(1+J145)-1,"")</f>
        <v/>
      </c>
      <c r="K146" s="42">
        <f>IFERROR(B146/$B$36*100,"")</f>
        <v/>
      </c>
      <c r="L146" s="42">
        <f>IFERROR(C146/$C$36*100,"")</f>
        <v/>
      </c>
      <c r="M146" s="42">
        <f>IFERROR(D146/$D$36*100,"")</f>
        <v/>
      </c>
      <c r="N146" s="41">
        <f>IFERROR((1+H146)/(1+I146)-1,"")</f>
        <v/>
      </c>
      <c r="O146" s="41">
        <f>IFERROR((1+H146)/(1+J146)-1,"")</f>
        <v/>
      </c>
      <c r="P146" s="39">
        <f>IFERROR(B146*0.0099502487562189+P145*(1-0.0099502487562189),"")</f>
        <v/>
      </c>
      <c r="Q146" s="42">
        <f>Q145*(1+E146)</f>
        <v/>
      </c>
      <c r="R146" s="42">
        <f>MAX(R145,Q146)</f>
        <v/>
      </c>
      <c r="S146" s="41">
        <f>IFERROR(Q146/R146-1,"")</f>
        <v/>
      </c>
      <c r="T146" s="41">
        <f>IFERROR(_xlfn.STDEV.S(E87:E146)*SQRT($D$7),"")</f>
        <v/>
      </c>
      <c r="U146" s="41">
        <f>IFERROR(MIN(E146-$D$6,0),"")</f>
        <v/>
      </c>
      <c r="V146" s="41">
        <f>IFERROR(E146-F146,"")</f>
        <v/>
      </c>
      <c r="W146" s="39">
        <f>B146</f>
        <v/>
      </c>
      <c r="X146" s="21" t="n"/>
    </row>
    <row r="147">
      <c r="A147" s="38" t="n">
        <v>45152</v>
      </c>
      <c r="B147" s="39" t="n">
        <v>225.13</v>
      </c>
      <c r="C147" s="39" t="n">
        <v>448.11</v>
      </c>
      <c r="D147" s="39" t="n">
        <v>41.45</v>
      </c>
      <c r="E147" s="41">
        <f>IFERROR(B147/B146-1,"")</f>
        <v/>
      </c>
      <c r="F147" s="41">
        <f>IFERROR(C147/C146-1,"")</f>
        <v/>
      </c>
      <c r="G147" s="41">
        <f>IFERROR(D147/D146-1,"")</f>
        <v/>
      </c>
      <c r="H147" s="41">
        <f>IFERROR((1+E147)*(1+H146)-1,"")</f>
        <v/>
      </c>
      <c r="I147" s="41">
        <f>IFERROR((1+F147)*(1+I146)-1,"")</f>
        <v/>
      </c>
      <c r="J147" s="41">
        <f>IFERROR((1+G147)*(1+J146)-1,"")</f>
        <v/>
      </c>
      <c r="K147" s="42">
        <f>IFERROR(B147/$B$36*100,"")</f>
        <v/>
      </c>
      <c r="L147" s="42">
        <f>IFERROR(C147/$C$36*100,"")</f>
        <v/>
      </c>
      <c r="M147" s="42">
        <f>IFERROR(D147/$D$36*100,"")</f>
        <v/>
      </c>
      <c r="N147" s="41">
        <f>IFERROR((1+H147)/(1+I147)-1,"")</f>
        <v/>
      </c>
      <c r="O147" s="41">
        <f>IFERROR((1+H147)/(1+J147)-1,"")</f>
        <v/>
      </c>
      <c r="P147" s="39">
        <f>IFERROR(B147*0.0099502487562189+P146*(1-0.0099502487562189),"")</f>
        <v/>
      </c>
      <c r="Q147" s="42">
        <f>Q146*(1+E147)</f>
        <v/>
      </c>
      <c r="R147" s="42">
        <f>MAX(R146,Q147)</f>
        <v/>
      </c>
      <c r="S147" s="41">
        <f>IFERROR(Q147/R147-1,"")</f>
        <v/>
      </c>
      <c r="T147" s="41">
        <f>IFERROR(_xlfn.STDEV.S(E88:E147)*SQRT($D$7),"")</f>
        <v/>
      </c>
      <c r="U147" s="41">
        <f>IFERROR(MIN(E147-$D$6,0),"")</f>
        <v/>
      </c>
      <c r="V147" s="41">
        <f>IFERROR(E147-F147,"")</f>
        <v/>
      </c>
      <c r="W147" s="39">
        <f>B147</f>
        <v/>
      </c>
      <c r="X147" s="21" t="n"/>
    </row>
    <row r="148">
      <c r="A148" s="38" t="n">
        <v>45153</v>
      </c>
      <c r="B148" s="39" t="n">
        <v>224.14</v>
      </c>
      <c r="C148" s="39" t="n">
        <v>442.89</v>
      </c>
      <c r="D148" s="39" t="n">
        <v>40.775</v>
      </c>
      <c r="E148" s="41">
        <f>IFERROR(B148/B147-1,"")</f>
        <v/>
      </c>
      <c r="F148" s="41">
        <f>IFERROR(C148/C147-1,"")</f>
        <v/>
      </c>
      <c r="G148" s="41">
        <f>IFERROR(D148/D147-1,"")</f>
        <v/>
      </c>
      <c r="H148" s="41">
        <f>IFERROR((1+E148)*(1+H147)-1,"")</f>
        <v/>
      </c>
      <c r="I148" s="41">
        <f>IFERROR((1+F148)*(1+I147)-1,"")</f>
        <v/>
      </c>
      <c r="J148" s="41">
        <f>IFERROR((1+G148)*(1+J147)-1,"")</f>
        <v/>
      </c>
      <c r="K148" s="42">
        <f>IFERROR(B148/$B$36*100,"")</f>
        <v/>
      </c>
      <c r="L148" s="42">
        <f>IFERROR(C148/$C$36*100,"")</f>
        <v/>
      </c>
      <c r="M148" s="42">
        <f>IFERROR(D148/$D$36*100,"")</f>
        <v/>
      </c>
      <c r="N148" s="41">
        <f>IFERROR((1+H148)/(1+I148)-1,"")</f>
        <v/>
      </c>
      <c r="O148" s="41">
        <f>IFERROR((1+H148)/(1+J148)-1,"")</f>
        <v/>
      </c>
      <c r="P148" s="39">
        <f>IFERROR(B148*0.0099502487562189+P147*(1-0.0099502487562189),"")</f>
        <v/>
      </c>
      <c r="Q148" s="42">
        <f>Q147*(1+E148)</f>
        <v/>
      </c>
      <c r="R148" s="42">
        <f>MAX(R147,Q148)</f>
        <v/>
      </c>
      <c r="S148" s="41">
        <f>IFERROR(Q148/R148-1,"")</f>
        <v/>
      </c>
      <c r="T148" s="41">
        <f>IFERROR(_xlfn.STDEV.S(E89:E148)*SQRT($D$7),"")</f>
        <v/>
      </c>
      <c r="U148" s="41">
        <f>IFERROR(MIN(E148-$D$6,0),"")</f>
        <v/>
      </c>
      <c r="V148" s="41">
        <f>IFERROR(E148-F148,"")</f>
        <v/>
      </c>
      <c r="W148" s="39">
        <f>B148</f>
        <v/>
      </c>
      <c r="X148" s="21" t="n"/>
    </row>
    <row r="149">
      <c r="A149" s="38" t="n">
        <v>45154</v>
      </c>
      <c r="B149" s="39" t="n">
        <v>222.5</v>
      </c>
      <c r="C149" s="39" t="n">
        <v>439.64</v>
      </c>
      <c r="D149" s="39" t="n">
        <v>40.5</v>
      </c>
      <c r="E149" s="41">
        <f>IFERROR(B149/B148-1,"")</f>
        <v/>
      </c>
      <c r="F149" s="41">
        <f>IFERROR(C149/C148-1,"")</f>
        <v/>
      </c>
      <c r="G149" s="41">
        <f>IFERROR(D149/D148-1,"")</f>
        <v/>
      </c>
      <c r="H149" s="41">
        <f>IFERROR((1+E149)*(1+H148)-1,"")</f>
        <v/>
      </c>
      <c r="I149" s="41">
        <f>IFERROR((1+F149)*(1+I148)-1,"")</f>
        <v/>
      </c>
      <c r="J149" s="41">
        <f>IFERROR((1+G149)*(1+J148)-1,"")</f>
        <v/>
      </c>
      <c r="K149" s="42">
        <f>IFERROR(B149/$B$36*100,"")</f>
        <v/>
      </c>
      <c r="L149" s="42">
        <f>IFERROR(C149/$C$36*100,"")</f>
        <v/>
      </c>
      <c r="M149" s="42">
        <f>IFERROR(D149/$D$36*100,"")</f>
        <v/>
      </c>
      <c r="N149" s="41">
        <f>IFERROR((1+H149)/(1+I149)-1,"")</f>
        <v/>
      </c>
      <c r="O149" s="41">
        <f>IFERROR((1+H149)/(1+J149)-1,"")</f>
        <v/>
      </c>
      <c r="P149" s="39">
        <f>IFERROR(B149*0.0099502487562189+P148*(1-0.0099502487562189),"")</f>
        <v/>
      </c>
      <c r="Q149" s="42">
        <f>Q148*(1+E149)</f>
        <v/>
      </c>
      <c r="R149" s="42">
        <f>MAX(R148,Q149)</f>
        <v/>
      </c>
      <c r="S149" s="41">
        <f>IFERROR(Q149/R149-1,"")</f>
        <v/>
      </c>
      <c r="T149" s="41">
        <f>IFERROR(_xlfn.STDEV.S(E90:E149)*SQRT($D$7),"")</f>
        <v/>
      </c>
      <c r="U149" s="41">
        <f>IFERROR(MIN(E149-$D$6,0),"")</f>
        <v/>
      </c>
      <c r="V149" s="41">
        <f>IFERROR(E149-F149,"")</f>
        <v/>
      </c>
      <c r="W149" s="39">
        <f>B149</f>
        <v/>
      </c>
      <c r="X149" s="21" t="n"/>
    </row>
    <row r="150">
      <c r="A150" s="38" t="n">
        <v>45155</v>
      </c>
      <c r="B150" s="39" t="n">
        <v>213.33</v>
      </c>
      <c r="C150" s="39" t="n">
        <v>436.29</v>
      </c>
      <c r="D150" s="39" t="n">
        <v>40.42</v>
      </c>
      <c r="E150" s="41">
        <f>IFERROR(B150/B149-1,"")</f>
        <v/>
      </c>
      <c r="F150" s="41">
        <f>IFERROR(C150/C149-1,"")</f>
        <v/>
      </c>
      <c r="G150" s="41">
        <f>IFERROR(D150/D149-1,"")</f>
        <v/>
      </c>
      <c r="H150" s="41">
        <f>IFERROR((1+E150)*(1+H149)-1,"")</f>
        <v/>
      </c>
      <c r="I150" s="41">
        <f>IFERROR((1+F150)*(1+I149)-1,"")</f>
        <v/>
      </c>
      <c r="J150" s="41">
        <f>IFERROR((1+G150)*(1+J149)-1,"")</f>
        <v/>
      </c>
      <c r="K150" s="42">
        <f>IFERROR(B150/$B$36*100,"")</f>
        <v/>
      </c>
      <c r="L150" s="42">
        <f>IFERROR(C150/$C$36*100,"")</f>
        <v/>
      </c>
      <c r="M150" s="42">
        <f>IFERROR(D150/$D$36*100,"")</f>
        <v/>
      </c>
      <c r="N150" s="41">
        <f>IFERROR((1+H150)/(1+I150)-1,"")</f>
        <v/>
      </c>
      <c r="O150" s="41">
        <f>IFERROR((1+H150)/(1+J150)-1,"")</f>
        <v/>
      </c>
      <c r="P150" s="39">
        <f>IFERROR(B150*0.0099502487562189+P149*(1-0.0099502487562189),"")</f>
        <v/>
      </c>
      <c r="Q150" s="42">
        <f>Q149*(1+E150)</f>
        <v/>
      </c>
      <c r="R150" s="42">
        <f>MAX(R149,Q150)</f>
        <v/>
      </c>
      <c r="S150" s="41">
        <f>IFERROR(Q150/R150-1,"")</f>
        <v/>
      </c>
      <c r="T150" s="41">
        <f>IFERROR(_xlfn.STDEV.S(E91:E150)*SQRT($D$7),"")</f>
        <v/>
      </c>
      <c r="U150" s="41">
        <f>IFERROR(MIN(E150-$D$6,0),"")</f>
        <v/>
      </c>
      <c r="V150" s="41">
        <f>IFERROR(E150-F150,"")</f>
        <v/>
      </c>
      <c r="W150" s="39">
        <f>B150</f>
        <v/>
      </c>
      <c r="X150" s="21" t="n"/>
    </row>
    <row r="151">
      <c r="A151" s="38" t="n">
        <v>45156</v>
      </c>
      <c r="B151" s="39" t="n">
        <v>211.8</v>
      </c>
      <c r="C151" s="39" t="n">
        <v>436.5</v>
      </c>
      <c r="D151" s="39" t="n">
        <v>40.415</v>
      </c>
      <c r="E151" s="41">
        <f>IFERROR(B151/B150-1,"")</f>
        <v/>
      </c>
      <c r="F151" s="41">
        <f>IFERROR(C151/C150-1,"")</f>
        <v/>
      </c>
      <c r="G151" s="41">
        <f>IFERROR(D151/D150-1,"")</f>
        <v/>
      </c>
      <c r="H151" s="41">
        <f>IFERROR((1+E151)*(1+H150)-1,"")</f>
        <v/>
      </c>
      <c r="I151" s="41">
        <f>IFERROR((1+F151)*(1+I150)-1,"")</f>
        <v/>
      </c>
      <c r="J151" s="41">
        <f>IFERROR((1+G151)*(1+J150)-1,"")</f>
        <v/>
      </c>
      <c r="K151" s="42">
        <f>IFERROR(B151/$B$36*100,"")</f>
        <v/>
      </c>
      <c r="L151" s="42">
        <f>IFERROR(C151/$C$36*100,"")</f>
        <v/>
      </c>
      <c r="M151" s="42">
        <f>IFERROR(D151/$D$36*100,"")</f>
        <v/>
      </c>
      <c r="N151" s="41">
        <f>IFERROR((1+H151)/(1+I151)-1,"")</f>
        <v/>
      </c>
      <c r="O151" s="41">
        <f>IFERROR((1+H151)/(1+J151)-1,"")</f>
        <v/>
      </c>
      <c r="P151" s="39">
        <f>IFERROR(B151*0.0099502487562189+P150*(1-0.0099502487562189),"")</f>
        <v/>
      </c>
      <c r="Q151" s="42">
        <f>Q150*(1+E151)</f>
        <v/>
      </c>
      <c r="R151" s="42">
        <f>MAX(R150,Q151)</f>
        <v/>
      </c>
      <c r="S151" s="41">
        <f>IFERROR(Q151/R151-1,"")</f>
        <v/>
      </c>
      <c r="T151" s="41">
        <f>IFERROR(_xlfn.STDEV.S(E92:E151)*SQRT($D$7),"")</f>
        <v/>
      </c>
      <c r="U151" s="41">
        <f>IFERROR(MIN(E151-$D$6,0),"")</f>
        <v/>
      </c>
      <c r="V151" s="41">
        <f>IFERROR(E151-F151,"")</f>
        <v/>
      </c>
      <c r="W151" s="39">
        <f>B151</f>
        <v/>
      </c>
      <c r="X151" s="21" t="n"/>
    </row>
    <row r="152">
      <c r="A152" s="38" t="n">
        <v>45159</v>
      </c>
      <c r="B152" s="39" t="n">
        <v>212.57</v>
      </c>
      <c r="C152" s="39" t="n">
        <v>439.34</v>
      </c>
      <c r="D152" s="39" t="n">
        <v>40.42</v>
      </c>
      <c r="E152" s="41">
        <f>IFERROR(B152/B151-1,"")</f>
        <v/>
      </c>
      <c r="F152" s="41">
        <f>IFERROR(C152/C151-1,"")</f>
        <v/>
      </c>
      <c r="G152" s="41">
        <f>IFERROR(D152/D151-1,"")</f>
        <v/>
      </c>
      <c r="H152" s="41">
        <f>IFERROR((1+E152)*(1+H151)-1,"")</f>
        <v/>
      </c>
      <c r="I152" s="41">
        <f>IFERROR((1+F152)*(1+I151)-1,"")</f>
        <v/>
      </c>
      <c r="J152" s="41">
        <f>IFERROR((1+G152)*(1+J151)-1,"")</f>
        <v/>
      </c>
      <c r="K152" s="42">
        <f>IFERROR(B152/$B$36*100,"")</f>
        <v/>
      </c>
      <c r="L152" s="42">
        <f>IFERROR(C152/$C$36*100,"")</f>
        <v/>
      </c>
      <c r="M152" s="42">
        <f>IFERROR(D152/$D$36*100,"")</f>
        <v/>
      </c>
      <c r="N152" s="41">
        <f>IFERROR((1+H152)/(1+I152)-1,"")</f>
        <v/>
      </c>
      <c r="O152" s="41">
        <f>IFERROR((1+H152)/(1+J152)-1,"")</f>
        <v/>
      </c>
      <c r="P152" s="39">
        <f>IFERROR(B152*0.0099502487562189+P151*(1-0.0099502487562189),"")</f>
        <v/>
      </c>
      <c r="Q152" s="42">
        <f>Q151*(1+E152)</f>
        <v/>
      </c>
      <c r="R152" s="42">
        <f>MAX(R151,Q152)</f>
        <v/>
      </c>
      <c r="S152" s="41">
        <f>IFERROR(Q152/R152-1,"")</f>
        <v/>
      </c>
      <c r="T152" s="41">
        <f>IFERROR(_xlfn.STDEV.S(E93:E152)*SQRT($D$7),"")</f>
        <v/>
      </c>
      <c r="U152" s="41">
        <f>IFERROR(MIN(E152-$D$6,0),"")</f>
        <v/>
      </c>
      <c r="V152" s="41">
        <f>IFERROR(E152-F152,"")</f>
        <v/>
      </c>
      <c r="W152" s="39">
        <f>B152</f>
        <v/>
      </c>
      <c r="X152" s="21" t="n"/>
    </row>
    <row r="153">
      <c r="A153" s="38" t="n">
        <v>45160</v>
      </c>
      <c r="B153" s="39" t="n">
        <v>214.58</v>
      </c>
      <c r="C153" s="39" t="n">
        <v>438.15</v>
      </c>
      <c r="D153" s="39" t="n">
        <v>40.385</v>
      </c>
      <c r="E153" s="41">
        <f>IFERROR(B153/B152-1,"")</f>
        <v/>
      </c>
      <c r="F153" s="41">
        <f>IFERROR(C153/C152-1,"")</f>
        <v/>
      </c>
      <c r="G153" s="41">
        <f>IFERROR(D153/D152-1,"")</f>
        <v/>
      </c>
      <c r="H153" s="41">
        <f>IFERROR((1+E153)*(1+H152)-1,"")</f>
        <v/>
      </c>
      <c r="I153" s="41">
        <f>IFERROR((1+F153)*(1+I152)-1,"")</f>
        <v/>
      </c>
      <c r="J153" s="41">
        <f>IFERROR((1+G153)*(1+J152)-1,"")</f>
        <v/>
      </c>
      <c r="K153" s="42">
        <f>IFERROR(B153/$B$36*100,"")</f>
        <v/>
      </c>
      <c r="L153" s="42">
        <f>IFERROR(C153/$C$36*100,"")</f>
        <v/>
      </c>
      <c r="M153" s="42">
        <f>IFERROR(D153/$D$36*100,"")</f>
        <v/>
      </c>
      <c r="N153" s="41">
        <f>IFERROR((1+H153)/(1+I153)-1,"")</f>
        <v/>
      </c>
      <c r="O153" s="41">
        <f>IFERROR((1+H153)/(1+J153)-1,"")</f>
        <v/>
      </c>
      <c r="P153" s="39">
        <f>IFERROR(B153*0.0099502487562189+P152*(1-0.0099502487562189),"")</f>
        <v/>
      </c>
      <c r="Q153" s="42">
        <f>Q152*(1+E153)</f>
        <v/>
      </c>
      <c r="R153" s="42">
        <f>MAX(R152,Q153)</f>
        <v/>
      </c>
      <c r="S153" s="41">
        <f>IFERROR(Q153/R153-1,"")</f>
        <v/>
      </c>
      <c r="T153" s="41">
        <f>IFERROR(_xlfn.STDEV.S(E94:E153)*SQRT($D$7),"")</f>
        <v/>
      </c>
      <c r="U153" s="41">
        <f>IFERROR(MIN(E153-$D$6,0),"")</f>
        <v/>
      </c>
      <c r="V153" s="41">
        <f>IFERROR(E153-F153,"")</f>
        <v/>
      </c>
      <c r="W153" s="39">
        <f>B153</f>
        <v/>
      </c>
      <c r="X153" s="21" t="n"/>
    </row>
    <row r="154">
      <c r="A154" s="38" t="n">
        <v>45161</v>
      </c>
      <c r="B154" s="39" t="n">
        <v>217.06</v>
      </c>
      <c r="C154" s="39" t="n">
        <v>443.03</v>
      </c>
      <c r="D154" s="39" t="n">
        <v>40.45</v>
      </c>
      <c r="E154" s="41">
        <f>IFERROR(B154/B153-1,"")</f>
        <v/>
      </c>
      <c r="F154" s="41">
        <f>IFERROR(C154/C153-1,"")</f>
        <v/>
      </c>
      <c r="G154" s="41">
        <f>IFERROR(D154/D153-1,"")</f>
        <v/>
      </c>
      <c r="H154" s="41">
        <f>IFERROR((1+E154)*(1+H153)-1,"")</f>
        <v/>
      </c>
      <c r="I154" s="41">
        <f>IFERROR((1+F154)*(1+I153)-1,"")</f>
        <v/>
      </c>
      <c r="J154" s="41">
        <f>IFERROR((1+G154)*(1+J153)-1,"")</f>
        <v/>
      </c>
      <c r="K154" s="42">
        <f>IFERROR(B154/$B$36*100,"")</f>
        <v/>
      </c>
      <c r="L154" s="42">
        <f>IFERROR(C154/$C$36*100,"")</f>
        <v/>
      </c>
      <c r="M154" s="42">
        <f>IFERROR(D154/$D$36*100,"")</f>
        <v/>
      </c>
      <c r="N154" s="41">
        <f>IFERROR((1+H154)/(1+I154)-1,"")</f>
        <v/>
      </c>
      <c r="O154" s="41">
        <f>IFERROR((1+H154)/(1+J154)-1,"")</f>
        <v/>
      </c>
      <c r="P154" s="39">
        <f>IFERROR(B154*0.0099502487562189+P153*(1-0.0099502487562189),"")</f>
        <v/>
      </c>
      <c r="Q154" s="42">
        <f>Q153*(1+E154)</f>
        <v/>
      </c>
      <c r="R154" s="42">
        <f>MAX(R153,Q154)</f>
        <v/>
      </c>
      <c r="S154" s="41">
        <f>IFERROR(Q154/R154-1,"")</f>
        <v/>
      </c>
      <c r="T154" s="41">
        <f>IFERROR(_xlfn.STDEV.S(E95:E154)*SQRT($D$7),"")</f>
        <v/>
      </c>
      <c r="U154" s="41">
        <f>IFERROR(MIN(E154-$D$6,0),"")</f>
        <v/>
      </c>
      <c r="V154" s="41">
        <f>IFERROR(E154-F154,"")</f>
        <v/>
      </c>
      <c r="W154" s="39">
        <f>B154</f>
        <v/>
      </c>
      <c r="X154" s="21" t="n"/>
    </row>
    <row r="155">
      <c r="A155" s="38" t="n">
        <v>45162</v>
      </c>
      <c r="B155" s="39" t="n">
        <v>214.98</v>
      </c>
      <c r="C155" s="39" t="n">
        <v>436.89</v>
      </c>
      <c r="D155" s="39" t="n">
        <v>40.28</v>
      </c>
      <c r="E155" s="41">
        <f>IFERROR(B155/B154-1,"")</f>
        <v/>
      </c>
      <c r="F155" s="41">
        <f>IFERROR(C155/C154-1,"")</f>
        <v/>
      </c>
      <c r="G155" s="41">
        <f>IFERROR(D155/D154-1,"")</f>
        <v/>
      </c>
      <c r="H155" s="41">
        <f>IFERROR((1+E155)*(1+H154)-1,"")</f>
        <v/>
      </c>
      <c r="I155" s="41">
        <f>IFERROR((1+F155)*(1+I154)-1,"")</f>
        <v/>
      </c>
      <c r="J155" s="41">
        <f>IFERROR((1+G155)*(1+J154)-1,"")</f>
        <v/>
      </c>
      <c r="K155" s="42">
        <f>IFERROR(B155/$B$36*100,"")</f>
        <v/>
      </c>
      <c r="L155" s="42">
        <f>IFERROR(C155/$C$36*100,"")</f>
        <v/>
      </c>
      <c r="M155" s="42">
        <f>IFERROR(D155/$D$36*100,"")</f>
        <v/>
      </c>
      <c r="N155" s="41">
        <f>IFERROR((1+H155)/(1+I155)-1,"")</f>
        <v/>
      </c>
      <c r="O155" s="41">
        <f>IFERROR((1+H155)/(1+J155)-1,"")</f>
        <v/>
      </c>
      <c r="P155" s="39">
        <f>IFERROR(B155*0.0099502487562189+P154*(1-0.0099502487562189),"")</f>
        <v/>
      </c>
      <c r="Q155" s="42">
        <f>Q154*(1+E155)</f>
        <v/>
      </c>
      <c r="R155" s="42">
        <f>MAX(R154,Q155)</f>
        <v/>
      </c>
      <c r="S155" s="41">
        <f>IFERROR(Q155/R155-1,"")</f>
        <v/>
      </c>
      <c r="T155" s="41">
        <f>IFERROR(_xlfn.STDEV.S(E96:E155)*SQRT($D$7),"")</f>
        <v/>
      </c>
      <c r="U155" s="41">
        <f>IFERROR(MIN(E155-$D$6,0),"")</f>
        <v/>
      </c>
      <c r="V155" s="41">
        <f>IFERROR(E155-F155,"")</f>
        <v/>
      </c>
      <c r="W155" s="39">
        <f>B155</f>
        <v/>
      </c>
      <c r="X155" s="21" t="n"/>
    </row>
    <row r="156">
      <c r="A156" s="38" t="n">
        <v>45163</v>
      </c>
      <c r="B156" s="39" t="n">
        <v>214.83</v>
      </c>
      <c r="C156" s="39" t="n">
        <v>439.97</v>
      </c>
      <c r="D156" s="39" t="n">
        <v>40.4</v>
      </c>
      <c r="E156" s="41">
        <f>IFERROR(B156/B155-1,"")</f>
        <v/>
      </c>
      <c r="F156" s="41">
        <f>IFERROR(C156/C155-1,"")</f>
        <v/>
      </c>
      <c r="G156" s="41">
        <f>IFERROR(D156/D155-1,"")</f>
        <v/>
      </c>
      <c r="H156" s="41">
        <f>IFERROR((1+E156)*(1+H155)-1,"")</f>
        <v/>
      </c>
      <c r="I156" s="41">
        <f>IFERROR((1+F156)*(1+I155)-1,"")</f>
        <v/>
      </c>
      <c r="J156" s="41">
        <f>IFERROR((1+G156)*(1+J155)-1,"")</f>
        <v/>
      </c>
      <c r="K156" s="42">
        <f>IFERROR(B156/$B$36*100,"")</f>
        <v/>
      </c>
      <c r="L156" s="42">
        <f>IFERROR(C156/$C$36*100,"")</f>
        <v/>
      </c>
      <c r="M156" s="42">
        <f>IFERROR(D156/$D$36*100,"")</f>
        <v/>
      </c>
      <c r="N156" s="41">
        <f>IFERROR((1+H156)/(1+I156)-1,"")</f>
        <v/>
      </c>
      <c r="O156" s="41">
        <f>IFERROR((1+H156)/(1+J156)-1,"")</f>
        <v/>
      </c>
      <c r="P156" s="39">
        <f>IFERROR(B156*0.0099502487562189+P155*(1-0.0099502487562189),"")</f>
        <v/>
      </c>
      <c r="Q156" s="42">
        <f>Q155*(1+E156)</f>
        <v/>
      </c>
      <c r="R156" s="42">
        <f>MAX(R155,Q156)</f>
        <v/>
      </c>
      <c r="S156" s="41">
        <f>IFERROR(Q156/R156-1,"")</f>
        <v/>
      </c>
      <c r="T156" s="41">
        <f>IFERROR(_xlfn.STDEV.S(E97:E156)*SQRT($D$7),"")</f>
        <v/>
      </c>
      <c r="U156" s="41">
        <f>IFERROR(MIN(E156-$D$6,0),"")</f>
        <v/>
      </c>
      <c r="V156" s="41">
        <f>IFERROR(E156-F156,"")</f>
        <v/>
      </c>
      <c r="W156" s="39">
        <f>B156</f>
        <v/>
      </c>
      <c r="X156" s="21" t="n"/>
    </row>
    <row r="157">
      <c r="A157" s="38" t="n">
        <v>45166</v>
      </c>
      <c r="B157" s="39" t="n">
        <v>215.11</v>
      </c>
      <c r="C157" s="39" t="n">
        <v>442.76</v>
      </c>
      <c r="D157" s="39" t="n">
        <v>40.695</v>
      </c>
      <c r="E157" s="41">
        <f>IFERROR(B157/B156-1,"")</f>
        <v/>
      </c>
      <c r="F157" s="41">
        <f>IFERROR(C157/C156-1,"")</f>
        <v/>
      </c>
      <c r="G157" s="41">
        <f>IFERROR(D157/D156-1,"")</f>
        <v/>
      </c>
      <c r="H157" s="41">
        <f>IFERROR((1+E157)*(1+H156)-1,"")</f>
        <v/>
      </c>
      <c r="I157" s="41">
        <f>IFERROR((1+F157)*(1+I156)-1,"")</f>
        <v/>
      </c>
      <c r="J157" s="41">
        <f>IFERROR((1+G157)*(1+J156)-1,"")</f>
        <v/>
      </c>
      <c r="K157" s="42">
        <f>IFERROR(B157/$B$36*100,"")</f>
        <v/>
      </c>
      <c r="L157" s="42">
        <f>IFERROR(C157/$C$36*100,"")</f>
        <v/>
      </c>
      <c r="M157" s="42">
        <f>IFERROR(D157/$D$36*100,"")</f>
        <v/>
      </c>
      <c r="N157" s="41">
        <f>IFERROR((1+H157)/(1+I157)-1,"")</f>
        <v/>
      </c>
      <c r="O157" s="41">
        <f>IFERROR((1+H157)/(1+J157)-1,"")</f>
        <v/>
      </c>
      <c r="P157" s="39">
        <f>IFERROR(B157*0.0099502487562189+P156*(1-0.0099502487562189),"")</f>
        <v/>
      </c>
      <c r="Q157" s="42">
        <f>Q156*(1+E157)</f>
        <v/>
      </c>
      <c r="R157" s="42">
        <f>MAX(R156,Q157)</f>
        <v/>
      </c>
      <c r="S157" s="41">
        <f>IFERROR(Q157/R157-1,"")</f>
        <v/>
      </c>
      <c r="T157" s="41">
        <f>IFERROR(_xlfn.STDEV.S(E98:E157)*SQRT($D$7),"")</f>
        <v/>
      </c>
      <c r="U157" s="41">
        <f>IFERROR(MIN(E157-$D$6,0),"")</f>
        <v/>
      </c>
      <c r="V157" s="41">
        <f>IFERROR(E157-F157,"")</f>
        <v/>
      </c>
      <c r="W157" s="39">
        <f>B157</f>
        <v/>
      </c>
      <c r="X157" s="21" t="n"/>
    </row>
    <row r="158">
      <c r="A158" s="38" t="n">
        <v>45167</v>
      </c>
      <c r="B158" s="39" t="n">
        <v>218.59</v>
      </c>
      <c r="C158" s="39" t="n">
        <v>449.16</v>
      </c>
      <c r="D158" s="39" t="n">
        <v>41.37</v>
      </c>
      <c r="E158" s="41">
        <f>IFERROR(B158/B157-1,"")</f>
        <v/>
      </c>
      <c r="F158" s="41">
        <f>IFERROR(C158/C157-1,"")</f>
        <v/>
      </c>
      <c r="G158" s="41">
        <f>IFERROR(D158/D157-1,"")</f>
        <v/>
      </c>
      <c r="H158" s="41">
        <f>IFERROR((1+E158)*(1+H157)-1,"")</f>
        <v/>
      </c>
      <c r="I158" s="41">
        <f>IFERROR((1+F158)*(1+I157)-1,"")</f>
        <v/>
      </c>
      <c r="J158" s="41">
        <f>IFERROR((1+G158)*(1+J157)-1,"")</f>
        <v/>
      </c>
      <c r="K158" s="42">
        <f>IFERROR(B158/$B$36*100,"")</f>
        <v/>
      </c>
      <c r="L158" s="42">
        <f>IFERROR(C158/$C$36*100,"")</f>
        <v/>
      </c>
      <c r="M158" s="42">
        <f>IFERROR(D158/$D$36*100,"")</f>
        <v/>
      </c>
      <c r="N158" s="41">
        <f>IFERROR((1+H158)/(1+I158)-1,"")</f>
        <v/>
      </c>
      <c r="O158" s="41">
        <f>IFERROR((1+H158)/(1+J158)-1,"")</f>
        <v/>
      </c>
      <c r="P158" s="39">
        <f>IFERROR(B158*0.0099502487562189+P157*(1-0.0099502487562189),"")</f>
        <v/>
      </c>
      <c r="Q158" s="42">
        <f>Q157*(1+E158)</f>
        <v/>
      </c>
      <c r="R158" s="42">
        <f>MAX(R157,Q158)</f>
        <v/>
      </c>
      <c r="S158" s="41">
        <f>IFERROR(Q158/R158-1,"")</f>
        <v/>
      </c>
      <c r="T158" s="41">
        <f>IFERROR(_xlfn.STDEV.S(E99:E158)*SQRT($D$7),"")</f>
        <v/>
      </c>
      <c r="U158" s="41">
        <f>IFERROR(MIN(E158-$D$6,0),"")</f>
        <v/>
      </c>
      <c r="V158" s="41">
        <f>IFERROR(E158-F158,"")</f>
        <v/>
      </c>
      <c r="W158" s="39">
        <f>B158</f>
        <v/>
      </c>
      <c r="X158" s="21" t="n"/>
    </row>
    <row r="159">
      <c r="A159" s="38" t="n">
        <v>45168</v>
      </c>
      <c r="B159" s="39" t="n">
        <v>218.24</v>
      </c>
      <c r="C159" s="39" t="n">
        <v>451.01</v>
      </c>
      <c r="D159" s="39" t="n">
        <v>41.465</v>
      </c>
      <c r="E159" s="41">
        <f>IFERROR(B159/B158-1,"")</f>
        <v/>
      </c>
      <c r="F159" s="41">
        <f>IFERROR(C159/C158-1,"")</f>
        <v/>
      </c>
      <c r="G159" s="41">
        <f>IFERROR(D159/D158-1,"")</f>
        <v/>
      </c>
      <c r="H159" s="41">
        <f>IFERROR((1+E159)*(1+H158)-1,"")</f>
        <v/>
      </c>
      <c r="I159" s="41">
        <f>IFERROR((1+F159)*(1+I158)-1,"")</f>
        <v/>
      </c>
      <c r="J159" s="41">
        <f>IFERROR((1+G159)*(1+J158)-1,"")</f>
        <v/>
      </c>
      <c r="K159" s="42">
        <f>IFERROR(B159/$B$36*100,"")</f>
        <v/>
      </c>
      <c r="L159" s="42">
        <f>IFERROR(C159/$C$36*100,"")</f>
        <v/>
      </c>
      <c r="M159" s="42">
        <f>IFERROR(D159/$D$36*100,"")</f>
        <v/>
      </c>
      <c r="N159" s="41">
        <f>IFERROR((1+H159)/(1+I159)-1,"")</f>
        <v/>
      </c>
      <c r="O159" s="41">
        <f>IFERROR((1+H159)/(1+J159)-1,"")</f>
        <v/>
      </c>
      <c r="P159" s="39">
        <f>IFERROR(B159*0.0099502487562189+P158*(1-0.0099502487562189),"")</f>
        <v/>
      </c>
      <c r="Q159" s="42">
        <f>Q158*(1+E159)</f>
        <v/>
      </c>
      <c r="R159" s="42">
        <f>MAX(R158,Q159)</f>
        <v/>
      </c>
      <c r="S159" s="41">
        <f>IFERROR(Q159/R159-1,"")</f>
        <v/>
      </c>
      <c r="T159" s="41">
        <f>IFERROR(_xlfn.STDEV.S(E100:E159)*SQRT($D$7),"")</f>
        <v/>
      </c>
      <c r="U159" s="41">
        <f>IFERROR(MIN(E159-$D$6,0),"")</f>
        <v/>
      </c>
      <c r="V159" s="41">
        <f>IFERROR(E159-F159,"")</f>
        <v/>
      </c>
      <c r="W159" s="39">
        <f>B159</f>
        <v/>
      </c>
      <c r="X159" s="21" t="n"/>
    </row>
    <row r="160">
      <c r="A160" s="38" t="n">
        <v>45169</v>
      </c>
      <c r="B160" s="39" t="n">
        <v>218.25</v>
      </c>
      <c r="C160" s="39" t="n">
        <v>450.35</v>
      </c>
      <c r="D160" s="39" t="n">
        <v>41.445</v>
      </c>
      <c r="E160" s="41">
        <f>IFERROR(B160/B159-1,"")</f>
        <v/>
      </c>
      <c r="F160" s="41">
        <f>IFERROR(C160/C159-1,"")</f>
        <v/>
      </c>
      <c r="G160" s="41">
        <f>IFERROR(D160/D159-1,"")</f>
        <v/>
      </c>
      <c r="H160" s="41">
        <f>IFERROR((1+E160)*(1+H159)-1,"")</f>
        <v/>
      </c>
      <c r="I160" s="41">
        <f>IFERROR((1+F160)*(1+I159)-1,"")</f>
        <v/>
      </c>
      <c r="J160" s="41">
        <f>IFERROR((1+G160)*(1+J159)-1,"")</f>
        <v/>
      </c>
      <c r="K160" s="42">
        <f>IFERROR(B160/$B$36*100,"")</f>
        <v/>
      </c>
      <c r="L160" s="42">
        <f>IFERROR(C160/$C$36*100,"")</f>
        <v/>
      </c>
      <c r="M160" s="42">
        <f>IFERROR(D160/$D$36*100,"")</f>
        <v/>
      </c>
      <c r="N160" s="41">
        <f>IFERROR((1+H160)/(1+I160)-1,"")</f>
        <v/>
      </c>
      <c r="O160" s="41">
        <f>IFERROR((1+H160)/(1+J160)-1,"")</f>
        <v/>
      </c>
      <c r="P160" s="39">
        <f>IFERROR(B160*0.0099502487562189+P159*(1-0.0099502487562189),"")</f>
        <v/>
      </c>
      <c r="Q160" s="42">
        <f>Q159*(1+E160)</f>
        <v/>
      </c>
      <c r="R160" s="42">
        <f>MAX(R159,Q160)</f>
        <v/>
      </c>
      <c r="S160" s="41">
        <f>IFERROR(Q160/R160-1,"")</f>
        <v/>
      </c>
      <c r="T160" s="41">
        <f>IFERROR(_xlfn.STDEV.S(E101:E160)*SQRT($D$7),"")</f>
        <v/>
      </c>
      <c r="U160" s="41">
        <f>IFERROR(MIN(E160-$D$6,0),"")</f>
        <v/>
      </c>
      <c r="V160" s="41">
        <f>IFERROR(E160-F160,"")</f>
        <v/>
      </c>
      <c r="W160" s="39">
        <f>B160</f>
        <v/>
      </c>
      <c r="X160" s="21" t="n"/>
    </row>
    <row r="161">
      <c r="A161" s="38" t="n">
        <v>45170</v>
      </c>
      <c r="B161" s="39" t="n">
        <v>222.92</v>
      </c>
      <c r="C161" s="39" t="n">
        <v>451.19</v>
      </c>
      <c r="D161" s="39" t="n">
        <v>41.91</v>
      </c>
      <c r="E161" s="41">
        <f>IFERROR(B161/B160-1,"")</f>
        <v/>
      </c>
      <c r="F161" s="41">
        <f>IFERROR(C161/C160-1,"")</f>
        <v/>
      </c>
      <c r="G161" s="41">
        <f>IFERROR(D161/D160-1,"")</f>
        <v/>
      </c>
      <c r="H161" s="41">
        <f>IFERROR((1+E161)*(1+H160)-1,"")</f>
        <v/>
      </c>
      <c r="I161" s="41">
        <f>IFERROR((1+F161)*(1+I160)-1,"")</f>
        <v/>
      </c>
      <c r="J161" s="41">
        <f>IFERROR((1+G161)*(1+J160)-1,"")</f>
        <v/>
      </c>
      <c r="K161" s="42">
        <f>IFERROR(B161/$B$36*100,"")</f>
        <v/>
      </c>
      <c r="L161" s="42">
        <f>IFERROR(C161/$C$36*100,"")</f>
        <v/>
      </c>
      <c r="M161" s="42">
        <f>IFERROR(D161/$D$36*100,"")</f>
        <v/>
      </c>
      <c r="N161" s="41">
        <f>IFERROR((1+H161)/(1+I161)-1,"")</f>
        <v/>
      </c>
      <c r="O161" s="41">
        <f>IFERROR((1+H161)/(1+J161)-1,"")</f>
        <v/>
      </c>
      <c r="P161" s="39">
        <f>IFERROR(B161*0.0099502487562189+P160*(1-0.0099502487562189),"")</f>
        <v/>
      </c>
      <c r="Q161" s="42">
        <f>Q160*(1+E161)</f>
        <v/>
      </c>
      <c r="R161" s="42">
        <f>MAX(R160,Q161)</f>
        <v/>
      </c>
      <c r="S161" s="41">
        <f>IFERROR(Q161/R161-1,"")</f>
        <v/>
      </c>
      <c r="T161" s="41">
        <f>IFERROR(_xlfn.STDEV.S(E102:E161)*SQRT($D$7),"")</f>
        <v/>
      </c>
      <c r="U161" s="41">
        <f>IFERROR(MIN(E161-$D$6,0),"")</f>
        <v/>
      </c>
      <c r="V161" s="41">
        <f>IFERROR(E161-F161,"")</f>
        <v/>
      </c>
      <c r="W161" s="39">
        <f>B161</f>
        <v/>
      </c>
      <c r="X161" s="21" t="n"/>
    </row>
    <row r="162">
      <c r="A162" s="38" t="n">
        <v>45174</v>
      </c>
      <c r="B162" s="39" t="n">
        <v>216.24</v>
      </c>
      <c r="C162" s="39" t="n">
        <v>449.24</v>
      </c>
      <c r="D162" s="39" t="n">
        <v>41.135</v>
      </c>
      <c r="E162" s="41">
        <f>IFERROR(B162/B161-1,"")</f>
        <v/>
      </c>
      <c r="F162" s="41">
        <f>IFERROR(C162/C161-1,"")</f>
        <v/>
      </c>
      <c r="G162" s="41">
        <f>IFERROR(D162/D161-1,"")</f>
        <v/>
      </c>
      <c r="H162" s="41">
        <f>IFERROR((1+E162)*(1+H161)-1,"")</f>
        <v/>
      </c>
      <c r="I162" s="41">
        <f>IFERROR((1+F162)*(1+I161)-1,"")</f>
        <v/>
      </c>
      <c r="J162" s="41">
        <f>IFERROR((1+G162)*(1+J161)-1,"")</f>
        <v/>
      </c>
      <c r="K162" s="42">
        <f>IFERROR(B162/$B$36*100,"")</f>
        <v/>
      </c>
      <c r="L162" s="42">
        <f>IFERROR(C162/$C$36*100,"")</f>
        <v/>
      </c>
      <c r="M162" s="42">
        <f>IFERROR(D162/$D$36*100,"")</f>
        <v/>
      </c>
      <c r="N162" s="41">
        <f>IFERROR((1+H162)/(1+I162)-1,"")</f>
        <v/>
      </c>
      <c r="O162" s="41">
        <f>IFERROR((1+H162)/(1+J162)-1,"")</f>
        <v/>
      </c>
      <c r="P162" s="39">
        <f>IFERROR(B162*0.0099502487562189+P161*(1-0.0099502487562189),"")</f>
        <v/>
      </c>
      <c r="Q162" s="42">
        <f>Q161*(1+E162)</f>
        <v/>
      </c>
      <c r="R162" s="42">
        <f>MAX(R161,Q162)</f>
        <v/>
      </c>
      <c r="S162" s="41">
        <f>IFERROR(Q162/R162-1,"")</f>
        <v/>
      </c>
      <c r="T162" s="41">
        <f>IFERROR(_xlfn.STDEV.S(E103:E162)*SQRT($D$7),"")</f>
        <v/>
      </c>
      <c r="U162" s="41">
        <f>IFERROR(MIN(E162-$D$6,0),"")</f>
        <v/>
      </c>
      <c r="V162" s="41">
        <f>IFERROR(E162-F162,"")</f>
        <v/>
      </c>
      <c r="W162" s="39">
        <f>B162</f>
        <v/>
      </c>
      <c r="X162" s="21" t="n"/>
    </row>
    <row r="163">
      <c r="A163" s="38" t="n">
        <v>45175</v>
      </c>
      <c r="B163" s="39" t="n">
        <v>215.2</v>
      </c>
      <c r="C163" s="39" t="n">
        <v>446.22</v>
      </c>
      <c r="D163" s="39" t="n">
        <v>41.045</v>
      </c>
      <c r="E163" s="41">
        <f>IFERROR(B163/B162-1,"")</f>
        <v/>
      </c>
      <c r="F163" s="41">
        <f>IFERROR(C163/C162-1,"")</f>
        <v/>
      </c>
      <c r="G163" s="41">
        <f>IFERROR(D163/D162-1,"")</f>
        <v/>
      </c>
      <c r="H163" s="41">
        <f>IFERROR((1+E163)*(1+H162)-1,"")</f>
        <v/>
      </c>
      <c r="I163" s="41">
        <f>IFERROR((1+F163)*(1+I162)-1,"")</f>
        <v/>
      </c>
      <c r="J163" s="41">
        <f>IFERROR((1+G163)*(1+J162)-1,"")</f>
        <v/>
      </c>
      <c r="K163" s="42">
        <f>IFERROR(B163/$B$36*100,"")</f>
        <v/>
      </c>
      <c r="L163" s="42">
        <f>IFERROR(C163/$C$36*100,"")</f>
        <v/>
      </c>
      <c r="M163" s="42">
        <f>IFERROR(D163/$D$36*100,"")</f>
        <v/>
      </c>
      <c r="N163" s="41">
        <f>IFERROR((1+H163)/(1+I163)-1,"")</f>
        <v/>
      </c>
      <c r="O163" s="41">
        <f>IFERROR((1+H163)/(1+J163)-1,"")</f>
        <v/>
      </c>
      <c r="P163" s="39">
        <f>IFERROR(B163*0.0099502487562189+P162*(1-0.0099502487562189),"")</f>
        <v/>
      </c>
      <c r="Q163" s="42">
        <f>Q162*(1+E163)</f>
        <v/>
      </c>
      <c r="R163" s="42">
        <f>MAX(R162,Q163)</f>
        <v/>
      </c>
      <c r="S163" s="41">
        <f>IFERROR(Q163/R163-1,"")</f>
        <v/>
      </c>
      <c r="T163" s="41">
        <f>IFERROR(_xlfn.STDEV.S(E104:E163)*SQRT($D$7),"")</f>
        <v/>
      </c>
      <c r="U163" s="41">
        <f>IFERROR(MIN(E163-$D$6,0),"")</f>
        <v/>
      </c>
      <c r="V163" s="41">
        <f>IFERROR(E163-F163,"")</f>
        <v/>
      </c>
      <c r="W163" s="39">
        <f>B163</f>
        <v/>
      </c>
      <c r="X163" s="21" t="n"/>
    </row>
    <row r="164">
      <c r="A164" s="38" t="n">
        <v>45176</v>
      </c>
      <c r="B164" s="39" t="n">
        <v>215.56</v>
      </c>
      <c r="C164" s="39" t="n">
        <v>444.85</v>
      </c>
      <c r="D164" s="39" t="n">
        <v>40.86</v>
      </c>
      <c r="E164" s="41">
        <f>IFERROR(B164/B163-1,"")</f>
        <v/>
      </c>
      <c r="F164" s="41">
        <f>IFERROR(C164/C163-1,"")</f>
        <v/>
      </c>
      <c r="G164" s="41">
        <f>IFERROR(D164/D163-1,"")</f>
        <v/>
      </c>
      <c r="H164" s="41">
        <f>IFERROR((1+E164)*(1+H163)-1,"")</f>
        <v/>
      </c>
      <c r="I164" s="41">
        <f>IFERROR((1+F164)*(1+I163)-1,"")</f>
        <v/>
      </c>
      <c r="J164" s="41">
        <f>IFERROR((1+G164)*(1+J163)-1,"")</f>
        <v/>
      </c>
      <c r="K164" s="42">
        <f>IFERROR(B164/$B$36*100,"")</f>
        <v/>
      </c>
      <c r="L164" s="42">
        <f>IFERROR(C164/$C$36*100,"")</f>
        <v/>
      </c>
      <c r="M164" s="42">
        <f>IFERROR(D164/$D$36*100,"")</f>
        <v/>
      </c>
      <c r="N164" s="41">
        <f>IFERROR((1+H164)/(1+I164)-1,"")</f>
        <v/>
      </c>
      <c r="O164" s="41">
        <f>IFERROR((1+H164)/(1+J164)-1,"")</f>
        <v/>
      </c>
      <c r="P164" s="39">
        <f>IFERROR(B164*0.0099502487562189+P163*(1-0.0099502487562189),"")</f>
        <v/>
      </c>
      <c r="Q164" s="42">
        <f>Q163*(1+E164)</f>
        <v/>
      </c>
      <c r="R164" s="42">
        <f>MAX(R163,Q164)</f>
        <v/>
      </c>
      <c r="S164" s="41">
        <f>IFERROR(Q164/R164-1,"")</f>
        <v/>
      </c>
      <c r="T164" s="41">
        <f>IFERROR(_xlfn.STDEV.S(E105:E164)*SQRT($D$7),"")</f>
        <v/>
      </c>
      <c r="U164" s="41">
        <f>IFERROR(MIN(E164-$D$6,0),"")</f>
        <v/>
      </c>
      <c r="V164" s="41">
        <f>IFERROR(E164-F164,"")</f>
        <v/>
      </c>
      <c r="W164" s="39">
        <f>B164</f>
        <v/>
      </c>
      <c r="X164" s="21" t="n"/>
    </row>
    <row r="165">
      <c r="A165" s="38" t="n">
        <v>45177</v>
      </c>
      <c r="B165" s="39" t="n">
        <v>216.25</v>
      </c>
      <c r="C165" s="39" t="n">
        <v>445.52</v>
      </c>
      <c r="D165" s="39" t="n">
        <v>40.9</v>
      </c>
      <c r="E165" s="41">
        <f>IFERROR(B165/B164-1,"")</f>
        <v/>
      </c>
      <c r="F165" s="41">
        <f>IFERROR(C165/C164-1,"")</f>
        <v/>
      </c>
      <c r="G165" s="41">
        <f>IFERROR(D165/D164-1,"")</f>
        <v/>
      </c>
      <c r="H165" s="41">
        <f>IFERROR((1+E165)*(1+H164)-1,"")</f>
        <v/>
      </c>
      <c r="I165" s="41">
        <f>IFERROR((1+F165)*(1+I164)-1,"")</f>
        <v/>
      </c>
      <c r="J165" s="41">
        <f>IFERROR((1+G165)*(1+J164)-1,"")</f>
        <v/>
      </c>
      <c r="K165" s="42">
        <f>IFERROR(B165/$B$36*100,"")</f>
        <v/>
      </c>
      <c r="L165" s="42">
        <f>IFERROR(C165/$C$36*100,"")</f>
        <v/>
      </c>
      <c r="M165" s="42">
        <f>IFERROR(D165/$D$36*100,"")</f>
        <v/>
      </c>
      <c r="N165" s="41">
        <f>IFERROR((1+H165)/(1+I165)-1,"")</f>
        <v/>
      </c>
      <c r="O165" s="41">
        <f>IFERROR((1+H165)/(1+J165)-1,"")</f>
        <v/>
      </c>
      <c r="P165" s="39">
        <f>IFERROR(B165*0.0099502487562189+P164*(1-0.0099502487562189),"")</f>
        <v/>
      </c>
      <c r="Q165" s="42">
        <f>Q164*(1+E165)</f>
        <v/>
      </c>
      <c r="R165" s="42">
        <f>MAX(R164,Q165)</f>
        <v/>
      </c>
      <c r="S165" s="41">
        <f>IFERROR(Q165/R165-1,"")</f>
        <v/>
      </c>
      <c r="T165" s="41">
        <f>IFERROR(_xlfn.STDEV.S(E106:E165)*SQRT($D$7),"")</f>
        <v/>
      </c>
      <c r="U165" s="41">
        <f>IFERROR(MIN(E165-$D$6,0),"")</f>
        <v/>
      </c>
      <c r="V165" s="41">
        <f>IFERROR(E165-F165,"")</f>
        <v/>
      </c>
      <c r="W165" s="39">
        <f>B165</f>
        <v/>
      </c>
      <c r="X165" s="21" t="n"/>
    </row>
    <row r="166">
      <c r="A166" s="38" t="n">
        <v>45180</v>
      </c>
      <c r="B166" s="39" t="n">
        <v>216.59</v>
      </c>
      <c r="C166" s="39" t="n">
        <v>448.45</v>
      </c>
      <c r="D166" s="39" t="n">
        <v>41.075</v>
      </c>
      <c r="E166" s="41">
        <f>IFERROR(B166/B165-1,"")</f>
        <v/>
      </c>
      <c r="F166" s="41">
        <f>IFERROR(C166/C165-1,"")</f>
        <v/>
      </c>
      <c r="G166" s="41">
        <f>IFERROR(D166/D165-1,"")</f>
        <v/>
      </c>
      <c r="H166" s="41">
        <f>IFERROR((1+E166)*(1+H165)-1,"")</f>
        <v/>
      </c>
      <c r="I166" s="41">
        <f>IFERROR((1+F166)*(1+I165)-1,"")</f>
        <v/>
      </c>
      <c r="J166" s="41">
        <f>IFERROR((1+G166)*(1+J165)-1,"")</f>
        <v/>
      </c>
      <c r="K166" s="42">
        <f>IFERROR(B166/$B$36*100,"")</f>
        <v/>
      </c>
      <c r="L166" s="42">
        <f>IFERROR(C166/$C$36*100,"")</f>
        <v/>
      </c>
      <c r="M166" s="42">
        <f>IFERROR(D166/$D$36*100,"")</f>
        <v/>
      </c>
      <c r="N166" s="41">
        <f>IFERROR((1+H166)/(1+I166)-1,"")</f>
        <v/>
      </c>
      <c r="O166" s="41">
        <f>IFERROR((1+H166)/(1+J166)-1,"")</f>
        <v/>
      </c>
      <c r="P166" s="39">
        <f>IFERROR(B166*0.0099502487562189+P165*(1-0.0099502487562189),"")</f>
        <v/>
      </c>
      <c r="Q166" s="42">
        <f>Q165*(1+E166)</f>
        <v/>
      </c>
      <c r="R166" s="42">
        <f>MAX(R165,Q166)</f>
        <v/>
      </c>
      <c r="S166" s="41">
        <f>IFERROR(Q166/R166-1,"")</f>
        <v/>
      </c>
      <c r="T166" s="41">
        <f>IFERROR(_xlfn.STDEV.S(E107:E166)*SQRT($D$7),"")</f>
        <v/>
      </c>
      <c r="U166" s="41">
        <f>IFERROR(MIN(E166-$D$6,0),"")</f>
        <v/>
      </c>
      <c r="V166" s="41">
        <f>IFERROR(E166-F166,"")</f>
        <v/>
      </c>
      <c r="W166" s="39">
        <f>B166</f>
        <v/>
      </c>
      <c r="X166" s="21" t="n"/>
    </row>
    <row r="167">
      <c r="A167" s="38" t="n">
        <v>45181</v>
      </c>
      <c r="B167" s="39" t="n">
        <v>214.77</v>
      </c>
      <c r="C167" s="39" t="n">
        <v>445.99</v>
      </c>
      <c r="D167" s="39" t="n">
        <v>40.98</v>
      </c>
      <c r="E167" s="41">
        <f>IFERROR(B167/B166-1,"")</f>
        <v/>
      </c>
      <c r="F167" s="41">
        <f>IFERROR(C167/C166-1,"")</f>
        <v/>
      </c>
      <c r="G167" s="41">
        <f>IFERROR(D167/D166-1,"")</f>
        <v/>
      </c>
      <c r="H167" s="41">
        <f>IFERROR((1+E167)*(1+H166)-1,"")</f>
        <v/>
      </c>
      <c r="I167" s="41">
        <f>IFERROR((1+F167)*(1+I166)-1,"")</f>
        <v/>
      </c>
      <c r="J167" s="41">
        <f>IFERROR((1+G167)*(1+J166)-1,"")</f>
        <v/>
      </c>
      <c r="K167" s="42">
        <f>IFERROR(B167/$B$36*100,"")</f>
        <v/>
      </c>
      <c r="L167" s="42">
        <f>IFERROR(C167/$C$36*100,"")</f>
        <v/>
      </c>
      <c r="M167" s="42">
        <f>IFERROR(D167/$D$36*100,"")</f>
        <v/>
      </c>
      <c r="N167" s="41">
        <f>IFERROR((1+H167)/(1+I167)-1,"")</f>
        <v/>
      </c>
      <c r="O167" s="41">
        <f>IFERROR((1+H167)/(1+J167)-1,"")</f>
        <v/>
      </c>
      <c r="P167" s="39">
        <f>IFERROR(B167*0.0099502487562189+P166*(1-0.0099502487562189),"")</f>
        <v/>
      </c>
      <c r="Q167" s="42">
        <f>Q166*(1+E167)</f>
        <v/>
      </c>
      <c r="R167" s="42">
        <f>MAX(R166,Q167)</f>
        <v/>
      </c>
      <c r="S167" s="41">
        <f>IFERROR(Q167/R167-1,"")</f>
        <v/>
      </c>
      <c r="T167" s="41">
        <f>IFERROR(_xlfn.STDEV.S(E108:E167)*SQRT($D$7),"")</f>
        <v/>
      </c>
      <c r="U167" s="41">
        <f>IFERROR(MIN(E167-$D$6,0),"")</f>
        <v/>
      </c>
      <c r="V167" s="41">
        <f>IFERROR(E167-F167,"")</f>
        <v/>
      </c>
      <c r="W167" s="39">
        <f>B167</f>
        <v/>
      </c>
      <c r="X167" s="21" t="n"/>
    </row>
    <row r="168">
      <c r="A168" s="38" t="n">
        <v>45182</v>
      </c>
      <c r="B168" s="39" t="n">
        <v>213.74</v>
      </c>
      <c r="C168" s="39" t="n">
        <v>446.51</v>
      </c>
      <c r="D168" s="39" t="n">
        <v>40.74</v>
      </c>
      <c r="E168" s="41">
        <f>IFERROR(B168/B167-1,"")</f>
        <v/>
      </c>
      <c r="F168" s="41">
        <f>IFERROR(C168/C167-1,"")</f>
        <v/>
      </c>
      <c r="G168" s="41">
        <f>IFERROR(D168/D167-1,"")</f>
        <v/>
      </c>
      <c r="H168" s="41">
        <f>IFERROR((1+E168)*(1+H167)-1,"")</f>
        <v/>
      </c>
      <c r="I168" s="41">
        <f>IFERROR((1+F168)*(1+I167)-1,"")</f>
        <v/>
      </c>
      <c r="J168" s="41">
        <f>IFERROR((1+G168)*(1+J167)-1,"")</f>
        <v/>
      </c>
      <c r="K168" s="42">
        <f>IFERROR(B168/$B$36*100,"")</f>
        <v/>
      </c>
      <c r="L168" s="42">
        <f>IFERROR(C168/$C$36*100,"")</f>
        <v/>
      </c>
      <c r="M168" s="42">
        <f>IFERROR(D168/$D$36*100,"")</f>
        <v/>
      </c>
      <c r="N168" s="41">
        <f>IFERROR((1+H168)/(1+I168)-1,"")</f>
        <v/>
      </c>
      <c r="O168" s="41">
        <f>IFERROR((1+H168)/(1+J168)-1,"")</f>
        <v/>
      </c>
      <c r="P168" s="39">
        <f>IFERROR(B168*0.0099502487562189+P167*(1-0.0099502487562189),"")</f>
        <v/>
      </c>
      <c r="Q168" s="42">
        <f>Q167*(1+E168)</f>
        <v/>
      </c>
      <c r="R168" s="42">
        <f>MAX(R167,Q168)</f>
        <v/>
      </c>
      <c r="S168" s="41">
        <f>IFERROR(Q168/R168-1,"")</f>
        <v/>
      </c>
      <c r="T168" s="41">
        <f>IFERROR(_xlfn.STDEV.S(E109:E168)*SQRT($D$7),"")</f>
        <v/>
      </c>
      <c r="U168" s="41">
        <f>IFERROR(MIN(E168-$D$6,0),"")</f>
        <v/>
      </c>
      <c r="V168" s="41">
        <f>IFERROR(E168-F168,"")</f>
        <v/>
      </c>
      <c r="W168" s="39">
        <f>B168</f>
        <v/>
      </c>
      <c r="X168" s="21" t="n"/>
    </row>
    <row r="169">
      <c r="A169" s="38" t="n">
        <v>45183</v>
      </c>
      <c r="B169" s="39" t="n">
        <v>214.97</v>
      </c>
      <c r="C169" s="39" t="n">
        <v>450.36</v>
      </c>
      <c r="D169" s="39" t="n">
        <v>41.315</v>
      </c>
      <c r="E169" s="41">
        <f>IFERROR(B169/B168-1,"")</f>
        <v/>
      </c>
      <c r="F169" s="41">
        <f>IFERROR(C169/C168-1,"")</f>
        <v/>
      </c>
      <c r="G169" s="41">
        <f>IFERROR(D169/D168-1,"")</f>
        <v/>
      </c>
      <c r="H169" s="41">
        <f>IFERROR((1+E169)*(1+H168)-1,"")</f>
        <v/>
      </c>
      <c r="I169" s="41">
        <f>IFERROR((1+F169)*(1+I168)-1,"")</f>
        <v/>
      </c>
      <c r="J169" s="41">
        <f>IFERROR((1+G169)*(1+J168)-1,"")</f>
        <v/>
      </c>
      <c r="K169" s="42">
        <f>IFERROR(B169/$B$36*100,"")</f>
        <v/>
      </c>
      <c r="L169" s="42">
        <f>IFERROR(C169/$C$36*100,"")</f>
        <v/>
      </c>
      <c r="M169" s="42">
        <f>IFERROR(D169/$D$36*100,"")</f>
        <v/>
      </c>
      <c r="N169" s="41">
        <f>IFERROR((1+H169)/(1+I169)-1,"")</f>
        <v/>
      </c>
      <c r="O169" s="41">
        <f>IFERROR((1+H169)/(1+J169)-1,"")</f>
        <v/>
      </c>
      <c r="P169" s="39">
        <f>IFERROR(B169*0.0099502487562189+P168*(1-0.0099502487562189),"")</f>
        <v/>
      </c>
      <c r="Q169" s="42">
        <f>Q168*(1+E169)</f>
        <v/>
      </c>
      <c r="R169" s="42">
        <f>MAX(R168,Q169)</f>
        <v/>
      </c>
      <c r="S169" s="41">
        <f>IFERROR(Q169/R169-1,"")</f>
        <v/>
      </c>
      <c r="T169" s="41">
        <f>IFERROR(_xlfn.STDEV.S(E110:E169)*SQRT($D$7),"")</f>
        <v/>
      </c>
      <c r="U169" s="41">
        <f>IFERROR(MIN(E169-$D$6,0),"")</f>
        <v/>
      </c>
      <c r="V169" s="41">
        <f>IFERROR(E169-F169,"")</f>
        <v/>
      </c>
      <c r="W169" s="39">
        <f>B169</f>
        <v/>
      </c>
      <c r="X169" s="21" t="n"/>
    </row>
    <row r="170">
      <c r="A170" s="38" t="n">
        <v>45184</v>
      </c>
      <c r="B170" s="39" t="n">
        <v>210.59</v>
      </c>
      <c r="C170" s="39" t="n">
        <v>443.37</v>
      </c>
      <c r="D170" s="39" t="n">
        <v>40.855</v>
      </c>
      <c r="E170" s="41">
        <f>IFERROR(B170/B169-1,"")</f>
        <v/>
      </c>
      <c r="F170" s="41">
        <f>IFERROR(C170/C169-1,"")</f>
        <v/>
      </c>
      <c r="G170" s="41">
        <f>IFERROR(D170/D169-1,"")</f>
        <v/>
      </c>
      <c r="H170" s="41">
        <f>IFERROR((1+E170)*(1+H169)-1,"")</f>
        <v/>
      </c>
      <c r="I170" s="41">
        <f>IFERROR((1+F170)*(1+I169)-1,"")</f>
        <v/>
      </c>
      <c r="J170" s="41">
        <f>IFERROR((1+G170)*(1+J169)-1,"")</f>
        <v/>
      </c>
      <c r="K170" s="42">
        <f>IFERROR(B170/$B$36*100,"")</f>
        <v/>
      </c>
      <c r="L170" s="42">
        <f>IFERROR(C170/$C$36*100,"")</f>
        <v/>
      </c>
      <c r="M170" s="42">
        <f>IFERROR(D170/$D$36*100,"")</f>
        <v/>
      </c>
      <c r="N170" s="41">
        <f>IFERROR((1+H170)/(1+I170)-1,"")</f>
        <v/>
      </c>
      <c r="O170" s="41">
        <f>IFERROR((1+H170)/(1+J170)-1,"")</f>
        <v/>
      </c>
      <c r="P170" s="39">
        <f>IFERROR(B170*0.0099502487562189+P169*(1-0.0099502487562189),"")</f>
        <v/>
      </c>
      <c r="Q170" s="42">
        <f>Q169*(1+E170)</f>
        <v/>
      </c>
      <c r="R170" s="42">
        <f>MAX(R169,Q170)</f>
        <v/>
      </c>
      <c r="S170" s="41">
        <f>IFERROR(Q170/R170-1,"")</f>
        <v/>
      </c>
      <c r="T170" s="41">
        <f>IFERROR(_xlfn.STDEV.S(E111:E170)*SQRT($D$7),"")</f>
        <v/>
      </c>
      <c r="U170" s="41">
        <f>IFERROR(MIN(E170-$D$6,0),"")</f>
        <v/>
      </c>
      <c r="V170" s="41">
        <f>IFERROR(E170-F170,"")</f>
        <v/>
      </c>
      <c r="W170" s="39">
        <f>B170</f>
        <v/>
      </c>
      <c r="X170" s="21" t="n"/>
    </row>
    <row r="171">
      <c r="A171" s="38" t="n">
        <v>45187</v>
      </c>
      <c r="B171" s="39" t="n">
        <v>211.69</v>
      </c>
      <c r="C171" s="39" t="n">
        <v>443.63</v>
      </c>
      <c r="D171" s="39" t="n">
        <v>40.49</v>
      </c>
      <c r="E171" s="41">
        <f>IFERROR(B171/B170-1,"")</f>
        <v/>
      </c>
      <c r="F171" s="41">
        <f>IFERROR(C171/C170-1,"")</f>
        <v/>
      </c>
      <c r="G171" s="41">
        <f>IFERROR(D171/D170-1,"")</f>
        <v/>
      </c>
      <c r="H171" s="41">
        <f>IFERROR((1+E171)*(1+H170)-1,"")</f>
        <v/>
      </c>
      <c r="I171" s="41">
        <f>IFERROR((1+F171)*(1+I170)-1,"")</f>
        <v/>
      </c>
      <c r="J171" s="41">
        <f>IFERROR((1+G171)*(1+J170)-1,"")</f>
        <v/>
      </c>
      <c r="K171" s="42">
        <f>IFERROR(B171/$B$36*100,"")</f>
        <v/>
      </c>
      <c r="L171" s="42">
        <f>IFERROR(C171/$C$36*100,"")</f>
        <v/>
      </c>
      <c r="M171" s="42">
        <f>IFERROR(D171/$D$36*100,"")</f>
        <v/>
      </c>
      <c r="N171" s="41">
        <f>IFERROR((1+H171)/(1+I171)-1,"")</f>
        <v/>
      </c>
      <c r="O171" s="41">
        <f>IFERROR((1+H171)/(1+J171)-1,"")</f>
        <v/>
      </c>
      <c r="P171" s="39">
        <f>IFERROR(B171*0.0099502487562189+P170*(1-0.0099502487562189),"")</f>
        <v/>
      </c>
      <c r="Q171" s="42">
        <f>Q170*(1+E171)</f>
        <v/>
      </c>
      <c r="R171" s="42">
        <f>MAX(R170,Q171)</f>
        <v/>
      </c>
      <c r="S171" s="41">
        <f>IFERROR(Q171/R171-1,"")</f>
        <v/>
      </c>
      <c r="T171" s="41">
        <f>IFERROR(_xlfn.STDEV.S(E112:E171)*SQRT($D$7),"")</f>
        <v/>
      </c>
      <c r="U171" s="41">
        <f>IFERROR(MIN(E171-$D$6,0),"")</f>
        <v/>
      </c>
      <c r="V171" s="41">
        <f>IFERROR(E171-F171,"")</f>
        <v/>
      </c>
      <c r="W171" s="39">
        <f>B171</f>
        <v/>
      </c>
      <c r="X171" s="21" t="n"/>
    </row>
    <row r="172">
      <c r="A172" s="38" t="n">
        <v>45188</v>
      </c>
      <c r="B172" s="39" t="n">
        <v>209.88</v>
      </c>
      <c r="C172" s="39" t="n">
        <v>442.71</v>
      </c>
      <c r="D172" s="39" t="n">
        <v>40.455</v>
      </c>
      <c r="E172" s="41">
        <f>IFERROR(B172/B171-1,"")</f>
        <v/>
      </c>
      <c r="F172" s="41">
        <f>IFERROR(C172/C171-1,"")</f>
        <v/>
      </c>
      <c r="G172" s="41">
        <f>IFERROR(D172/D171-1,"")</f>
        <v/>
      </c>
      <c r="H172" s="41">
        <f>IFERROR((1+E172)*(1+H171)-1,"")</f>
        <v/>
      </c>
      <c r="I172" s="41">
        <f>IFERROR((1+F172)*(1+I171)-1,"")</f>
        <v/>
      </c>
      <c r="J172" s="41">
        <f>IFERROR((1+G172)*(1+J171)-1,"")</f>
        <v/>
      </c>
      <c r="K172" s="42">
        <f>IFERROR(B172/$B$36*100,"")</f>
        <v/>
      </c>
      <c r="L172" s="42">
        <f>IFERROR(C172/$C$36*100,"")</f>
        <v/>
      </c>
      <c r="M172" s="42">
        <f>IFERROR(D172/$D$36*100,"")</f>
        <v/>
      </c>
      <c r="N172" s="41">
        <f>IFERROR((1+H172)/(1+I172)-1,"")</f>
        <v/>
      </c>
      <c r="O172" s="41">
        <f>IFERROR((1+H172)/(1+J172)-1,"")</f>
        <v/>
      </c>
      <c r="P172" s="39">
        <f>IFERROR(B172*0.0099502487562189+P171*(1-0.0099502487562189),"")</f>
        <v/>
      </c>
      <c r="Q172" s="42">
        <f>Q171*(1+E172)</f>
        <v/>
      </c>
      <c r="R172" s="42">
        <f>MAX(R171,Q172)</f>
        <v/>
      </c>
      <c r="S172" s="41">
        <f>IFERROR(Q172/R172-1,"")</f>
        <v/>
      </c>
      <c r="T172" s="41">
        <f>IFERROR(_xlfn.STDEV.S(E113:E172)*SQRT($D$7),"")</f>
        <v/>
      </c>
      <c r="U172" s="41">
        <f>IFERROR(MIN(E172-$D$6,0),"")</f>
        <v/>
      </c>
      <c r="V172" s="41">
        <f>IFERROR(E172-F172,"")</f>
        <v/>
      </c>
      <c r="W172" s="39">
        <f>B172</f>
        <v/>
      </c>
      <c r="X172" s="21" t="n"/>
    </row>
    <row r="173">
      <c r="A173" s="38" t="n">
        <v>45189</v>
      </c>
      <c r="B173" s="39" t="n">
        <v>209.55</v>
      </c>
      <c r="C173" s="39" t="n">
        <v>438.64</v>
      </c>
      <c r="D173" s="39" t="n">
        <v>40.03</v>
      </c>
      <c r="E173" s="41">
        <f>IFERROR(B173/B172-1,"")</f>
        <v/>
      </c>
      <c r="F173" s="41">
        <f>IFERROR(C173/C172-1,"")</f>
        <v/>
      </c>
      <c r="G173" s="41">
        <f>IFERROR(D173/D172-1,"")</f>
        <v/>
      </c>
      <c r="H173" s="41">
        <f>IFERROR((1+E173)*(1+H172)-1,"")</f>
        <v/>
      </c>
      <c r="I173" s="41">
        <f>IFERROR((1+F173)*(1+I172)-1,"")</f>
        <v/>
      </c>
      <c r="J173" s="41">
        <f>IFERROR((1+G173)*(1+J172)-1,"")</f>
        <v/>
      </c>
      <c r="K173" s="42">
        <f>IFERROR(B173/$B$36*100,"")</f>
        <v/>
      </c>
      <c r="L173" s="42">
        <f>IFERROR(C173/$C$36*100,"")</f>
        <v/>
      </c>
      <c r="M173" s="42">
        <f>IFERROR(D173/$D$36*100,"")</f>
        <v/>
      </c>
      <c r="N173" s="41">
        <f>IFERROR((1+H173)/(1+I173)-1,"")</f>
        <v/>
      </c>
      <c r="O173" s="41">
        <f>IFERROR((1+H173)/(1+J173)-1,"")</f>
        <v/>
      </c>
      <c r="P173" s="39">
        <f>IFERROR(B173*0.0099502487562189+P172*(1-0.0099502487562189),"")</f>
        <v/>
      </c>
      <c r="Q173" s="42">
        <f>Q172*(1+E173)</f>
        <v/>
      </c>
      <c r="R173" s="42">
        <f>MAX(R172,Q173)</f>
        <v/>
      </c>
      <c r="S173" s="41">
        <f>IFERROR(Q173/R173-1,"")</f>
        <v/>
      </c>
      <c r="T173" s="41">
        <f>IFERROR(_xlfn.STDEV.S(E114:E173)*SQRT($D$7),"")</f>
        <v/>
      </c>
      <c r="U173" s="41">
        <f>IFERROR(MIN(E173-$D$6,0),"")</f>
        <v/>
      </c>
      <c r="V173" s="41">
        <f>IFERROR(E173-F173,"")</f>
        <v/>
      </c>
      <c r="W173" s="39">
        <f>B173</f>
        <v/>
      </c>
      <c r="X173" s="21" t="n"/>
    </row>
    <row r="174">
      <c r="A174" s="38" t="n">
        <v>45190</v>
      </c>
      <c r="B174" s="39" t="n">
        <v>202.35</v>
      </c>
      <c r="C174" s="39" t="n">
        <v>431.39</v>
      </c>
      <c r="D174" s="39" t="n">
        <v>39.225</v>
      </c>
      <c r="E174" s="41">
        <f>IFERROR(B174/B173-1,"")</f>
        <v/>
      </c>
      <c r="F174" s="41">
        <f>IFERROR(C174/C173-1,"")</f>
        <v/>
      </c>
      <c r="G174" s="41">
        <f>IFERROR(D174/D173-1,"")</f>
        <v/>
      </c>
      <c r="H174" s="41">
        <f>IFERROR((1+E174)*(1+H173)-1,"")</f>
        <v/>
      </c>
      <c r="I174" s="41">
        <f>IFERROR((1+F174)*(1+I173)-1,"")</f>
        <v/>
      </c>
      <c r="J174" s="41">
        <f>IFERROR((1+G174)*(1+J173)-1,"")</f>
        <v/>
      </c>
      <c r="K174" s="42">
        <f>IFERROR(B174/$B$36*100,"")</f>
        <v/>
      </c>
      <c r="L174" s="42">
        <f>IFERROR(C174/$C$36*100,"")</f>
        <v/>
      </c>
      <c r="M174" s="42">
        <f>IFERROR(D174/$D$36*100,"")</f>
        <v/>
      </c>
      <c r="N174" s="41">
        <f>IFERROR((1+H174)/(1+I174)-1,"")</f>
        <v/>
      </c>
      <c r="O174" s="41">
        <f>IFERROR((1+H174)/(1+J174)-1,"")</f>
        <v/>
      </c>
      <c r="P174" s="39">
        <f>IFERROR(B174*0.0099502487562189+P173*(1-0.0099502487562189),"")</f>
        <v/>
      </c>
      <c r="Q174" s="42">
        <f>Q173*(1+E174)</f>
        <v/>
      </c>
      <c r="R174" s="42">
        <f>MAX(R173,Q174)</f>
        <v/>
      </c>
      <c r="S174" s="41">
        <f>IFERROR(Q174/R174-1,"")</f>
        <v/>
      </c>
      <c r="T174" s="41">
        <f>IFERROR(_xlfn.STDEV.S(E115:E174)*SQRT($D$7),"")</f>
        <v/>
      </c>
      <c r="U174" s="41">
        <f>IFERROR(MIN(E174-$D$6,0),"")</f>
        <v/>
      </c>
      <c r="V174" s="41">
        <f>IFERROR(E174-F174,"")</f>
        <v/>
      </c>
      <c r="W174" s="39">
        <f>B174</f>
        <v/>
      </c>
      <c r="X174" s="21" t="n"/>
    </row>
    <row r="175">
      <c r="A175" s="38" t="n">
        <v>45191</v>
      </c>
      <c r="B175" s="39" t="n">
        <v>200.62</v>
      </c>
      <c r="C175" s="39" t="n">
        <v>430.42</v>
      </c>
      <c r="D175" s="39" t="n">
        <v>39.185</v>
      </c>
      <c r="E175" s="41">
        <f>IFERROR(B175/B174-1,"")</f>
        <v/>
      </c>
      <c r="F175" s="41">
        <f>IFERROR(C175/C174-1,"")</f>
        <v/>
      </c>
      <c r="G175" s="41">
        <f>IFERROR(D175/D174-1,"")</f>
        <v/>
      </c>
      <c r="H175" s="41">
        <f>IFERROR((1+E175)*(1+H174)-1,"")</f>
        <v/>
      </c>
      <c r="I175" s="41">
        <f>IFERROR((1+F175)*(1+I174)-1,"")</f>
        <v/>
      </c>
      <c r="J175" s="41">
        <f>IFERROR((1+G175)*(1+J174)-1,"")</f>
        <v/>
      </c>
      <c r="K175" s="42">
        <f>IFERROR(B175/$B$36*100,"")</f>
        <v/>
      </c>
      <c r="L175" s="42">
        <f>IFERROR(C175/$C$36*100,"")</f>
        <v/>
      </c>
      <c r="M175" s="42">
        <f>IFERROR(D175/$D$36*100,"")</f>
        <v/>
      </c>
      <c r="N175" s="41">
        <f>IFERROR((1+H175)/(1+I175)-1,"")</f>
        <v/>
      </c>
      <c r="O175" s="41">
        <f>IFERROR((1+H175)/(1+J175)-1,"")</f>
        <v/>
      </c>
      <c r="P175" s="39">
        <f>IFERROR(B175*0.0099502487562189+P174*(1-0.0099502487562189),"")</f>
        <v/>
      </c>
      <c r="Q175" s="42">
        <f>Q174*(1+E175)</f>
        <v/>
      </c>
      <c r="R175" s="42">
        <f>MAX(R174,Q175)</f>
        <v/>
      </c>
      <c r="S175" s="41">
        <f>IFERROR(Q175/R175-1,"")</f>
        <v/>
      </c>
      <c r="T175" s="41">
        <f>IFERROR(_xlfn.STDEV.S(E116:E175)*SQRT($D$7),"")</f>
        <v/>
      </c>
      <c r="U175" s="41">
        <f>IFERROR(MIN(E175-$D$6,0),"")</f>
        <v/>
      </c>
      <c r="V175" s="41">
        <f>IFERROR(E175-F175,"")</f>
        <v/>
      </c>
      <c r="W175" s="39">
        <f>B175</f>
        <v/>
      </c>
      <c r="X175" s="21" t="n"/>
    </row>
    <row r="176">
      <c r="A176" s="38" t="n">
        <v>45194</v>
      </c>
      <c r="B176" s="39" t="n">
        <v>202.04</v>
      </c>
      <c r="C176" s="39" t="n">
        <v>432.23</v>
      </c>
      <c r="D176" s="39" t="n">
        <v>39.495</v>
      </c>
      <c r="E176" s="41">
        <f>IFERROR(B176/B175-1,"")</f>
        <v/>
      </c>
      <c r="F176" s="41">
        <f>IFERROR(C176/C175-1,"")</f>
        <v/>
      </c>
      <c r="G176" s="41">
        <f>IFERROR(D176/D175-1,"")</f>
        <v/>
      </c>
      <c r="H176" s="41">
        <f>IFERROR((1+E176)*(1+H175)-1,"")</f>
        <v/>
      </c>
      <c r="I176" s="41">
        <f>IFERROR((1+F176)*(1+I175)-1,"")</f>
        <v/>
      </c>
      <c r="J176" s="41">
        <f>IFERROR((1+G176)*(1+J175)-1,"")</f>
        <v/>
      </c>
      <c r="K176" s="42">
        <f>IFERROR(B176/$B$36*100,"")</f>
        <v/>
      </c>
      <c r="L176" s="42">
        <f>IFERROR(C176/$C$36*100,"")</f>
        <v/>
      </c>
      <c r="M176" s="42">
        <f>IFERROR(D176/$D$36*100,"")</f>
        <v/>
      </c>
      <c r="N176" s="41">
        <f>IFERROR((1+H176)/(1+I176)-1,"")</f>
        <v/>
      </c>
      <c r="O176" s="41">
        <f>IFERROR((1+H176)/(1+J176)-1,"")</f>
        <v/>
      </c>
      <c r="P176" s="39">
        <f>IFERROR(B176*0.0099502487562189+P175*(1-0.0099502487562189),"")</f>
        <v/>
      </c>
      <c r="Q176" s="42">
        <f>Q175*(1+E176)</f>
        <v/>
      </c>
      <c r="R176" s="42">
        <f>MAX(R175,Q176)</f>
        <v/>
      </c>
      <c r="S176" s="41">
        <f>IFERROR(Q176/R176-1,"")</f>
        <v/>
      </c>
      <c r="T176" s="41">
        <f>IFERROR(_xlfn.STDEV.S(E117:E176)*SQRT($D$7),"")</f>
        <v/>
      </c>
      <c r="U176" s="41">
        <f>IFERROR(MIN(E176-$D$6,0),"")</f>
        <v/>
      </c>
      <c r="V176" s="41">
        <f>IFERROR(E176-F176,"")</f>
        <v/>
      </c>
      <c r="W176" s="39">
        <f>B176</f>
        <v/>
      </c>
      <c r="X176" s="21" t="n"/>
    </row>
    <row r="177">
      <c r="A177" s="38" t="n">
        <v>45195</v>
      </c>
      <c r="B177" s="39" t="n">
        <v>201.35</v>
      </c>
      <c r="C177" s="39" t="n">
        <v>425.88</v>
      </c>
      <c r="D177" s="39" t="n">
        <v>38.925</v>
      </c>
      <c r="E177" s="41">
        <f>IFERROR(B177/B176-1,"")</f>
        <v/>
      </c>
      <c r="F177" s="41">
        <f>IFERROR(C177/C176-1,"")</f>
        <v/>
      </c>
      <c r="G177" s="41">
        <f>IFERROR(D177/D176-1,"")</f>
        <v/>
      </c>
      <c r="H177" s="41">
        <f>IFERROR((1+E177)*(1+H176)-1,"")</f>
        <v/>
      </c>
      <c r="I177" s="41">
        <f>IFERROR((1+F177)*(1+I176)-1,"")</f>
        <v/>
      </c>
      <c r="J177" s="41">
        <f>IFERROR((1+G177)*(1+J176)-1,"")</f>
        <v/>
      </c>
      <c r="K177" s="42">
        <f>IFERROR(B177/$B$36*100,"")</f>
        <v/>
      </c>
      <c r="L177" s="42">
        <f>IFERROR(C177/$C$36*100,"")</f>
        <v/>
      </c>
      <c r="M177" s="42">
        <f>IFERROR(D177/$D$36*100,"")</f>
        <v/>
      </c>
      <c r="N177" s="41">
        <f>IFERROR((1+H177)/(1+I177)-1,"")</f>
        <v/>
      </c>
      <c r="O177" s="41">
        <f>IFERROR((1+H177)/(1+J177)-1,"")</f>
        <v/>
      </c>
      <c r="P177" s="39">
        <f>IFERROR(B177*0.0099502487562189+P176*(1-0.0099502487562189),"")</f>
        <v/>
      </c>
      <c r="Q177" s="42">
        <f>Q176*(1+E177)</f>
        <v/>
      </c>
      <c r="R177" s="42">
        <f>MAX(R176,Q177)</f>
        <v/>
      </c>
      <c r="S177" s="41">
        <f>IFERROR(Q177/R177-1,"")</f>
        <v/>
      </c>
      <c r="T177" s="41">
        <f>IFERROR(_xlfn.STDEV.S(E118:E177)*SQRT($D$7),"")</f>
        <v/>
      </c>
      <c r="U177" s="41">
        <f>IFERROR(MIN(E177-$D$6,0),"")</f>
        <v/>
      </c>
      <c r="V177" s="41">
        <f>IFERROR(E177-F177,"")</f>
        <v/>
      </c>
      <c r="W177" s="39">
        <f>B177</f>
        <v/>
      </c>
      <c r="X177" s="21" t="n"/>
    </row>
    <row r="178">
      <c r="A178" s="38" t="n">
        <v>45196</v>
      </c>
      <c r="B178" s="39" t="n">
        <v>203.6</v>
      </c>
      <c r="C178" s="39" t="n">
        <v>426.05</v>
      </c>
      <c r="D178" s="39" t="n">
        <v>38.92</v>
      </c>
      <c r="E178" s="41">
        <f>IFERROR(B178/B177-1,"")</f>
        <v/>
      </c>
      <c r="F178" s="41">
        <f>IFERROR(C178/C177-1,"")</f>
        <v/>
      </c>
      <c r="G178" s="41">
        <f>IFERROR(D178/D177-1,"")</f>
        <v/>
      </c>
      <c r="H178" s="41">
        <f>IFERROR((1+E178)*(1+H177)-1,"")</f>
        <v/>
      </c>
      <c r="I178" s="41">
        <f>IFERROR((1+F178)*(1+I177)-1,"")</f>
        <v/>
      </c>
      <c r="J178" s="41">
        <f>IFERROR((1+G178)*(1+J177)-1,"")</f>
        <v/>
      </c>
      <c r="K178" s="42">
        <f>IFERROR(B178/$B$36*100,"")</f>
        <v/>
      </c>
      <c r="L178" s="42">
        <f>IFERROR(C178/$C$36*100,"")</f>
        <v/>
      </c>
      <c r="M178" s="42">
        <f>IFERROR(D178/$D$36*100,"")</f>
        <v/>
      </c>
      <c r="N178" s="41">
        <f>IFERROR((1+H178)/(1+I178)-1,"")</f>
        <v/>
      </c>
      <c r="O178" s="41">
        <f>IFERROR((1+H178)/(1+J178)-1,"")</f>
        <v/>
      </c>
      <c r="P178" s="39">
        <f>IFERROR(B178*0.0099502487562189+P177*(1-0.0099502487562189),"")</f>
        <v/>
      </c>
      <c r="Q178" s="42">
        <f>Q177*(1+E178)</f>
        <v/>
      </c>
      <c r="R178" s="42">
        <f>MAX(R177,Q178)</f>
        <v/>
      </c>
      <c r="S178" s="41">
        <f>IFERROR(Q178/R178-1,"")</f>
        <v/>
      </c>
      <c r="T178" s="41">
        <f>IFERROR(_xlfn.STDEV.S(E119:E178)*SQRT($D$7),"")</f>
        <v/>
      </c>
      <c r="U178" s="41">
        <f>IFERROR(MIN(E178-$D$6,0),"")</f>
        <v/>
      </c>
      <c r="V178" s="41">
        <f>IFERROR(E178-F178,"")</f>
        <v/>
      </c>
      <c r="W178" s="39">
        <f>B178</f>
        <v/>
      </c>
      <c r="X178" s="21" t="n"/>
    </row>
    <row r="179">
      <c r="A179" s="38" t="n">
        <v>45197</v>
      </c>
      <c r="B179" s="39" t="n">
        <v>205.03</v>
      </c>
      <c r="C179" s="39" t="n">
        <v>428.52</v>
      </c>
      <c r="D179" s="39" t="n">
        <v>39.34</v>
      </c>
      <c r="E179" s="41">
        <f>IFERROR(B179/B178-1,"")</f>
        <v/>
      </c>
      <c r="F179" s="41">
        <f>IFERROR(C179/C178-1,"")</f>
        <v/>
      </c>
      <c r="G179" s="41">
        <f>IFERROR(D179/D178-1,"")</f>
        <v/>
      </c>
      <c r="H179" s="41">
        <f>IFERROR((1+E179)*(1+H178)-1,"")</f>
        <v/>
      </c>
      <c r="I179" s="41">
        <f>IFERROR((1+F179)*(1+I178)-1,"")</f>
        <v/>
      </c>
      <c r="J179" s="41">
        <f>IFERROR((1+G179)*(1+J178)-1,"")</f>
        <v/>
      </c>
      <c r="K179" s="42">
        <f>IFERROR(B179/$B$36*100,"")</f>
        <v/>
      </c>
      <c r="L179" s="42">
        <f>IFERROR(C179/$C$36*100,"")</f>
        <v/>
      </c>
      <c r="M179" s="42">
        <f>IFERROR(D179/$D$36*100,"")</f>
        <v/>
      </c>
      <c r="N179" s="41">
        <f>IFERROR((1+H179)/(1+I179)-1,"")</f>
        <v/>
      </c>
      <c r="O179" s="41">
        <f>IFERROR((1+H179)/(1+J179)-1,"")</f>
        <v/>
      </c>
      <c r="P179" s="39">
        <f>IFERROR(B179*0.0099502487562189+P178*(1-0.0099502487562189),"")</f>
        <v/>
      </c>
      <c r="Q179" s="42">
        <f>Q178*(1+E179)</f>
        <v/>
      </c>
      <c r="R179" s="42">
        <f>MAX(R178,Q179)</f>
        <v/>
      </c>
      <c r="S179" s="41">
        <f>IFERROR(Q179/R179-1,"")</f>
        <v/>
      </c>
      <c r="T179" s="41">
        <f>IFERROR(_xlfn.STDEV.S(E120:E179)*SQRT($D$7),"")</f>
        <v/>
      </c>
      <c r="U179" s="41">
        <f>IFERROR(MIN(E179-$D$6,0),"")</f>
        <v/>
      </c>
      <c r="V179" s="41">
        <f>IFERROR(E179-F179,"")</f>
        <v/>
      </c>
      <c r="W179" s="39">
        <f>B179</f>
        <v/>
      </c>
      <c r="X179" s="21" t="n"/>
    </row>
    <row r="180">
      <c r="A180" s="38" t="n">
        <v>45198</v>
      </c>
      <c r="B180" s="39" t="n">
        <v>202.02</v>
      </c>
      <c r="C180" s="39" t="n">
        <v>427.48</v>
      </c>
      <c r="D180" s="39" t="n">
        <v>39.275</v>
      </c>
      <c r="E180" s="41">
        <f>IFERROR(B180/B179-1,"")</f>
        <v/>
      </c>
      <c r="F180" s="41">
        <f>IFERROR(C180/C179-1,"")</f>
        <v/>
      </c>
      <c r="G180" s="41">
        <f>IFERROR(D180/D179-1,"")</f>
        <v/>
      </c>
      <c r="H180" s="41">
        <f>IFERROR((1+E180)*(1+H179)-1,"")</f>
        <v/>
      </c>
      <c r="I180" s="41">
        <f>IFERROR((1+F180)*(1+I179)-1,"")</f>
        <v/>
      </c>
      <c r="J180" s="41">
        <f>IFERROR((1+G180)*(1+J179)-1,"")</f>
        <v/>
      </c>
      <c r="K180" s="42">
        <f>IFERROR(B180/$B$36*100,"")</f>
        <v/>
      </c>
      <c r="L180" s="42">
        <f>IFERROR(C180/$C$36*100,"")</f>
        <v/>
      </c>
      <c r="M180" s="42">
        <f>IFERROR(D180/$D$36*100,"")</f>
        <v/>
      </c>
      <c r="N180" s="41">
        <f>IFERROR((1+H180)/(1+I180)-1,"")</f>
        <v/>
      </c>
      <c r="O180" s="41">
        <f>IFERROR((1+H180)/(1+J180)-1,"")</f>
        <v/>
      </c>
      <c r="P180" s="39">
        <f>IFERROR(B180*0.0099502487562189+P179*(1-0.0099502487562189),"")</f>
        <v/>
      </c>
      <c r="Q180" s="42">
        <f>Q179*(1+E180)</f>
        <v/>
      </c>
      <c r="R180" s="42">
        <f>MAX(R179,Q180)</f>
        <v/>
      </c>
      <c r="S180" s="41">
        <f>IFERROR(Q180/R180-1,"")</f>
        <v/>
      </c>
      <c r="T180" s="41">
        <f>IFERROR(_xlfn.STDEV.S(E121:E180)*SQRT($D$7),"")</f>
        <v/>
      </c>
      <c r="U180" s="41">
        <f>IFERROR(MIN(E180-$D$6,0),"")</f>
        <v/>
      </c>
      <c r="V180" s="41">
        <f>IFERROR(E180-F180,"")</f>
        <v/>
      </c>
      <c r="W180" s="39">
        <f>B180</f>
        <v/>
      </c>
      <c r="X180" s="21" t="n"/>
    </row>
    <row r="181">
      <c r="A181" s="38" t="n">
        <v>45201</v>
      </c>
      <c r="B181" s="39" t="n">
        <v>200.93</v>
      </c>
      <c r="C181" s="39" t="n">
        <v>427.31</v>
      </c>
      <c r="D181" s="39" t="n">
        <v>38.755</v>
      </c>
      <c r="E181" s="41">
        <f>IFERROR(B181/B180-1,"")</f>
        <v/>
      </c>
      <c r="F181" s="41">
        <f>IFERROR(C181/C180-1,"")</f>
        <v/>
      </c>
      <c r="G181" s="41">
        <f>IFERROR(D181/D180-1,"")</f>
        <v/>
      </c>
      <c r="H181" s="41">
        <f>IFERROR((1+E181)*(1+H180)-1,"")</f>
        <v/>
      </c>
      <c r="I181" s="41">
        <f>IFERROR((1+F181)*(1+I180)-1,"")</f>
        <v/>
      </c>
      <c r="J181" s="41">
        <f>IFERROR((1+G181)*(1+J180)-1,"")</f>
        <v/>
      </c>
      <c r="K181" s="42">
        <f>IFERROR(B181/$B$36*100,"")</f>
        <v/>
      </c>
      <c r="L181" s="42">
        <f>IFERROR(C181/$C$36*100,"")</f>
        <v/>
      </c>
      <c r="M181" s="42">
        <f>IFERROR(D181/$D$36*100,"")</f>
        <v/>
      </c>
      <c r="N181" s="41">
        <f>IFERROR((1+H181)/(1+I181)-1,"")</f>
        <v/>
      </c>
      <c r="O181" s="41">
        <f>IFERROR((1+H181)/(1+J181)-1,"")</f>
        <v/>
      </c>
      <c r="P181" s="39">
        <f>IFERROR(B181*0.0099502487562189+P180*(1-0.0099502487562189),"")</f>
        <v/>
      </c>
      <c r="Q181" s="42">
        <f>Q180*(1+E181)</f>
        <v/>
      </c>
      <c r="R181" s="42">
        <f>MAX(R180,Q181)</f>
        <v/>
      </c>
      <c r="S181" s="41">
        <f>IFERROR(Q181/R181-1,"")</f>
        <v/>
      </c>
      <c r="T181" s="41">
        <f>IFERROR(_xlfn.STDEV.S(E122:E181)*SQRT($D$7),"")</f>
        <v/>
      </c>
      <c r="U181" s="41">
        <f>IFERROR(MIN(E181-$D$6,0),"")</f>
        <v/>
      </c>
      <c r="V181" s="41">
        <f>IFERROR(E181-F181,"")</f>
        <v/>
      </c>
      <c r="W181" s="39">
        <f>B181</f>
        <v/>
      </c>
      <c r="X181" s="21" t="n"/>
    </row>
    <row r="182">
      <c r="A182" s="38" t="n">
        <v>45202</v>
      </c>
      <c r="B182" s="39" t="n">
        <v>199.99</v>
      </c>
      <c r="C182" s="39" t="n">
        <v>421.59</v>
      </c>
      <c r="D182" s="39" t="n">
        <v>38.65</v>
      </c>
      <c r="E182" s="41">
        <f>IFERROR(B182/B181-1,"")</f>
        <v/>
      </c>
      <c r="F182" s="41">
        <f>IFERROR(C182/C181-1,"")</f>
        <v/>
      </c>
      <c r="G182" s="41">
        <f>IFERROR(D182/D181-1,"")</f>
        <v/>
      </c>
      <c r="H182" s="41">
        <f>IFERROR((1+E182)*(1+H181)-1,"")</f>
        <v/>
      </c>
      <c r="I182" s="41">
        <f>IFERROR((1+F182)*(1+I181)-1,"")</f>
        <v/>
      </c>
      <c r="J182" s="41">
        <f>IFERROR((1+G182)*(1+J181)-1,"")</f>
        <v/>
      </c>
      <c r="K182" s="42">
        <f>IFERROR(B182/$B$36*100,"")</f>
        <v/>
      </c>
      <c r="L182" s="42">
        <f>IFERROR(C182/$C$36*100,"")</f>
        <v/>
      </c>
      <c r="M182" s="42">
        <f>IFERROR(D182/$D$36*100,"")</f>
        <v/>
      </c>
      <c r="N182" s="41">
        <f>IFERROR((1+H182)/(1+I182)-1,"")</f>
        <v/>
      </c>
      <c r="O182" s="41">
        <f>IFERROR((1+H182)/(1+J182)-1,"")</f>
        <v/>
      </c>
      <c r="P182" s="39">
        <f>IFERROR(B182*0.0099502487562189+P181*(1-0.0099502487562189),"")</f>
        <v/>
      </c>
      <c r="Q182" s="42">
        <f>Q181*(1+E182)</f>
        <v/>
      </c>
      <c r="R182" s="42">
        <f>MAX(R181,Q182)</f>
        <v/>
      </c>
      <c r="S182" s="41">
        <f>IFERROR(Q182/R182-1,"")</f>
        <v/>
      </c>
      <c r="T182" s="41">
        <f>IFERROR(_xlfn.STDEV.S(E123:E182)*SQRT($D$7),"")</f>
        <v/>
      </c>
      <c r="U182" s="41">
        <f>IFERROR(MIN(E182-$D$6,0),"")</f>
        <v/>
      </c>
      <c r="V182" s="41">
        <f>IFERROR(E182-F182,"")</f>
        <v/>
      </c>
      <c r="W182" s="39">
        <f>B182</f>
        <v/>
      </c>
      <c r="X182" s="21" t="n"/>
    </row>
    <row r="183">
      <c r="A183" s="38" t="n">
        <v>45203</v>
      </c>
      <c r="B183" s="39" t="n">
        <v>205.03</v>
      </c>
      <c r="C183" s="39" t="n">
        <v>424.66</v>
      </c>
      <c r="D183" s="39" t="n">
        <v>39.105</v>
      </c>
      <c r="E183" s="41">
        <f>IFERROR(B183/B182-1,"")</f>
        <v/>
      </c>
      <c r="F183" s="41">
        <f>IFERROR(C183/C182-1,"")</f>
        <v/>
      </c>
      <c r="G183" s="41">
        <f>IFERROR(D183/D182-1,"")</f>
        <v/>
      </c>
      <c r="H183" s="41">
        <f>IFERROR((1+E183)*(1+H182)-1,"")</f>
        <v/>
      </c>
      <c r="I183" s="41">
        <f>IFERROR((1+F183)*(1+I182)-1,"")</f>
        <v/>
      </c>
      <c r="J183" s="41">
        <f>IFERROR((1+G183)*(1+J182)-1,"")</f>
        <v/>
      </c>
      <c r="K183" s="42">
        <f>IFERROR(B183/$B$36*100,"")</f>
        <v/>
      </c>
      <c r="L183" s="42">
        <f>IFERROR(C183/$C$36*100,"")</f>
        <v/>
      </c>
      <c r="M183" s="42">
        <f>IFERROR(D183/$D$36*100,"")</f>
        <v/>
      </c>
      <c r="N183" s="41">
        <f>IFERROR((1+H183)/(1+I183)-1,"")</f>
        <v/>
      </c>
      <c r="O183" s="41">
        <f>IFERROR((1+H183)/(1+J183)-1,"")</f>
        <v/>
      </c>
      <c r="P183" s="39">
        <f>IFERROR(B183*0.0099502487562189+P182*(1-0.0099502487562189),"")</f>
        <v/>
      </c>
      <c r="Q183" s="42">
        <f>Q182*(1+E183)</f>
        <v/>
      </c>
      <c r="R183" s="42">
        <f>MAX(R182,Q183)</f>
        <v/>
      </c>
      <c r="S183" s="41">
        <f>IFERROR(Q183/R183-1,"")</f>
        <v/>
      </c>
      <c r="T183" s="41">
        <f>IFERROR(_xlfn.STDEV.S(E124:E183)*SQRT($D$7),"")</f>
        <v/>
      </c>
      <c r="U183" s="41">
        <f>IFERROR(MIN(E183-$D$6,0),"")</f>
        <v/>
      </c>
      <c r="V183" s="41">
        <f>IFERROR(E183-F183,"")</f>
        <v/>
      </c>
      <c r="W183" s="39">
        <f>B183</f>
        <v/>
      </c>
      <c r="X183" s="21" t="n"/>
    </row>
    <row r="184">
      <c r="A184" s="38" t="n">
        <v>45204</v>
      </c>
      <c r="B184" s="39" t="n">
        <v>206.95</v>
      </c>
      <c r="C184" s="39" t="n">
        <v>424.5</v>
      </c>
      <c r="D184" s="39" t="n">
        <v>38.63</v>
      </c>
      <c r="E184" s="41">
        <f>IFERROR(B184/B183-1,"")</f>
        <v/>
      </c>
      <c r="F184" s="41">
        <f>IFERROR(C184/C183-1,"")</f>
        <v/>
      </c>
      <c r="G184" s="41">
        <f>IFERROR(D184/D183-1,"")</f>
        <v/>
      </c>
      <c r="H184" s="41">
        <f>IFERROR((1+E184)*(1+H183)-1,"")</f>
        <v/>
      </c>
      <c r="I184" s="41">
        <f>IFERROR((1+F184)*(1+I183)-1,"")</f>
        <v/>
      </c>
      <c r="J184" s="41">
        <f>IFERROR((1+G184)*(1+J183)-1,"")</f>
        <v/>
      </c>
      <c r="K184" s="42">
        <f>IFERROR(B184/$B$36*100,"")</f>
        <v/>
      </c>
      <c r="L184" s="42">
        <f>IFERROR(C184/$C$36*100,"")</f>
        <v/>
      </c>
      <c r="M184" s="42">
        <f>IFERROR(D184/$D$36*100,"")</f>
        <v/>
      </c>
      <c r="N184" s="41">
        <f>IFERROR((1+H184)/(1+I184)-1,"")</f>
        <v/>
      </c>
      <c r="O184" s="41">
        <f>IFERROR((1+H184)/(1+J184)-1,"")</f>
        <v/>
      </c>
      <c r="P184" s="39">
        <f>IFERROR(B184*0.0099502487562189+P183*(1-0.0099502487562189),"")</f>
        <v/>
      </c>
      <c r="Q184" s="42">
        <f>Q183*(1+E184)</f>
        <v/>
      </c>
      <c r="R184" s="42">
        <f>MAX(R183,Q184)</f>
        <v/>
      </c>
      <c r="S184" s="41">
        <f>IFERROR(Q184/R184-1,"")</f>
        <v/>
      </c>
      <c r="T184" s="41">
        <f>IFERROR(_xlfn.STDEV.S(E125:E184)*SQRT($D$7),"")</f>
        <v/>
      </c>
      <c r="U184" s="41">
        <f>IFERROR(MIN(E184-$D$6,0),"")</f>
        <v/>
      </c>
      <c r="V184" s="41">
        <f>IFERROR(E184-F184,"")</f>
        <v/>
      </c>
      <c r="W184" s="39">
        <f>B184</f>
        <v/>
      </c>
      <c r="X184" s="21" t="n"/>
    </row>
    <row r="185">
      <c r="A185" s="38" t="n">
        <v>45205</v>
      </c>
      <c r="B185" s="39" t="n">
        <v>212.4</v>
      </c>
      <c r="C185" s="39" t="n">
        <v>429.54</v>
      </c>
      <c r="D185" s="39" t="n">
        <v>38.995</v>
      </c>
      <c r="E185" s="41">
        <f>IFERROR(B185/B184-1,"")</f>
        <v/>
      </c>
      <c r="F185" s="41">
        <f>IFERROR(C185/C184-1,"")</f>
        <v/>
      </c>
      <c r="G185" s="41">
        <f>IFERROR(D185/D184-1,"")</f>
        <v/>
      </c>
      <c r="H185" s="41">
        <f>IFERROR((1+E185)*(1+H184)-1,"")</f>
        <v/>
      </c>
      <c r="I185" s="41">
        <f>IFERROR((1+F185)*(1+I184)-1,"")</f>
        <v/>
      </c>
      <c r="J185" s="41">
        <f>IFERROR((1+G185)*(1+J184)-1,"")</f>
        <v/>
      </c>
      <c r="K185" s="42">
        <f>IFERROR(B185/$B$36*100,"")</f>
        <v/>
      </c>
      <c r="L185" s="42">
        <f>IFERROR(C185/$C$36*100,"")</f>
        <v/>
      </c>
      <c r="M185" s="42">
        <f>IFERROR(D185/$D$36*100,"")</f>
        <v/>
      </c>
      <c r="N185" s="41">
        <f>IFERROR((1+H185)/(1+I185)-1,"")</f>
        <v/>
      </c>
      <c r="O185" s="41">
        <f>IFERROR((1+H185)/(1+J185)-1,"")</f>
        <v/>
      </c>
      <c r="P185" s="39">
        <f>IFERROR(B185*0.0099502487562189+P184*(1-0.0099502487562189),"")</f>
        <v/>
      </c>
      <c r="Q185" s="42">
        <f>Q184*(1+E185)</f>
        <v/>
      </c>
      <c r="R185" s="42">
        <f>MAX(R184,Q185)</f>
        <v/>
      </c>
      <c r="S185" s="41">
        <f>IFERROR(Q185/R185-1,"")</f>
        <v/>
      </c>
      <c r="T185" s="41">
        <f>IFERROR(_xlfn.STDEV.S(E126:E185)*SQRT($D$7),"")</f>
        <v/>
      </c>
      <c r="U185" s="41">
        <f>IFERROR(MIN(E185-$D$6,0),"")</f>
        <v/>
      </c>
      <c r="V185" s="41">
        <f>IFERROR(E185-F185,"")</f>
        <v/>
      </c>
      <c r="W185" s="39">
        <f>B185</f>
        <v/>
      </c>
      <c r="X185" s="21" t="n"/>
    </row>
    <row r="186">
      <c r="A186" s="38" t="n">
        <v>45208</v>
      </c>
      <c r="B186" s="39" t="n">
        <v>210.25</v>
      </c>
      <c r="C186" s="39" t="n">
        <v>432.29</v>
      </c>
      <c r="D186" s="39" t="n">
        <v>39.045</v>
      </c>
      <c r="E186" s="41">
        <f>IFERROR(B186/B185-1,"")</f>
        <v/>
      </c>
      <c r="F186" s="41">
        <f>IFERROR(C186/C185-1,"")</f>
        <v/>
      </c>
      <c r="G186" s="41">
        <f>IFERROR(D186/D185-1,"")</f>
        <v/>
      </c>
      <c r="H186" s="41">
        <f>IFERROR((1+E186)*(1+H185)-1,"")</f>
        <v/>
      </c>
      <c r="I186" s="41">
        <f>IFERROR((1+F186)*(1+I185)-1,"")</f>
        <v/>
      </c>
      <c r="J186" s="41">
        <f>IFERROR((1+G186)*(1+J185)-1,"")</f>
        <v/>
      </c>
      <c r="K186" s="42">
        <f>IFERROR(B186/$B$36*100,"")</f>
        <v/>
      </c>
      <c r="L186" s="42">
        <f>IFERROR(C186/$C$36*100,"")</f>
        <v/>
      </c>
      <c r="M186" s="42">
        <f>IFERROR(D186/$D$36*100,"")</f>
        <v/>
      </c>
      <c r="N186" s="41">
        <f>IFERROR((1+H186)/(1+I186)-1,"")</f>
        <v/>
      </c>
      <c r="O186" s="41">
        <f>IFERROR((1+H186)/(1+J186)-1,"")</f>
        <v/>
      </c>
      <c r="P186" s="39">
        <f>IFERROR(B186*0.0099502487562189+P185*(1-0.0099502487562189),"")</f>
        <v/>
      </c>
      <c r="Q186" s="42">
        <f>Q185*(1+E186)</f>
        <v/>
      </c>
      <c r="R186" s="42">
        <f>MAX(R185,Q186)</f>
        <v/>
      </c>
      <c r="S186" s="41">
        <f>IFERROR(Q186/R186-1,"")</f>
        <v/>
      </c>
      <c r="T186" s="41">
        <f>IFERROR(_xlfn.STDEV.S(E127:E186)*SQRT($D$7),"")</f>
        <v/>
      </c>
      <c r="U186" s="41">
        <f>IFERROR(MIN(E186-$D$6,0),"")</f>
        <v/>
      </c>
      <c r="V186" s="41">
        <f>IFERROR(E186-F186,"")</f>
        <v/>
      </c>
      <c r="W186" s="39">
        <f>B186</f>
        <v/>
      </c>
      <c r="X186" s="21" t="n"/>
    </row>
    <row r="187">
      <c r="A187" s="38" t="n">
        <v>45209</v>
      </c>
      <c r="B187" s="39" t="n">
        <v>211</v>
      </c>
      <c r="C187" s="39" t="n">
        <v>434.54</v>
      </c>
      <c r="D187" s="39" t="n">
        <v>39.46</v>
      </c>
      <c r="E187" s="41">
        <f>IFERROR(B187/B186-1,"")</f>
        <v/>
      </c>
      <c r="F187" s="41">
        <f>IFERROR(C187/C186-1,"")</f>
        <v/>
      </c>
      <c r="G187" s="41">
        <f>IFERROR(D187/D186-1,"")</f>
        <v/>
      </c>
      <c r="H187" s="41">
        <f>IFERROR((1+E187)*(1+H186)-1,"")</f>
        <v/>
      </c>
      <c r="I187" s="41">
        <f>IFERROR((1+F187)*(1+I186)-1,"")</f>
        <v/>
      </c>
      <c r="J187" s="41">
        <f>IFERROR((1+G187)*(1+J186)-1,"")</f>
        <v/>
      </c>
      <c r="K187" s="42">
        <f>IFERROR(B187/$B$36*100,"")</f>
        <v/>
      </c>
      <c r="L187" s="42">
        <f>IFERROR(C187/$C$36*100,"")</f>
        <v/>
      </c>
      <c r="M187" s="42">
        <f>IFERROR(D187/$D$36*100,"")</f>
        <v/>
      </c>
      <c r="N187" s="41">
        <f>IFERROR((1+H187)/(1+I187)-1,"")</f>
        <v/>
      </c>
      <c r="O187" s="41">
        <f>IFERROR((1+H187)/(1+J187)-1,"")</f>
        <v/>
      </c>
      <c r="P187" s="39">
        <f>IFERROR(B187*0.0099502487562189+P186*(1-0.0099502487562189),"")</f>
        <v/>
      </c>
      <c r="Q187" s="42">
        <f>Q186*(1+E187)</f>
        <v/>
      </c>
      <c r="R187" s="42">
        <f>MAX(R186,Q187)</f>
        <v/>
      </c>
      <c r="S187" s="41">
        <f>IFERROR(Q187/R187-1,"")</f>
        <v/>
      </c>
      <c r="T187" s="41">
        <f>IFERROR(_xlfn.STDEV.S(E128:E187)*SQRT($D$7),"")</f>
        <v/>
      </c>
      <c r="U187" s="41">
        <f>IFERROR(MIN(E187-$D$6,0),"")</f>
        <v/>
      </c>
      <c r="V187" s="41">
        <f>IFERROR(E187-F187,"")</f>
        <v/>
      </c>
      <c r="W187" s="39">
        <f>B187</f>
        <v/>
      </c>
      <c r="X187" s="21" t="n"/>
    </row>
    <row r="188">
      <c r="A188" s="38" t="n">
        <v>45210</v>
      </c>
      <c r="B188" s="39" t="n">
        <v>214.76</v>
      </c>
      <c r="C188" s="39" t="n">
        <v>436.32</v>
      </c>
      <c r="D188" s="39" t="n">
        <v>39.555</v>
      </c>
      <c r="E188" s="41">
        <f>IFERROR(B188/B187-1,"")</f>
        <v/>
      </c>
      <c r="F188" s="41">
        <f>IFERROR(C188/C187-1,"")</f>
        <v/>
      </c>
      <c r="G188" s="41">
        <f>IFERROR(D188/D187-1,"")</f>
        <v/>
      </c>
      <c r="H188" s="41">
        <f>IFERROR((1+E188)*(1+H187)-1,"")</f>
        <v/>
      </c>
      <c r="I188" s="41">
        <f>IFERROR((1+F188)*(1+I187)-1,"")</f>
        <v/>
      </c>
      <c r="J188" s="41">
        <f>IFERROR((1+G188)*(1+J187)-1,"")</f>
        <v/>
      </c>
      <c r="K188" s="42">
        <f>IFERROR(B188/$B$36*100,"")</f>
        <v/>
      </c>
      <c r="L188" s="42">
        <f>IFERROR(C188/$C$36*100,"")</f>
        <v/>
      </c>
      <c r="M188" s="42">
        <f>IFERROR(D188/$D$36*100,"")</f>
        <v/>
      </c>
      <c r="N188" s="41">
        <f>IFERROR((1+H188)/(1+I188)-1,"")</f>
        <v/>
      </c>
      <c r="O188" s="41">
        <f>IFERROR((1+H188)/(1+J188)-1,"")</f>
        <v/>
      </c>
      <c r="P188" s="39">
        <f>IFERROR(B188*0.0099502487562189+P187*(1-0.0099502487562189),"")</f>
        <v/>
      </c>
      <c r="Q188" s="42">
        <f>Q187*(1+E188)</f>
        <v/>
      </c>
      <c r="R188" s="42">
        <f>MAX(R187,Q188)</f>
        <v/>
      </c>
      <c r="S188" s="41">
        <f>IFERROR(Q188/R188-1,"")</f>
        <v/>
      </c>
      <c r="T188" s="41">
        <f>IFERROR(_xlfn.STDEV.S(E129:E188)*SQRT($D$7),"")</f>
        <v/>
      </c>
      <c r="U188" s="41">
        <f>IFERROR(MIN(E188-$D$6,0),"")</f>
        <v/>
      </c>
      <c r="V188" s="41">
        <f>IFERROR(E188-F188,"")</f>
        <v/>
      </c>
      <c r="W188" s="39">
        <f>B188</f>
        <v/>
      </c>
      <c r="X188" s="21" t="n"/>
    </row>
    <row r="189">
      <c r="A189" s="38" t="n">
        <v>45211</v>
      </c>
      <c r="B189" s="39" t="n">
        <v>210.63</v>
      </c>
      <c r="C189" s="39" t="n">
        <v>433.66</v>
      </c>
      <c r="D189" s="39" t="n">
        <v>38.965</v>
      </c>
      <c r="E189" s="41">
        <f>IFERROR(B189/B188-1,"")</f>
        <v/>
      </c>
      <c r="F189" s="41">
        <f>IFERROR(C189/C188-1,"")</f>
        <v/>
      </c>
      <c r="G189" s="41">
        <f>IFERROR(D189/D188-1,"")</f>
        <v/>
      </c>
      <c r="H189" s="41">
        <f>IFERROR((1+E189)*(1+H188)-1,"")</f>
        <v/>
      </c>
      <c r="I189" s="41">
        <f>IFERROR((1+F189)*(1+I188)-1,"")</f>
        <v/>
      </c>
      <c r="J189" s="41">
        <f>IFERROR((1+G189)*(1+J188)-1,"")</f>
        <v/>
      </c>
      <c r="K189" s="42">
        <f>IFERROR(B189/$B$36*100,"")</f>
        <v/>
      </c>
      <c r="L189" s="42">
        <f>IFERROR(C189/$C$36*100,"")</f>
        <v/>
      </c>
      <c r="M189" s="42">
        <f>IFERROR(D189/$D$36*100,"")</f>
        <v/>
      </c>
      <c r="N189" s="41">
        <f>IFERROR((1+H189)/(1+I189)-1,"")</f>
        <v/>
      </c>
      <c r="O189" s="41">
        <f>IFERROR((1+H189)/(1+J189)-1,"")</f>
        <v/>
      </c>
      <c r="P189" s="39">
        <f>IFERROR(B189*0.0099502487562189+P188*(1-0.0099502487562189),"")</f>
        <v/>
      </c>
      <c r="Q189" s="42">
        <f>Q188*(1+E189)</f>
        <v/>
      </c>
      <c r="R189" s="42">
        <f>MAX(R188,Q189)</f>
        <v/>
      </c>
      <c r="S189" s="41">
        <f>IFERROR(Q189/R189-1,"")</f>
        <v/>
      </c>
      <c r="T189" s="41">
        <f>IFERROR(_xlfn.STDEV.S(E130:E189)*SQRT($D$7),"")</f>
        <v/>
      </c>
      <c r="U189" s="41">
        <f>IFERROR(MIN(E189-$D$6,0),"")</f>
        <v/>
      </c>
      <c r="V189" s="41">
        <f>IFERROR(E189-F189,"")</f>
        <v/>
      </c>
      <c r="W189" s="39">
        <f>B189</f>
        <v/>
      </c>
      <c r="X189" s="21" t="n"/>
    </row>
    <row r="190">
      <c r="A190" s="38" t="n">
        <v>45212</v>
      </c>
      <c r="B190" s="39" t="n">
        <v>209.29</v>
      </c>
      <c r="C190" s="39" t="n">
        <v>431.5</v>
      </c>
      <c r="D190" s="39" t="n">
        <v>38.82</v>
      </c>
      <c r="E190" s="41">
        <f>IFERROR(B190/B189-1,"")</f>
        <v/>
      </c>
      <c r="F190" s="41">
        <f>IFERROR(C190/C189-1,"")</f>
        <v/>
      </c>
      <c r="G190" s="41">
        <f>IFERROR(D190/D189-1,"")</f>
        <v/>
      </c>
      <c r="H190" s="41">
        <f>IFERROR((1+E190)*(1+H189)-1,"")</f>
        <v/>
      </c>
      <c r="I190" s="41">
        <f>IFERROR((1+F190)*(1+I189)-1,"")</f>
        <v/>
      </c>
      <c r="J190" s="41">
        <f>IFERROR((1+G190)*(1+J189)-1,"")</f>
        <v/>
      </c>
      <c r="K190" s="42">
        <f>IFERROR(B190/$B$36*100,"")</f>
        <v/>
      </c>
      <c r="L190" s="42">
        <f>IFERROR(C190/$C$36*100,"")</f>
        <v/>
      </c>
      <c r="M190" s="42">
        <f>IFERROR(D190/$D$36*100,"")</f>
        <v/>
      </c>
      <c r="N190" s="41">
        <f>IFERROR((1+H190)/(1+I190)-1,"")</f>
        <v/>
      </c>
      <c r="O190" s="41">
        <f>IFERROR((1+H190)/(1+J190)-1,"")</f>
        <v/>
      </c>
      <c r="P190" s="39">
        <f>IFERROR(B190*0.0099502487562189+P189*(1-0.0099502487562189),"")</f>
        <v/>
      </c>
      <c r="Q190" s="42">
        <f>Q189*(1+E190)</f>
        <v/>
      </c>
      <c r="R190" s="42">
        <f>MAX(R189,Q190)</f>
        <v/>
      </c>
      <c r="S190" s="41">
        <f>IFERROR(Q190/R190-1,"")</f>
        <v/>
      </c>
      <c r="T190" s="41">
        <f>IFERROR(_xlfn.STDEV.S(E131:E190)*SQRT($D$7),"")</f>
        <v/>
      </c>
      <c r="U190" s="41">
        <f>IFERROR(MIN(E190-$D$6,0),"")</f>
        <v/>
      </c>
      <c r="V190" s="41">
        <f>IFERROR(E190-F190,"")</f>
        <v/>
      </c>
      <c r="W190" s="39">
        <f>B190</f>
        <v/>
      </c>
      <c r="X190" s="21" t="n"/>
    </row>
    <row r="191">
      <c r="A191" s="38" t="n">
        <v>45215</v>
      </c>
      <c r="B191" s="39" t="n">
        <v>213.04</v>
      </c>
      <c r="C191" s="39" t="n">
        <v>436.04</v>
      </c>
      <c r="D191" s="39" t="n">
        <v>39.2</v>
      </c>
      <c r="E191" s="41">
        <f>IFERROR(B191/B190-1,"")</f>
        <v/>
      </c>
      <c r="F191" s="41">
        <f>IFERROR(C191/C190-1,"")</f>
        <v/>
      </c>
      <c r="G191" s="41">
        <f>IFERROR(D191/D190-1,"")</f>
        <v/>
      </c>
      <c r="H191" s="41">
        <f>IFERROR((1+E191)*(1+H190)-1,"")</f>
        <v/>
      </c>
      <c r="I191" s="41">
        <f>IFERROR((1+F191)*(1+I190)-1,"")</f>
        <v/>
      </c>
      <c r="J191" s="41">
        <f>IFERROR((1+G191)*(1+J190)-1,"")</f>
        <v/>
      </c>
      <c r="K191" s="42">
        <f>IFERROR(B191/$B$36*100,"")</f>
        <v/>
      </c>
      <c r="L191" s="42">
        <f>IFERROR(C191/$C$36*100,"")</f>
        <v/>
      </c>
      <c r="M191" s="42">
        <f>IFERROR(D191/$D$36*100,"")</f>
        <v/>
      </c>
      <c r="N191" s="41">
        <f>IFERROR((1+H191)/(1+I191)-1,"")</f>
        <v/>
      </c>
      <c r="O191" s="41">
        <f>IFERROR((1+H191)/(1+J191)-1,"")</f>
        <v/>
      </c>
      <c r="P191" s="39">
        <f>IFERROR(B191*0.0099502487562189+P190*(1-0.0099502487562189),"")</f>
        <v/>
      </c>
      <c r="Q191" s="42">
        <f>Q190*(1+E191)</f>
        <v/>
      </c>
      <c r="R191" s="42">
        <f>MAX(R190,Q191)</f>
        <v/>
      </c>
      <c r="S191" s="41">
        <f>IFERROR(Q191/R191-1,"")</f>
        <v/>
      </c>
      <c r="T191" s="41">
        <f>IFERROR(_xlfn.STDEV.S(E132:E191)*SQRT($D$7),"")</f>
        <v/>
      </c>
      <c r="U191" s="41">
        <f>IFERROR(MIN(E191-$D$6,0),"")</f>
        <v/>
      </c>
      <c r="V191" s="41">
        <f>IFERROR(E191-F191,"")</f>
        <v/>
      </c>
      <c r="W191" s="39">
        <f>B191</f>
        <v/>
      </c>
      <c r="X191" s="21" t="n"/>
    </row>
    <row r="192">
      <c r="A192" s="38" t="n">
        <v>45216</v>
      </c>
      <c r="B192" s="39" t="n">
        <v>214.79</v>
      </c>
      <c r="C192" s="39" t="n">
        <v>436.02</v>
      </c>
      <c r="D192" s="39" t="n">
        <v>39.585</v>
      </c>
      <c r="E192" s="41">
        <f>IFERROR(B192/B191-1,"")</f>
        <v/>
      </c>
      <c r="F192" s="41">
        <f>IFERROR(C192/C191-1,"")</f>
        <v/>
      </c>
      <c r="G192" s="41">
        <f>IFERROR(D192/D191-1,"")</f>
        <v/>
      </c>
      <c r="H192" s="41">
        <f>IFERROR((1+E192)*(1+H191)-1,"")</f>
        <v/>
      </c>
      <c r="I192" s="41">
        <f>IFERROR((1+F192)*(1+I191)-1,"")</f>
        <v/>
      </c>
      <c r="J192" s="41">
        <f>IFERROR((1+G192)*(1+J191)-1,"")</f>
        <v/>
      </c>
      <c r="K192" s="42">
        <f>IFERROR(B192/$B$36*100,"")</f>
        <v/>
      </c>
      <c r="L192" s="42">
        <f>IFERROR(C192/$C$36*100,"")</f>
        <v/>
      </c>
      <c r="M192" s="42">
        <f>IFERROR(D192/$D$36*100,"")</f>
        <v/>
      </c>
      <c r="N192" s="41">
        <f>IFERROR((1+H192)/(1+I192)-1,"")</f>
        <v/>
      </c>
      <c r="O192" s="41">
        <f>IFERROR((1+H192)/(1+J192)-1,"")</f>
        <v/>
      </c>
      <c r="P192" s="39">
        <f>IFERROR(B192*0.0099502487562189+P191*(1-0.0099502487562189),"")</f>
        <v/>
      </c>
      <c r="Q192" s="42">
        <f>Q191*(1+E192)</f>
        <v/>
      </c>
      <c r="R192" s="42">
        <f>MAX(R191,Q192)</f>
        <v/>
      </c>
      <c r="S192" s="41">
        <f>IFERROR(Q192/R192-1,"")</f>
        <v/>
      </c>
      <c r="T192" s="41">
        <f>IFERROR(_xlfn.STDEV.S(E133:E192)*SQRT($D$7),"")</f>
        <v/>
      </c>
      <c r="U192" s="41">
        <f>IFERROR(MIN(E192-$D$6,0),"")</f>
        <v/>
      </c>
      <c r="V192" s="41">
        <f>IFERROR(E192-F192,"")</f>
        <v/>
      </c>
      <c r="W192" s="39">
        <f>B192</f>
        <v/>
      </c>
      <c r="X192" s="21" t="n"/>
    </row>
    <row r="193">
      <c r="A193" s="38" t="n">
        <v>45217</v>
      </c>
      <c r="B193" s="39" t="n">
        <v>203.74</v>
      </c>
      <c r="C193" s="39" t="n">
        <v>430.21</v>
      </c>
      <c r="D193" s="39" t="n">
        <v>38.56</v>
      </c>
      <c r="E193" s="41">
        <f>IFERROR(B193/B192-1,"")</f>
        <v/>
      </c>
      <c r="F193" s="41">
        <f>IFERROR(C193/C192-1,"")</f>
        <v/>
      </c>
      <c r="G193" s="41">
        <f>IFERROR(D193/D192-1,"")</f>
        <v/>
      </c>
      <c r="H193" s="41">
        <f>IFERROR((1+E193)*(1+H192)-1,"")</f>
        <v/>
      </c>
      <c r="I193" s="41">
        <f>IFERROR((1+F193)*(1+I192)-1,"")</f>
        <v/>
      </c>
      <c r="J193" s="41">
        <f>IFERROR((1+G193)*(1+J192)-1,"")</f>
        <v/>
      </c>
      <c r="K193" s="42">
        <f>IFERROR(B193/$B$36*100,"")</f>
        <v/>
      </c>
      <c r="L193" s="42">
        <f>IFERROR(C193/$C$36*100,"")</f>
        <v/>
      </c>
      <c r="M193" s="42">
        <f>IFERROR(D193/$D$36*100,"")</f>
        <v/>
      </c>
      <c r="N193" s="41">
        <f>IFERROR((1+H193)/(1+I193)-1,"")</f>
        <v/>
      </c>
      <c r="O193" s="41">
        <f>IFERROR((1+H193)/(1+J193)-1,"")</f>
        <v/>
      </c>
      <c r="P193" s="39">
        <f>IFERROR(B193*0.0099502487562189+P192*(1-0.0099502487562189),"")</f>
        <v/>
      </c>
      <c r="Q193" s="42">
        <f>Q192*(1+E193)</f>
        <v/>
      </c>
      <c r="R193" s="42">
        <f>MAX(R192,Q193)</f>
        <v/>
      </c>
      <c r="S193" s="41">
        <f>IFERROR(Q193/R193-1,"")</f>
        <v/>
      </c>
      <c r="T193" s="41">
        <f>IFERROR(_xlfn.STDEV.S(E134:E193)*SQRT($D$7),"")</f>
        <v/>
      </c>
      <c r="U193" s="41">
        <f>IFERROR(MIN(E193-$D$6,0),"")</f>
        <v/>
      </c>
      <c r="V193" s="41">
        <f>IFERROR(E193-F193,"")</f>
        <v/>
      </c>
      <c r="W193" s="39">
        <f>B193</f>
        <v/>
      </c>
      <c r="X193" s="21" t="n"/>
    </row>
    <row r="194">
      <c r="A194" s="38" t="n">
        <v>45218</v>
      </c>
      <c r="B194" s="39" t="n">
        <v>202.69</v>
      </c>
      <c r="C194" s="39" t="n">
        <v>426.43</v>
      </c>
      <c r="D194" s="39" t="n">
        <v>38.11</v>
      </c>
      <c r="E194" s="41">
        <f>IFERROR(B194/B193-1,"")</f>
        <v/>
      </c>
      <c r="F194" s="41">
        <f>IFERROR(C194/C193-1,"")</f>
        <v/>
      </c>
      <c r="G194" s="41">
        <f>IFERROR(D194/D193-1,"")</f>
        <v/>
      </c>
      <c r="H194" s="41">
        <f>IFERROR((1+E194)*(1+H193)-1,"")</f>
        <v/>
      </c>
      <c r="I194" s="41">
        <f>IFERROR((1+F194)*(1+I193)-1,"")</f>
        <v/>
      </c>
      <c r="J194" s="41">
        <f>IFERROR((1+G194)*(1+J193)-1,"")</f>
        <v/>
      </c>
      <c r="K194" s="42">
        <f>IFERROR(B194/$B$36*100,"")</f>
        <v/>
      </c>
      <c r="L194" s="42">
        <f>IFERROR(C194/$C$36*100,"")</f>
        <v/>
      </c>
      <c r="M194" s="42">
        <f>IFERROR(D194/$D$36*100,"")</f>
        <v/>
      </c>
      <c r="N194" s="41">
        <f>IFERROR((1+H194)/(1+I194)-1,"")</f>
        <v/>
      </c>
      <c r="O194" s="41">
        <f>IFERROR((1+H194)/(1+J194)-1,"")</f>
        <v/>
      </c>
      <c r="P194" s="39">
        <f>IFERROR(B194*0.0099502487562189+P193*(1-0.0099502487562189),"")</f>
        <v/>
      </c>
      <c r="Q194" s="42">
        <f>Q193*(1+E194)</f>
        <v/>
      </c>
      <c r="R194" s="42">
        <f>MAX(R193,Q194)</f>
        <v/>
      </c>
      <c r="S194" s="41">
        <f>IFERROR(Q194/R194-1,"")</f>
        <v/>
      </c>
      <c r="T194" s="41">
        <f>IFERROR(_xlfn.STDEV.S(E135:E194)*SQRT($D$7),"")</f>
        <v/>
      </c>
      <c r="U194" s="41">
        <f>IFERROR(MIN(E194-$D$6,0),"")</f>
        <v/>
      </c>
      <c r="V194" s="41">
        <f>IFERROR(E194-F194,"")</f>
        <v/>
      </c>
      <c r="W194" s="39">
        <f>B194</f>
        <v/>
      </c>
      <c r="X194" s="21" t="n"/>
    </row>
    <row r="195">
      <c r="A195" s="38" t="n">
        <v>45219</v>
      </c>
      <c r="B195" s="39" t="n">
        <v>201.55</v>
      </c>
      <c r="C195" s="39" t="n">
        <v>421.19</v>
      </c>
      <c r="D195" s="39" t="n">
        <v>37.65</v>
      </c>
      <c r="E195" s="41">
        <f>IFERROR(B195/B194-1,"")</f>
        <v/>
      </c>
      <c r="F195" s="41">
        <f>IFERROR(C195/C194-1,"")</f>
        <v/>
      </c>
      <c r="G195" s="41">
        <f>IFERROR(D195/D194-1,"")</f>
        <v/>
      </c>
      <c r="H195" s="41">
        <f>IFERROR((1+E195)*(1+H194)-1,"")</f>
        <v/>
      </c>
      <c r="I195" s="41">
        <f>IFERROR((1+F195)*(1+I194)-1,"")</f>
        <v/>
      </c>
      <c r="J195" s="41">
        <f>IFERROR((1+G195)*(1+J194)-1,"")</f>
        <v/>
      </c>
      <c r="K195" s="42">
        <f>IFERROR(B195/$B$36*100,"")</f>
        <v/>
      </c>
      <c r="L195" s="42">
        <f>IFERROR(C195/$C$36*100,"")</f>
        <v/>
      </c>
      <c r="M195" s="42">
        <f>IFERROR(D195/$D$36*100,"")</f>
        <v/>
      </c>
      <c r="N195" s="41">
        <f>IFERROR((1+H195)/(1+I195)-1,"")</f>
        <v/>
      </c>
      <c r="O195" s="41">
        <f>IFERROR((1+H195)/(1+J195)-1,"")</f>
        <v/>
      </c>
      <c r="P195" s="39">
        <f>IFERROR(B195*0.0099502487562189+P194*(1-0.0099502487562189),"")</f>
        <v/>
      </c>
      <c r="Q195" s="42">
        <f>Q194*(1+E195)</f>
        <v/>
      </c>
      <c r="R195" s="42">
        <f>MAX(R194,Q195)</f>
        <v/>
      </c>
      <c r="S195" s="41">
        <f>IFERROR(Q195/R195-1,"")</f>
        <v/>
      </c>
      <c r="T195" s="41">
        <f>IFERROR(_xlfn.STDEV.S(E136:E195)*SQRT($D$7),"")</f>
        <v/>
      </c>
      <c r="U195" s="41">
        <f>IFERROR(MIN(E195-$D$6,0),"")</f>
        <v/>
      </c>
      <c r="V195" s="41">
        <f>IFERROR(E195-F195,"")</f>
        <v/>
      </c>
      <c r="W195" s="39">
        <f>B195</f>
        <v/>
      </c>
      <c r="X195" s="21" t="n"/>
    </row>
    <row r="196">
      <c r="A196" s="38" t="n">
        <v>45222</v>
      </c>
      <c r="B196" s="39" t="n">
        <v>202.5</v>
      </c>
      <c r="C196" s="39" t="n">
        <v>420.46</v>
      </c>
      <c r="D196" s="39" t="n">
        <v>37.23</v>
      </c>
      <c r="E196" s="41">
        <f>IFERROR(B196/B195-1,"")</f>
        <v/>
      </c>
      <c r="F196" s="41">
        <f>IFERROR(C196/C195-1,"")</f>
        <v/>
      </c>
      <c r="G196" s="41">
        <f>IFERROR(D196/D195-1,"")</f>
        <v/>
      </c>
      <c r="H196" s="41">
        <f>IFERROR((1+E196)*(1+H195)-1,"")</f>
        <v/>
      </c>
      <c r="I196" s="41">
        <f>IFERROR((1+F196)*(1+I195)-1,"")</f>
        <v/>
      </c>
      <c r="J196" s="41">
        <f>IFERROR((1+G196)*(1+J195)-1,"")</f>
        <v/>
      </c>
      <c r="K196" s="42">
        <f>IFERROR(B196/$B$36*100,"")</f>
        <v/>
      </c>
      <c r="L196" s="42">
        <f>IFERROR(C196/$C$36*100,"")</f>
        <v/>
      </c>
      <c r="M196" s="42">
        <f>IFERROR(D196/$D$36*100,"")</f>
        <v/>
      </c>
      <c r="N196" s="41">
        <f>IFERROR((1+H196)/(1+I196)-1,"")</f>
        <v/>
      </c>
      <c r="O196" s="41">
        <f>IFERROR((1+H196)/(1+J196)-1,"")</f>
        <v/>
      </c>
      <c r="P196" s="39">
        <f>IFERROR(B196*0.0099502487562189+P195*(1-0.0099502487562189),"")</f>
        <v/>
      </c>
      <c r="Q196" s="42">
        <f>Q195*(1+E196)</f>
        <v/>
      </c>
      <c r="R196" s="42">
        <f>MAX(R195,Q196)</f>
        <v/>
      </c>
      <c r="S196" s="41">
        <f>IFERROR(Q196/R196-1,"")</f>
        <v/>
      </c>
      <c r="T196" s="41">
        <f>IFERROR(_xlfn.STDEV.S(E137:E196)*SQRT($D$7),"")</f>
        <v/>
      </c>
      <c r="U196" s="41">
        <f>IFERROR(MIN(E196-$D$6,0),"")</f>
        <v/>
      </c>
      <c r="V196" s="41">
        <f>IFERROR(E196-F196,"")</f>
        <v/>
      </c>
      <c r="W196" s="39">
        <f>B196</f>
        <v/>
      </c>
      <c r="X196" s="21" t="n"/>
    </row>
    <row r="197">
      <c r="A197" s="38" t="n">
        <v>45223</v>
      </c>
      <c r="B197" s="39" t="n">
        <v>205.15</v>
      </c>
      <c r="C197" s="39" t="n">
        <v>423.63</v>
      </c>
      <c r="D197" s="39" t="n">
        <v>37.67</v>
      </c>
      <c r="E197" s="41">
        <f>IFERROR(B197/B196-1,"")</f>
        <v/>
      </c>
      <c r="F197" s="41">
        <f>IFERROR(C197/C196-1,"")</f>
        <v/>
      </c>
      <c r="G197" s="41">
        <f>IFERROR(D197/D196-1,"")</f>
        <v/>
      </c>
      <c r="H197" s="41">
        <f>IFERROR((1+E197)*(1+H196)-1,"")</f>
        <v/>
      </c>
      <c r="I197" s="41">
        <f>IFERROR((1+F197)*(1+I196)-1,"")</f>
        <v/>
      </c>
      <c r="J197" s="41">
        <f>IFERROR((1+G197)*(1+J196)-1,"")</f>
        <v/>
      </c>
      <c r="K197" s="42">
        <f>IFERROR(B197/$B$36*100,"")</f>
        <v/>
      </c>
      <c r="L197" s="42">
        <f>IFERROR(C197/$C$36*100,"")</f>
        <v/>
      </c>
      <c r="M197" s="42">
        <f>IFERROR(D197/$D$36*100,"")</f>
        <v/>
      </c>
      <c r="N197" s="41">
        <f>IFERROR((1+H197)/(1+I197)-1,"")</f>
        <v/>
      </c>
      <c r="O197" s="41">
        <f>IFERROR((1+H197)/(1+J197)-1,"")</f>
        <v/>
      </c>
      <c r="P197" s="39">
        <f>IFERROR(B197*0.0099502487562189+P196*(1-0.0099502487562189),"")</f>
        <v/>
      </c>
      <c r="Q197" s="42">
        <f>Q196*(1+E197)</f>
        <v/>
      </c>
      <c r="R197" s="42">
        <f>MAX(R196,Q197)</f>
        <v/>
      </c>
      <c r="S197" s="41">
        <f>IFERROR(Q197/R197-1,"")</f>
        <v/>
      </c>
      <c r="T197" s="41">
        <f>IFERROR(_xlfn.STDEV.S(E138:E197)*SQRT($D$7),"")</f>
        <v/>
      </c>
      <c r="U197" s="41">
        <f>IFERROR(MIN(E197-$D$6,0),"")</f>
        <v/>
      </c>
      <c r="V197" s="41">
        <f>IFERROR(E197-F197,"")</f>
        <v/>
      </c>
      <c r="W197" s="39">
        <f>B197</f>
        <v/>
      </c>
      <c r="X197" s="21" t="n"/>
    </row>
    <row r="198">
      <c r="A198" s="38" t="n">
        <v>45224</v>
      </c>
      <c r="B198" s="39" t="n">
        <v>203.37</v>
      </c>
      <c r="C198" s="39" t="n">
        <v>417.55</v>
      </c>
      <c r="D198" s="39" t="n">
        <v>37.23</v>
      </c>
      <c r="E198" s="41">
        <f>IFERROR(B198/B197-1,"")</f>
        <v/>
      </c>
      <c r="F198" s="41">
        <f>IFERROR(C198/C197-1,"")</f>
        <v/>
      </c>
      <c r="G198" s="41">
        <f>IFERROR(D198/D197-1,"")</f>
        <v/>
      </c>
      <c r="H198" s="41">
        <f>IFERROR((1+E198)*(1+H197)-1,"")</f>
        <v/>
      </c>
      <c r="I198" s="41">
        <f>IFERROR((1+F198)*(1+I197)-1,"")</f>
        <v/>
      </c>
      <c r="J198" s="41">
        <f>IFERROR((1+G198)*(1+J197)-1,"")</f>
        <v/>
      </c>
      <c r="K198" s="42">
        <f>IFERROR(B198/$B$36*100,"")</f>
        <v/>
      </c>
      <c r="L198" s="42">
        <f>IFERROR(C198/$C$36*100,"")</f>
        <v/>
      </c>
      <c r="M198" s="42">
        <f>IFERROR(D198/$D$36*100,"")</f>
        <v/>
      </c>
      <c r="N198" s="41">
        <f>IFERROR((1+H198)/(1+I198)-1,"")</f>
        <v/>
      </c>
      <c r="O198" s="41">
        <f>IFERROR((1+H198)/(1+J198)-1,"")</f>
        <v/>
      </c>
      <c r="P198" s="39">
        <f>IFERROR(B198*0.0099502487562189+P197*(1-0.0099502487562189),"")</f>
        <v/>
      </c>
      <c r="Q198" s="42">
        <f>Q197*(1+E198)</f>
        <v/>
      </c>
      <c r="R198" s="42">
        <f>MAX(R197,Q198)</f>
        <v/>
      </c>
      <c r="S198" s="41">
        <f>IFERROR(Q198/R198-1,"")</f>
        <v/>
      </c>
      <c r="T198" s="41">
        <f>IFERROR(_xlfn.STDEV.S(E139:E198)*SQRT($D$7),"")</f>
        <v/>
      </c>
      <c r="U198" s="41">
        <f>IFERROR(MIN(E198-$D$6,0),"")</f>
        <v/>
      </c>
      <c r="V198" s="41">
        <f>IFERROR(E198-F198,"")</f>
        <v/>
      </c>
      <c r="W198" s="39">
        <f>B198</f>
        <v/>
      </c>
      <c r="X198" s="21" t="n"/>
    </row>
    <row r="199">
      <c r="A199" s="38" t="n">
        <v>45225</v>
      </c>
      <c r="B199" s="39" t="n">
        <v>193.97</v>
      </c>
      <c r="C199" s="39" t="n">
        <v>412.55</v>
      </c>
      <c r="D199" s="39" t="n">
        <v>37.49</v>
      </c>
      <c r="E199" s="41">
        <f>IFERROR(B199/B198-1,"")</f>
        <v/>
      </c>
      <c r="F199" s="41">
        <f>IFERROR(C199/C198-1,"")</f>
        <v/>
      </c>
      <c r="G199" s="41">
        <f>IFERROR(D199/D198-1,"")</f>
        <v/>
      </c>
      <c r="H199" s="41">
        <f>IFERROR((1+E199)*(1+H198)-1,"")</f>
        <v/>
      </c>
      <c r="I199" s="41">
        <f>IFERROR((1+F199)*(1+I198)-1,"")</f>
        <v/>
      </c>
      <c r="J199" s="41">
        <f>IFERROR((1+G199)*(1+J198)-1,"")</f>
        <v/>
      </c>
      <c r="K199" s="42">
        <f>IFERROR(B199/$B$36*100,"")</f>
        <v/>
      </c>
      <c r="L199" s="42">
        <f>IFERROR(C199/$C$36*100,"")</f>
        <v/>
      </c>
      <c r="M199" s="42">
        <f>IFERROR(D199/$D$36*100,"")</f>
        <v/>
      </c>
      <c r="N199" s="41">
        <f>IFERROR((1+H199)/(1+I199)-1,"")</f>
        <v/>
      </c>
      <c r="O199" s="41">
        <f>IFERROR((1+H199)/(1+J199)-1,"")</f>
        <v/>
      </c>
      <c r="P199" s="39">
        <f>IFERROR(B199*0.0099502487562189+P198*(1-0.0099502487562189),"")</f>
        <v/>
      </c>
      <c r="Q199" s="42">
        <f>Q198*(1+E199)</f>
        <v/>
      </c>
      <c r="R199" s="42">
        <f>MAX(R198,Q199)</f>
        <v/>
      </c>
      <c r="S199" s="41">
        <f>IFERROR(Q199/R199-1,"")</f>
        <v/>
      </c>
      <c r="T199" s="41">
        <f>IFERROR(_xlfn.STDEV.S(E140:E199)*SQRT($D$7),"")</f>
        <v/>
      </c>
      <c r="U199" s="41">
        <f>IFERROR(MIN(E199-$D$6,0),"")</f>
        <v/>
      </c>
      <c r="V199" s="41">
        <f>IFERROR(E199-F199,"")</f>
        <v/>
      </c>
      <c r="W199" s="39">
        <f>B199</f>
        <v/>
      </c>
      <c r="X199" s="21" t="n"/>
    </row>
    <row r="200">
      <c r="A200" s="38" t="n">
        <v>45226</v>
      </c>
      <c r="B200" s="39" t="n">
        <v>193.69</v>
      </c>
      <c r="C200" s="39" t="n">
        <v>410.68</v>
      </c>
      <c r="D200" s="39" t="n">
        <v>37.475</v>
      </c>
      <c r="E200" s="41">
        <f>IFERROR(B200/B199-1,"")</f>
        <v/>
      </c>
      <c r="F200" s="41">
        <f>IFERROR(C200/C199-1,"")</f>
        <v/>
      </c>
      <c r="G200" s="41">
        <f>IFERROR(D200/D199-1,"")</f>
        <v/>
      </c>
      <c r="H200" s="41">
        <f>IFERROR((1+E200)*(1+H199)-1,"")</f>
        <v/>
      </c>
      <c r="I200" s="41">
        <f>IFERROR((1+F200)*(1+I199)-1,"")</f>
        <v/>
      </c>
      <c r="J200" s="41">
        <f>IFERROR((1+G200)*(1+J199)-1,"")</f>
        <v/>
      </c>
      <c r="K200" s="42">
        <f>IFERROR(B200/$B$36*100,"")</f>
        <v/>
      </c>
      <c r="L200" s="42">
        <f>IFERROR(C200/$C$36*100,"")</f>
        <v/>
      </c>
      <c r="M200" s="42">
        <f>IFERROR(D200/$D$36*100,"")</f>
        <v/>
      </c>
      <c r="N200" s="41">
        <f>IFERROR((1+H200)/(1+I200)-1,"")</f>
        <v/>
      </c>
      <c r="O200" s="41">
        <f>IFERROR((1+H200)/(1+J200)-1,"")</f>
        <v/>
      </c>
      <c r="P200" s="39">
        <f>IFERROR(B200*0.0099502487562189+P199*(1-0.0099502487562189),"")</f>
        <v/>
      </c>
      <c r="Q200" s="42">
        <f>Q199*(1+E200)</f>
        <v/>
      </c>
      <c r="R200" s="42">
        <f>MAX(R199,Q200)</f>
        <v/>
      </c>
      <c r="S200" s="41">
        <f>IFERROR(Q200/R200-1,"")</f>
        <v/>
      </c>
      <c r="T200" s="41">
        <f>IFERROR(_xlfn.STDEV.S(E141:E200)*SQRT($D$7),"")</f>
        <v/>
      </c>
      <c r="U200" s="41">
        <f>IFERROR(MIN(E200-$D$6,0),"")</f>
        <v/>
      </c>
      <c r="V200" s="41">
        <f>IFERROR(E200-F200,"")</f>
        <v/>
      </c>
      <c r="W200" s="39">
        <f>B200</f>
        <v/>
      </c>
      <c r="X200" s="21" t="n"/>
    </row>
    <row r="201">
      <c r="A201" s="38" t="n">
        <v>45229</v>
      </c>
      <c r="B201" s="39" t="n">
        <v>195.99</v>
      </c>
      <c r="C201" s="39" t="n">
        <v>415.59</v>
      </c>
      <c r="D201" s="39" t="n">
        <v>37.86</v>
      </c>
      <c r="E201" s="41">
        <f>IFERROR(B201/B200-1,"")</f>
        <v/>
      </c>
      <c r="F201" s="41">
        <f>IFERROR(C201/C200-1,"")</f>
        <v/>
      </c>
      <c r="G201" s="41">
        <f>IFERROR(D201/D200-1,"")</f>
        <v/>
      </c>
      <c r="H201" s="41">
        <f>IFERROR((1+E201)*(1+H200)-1,"")</f>
        <v/>
      </c>
      <c r="I201" s="41">
        <f>IFERROR((1+F201)*(1+I200)-1,"")</f>
        <v/>
      </c>
      <c r="J201" s="41">
        <f>IFERROR((1+G201)*(1+J200)-1,"")</f>
        <v/>
      </c>
      <c r="K201" s="42">
        <f>IFERROR(B201/$B$36*100,"")</f>
        <v/>
      </c>
      <c r="L201" s="42">
        <f>IFERROR(C201/$C$36*100,"")</f>
        <v/>
      </c>
      <c r="M201" s="42">
        <f>IFERROR(D201/$D$36*100,"")</f>
        <v/>
      </c>
      <c r="N201" s="41">
        <f>IFERROR((1+H201)/(1+I201)-1,"")</f>
        <v/>
      </c>
      <c r="O201" s="41">
        <f>IFERROR((1+H201)/(1+J201)-1,"")</f>
        <v/>
      </c>
      <c r="P201" s="39">
        <f>IFERROR(B201*0.0099502487562189+P200*(1-0.0099502487562189),"")</f>
        <v/>
      </c>
      <c r="Q201" s="42">
        <f>Q200*(1+E201)</f>
        <v/>
      </c>
      <c r="R201" s="42">
        <f>MAX(R200,Q201)</f>
        <v/>
      </c>
      <c r="S201" s="41">
        <f>IFERROR(Q201/R201-1,"")</f>
        <v/>
      </c>
      <c r="T201" s="41">
        <f>IFERROR(_xlfn.STDEV.S(E142:E201)*SQRT($D$7),"")</f>
        <v/>
      </c>
      <c r="U201" s="41">
        <f>IFERROR(MIN(E201-$D$6,0),"")</f>
        <v/>
      </c>
      <c r="V201" s="41">
        <f>IFERROR(E201-F201,"")</f>
        <v/>
      </c>
      <c r="W201" s="39">
        <f>B201</f>
        <v/>
      </c>
      <c r="X201" s="21" t="n"/>
    </row>
    <row r="202">
      <c r="A202" s="38" t="n">
        <v>45230</v>
      </c>
      <c r="B202" s="39" t="n">
        <v>196.49</v>
      </c>
      <c r="C202" s="39" t="n">
        <v>418.2</v>
      </c>
      <c r="D202" s="39" t="n">
        <v>38.03</v>
      </c>
      <c r="E202" s="41">
        <f>IFERROR(B202/B201-1,"")</f>
        <v/>
      </c>
      <c r="F202" s="41">
        <f>IFERROR(C202/C201-1,"")</f>
        <v/>
      </c>
      <c r="G202" s="41">
        <f>IFERROR(D202/D201-1,"")</f>
        <v/>
      </c>
      <c r="H202" s="41">
        <f>IFERROR((1+E202)*(1+H201)-1,"")</f>
        <v/>
      </c>
      <c r="I202" s="41">
        <f>IFERROR((1+F202)*(1+I201)-1,"")</f>
        <v/>
      </c>
      <c r="J202" s="41">
        <f>IFERROR((1+G202)*(1+J201)-1,"")</f>
        <v/>
      </c>
      <c r="K202" s="42">
        <f>IFERROR(B202/$B$36*100,"")</f>
        <v/>
      </c>
      <c r="L202" s="42">
        <f>IFERROR(C202/$C$36*100,"")</f>
        <v/>
      </c>
      <c r="M202" s="42">
        <f>IFERROR(D202/$D$36*100,"")</f>
        <v/>
      </c>
      <c r="N202" s="41">
        <f>IFERROR((1+H202)/(1+I202)-1,"")</f>
        <v/>
      </c>
      <c r="O202" s="41">
        <f>IFERROR((1+H202)/(1+J202)-1,"")</f>
        <v/>
      </c>
      <c r="P202" s="39">
        <f>IFERROR(B202*0.0099502487562189+P201*(1-0.0099502487562189),"")</f>
        <v/>
      </c>
      <c r="Q202" s="42">
        <f>Q201*(1+E202)</f>
        <v/>
      </c>
      <c r="R202" s="42">
        <f>MAX(R201,Q202)</f>
        <v/>
      </c>
      <c r="S202" s="41">
        <f>IFERROR(Q202/R202-1,"")</f>
        <v/>
      </c>
      <c r="T202" s="41">
        <f>IFERROR(_xlfn.STDEV.S(E143:E202)*SQRT($D$7),"")</f>
        <v/>
      </c>
      <c r="U202" s="41">
        <f>IFERROR(MIN(E202-$D$6,0),"")</f>
        <v/>
      </c>
      <c r="V202" s="41">
        <f>IFERROR(E202-F202,"")</f>
        <v/>
      </c>
      <c r="W202" s="39">
        <f>B202</f>
        <v/>
      </c>
      <c r="X202" s="21" t="n"/>
    </row>
    <row r="203">
      <c r="A203" s="38" t="n">
        <v>45231</v>
      </c>
      <c r="B203" s="39" t="n">
        <v>203.8</v>
      </c>
      <c r="C203" s="39" t="n">
        <v>422.66</v>
      </c>
      <c r="D203" s="39" t="n">
        <v>38.05</v>
      </c>
      <c r="E203" s="41">
        <f>IFERROR(B203/B202-1,"")</f>
        <v/>
      </c>
      <c r="F203" s="41">
        <f>IFERROR(C203/C202-1,"")</f>
        <v/>
      </c>
      <c r="G203" s="41">
        <f>IFERROR(D203/D202-1,"")</f>
        <v/>
      </c>
      <c r="H203" s="41">
        <f>IFERROR((1+E203)*(1+H202)-1,"")</f>
        <v/>
      </c>
      <c r="I203" s="41">
        <f>IFERROR((1+F203)*(1+I202)-1,"")</f>
        <v/>
      </c>
      <c r="J203" s="41">
        <f>IFERROR((1+G203)*(1+J202)-1,"")</f>
        <v/>
      </c>
      <c r="K203" s="42">
        <f>IFERROR(B203/$B$36*100,"")</f>
        <v/>
      </c>
      <c r="L203" s="42">
        <f>IFERROR(C203/$C$36*100,"")</f>
        <v/>
      </c>
      <c r="M203" s="42">
        <f>IFERROR(D203/$D$36*100,"")</f>
        <v/>
      </c>
      <c r="N203" s="41">
        <f>IFERROR((1+H203)/(1+I203)-1,"")</f>
        <v/>
      </c>
      <c r="O203" s="41">
        <f>IFERROR((1+H203)/(1+J203)-1,"")</f>
        <v/>
      </c>
      <c r="P203" s="39">
        <f>IFERROR(B203*0.0099502487562189+P202*(1-0.0099502487562189),"")</f>
        <v/>
      </c>
      <c r="Q203" s="42">
        <f>Q202*(1+E203)</f>
        <v/>
      </c>
      <c r="R203" s="42">
        <f>MAX(R202,Q203)</f>
        <v/>
      </c>
      <c r="S203" s="41">
        <f>IFERROR(Q203/R203-1,"")</f>
        <v/>
      </c>
      <c r="T203" s="41">
        <f>IFERROR(_xlfn.STDEV.S(E144:E203)*SQRT($D$7),"")</f>
        <v/>
      </c>
      <c r="U203" s="41">
        <f>IFERROR(MIN(E203-$D$6,0),"")</f>
        <v/>
      </c>
      <c r="V203" s="41">
        <f>IFERROR(E203-F203,"")</f>
        <v/>
      </c>
      <c r="W203" s="39">
        <f>B203</f>
        <v/>
      </c>
      <c r="X203" s="21" t="n"/>
    </row>
    <row r="204">
      <c r="A204" s="38" t="n">
        <v>45232</v>
      </c>
      <c r="B204" s="39" t="n">
        <v>206.82</v>
      </c>
      <c r="C204" s="39" t="n">
        <v>430.76</v>
      </c>
      <c r="D204" s="39" t="n">
        <v>38.785</v>
      </c>
      <c r="E204" s="41">
        <f>IFERROR(B204/B203-1,"")</f>
        <v/>
      </c>
      <c r="F204" s="41">
        <f>IFERROR(C204/C203-1,"")</f>
        <v/>
      </c>
      <c r="G204" s="41">
        <f>IFERROR(D204/D203-1,"")</f>
        <v/>
      </c>
      <c r="H204" s="41">
        <f>IFERROR((1+E204)*(1+H203)-1,"")</f>
        <v/>
      </c>
      <c r="I204" s="41">
        <f>IFERROR((1+F204)*(1+I203)-1,"")</f>
        <v/>
      </c>
      <c r="J204" s="41">
        <f>IFERROR((1+G204)*(1+J203)-1,"")</f>
        <v/>
      </c>
      <c r="K204" s="42">
        <f>IFERROR(B204/$B$36*100,"")</f>
        <v/>
      </c>
      <c r="L204" s="42">
        <f>IFERROR(C204/$C$36*100,"")</f>
        <v/>
      </c>
      <c r="M204" s="42">
        <f>IFERROR(D204/$D$36*100,"")</f>
        <v/>
      </c>
      <c r="N204" s="41">
        <f>IFERROR((1+H204)/(1+I204)-1,"")</f>
        <v/>
      </c>
      <c r="O204" s="41">
        <f>IFERROR((1+H204)/(1+J204)-1,"")</f>
        <v/>
      </c>
      <c r="P204" s="39">
        <f>IFERROR(B204*0.0099502487562189+P203*(1-0.0099502487562189),"")</f>
        <v/>
      </c>
      <c r="Q204" s="42">
        <f>Q203*(1+E204)</f>
        <v/>
      </c>
      <c r="R204" s="42">
        <f>MAX(R203,Q204)</f>
        <v/>
      </c>
      <c r="S204" s="41">
        <f>IFERROR(Q204/R204-1,"")</f>
        <v/>
      </c>
      <c r="T204" s="41">
        <f>IFERROR(_xlfn.STDEV.S(E145:E204)*SQRT($D$7),"")</f>
        <v/>
      </c>
      <c r="U204" s="41">
        <f>IFERROR(MIN(E204-$D$6,0),"")</f>
        <v/>
      </c>
      <c r="V204" s="41">
        <f>IFERROR(E204-F204,"")</f>
        <v/>
      </c>
      <c r="W204" s="39">
        <f>B204</f>
        <v/>
      </c>
      <c r="X204" s="21" t="n"/>
    </row>
    <row r="205">
      <c r="A205" s="38" t="n">
        <v>45233</v>
      </c>
      <c r="B205" s="39" t="n">
        <v>207.78</v>
      </c>
      <c r="C205" s="39" t="n">
        <v>434.69</v>
      </c>
      <c r="D205" s="39" t="n">
        <v>39.395</v>
      </c>
      <c r="E205" s="41">
        <f>IFERROR(B205/B204-1,"")</f>
        <v/>
      </c>
      <c r="F205" s="41">
        <f>IFERROR(C205/C204-1,"")</f>
        <v/>
      </c>
      <c r="G205" s="41">
        <f>IFERROR(D205/D204-1,"")</f>
        <v/>
      </c>
      <c r="H205" s="41">
        <f>IFERROR((1+E205)*(1+H204)-1,"")</f>
        <v/>
      </c>
      <c r="I205" s="41">
        <f>IFERROR((1+F205)*(1+I204)-1,"")</f>
        <v/>
      </c>
      <c r="J205" s="41">
        <f>IFERROR((1+G205)*(1+J204)-1,"")</f>
        <v/>
      </c>
      <c r="K205" s="42">
        <f>IFERROR(B205/$B$36*100,"")</f>
        <v/>
      </c>
      <c r="L205" s="42">
        <f>IFERROR(C205/$C$36*100,"")</f>
        <v/>
      </c>
      <c r="M205" s="42">
        <f>IFERROR(D205/$D$36*100,"")</f>
        <v/>
      </c>
      <c r="N205" s="41">
        <f>IFERROR((1+H205)/(1+I205)-1,"")</f>
        <v/>
      </c>
      <c r="O205" s="41">
        <f>IFERROR((1+H205)/(1+J205)-1,"")</f>
        <v/>
      </c>
      <c r="P205" s="39">
        <f>IFERROR(B205*0.0099502487562189+P204*(1-0.0099502487562189),"")</f>
        <v/>
      </c>
      <c r="Q205" s="42">
        <f>Q204*(1+E205)</f>
        <v/>
      </c>
      <c r="R205" s="42">
        <f>MAX(R204,Q205)</f>
        <v/>
      </c>
      <c r="S205" s="41">
        <f>IFERROR(Q205/R205-1,"")</f>
        <v/>
      </c>
      <c r="T205" s="41">
        <f>IFERROR(_xlfn.STDEV.S(E146:E205)*SQRT($D$7),"")</f>
        <v/>
      </c>
      <c r="U205" s="41">
        <f>IFERROR(MIN(E205-$D$6,0),"")</f>
        <v/>
      </c>
      <c r="V205" s="41">
        <f>IFERROR(E205-F205,"")</f>
        <v/>
      </c>
      <c r="W205" s="39">
        <f>B205</f>
        <v/>
      </c>
      <c r="X205" s="21" t="n"/>
    </row>
    <row r="206">
      <c r="A206" s="38" t="n">
        <v>45236</v>
      </c>
      <c r="B206" s="39" t="n">
        <v>207.14</v>
      </c>
      <c r="C206" s="39" t="n">
        <v>435.69</v>
      </c>
      <c r="D206" s="39" t="n">
        <v>39.2</v>
      </c>
      <c r="E206" s="41">
        <f>IFERROR(B206/B205-1,"")</f>
        <v/>
      </c>
      <c r="F206" s="41">
        <f>IFERROR(C206/C205-1,"")</f>
        <v/>
      </c>
      <c r="G206" s="41">
        <f>IFERROR(D206/D205-1,"")</f>
        <v/>
      </c>
      <c r="H206" s="41">
        <f>IFERROR((1+E206)*(1+H205)-1,"")</f>
        <v/>
      </c>
      <c r="I206" s="41">
        <f>IFERROR((1+F206)*(1+I205)-1,"")</f>
        <v/>
      </c>
      <c r="J206" s="41">
        <f>IFERROR((1+G206)*(1+J205)-1,"")</f>
        <v/>
      </c>
      <c r="K206" s="42">
        <f>IFERROR(B206/$B$36*100,"")</f>
        <v/>
      </c>
      <c r="L206" s="42">
        <f>IFERROR(C206/$C$36*100,"")</f>
        <v/>
      </c>
      <c r="M206" s="42">
        <f>IFERROR(D206/$D$36*100,"")</f>
        <v/>
      </c>
      <c r="N206" s="41">
        <f>IFERROR((1+H206)/(1+I206)-1,"")</f>
        <v/>
      </c>
      <c r="O206" s="41">
        <f>IFERROR((1+H206)/(1+J206)-1,"")</f>
        <v/>
      </c>
      <c r="P206" s="39">
        <f>IFERROR(B206*0.0099502487562189+P205*(1-0.0099502487562189),"")</f>
        <v/>
      </c>
      <c r="Q206" s="42">
        <f>Q205*(1+E206)</f>
        <v/>
      </c>
      <c r="R206" s="42">
        <f>MAX(R205,Q206)</f>
        <v/>
      </c>
      <c r="S206" s="41">
        <f>IFERROR(Q206/R206-1,"")</f>
        <v/>
      </c>
      <c r="T206" s="41">
        <f>IFERROR(_xlfn.STDEV.S(E147:E206)*SQRT($D$7),"")</f>
        <v/>
      </c>
      <c r="U206" s="41">
        <f>IFERROR(MIN(E206-$D$6,0),"")</f>
        <v/>
      </c>
      <c r="V206" s="41">
        <f>IFERROR(E206-F206,"")</f>
        <v/>
      </c>
      <c r="W206" s="39">
        <f>B206</f>
        <v/>
      </c>
      <c r="X206" s="21" t="n"/>
    </row>
    <row r="207">
      <c r="A207" s="38" t="n">
        <v>45237</v>
      </c>
      <c r="B207" s="39" t="n">
        <v>207.21</v>
      </c>
      <c r="C207" s="39" t="n">
        <v>436.93</v>
      </c>
      <c r="D207" s="39" t="n">
        <v>38.44</v>
      </c>
      <c r="E207" s="41">
        <f>IFERROR(B207/B206-1,"")</f>
        <v/>
      </c>
      <c r="F207" s="41">
        <f>IFERROR(C207/C206-1,"")</f>
        <v/>
      </c>
      <c r="G207" s="41">
        <f>IFERROR(D207/D206-1,"")</f>
        <v/>
      </c>
      <c r="H207" s="41">
        <f>IFERROR((1+E207)*(1+H206)-1,"")</f>
        <v/>
      </c>
      <c r="I207" s="41">
        <f>IFERROR((1+F207)*(1+I206)-1,"")</f>
        <v/>
      </c>
      <c r="J207" s="41">
        <f>IFERROR((1+G207)*(1+J206)-1,"")</f>
        <v/>
      </c>
      <c r="K207" s="42">
        <f>IFERROR(B207/$B$36*100,"")</f>
        <v/>
      </c>
      <c r="L207" s="42">
        <f>IFERROR(C207/$C$36*100,"")</f>
        <v/>
      </c>
      <c r="M207" s="42">
        <f>IFERROR(D207/$D$36*100,"")</f>
        <v/>
      </c>
      <c r="N207" s="41">
        <f>IFERROR((1+H207)/(1+I207)-1,"")</f>
        <v/>
      </c>
      <c r="O207" s="41">
        <f>IFERROR((1+H207)/(1+J207)-1,"")</f>
        <v/>
      </c>
      <c r="P207" s="39">
        <f>IFERROR(B207*0.0099502487562189+P206*(1-0.0099502487562189),"")</f>
        <v/>
      </c>
      <c r="Q207" s="42">
        <f>Q206*(1+E207)</f>
        <v/>
      </c>
      <c r="R207" s="42">
        <f>MAX(R206,Q207)</f>
        <v/>
      </c>
      <c r="S207" s="41">
        <f>IFERROR(Q207/R207-1,"")</f>
        <v/>
      </c>
      <c r="T207" s="41">
        <f>IFERROR(_xlfn.STDEV.S(E148:E207)*SQRT($D$7),"")</f>
        <v/>
      </c>
      <c r="U207" s="41">
        <f>IFERROR(MIN(E207-$D$6,0),"")</f>
        <v/>
      </c>
      <c r="V207" s="41">
        <f>IFERROR(E207-F207,"")</f>
        <v/>
      </c>
      <c r="W207" s="39">
        <f>B207</f>
        <v/>
      </c>
      <c r="X207" s="21" t="n"/>
    </row>
    <row r="208">
      <c r="A208" s="38" t="n">
        <v>45238</v>
      </c>
      <c r="B208" s="39" t="n">
        <v>208.43</v>
      </c>
      <c r="C208" s="39" t="n">
        <v>437.25</v>
      </c>
      <c r="D208" s="39" t="n">
        <v>38.56</v>
      </c>
      <c r="E208" s="41">
        <f>IFERROR(B208/B207-1,"")</f>
        <v/>
      </c>
      <c r="F208" s="41">
        <f>IFERROR(C208/C207-1,"")</f>
        <v/>
      </c>
      <c r="G208" s="41">
        <f>IFERROR(D208/D207-1,"")</f>
        <v/>
      </c>
      <c r="H208" s="41">
        <f>IFERROR((1+E208)*(1+H207)-1,"")</f>
        <v/>
      </c>
      <c r="I208" s="41">
        <f>IFERROR((1+F208)*(1+I207)-1,"")</f>
        <v/>
      </c>
      <c r="J208" s="41">
        <f>IFERROR((1+G208)*(1+J207)-1,"")</f>
        <v/>
      </c>
      <c r="K208" s="42">
        <f>IFERROR(B208/$B$36*100,"")</f>
        <v/>
      </c>
      <c r="L208" s="42">
        <f>IFERROR(C208/$C$36*100,"")</f>
        <v/>
      </c>
      <c r="M208" s="42">
        <f>IFERROR(D208/$D$36*100,"")</f>
        <v/>
      </c>
      <c r="N208" s="41">
        <f>IFERROR((1+H208)/(1+I208)-1,"")</f>
        <v/>
      </c>
      <c r="O208" s="41">
        <f>IFERROR((1+H208)/(1+J208)-1,"")</f>
        <v/>
      </c>
      <c r="P208" s="39">
        <f>IFERROR(B208*0.0099502487562189+P207*(1-0.0099502487562189),"")</f>
        <v/>
      </c>
      <c r="Q208" s="42">
        <f>Q207*(1+E208)</f>
        <v/>
      </c>
      <c r="R208" s="42">
        <f>MAX(R207,Q208)</f>
        <v/>
      </c>
      <c r="S208" s="41">
        <f>IFERROR(Q208/R208-1,"")</f>
        <v/>
      </c>
      <c r="T208" s="41">
        <f>IFERROR(_xlfn.STDEV.S(E149:E208)*SQRT($D$7),"")</f>
        <v/>
      </c>
      <c r="U208" s="41">
        <f>IFERROR(MIN(E208-$D$6,0),"")</f>
        <v/>
      </c>
      <c r="V208" s="41">
        <f>IFERROR(E208-F208,"")</f>
        <v/>
      </c>
      <c r="W208" s="39">
        <f>B208</f>
        <v/>
      </c>
      <c r="X208" s="21" t="n"/>
    </row>
    <row r="209">
      <c r="A209" s="38" t="n">
        <v>45239</v>
      </c>
      <c r="B209" s="39" t="n">
        <v>209.23</v>
      </c>
      <c r="C209" s="39" t="n">
        <v>433.84</v>
      </c>
      <c r="D209" s="39" t="n">
        <v>38.23</v>
      </c>
      <c r="E209" s="41">
        <f>IFERROR(B209/B208-1,"")</f>
        <v/>
      </c>
      <c r="F209" s="41">
        <f>IFERROR(C209/C208-1,"")</f>
        <v/>
      </c>
      <c r="G209" s="41">
        <f>IFERROR(D209/D208-1,"")</f>
        <v/>
      </c>
      <c r="H209" s="41">
        <f>IFERROR((1+E209)*(1+H208)-1,"")</f>
        <v/>
      </c>
      <c r="I209" s="41">
        <f>IFERROR((1+F209)*(1+I208)-1,"")</f>
        <v/>
      </c>
      <c r="J209" s="41">
        <f>IFERROR((1+G209)*(1+J208)-1,"")</f>
        <v/>
      </c>
      <c r="K209" s="42">
        <f>IFERROR(B209/$B$36*100,"")</f>
        <v/>
      </c>
      <c r="L209" s="42">
        <f>IFERROR(C209/$C$36*100,"")</f>
        <v/>
      </c>
      <c r="M209" s="42">
        <f>IFERROR(D209/$D$36*100,"")</f>
        <v/>
      </c>
      <c r="N209" s="41">
        <f>IFERROR((1+H209)/(1+I209)-1,"")</f>
        <v/>
      </c>
      <c r="O209" s="41">
        <f>IFERROR((1+H209)/(1+J209)-1,"")</f>
        <v/>
      </c>
      <c r="P209" s="39">
        <f>IFERROR(B209*0.0099502487562189+P208*(1-0.0099502487562189),"")</f>
        <v/>
      </c>
      <c r="Q209" s="42">
        <f>Q208*(1+E209)</f>
        <v/>
      </c>
      <c r="R209" s="42">
        <f>MAX(R208,Q209)</f>
        <v/>
      </c>
      <c r="S209" s="41">
        <f>IFERROR(Q209/R209-1,"")</f>
        <v/>
      </c>
      <c r="T209" s="41">
        <f>IFERROR(_xlfn.STDEV.S(E150:E209)*SQRT($D$7),"")</f>
        <v/>
      </c>
      <c r="U209" s="41">
        <f>IFERROR(MIN(E209-$D$6,0),"")</f>
        <v/>
      </c>
      <c r="V209" s="41">
        <f>IFERROR(E209-F209,"")</f>
        <v/>
      </c>
      <c r="W209" s="39">
        <f>B209</f>
        <v/>
      </c>
      <c r="X209" s="21" t="n"/>
    </row>
    <row r="210">
      <c r="A210" s="38" t="n">
        <v>45240</v>
      </c>
      <c r="B210" s="39" t="n">
        <v>211.66</v>
      </c>
      <c r="C210" s="39" t="n">
        <v>440.61</v>
      </c>
      <c r="D210" s="39" t="n">
        <v>38.68</v>
      </c>
      <c r="E210" s="41">
        <f>IFERROR(B210/B209-1,"")</f>
        <v/>
      </c>
      <c r="F210" s="41">
        <f>IFERROR(C210/C209-1,"")</f>
        <v/>
      </c>
      <c r="G210" s="41">
        <f>IFERROR(D210/D209-1,"")</f>
        <v/>
      </c>
      <c r="H210" s="41">
        <f>IFERROR((1+E210)*(1+H209)-1,"")</f>
        <v/>
      </c>
      <c r="I210" s="41">
        <f>IFERROR((1+F210)*(1+I209)-1,"")</f>
        <v/>
      </c>
      <c r="J210" s="41">
        <f>IFERROR((1+G210)*(1+J209)-1,"")</f>
        <v/>
      </c>
      <c r="K210" s="42">
        <f>IFERROR(B210/$B$36*100,"")</f>
        <v/>
      </c>
      <c r="L210" s="42">
        <f>IFERROR(C210/$C$36*100,"")</f>
        <v/>
      </c>
      <c r="M210" s="42">
        <f>IFERROR(D210/$D$36*100,"")</f>
        <v/>
      </c>
      <c r="N210" s="41">
        <f>IFERROR((1+H210)/(1+I210)-1,"")</f>
        <v/>
      </c>
      <c r="O210" s="41">
        <f>IFERROR((1+H210)/(1+J210)-1,"")</f>
        <v/>
      </c>
      <c r="P210" s="39">
        <f>IFERROR(B210*0.0099502487562189+P209*(1-0.0099502487562189),"")</f>
        <v/>
      </c>
      <c r="Q210" s="42">
        <f>Q209*(1+E210)</f>
        <v/>
      </c>
      <c r="R210" s="42">
        <f>MAX(R209,Q210)</f>
        <v/>
      </c>
      <c r="S210" s="41">
        <f>IFERROR(Q210/R210-1,"")</f>
        <v/>
      </c>
      <c r="T210" s="41">
        <f>IFERROR(_xlfn.STDEV.S(E151:E210)*SQRT($D$7),"")</f>
        <v/>
      </c>
      <c r="U210" s="41">
        <f>IFERROR(MIN(E210-$D$6,0),"")</f>
        <v/>
      </c>
      <c r="V210" s="41">
        <f>IFERROR(E210-F210,"")</f>
        <v/>
      </c>
      <c r="W210" s="39">
        <f>B210</f>
        <v/>
      </c>
      <c r="X210" s="21" t="n"/>
    </row>
    <row r="211">
      <c r="A211" s="38" t="n">
        <v>45243</v>
      </c>
      <c r="B211" s="39" t="n">
        <v>210.49</v>
      </c>
      <c r="C211" s="39" t="n">
        <v>440.19</v>
      </c>
      <c r="D211" s="39" t="n">
        <v>38.625</v>
      </c>
      <c r="E211" s="41">
        <f>IFERROR(B211/B210-1,"")</f>
        <v/>
      </c>
      <c r="F211" s="41">
        <f>IFERROR(C211/C210-1,"")</f>
        <v/>
      </c>
      <c r="G211" s="41">
        <f>IFERROR(D211/D210-1,"")</f>
        <v/>
      </c>
      <c r="H211" s="41">
        <f>IFERROR((1+E211)*(1+H210)-1,"")</f>
        <v/>
      </c>
      <c r="I211" s="41">
        <f>IFERROR((1+F211)*(1+I210)-1,"")</f>
        <v/>
      </c>
      <c r="J211" s="41">
        <f>IFERROR((1+G211)*(1+J210)-1,"")</f>
        <v/>
      </c>
      <c r="K211" s="42">
        <f>IFERROR(B211/$B$36*100,"")</f>
        <v/>
      </c>
      <c r="L211" s="42">
        <f>IFERROR(C211/$C$36*100,"")</f>
        <v/>
      </c>
      <c r="M211" s="42">
        <f>IFERROR(D211/$D$36*100,"")</f>
        <v/>
      </c>
      <c r="N211" s="41">
        <f>IFERROR((1+H211)/(1+I211)-1,"")</f>
        <v/>
      </c>
      <c r="O211" s="41">
        <f>IFERROR((1+H211)/(1+J211)-1,"")</f>
        <v/>
      </c>
      <c r="P211" s="39">
        <f>IFERROR(B211*0.0099502487562189+P210*(1-0.0099502487562189),"")</f>
        <v/>
      </c>
      <c r="Q211" s="42">
        <f>Q210*(1+E211)</f>
        <v/>
      </c>
      <c r="R211" s="42">
        <f>MAX(R210,Q211)</f>
        <v/>
      </c>
      <c r="S211" s="41">
        <f>IFERROR(Q211/R211-1,"")</f>
        <v/>
      </c>
      <c r="T211" s="41">
        <f>IFERROR(_xlfn.STDEV.S(E152:E211)*SQRT($D$7),"")</f>
        <v/>
      </c>
      <c r="U211" s="41">
        <f>IFERROR(MIN(E211-$D$6,0),"")</f>
        <v/>
      </c>
      <c r="V211" s="41">
        <f>IFERROR(E211-F211,"")</f>
        <v/>
      </c>
      <c r="W211" s="39">
        <f>B211</f>
        <v/>
      </c>
      <c r="X211" s="21" t="n"/>
    </row>
    <row r="212">
      <c r="A212" s="38" t="n">
        <v>45244</v>
      </c>
      <c r="B212" s="39" t="n">
        <v>216.54</v>
      </c>
      <c r="C212" s="39" t="n">
        <v>448.73</v>
      </c>
      <c r="D212" s="39" t="n">
        <v>39.765</v>
      </c>
      <c r="E212" s="41">
        <f>IFERROR(B212/B211-1,"")</f>
        <v/>
      </c>
      <c r="F212" s="41">
        <f>IFERROR(C212/C211-1,"")</f>
        <v/>
      </c>
      <c r="G212" s="41">
        <f>IFERROR(D212/D211-1,"")</f>
        <v/>
      </c>
      <c r="H212" s="41">
        <f>IFERROR((1+E212)*(1+H211)-1,"")</f>
        <v/>
      </c>
      <c r="I212" s="41">
        <f>IFERROR((1+F212)*(1+I211)-1,"")</f>
        <v/>
      </c>
      <c r="J212" s="41">
        <f>IFERROR((1+G212)*(1+J211)-1,"")</f>
        <v/>
      </c>
      <c r="K212" s="42">
        <f>IFERROR(B212/$B$36*100,"")</f>
        <v/>
      </c>
      <c r="L212" s="42">
        <f>IFERROR(C212/$C$36*100,"")</f>
        <v/>
      </c>
      <c r="M212" s="42">
        <f>IFERROR(D212/$D$36*100,"")</f>
        <v/>
      </c>
      <c r="N212" s="41">
        <f>IFERROR((1+H212)/(1+I212)-1,"")</f>
        <v/>
      </c>
      <c r="O212" s="41">
        <f>IFERROR((1+H212)/(1+J212)-1,"")</f>
        <v/>
      </c>
      <c r="P212" s="39">
        <f>IFERROR(B212*0.0099502487562189+P211*(1-0.0099502487562189),"")</f>
        <v/>
      </c>
      <c r="Q212" s="42">
        <f>Q211*(1+E212)</f>
        <v/>
      </c>
      <c r="R212" s="42">
        <f>MAX(R211,Q212)</f>
        <v/>
      </c>
      <c r="S212" s="41">
        <f>IFERROR(Q212/R212-1,"")</f>
        <v/>
      </c>
      <c r="T212" s="41">
        <f>IFERROR(_xlfn.STDEV.S(E153:E212)*SQRT($D$7),"")</f>
        <v/>
      </c>
      <c r="U212" s="41">
        <f>IFERROR(MIN(E212-$D$6,0),"")</f>
        <v/>
      </c>
      <c r="V212" s="41">
        <f>IFERROR(E212-F212,"")</f>
        <v/>
      </c>
      <c r="W212" s="39">
        <f>B212</f>
        <v/>
      </c>
      <c r="X212" s="21" t="n"/>
    </row>
    <row r="213">
      <c r="A213" s="38" t="n">
        <v>45245</v>
      </c>
      <c r="B213" s="39" t="n">
        <v>210.87</v>
      </c>
      <c r="C213" s="39" t="n">
        <v>449.68</v>
      </c>
      <c r="D213" s="39" t="n">
        <v>39.94</v>
      </c>
      <c r="E213" s="41">
        <f>IFERROR(B213/B212-1,"")</f>
        <v/>
      </c>
      <c r="F213" s="41">
        <f>IFERROR(C213/C212-1,"")</f>
        <v/>
      </c>
      <c r="G213" s="41">
        <f>IFERROR(D213/D212-1,"")</f>
        <v/>
      </c>
      <c r="H213" s="41">
        <f>IFERROR((1+E213)*(1+H212)-1,"")</f>
        <v/>
      </c>
      <c r="I213" s="41">
        <f>IFERROR((1+F213)*(1+I212)-1,"")</f>
        <v/>
      </c>
      <c r="J213" s="41">
        <f>IFERROR((1+G213)*(1+J212)-1,"")</f>
        <v/>
      </c>
      <c r="K213" s="42">
        <f>IFERROR(B213/$B$36*100,"")</f>
        <v/>
      </c>
      <c r="L213" s="42">
        <f>IFERROR(C213/$C$36*100,"")</f>
        <v/>
      </c>
      <c r="M213" s="42">
        <f>IFERROR(D213/$D$36*100,"")</f>
        <v/>
      </c>
      <c r="N213" s="41">
        <f>IFERROR((1+H213)/(1+I213)-1,"")</f>
        <v/>
      </c>
      <c r="O213" s="41">
        <f>IFERROR((1+H213)/(1+J213)-1,"")</f>
        <v/>
      </c>
      <c r="P213" s="39">
        <f>IFERROR(B213*0.0099502487562189+P212*(1-0.0099502487562189),"")</f>
        <v/>
      </c>
      <c r="Q213" s="42">
        <f>Q212*(1+E213)</f>
        <v/>
      </c>
      <c r="R213" s="42">
        <f>MAX(R212,Q213)</f>
        <v/>
      </c>
      <c r="S213" s="41">
        <f>IFERROR(Q213/R213-1,"")</f>
        <v/>
      </c>
      <c r="T213" s="41">
        <f>IFERROR(_xlfn.STDEV.S(E154:E213)*SQRT($D$7),"")</f>
        <v/>
      </c>
      <c r="U213" s="41">
        <f>IFERROR(MIN(E213-$D$6,0),"")</f>
        <v/>
      </c>
      <c r="V213" s="41">
        <f>IFERROR(E213-F213,"")</f>
        <v/>
      </c>
      <c r="W213" s="39">
        <f>B213</f>
        <v/>
      </c>
      <c r="X213" s="21" t="n"/>
    </row>
    <row r="214">
      <c r="A214" s="38" t="n">
        <v>45246</v>
      </c>
      <c r="B214" s="39" t="n">
        <v>212.27</v>
      </c>
      <c r="C214" s="39" t="n">
        <v>450.23</v>
      </c>
      <c r="D214" s="39" t="n">
        <v>40.06</v>
      </c>
      <c r="E214" s="41">
        <f>IFERROR(B214/B213-1,"")</f>
        <v/>
      </c>
      <c r="F214" s="41">
        <f>IFERROR(C214/C213-1,"")</f>
        <v/>
      </c>
      <c r="G214" s="41">
        <f>IFERROR(D214/D213-1,"")</f>
        <v/>
      </c>
      <c r="H214" s="41">
        <f>IFERROR((1+E214)*(1+H213)-1,"")</f>
        <v/>
      </c>
      <c r="I214" s="41">
        <f>IFERROR((1+F214)*(1+I213)-1,"")</f>
        <v/>
      </c>
      <c r="J214" s="41">
        <f>IFERROR((1+G214)*(1+J213)-1,"")</f>
        <v/>
      </c>
      <c r="K214" s="42">
        <f>IFERROR(B214/$B$36*100,"")</f>
        <v/>
      </c>
      <c r="L214" s="42">
        <f>IFERROR(C214/$C$36*100,"")</f>
        <v/>
      </c>
      <c r="M214" s="42">
        <f>IFERROR(D214/$D$36*100,"")</f>
        <v/>
      </c>
      <c r="N214" s="41">
        <f>IFERROR((1+H214)/(1+I214)-1,"")</f>
        <v/>
      </c>
      <c r="O214" s="41">
        <f>IFERROR((1+H214)/(1+J214)-1,"")</f>
        <v/>
      </c>
      <c r="P214" s="39">
        <f>IFERROR(B214*0.0099502487562189+P213*(1-0.0099502487562189),"")</f>
        <v/>
      </c>
      <c r="Q214" s="42">
        <f>Q213*(1+E214)</f>
        <v/>
      </c>
      <c r="R214" s="42">
        <f>MAX(R213,Q214)</f>
        <v/>
      </c>
      <c r="S214" s="41">
        <f>IFERROR(Q214/R214-1,"")</f>
        <v/>
      </c>
      <c r="T214" s="41">
        <f>IFERROR(_xlfn.STDEV.S(E155:E214)*SQRT($D$7),"")</f>
        <v/>
      </c>
      <c r="U214" s="41">
        <f>IFERROR(MIN(E214-$D$6,0),"")</f>
        <v/>
      </c>
      <c r="V214" s="41">
        <f>IFERROR(E214-F214,"")</f>
        <v/>
      </c>
      <c r="W214" s="39">
        <f>B214</f>
        <v/>
      </c>
      <c r="X214" s="21" t="n"/>
    </row>
    <row r="215">
      <c r="A215" s="38" t="n">
        <v>45247</v>
      </c>
      <c r="B215" s="39" t="n">
        <v>212.35</v>
      </c>
      <c r="C215" s="39" t="n">
        <v>450.79</v>
      </c>
      <c r="D215" s="39" t="n">
        <v>40.135</v>
      </c>
      <c r="E215" s="41">
        <f>IFERROR(B215/B214-1,"")</f>
        <v/>
      </c>
      <c r="F215" s="41">
        <f>IFERROR(C215/C214-1,"")</f>
        <v/>
      </c>
      <c r="G215" s="41">
        <f>IFERROR(D215/D214-1,"")</f>
        <v/>
      </c>
      <c r="H215" s="41">
        <f>IFERROR((1+E215)*(1+H214)-1,"")</f>
        <v/>
      </c>
      <c r="I215" s="41">
        <f>IFERROR((1+F215)*(1+I214)-1,"")</f>
        <v/>
      </c>
      <c r="J215" s="41">
        <f>IFERROR((1+G215)*(1+J214)-1,"")</f>
        <v/>
      </c>
      <c r="K215" s="42">
        <f>IFERROR(B215/$B$36*100,"")</f>
        <v/>
      </c>
      <c r="L215" s="42">
        <f>IFERROR(C215/$C$36*100,"")</f>
        <v/>
      </c>
      <c r="M215" s="42">
        <f>IFERROR(D215/$D$36*100,"")</f>
        <v/>
      </c>
      <c r="N215" s="41">
        <f>IFERROR((1+H215)/(1+I215)-1,"")</f>
        <v/>
      </c>
      <c r="O215" s="41">
        <f>IFERROR((1+H215)/(1+J215)-1,"")</f>
        <v/>
      </c>
      <c r="P215" s="39">
        <f>IFERROR(B215*0.0099502487562189+P214*(1-0.0099502487562189),"")</f>
        <v/>
      </c>
      <c r="Q215" s="42">
        <f>Q214*(1+E215)</f>
        <v/>
      </c>
      <c r="R215" s="42">
        <f>MAX(R214,Q215)</f>
        <v/>
      </c>
      <c r="S215" s="41">
        <f>IFERROR(Q215/R215-1,"")</f>
        <v/>
      </c>
      <c r="T215" s="41">
        <f>IFERROR(_xlfn.STDEV.S(E156:E215)*SQRT($D$7),"")</f>
        <v/>
      </c>
      <c r="U215" s="41">
        <f>IFERROR(MIN(E215-$D$6,0),"")</f>
        <v/>
      </c>
      <c r="V215" s="41">
        <f>IFERROR(E215-F215,"")</f>
        <v/>
      </c>
      <c r="W215" s="39">
        <f>B215</f>
        <v/>
      </c>
      <c r="X215" s="21" t="n"/>
    </row>
    <row r="216">
      <c r="A216" s="38" t="n">
        <v>45250</v>
      </c>
      <c r="B216" s="39" t="n">
        <v>210.38</v>
      </c>
      <c r="C216" s="39" t="n">
        <v>454.26</v>
      </c>
      <c r="D216" s="39" t="n">
        <v>40.205</v>
      </c>
      <c r="E216" s="41">
        <f>IFERROR(B216/B215-1,"")</f>
        <v/>
      </c>
      <c r="F216" s="41">
        <f>IFERROR(C216/C215-1,"")</f>
        <v/>
      </c>
      <c r="G216" s="41">
        <f>IFERROR(D216/D215-1,"")</f>
        <v/>
      </c>
      <c r="H216" s="41">
        <f>IFERROR((1+E216)*(1+H215)-1,"")</f>
        <v/>
      </c>
      <c r="I216" s="41">
        <f>IFERROR((1+F216)*(1+I215)-1,"")</f>
        <v/>
      </c>
      <c r="J216" s="41">
        <f>IFERROR((1+G216)*(1+J215)-1,"")</f>
        <v/>
      </c>
      <c r="K216" s="42">
        <f>IFERROR(B216/$B$36*100,"")</f>
        <v/>
      </c>
      <c r="L216" s="42">
        <f>IFERROR(C216/$C$36*100,"")</f>
        <v/>
      </c>
      <c r="M216" s="42">
        <f>IFERROR(D216/$D$36*100,"")</f>
        <v/>
      </c>
      <c r="N216" s="41">
        <f>IFERROR((1+H216)/(1+I216)-1,"")</f>
        <v/>
      </c>
      <c r="O216" s="41">
        <f>IFERROR((1+H216)/(1+J216)-1,"")</f>
        <v/>
      </c>
      <c r="P216" s="39">
        <f>IFERROR(B216*0.0099502487562189+P215*(1-0.0099502487562189),"")</f>
        <v/>
      </c>
      <c r="Q216" s="42">
        <f>Q215*(1+E216)</f>
        <v/>
      </c>
      <c r="R216" s="42">
        <f>MAX(R215,Q216)</f>
        <v/>
      </c>
      <c r="S216" s="41">
        <f>IFERROR(Q216/R216-1,"")</f>
        <v/>
      </c>
      <c r="T216" s="41">
        <f>IFERROR(_xlfn.STDEV.S(E157:E216)*SQRT($D$7),"")</f>
        <v/>
      </c>
      <c r="U216" s="41">
        <f>IFERROR(MIN(E216-$D$6,0),"")</f>
        <v/>
      </c>
      <c r="V216" s="41">
        <f>IFERROR(E216-F216,"")</f>
        <v/>
      </c>
      <c r="W216" s="39">
        <f>B216</f>
        <v/>
      </c>
      <c r="X216" s="21" t="n"/>
    </row>
    <row r="217">
      <c r="A217" s="38" t="n">
        <v>45251</v>
      </c>
      <c r="B217" s="39" t="n">
        <v>209.84</v>
      </c>
      <c r="C217" s="39" t="n">
        <v>453.27</v>
      </c>
      <c r="D217" s="39" t="n">
        <v>40.36</v>
      </c>
      <c r="E217" s="41">
        <f>IFERROR(B217/B216-1,"")</f>
        <v/>
      </c>
      <c r="F217" s="41">
        <f>IFERROR(C217/C216-1,"")</f>
        <v/>
      </c>
      <c r="G217" s="41">
        <f>IFERROR(D217/D216-1,"")</f>
        <v/>
      </c>
      <c r="H217" s="41">
        <f>IFERROR((1+E217)*(1+H216)-1,"")</f>
        <v/>
      </c>
      <c r="I217" s="41">
        <f>IFERROR((1+F217)*(1+I216)-1,"")</f>
        <v/>
      </c>
      <c r="J217" s="41">
        <f>IFERROR((1+G217)*(1+J216)-1,"")</f>
        <v/>
      </c>
      <c r="K217" s="42">
        <f>IFERROR(B217/$B$36*100,"")</f>
        <v/>
      </c>
      <c r="L217" s="42">
        <f>IFERROR(C217/$C$36*100,"")</f>
        <v/>
      </c>
      <c r="M217" s="42">
        <f>IFERROR(D217/$D$36*100,"")</f>
        <v/>
      </c>
      <c r="N217" s="41">
        <f>IFERROR((1+H217)/(1+I217)-1,"")</f>
        <v/>
      </c>
      <c r="O217" s="41">
        <f>IFERROR((1+H217)/(1+J217)-1,"")</f>
        <v/>
      </c>
      <c r="P217" s="39">
        <f>IFERROR(B217*0.0099502487562189+P216*(1-0.0099502487562189),"")</f>
        <v/>
      </c>
      <c r="Q217" s="42">
        <f>Q216*(1+E217)</f>
        <v/>
      </c>
      <c r="R217" s="42">
        <f>MAX(R216,Q217)</f>
        <v/>
      </c>
      <c r="S217" s="41">
        <f>IFERROR(Q217/R217-1,"")</f>
        <v/>
      </c>
      <c r="T217" s="41">
        <f>IFERROR(_xlfn.STDEV.S(E158:E217)*SQRT($D$7),"")</f>
        <v/>
      </c>
      <c r="U217" s="41">
        <f>IFERROR(MIN(E217-$D$6,0),"")</f>
        <v/>
      </c>
      <c r="V217" s="41">
        <f>IFERROR(E217-F217,"")</f>
        <v/>
      </c>
      <c r="W217" s="39">
        <f>B217</f>
        <v/>
      </c>
      <c r="X217" s="21" t="n"/>
    </row>
    <row r="218">
      <c r="A218" s="38" t="n">
        <v>45252</v>
      </c>
      <c r="B218" s="39" t="n">
        <v>211.9</v>
      </c>
      <c r="C218" s="39" t="n">
        <v>455.02</v>
      </c>
      <c r="D218" s="39" t="n">
        <v>40.385</v>
      </c>
      <c r="E218" s="41">
        <f>IFERROR(B218/B217-1,"")</f>
        <v/>
      </c>
      <c r="F218" s="41">
        <f>IFERROR(C218/C217-1,"")</f>
        <v/>
      </c>
      <c r="G218" s="41">
        <f>IFERROR(D218/D217-1,"")</f>
        <v/>
      </c>
      <c r="H218" s="41">
        <f>IFERROR((1+E218)*(1+H217)-1,"")</f>
        <v/>
      </c>
      <c r="I218" s="41">
        <f>IFERROR((1+F218)*(1+I217)-1,"")</f>
        <v/>
      </c>
      <c r="J218" s="41">
        <f>IFERROR((1+G218)*(1+J217)-1,"")</f>
        <v/>
      </c>
      <c r="K218" s="42">
        <f>IFERROR(B218/$B$36*100,"")</f>
        <v/>
      </c>
      <c r="L218" s="42">
        <f>IFERROR(C218/$C$36*100,"")</f>
        <v/>
      </c>
      <c r="M218" s="42">
        <f>IFERROR(D218/$D$36*100,"")</f>
        <v/>
      </c>
      <c r="N218" s="41">
        <f>IFERROR((1+H218)/(1+I218)-1,"")</f>
        <v/>
      </c>
      <c r="O218" s="41">
        <f>IFERROR((1+H218)/(1+J218)-1,"")</f>
        <v/>
      </c>
      <c r="P218" s="39">
        <f>IFERROR(B218*0.0099502487562189+P217*(1-0.0099502487562189),"")</f>
        <v/>
      </c>
      <c r="Q218" s="42">
        <f>Q217*(1+E218)</f>
        <v/>
      </c>
      <c r="R218" s="42">
        <f>MAX(R217,Q218)</f>
        <v/>
      </c>
      <c r="S218" s="41">
        <f>IFERROR(Q218/R218-1,"")</f>
        <v/>
      </c>
      <c r="T218" s="41">
        <f>IFERROR(_xlfn.STDEV.S(E159:E218)*SQRT($D$7),"")</f>
        <v/>
      </c>
      <c r="U218" s="41">
        <f>IFERROR(MIN(E218-$D$6,0),"")</f>
        <v/>
      </c>
      <c r="V218" s="41">
        <f>IFERROR(E218-F218,"")</f>
        <v/>
      </c>
      <c r="W218" s="39">
        <f>B218</f>
        <v/>
      </c>
      <c r="X218" s="21" t="n"/>
    </row>
    <row r="219">
      <c r="A219" s="38" t="n">
        <v>45254</v>
      </c>
      <c r="B219" s="39" t="n">
        <v>211.68</v>
      </c>
      <c r="C219" s="39" t="n">
        <v>455.3</v>
      </c>
      <c r="D219" s="39" t="n">
        <v>40.56</v>
      </c>
      <c r="E219" s="41">
        <f>IFERROR(B219/B218-1,"")</f>
        <v/>
      </c>
      <c r="F219" s="41">
        <f>IFERROR(C219/C218-1,"")</f>
        <v/>
      </c>
      <c r="G219" s="41">
        <f>IFERROR(D219/D218-1,"")</f>
        <v/>
      </c>
      <c r="H219" s="41">
        <f>IFERROR((1+E219)*(1+H218)-1,"")</f>
        <v/>
      </c>
      <c r="I219" s="41">
        <f>IFERROR((1+F219)*(1+I218)-1,"")</f>
        <v/>
      </c>
      <c r="J219" s="41">
        <f>IFERROR((1+G219)*(1+J218)-1,"")</f>
        <v/>
      </c>
      <c r="K219" s="42">
        <f>IFERROR(B219/$B$36*100,"")</f>
        <v/>
      </c>
      <c r="L219" s="42">
        <f>IFERROR(C219/$C$36*100,"")</f>
        <v/>
      </c>
      <c r="M219" s="42">
        <f>IFERROR(D219/$D$36*100,"")</f>
        <v/>
      </c>
      <c r="N219" s="41">
        <f>IFERROR((1+H219)/(1+I219)-1,"")</f>
        <v/>
      </c>
      <c r="O219" s="41">
        <f>IFERROR((1+H219)/(1+J219)-1,"")</f>
        <v/>
      </c>
      <c r="P219" s="39">
        <f>IFERROR(B219*0.0099502487562189+P218*(1-0.0099502487562189),"")</f>
        <v/>
      </c>
      <c r="Q219" s="42">
        <f>Q218*(1+E219)</f>
        <v/>
      </c>
      <c r="R219" s="42">
        <f>MAX(R218,Q219)</f>
        <v/>
      </c>
      <c r="S219" s="41">
        <f>IFERROR(Q219/R219-1,"")</f>
        <v/>
      </c>
      <c r="T219" s="41">
        <f>IFERROR(_xlfn.STDEV.S(E160:E219)*SQRT($D$7),"")</f>
        <v/>
      </c>
      <c r="U219" s="41">
        <f>IFERROR(MIN(E219-$D$6,0),"")</f>
        <v/>
      </c>
      <c r="V219" s="41">
        <f>IFERROR(E219-F219,"")</f>
        <v/>
      </c>
      <c r="W219" s="39">
        <f>B219</f>
        <v/>
      </c>
      <c r="X219" s="21" t="n"/>
    </row>
    <row r="220">
      <c r="A220" s="38" t="n">
        <v>45257</v>
      </c>
      <c r="B220" s="39" t="n">
        <v>212.85</v>
      </c>
      <c r="C220" s="39" t="n">
        <v>454.48</v>
      </c>
      <c r="D220" s="39" t="n">
        <v>40.51</v>
      </c>
      <c r="E220" s="41">
        <f>IFERROR(B220/B219-1,"")</f>
        <v/>
      </c>
      <c r="F220" s="41">
        <f>IFERROR(C220/C219-1,"")</f>
        <v/>
      </c>
      <c r="G220" s="41">
        <f>IFERROR(D220/D219-1,"")</f>
        <v/>
      </c>
      <c r="H220" s="41">
        <f>IFERROR((1+E220)*(1+H219)-1,"")</f>
        <v/>
      </c>
      <c r="I220" s="41">
        <f>IFERROR((1+F220)*(1+I219)-1,"")</f>
        <v/>
      </c>
      <c r="J220" s="41">
        <f>IFERROR((1+G220)*(1+J219)-1,"")</f>
        <v/>
      </c>
      <c r="K220" s="42">
        <f>IFERROR(B220/$B$36*100,"")</f>
        <v/>
      </c>
      <c r="L220" s="42">
        <f>IFERROR(C220/$C$36*100,"")</f>
        <v/>
      </c>
      <c r="M220" s="42">
        <f>IFERROR(D220/$D$36*100,"")</f>
        <v/>
      </c>
      <c r="N220" s="41">
        <f>IFERROR((1+H220)/(1+I220)-1,"")</f>
        <v/>
      </c>
      <c r="O220" s="41">
        <f>IFERROR((1+H220)/(1+J220)-1,"")</f>
        <v/>
      </c>
      <c r="P220" s="39">
        <f>IFERROR(B220*0.0099502487562189+P219*(1-0.0099502487562189),"")</f>
        <v/>
      </c>
      <c r="Q220" s="42">
        <f>Q219*(1+E220)</f>
        <v/>
      </c>
      <c r="R220" s="42">
        <f>MAX(R219,Q220)</f>
        <v/>
      </c>
      <c r="S220" s="41">
        <f>IFERROR(Q220/R220-1,"")</f>
        <v/>
      </c>
      <c r="T220" s="41">
        <f>IFERROR(_xlfn.STDEV.S(E161:E220)*SQRT($D$7),"")</f>
        <v/>
      </c>
      <c r="U220" s="41">
        <f>IFERROR(MIN(E220-$D$6,0),"")</f>
        <v/>
      </c>
      <c r="V220" s="41">
        <f>IFERROR(E220-F220,"")</f>
        <v/>
      </c>
      <c r="W220" s="39">
        <f>B220</f>
        <v/>
      </c>
      <c r="X220" s="21" t="n"/>
    </row>
    <row r="221">
      <c r="A221" s="38" t="n">
        <v>45258</v>
      </c>
      <c r="B221" s="39" t="n">
        <v>211.16</v>
      </c>
      <c r="C221" s="39" t="n">
        <v>454.93</v>
      </c>
      <c r="D221" s="39" t="n">
        <v>40.59</v>
      </c>
      <c r="E221" s="41">
        <f>IFERROR(B221/B220-1,"")</f>
        <v/>
      </c>
      <c r="F221" s="41">
        <f>IFERROR(C221/C220-1,"")</f>
        <v/>
      </c>
      <c r="G221" s="41">
        <f>IFERROR(D221/D220-1,"")</f>
        <v/>
      </c>
      <c r="H221" s="41">
        <f>IFERROR((1+E221)*(1+H220)-1,"")</f>
        <v/>
      </c>
      <c r="I221" s="41">
        <f>IFERROR((1+F221)*(1+I220)-1,"")</f>
        <v/>
      </c>
      <c r="J221" s="41">
        <f>IFERROR((1+G221)*(1+J220)-1,"")</f>
        <v/>
      </c>
      <c r="K221" s="42">
        <f>IFERROR(B221/$B$36*100,"")</f>
        <v/>
      </c>
      <c r="L221" s="42">
        <f>IFERROR(C221/$C$36*100,"")</f>
        <v/>
      </c>
      <c r="M221" s="42">
        <f>IFERROR(D221/$D$36*100,"")</f>
        <v/>
      </c>
      <c r="N221" s="41">
        <f>IFERROR((1+H221)/(1+I221)-1,"")</f>
        <v/>
      </c>
      <c r="O221" s="41">
        <f>IFERROR((1+H221)/(1+J221)-1,"")</f>
        <v/>
      </c>
      <c r="P221" s="39">
        <f>IFERROR(B221*0.0099502487562189+P220*(1-0.0099502487562189),"")</f>
        <v/>
      </c>
      <c r="Q221" s="42">
        <f>Q220*(1+E221)</f>
        <v/>
      </c>
      <c r="R221" s="42">
        <f>MAX(R220,Q221)</f>
        <v/>
      </c>
      <c r="S221" s="41">
        <f>IFERROR(Q221/R221-1,"")</f>
        <v/>
      </c>
      <c r="T221" s="41">
        <f>IFERROR(_xlfn.STDEV.S(E162:E221)*SQRT($D$7),"")</f>
        <v/>
      </c>
      <c r="U221" s="41">
        <f>IFERROR(MIN(E221-$D$6,0),"")</f>
        <v/>
      </c>
      <c r="V221" s="41">
        <f>IFERROR(E221-F221,"")</f>
        <v/>
      </c>
      <c r="W221" s="39">
        <f>B221</f>
        <v/>
      </c>
      <c r="X221" s="21" t="n"/>
    </row>
    <row r="222">
      <c r="A222" s="38" t="n">
        <v>45259</v>
      </c>
      <c r="B222" s="39" t="n">
        <v>212.68</v>
      </c>
      <c r="C222" s="39" t="n">
        <v>454.61</v>
      </c>
      <c r="D222" s="39" t="n">
        <v>40.8</v>
      </c>
      <c r="E222" s="41">
        <f>IFERROR(B222/B221-1,"")</f>
        <v/>
      </c>
      <c r="F222" s="41">
        <f>IFERROR(C222/C221-1,"")</f>
        <v/>
      </c>
      <c r="G222" s="41">
        <f>IFERROR(D222/D221-1,"")</f>
        <v/>
      </c>
      <c r="H222" s="41">
        <f>IFERROR((1+E222)*(1+H221)-1,"")</f>
        <v/>
      </c>
      <c r="I222" s="41">
        <f>IFERROR((1+F222)*(1+I221)-1,"")</f>
        <v/>
      </c>
      <c r="J222" s="41">
        <f>IFERROR((1+G222)*(1+J221)-1,"")</f>
        <v/>
      </c>
      <c r="K222" s="42">
        <f>IFERROR(B222/$B$36*100,"")</f>
        <v/>
      </c>
      <c r="L222" s="42">
        <f>IFERROR(C222/$C$36*100,"")</f>
        <v/>
      </c>
      <c r="M222" s="42">
        <f>IFERROR(D222/$D$36*100,"")</f>
        <v/>
      </c>
      <c r="N222" s="41">
        <f>IFERROR((1+H222)/(1+I222)-1,"")</f>
        <v/>
      </c>
      <c r="O222" s="41">
        <f>IFERROR((1+H222)/(1+J222)-1,"")</f>
        <v/>
      </c>
      <c r="P222" s="39">
        <f>IFERROR(B222*0.0099502487562189+P221*(1-0.0099502487562189),"")</f>
        <v/>
      </c>
      <c r="Q222" s="42">
        <f>Q221*(1+E222)</f>
        <v/>
      </c>
      <c r="R222" s="42">
        <f>MAX(R221,Q222)</f>
        <v/>
      </c>
      <c r="S222" s="41">
        <f>IFERROR(Q222/R222-1,"")</f>
        <v/>
      </c>
      <c r="T222" s="41">
        <f>IFERROR(_xlfn.STDEV.S(E163:E222)*SQRT($D$7),"")</f>
        <v/>
      </c>
      <c r="U222" s="41">
        <f>IFERROR(MIN(E222-$D$6,0),"")</f>
        <v/>
      </c>
      <c r="V222" s="41">
        <f>IFERROR(E222-F222,"")</f>
        <v/>
      </c>
      <c r="W222" s="39">
        <f>B222</f>
        <v/>
      </c>
      <c r="X222" s="21" t="n"/>
    </row>
    <row r="223">
      <c r="A223" s="38" t="n">
        <v>45260</v>
      </c>
      <c r="B223" s="39" t="n">
        <v>213.56</v>
      </c>
      <c r="C223" s="39" t="n">
        <v>456.4</v>
      </c>
      <c r="D223" s="39" t="n">
        <v>41.205</v>
      </c>
      <c r="E223" s="41">
        <f>IFERROR(B223/B222-1,"")</f>
        <v/>
      </c>
      <c r="F223" s="41">
        <f>IFERROR(C223/C222-1,"")</f>
        <v/>
      </c>
      <c r="G223" s="41">
        <f>IFERROR(D223/D222-1,"")</f>
        <v/>
      </c>
      <c r="H223" s="41">
        <f>IFERROR((1+E223)*(1+H222)-1,"")</f>
        <v/>
      </c>
      <c r="I223" s="41">
        <f>IFERROR((1+F223)*(1+I222)-1,"")</f>
        <v/>
      </c>
      <c r="J223" s="41">
        <f>IFERROR((1+G223)*(1+J222)-1,"")</f>
        <v/>
      </c>
      <c r="K223" s="42">
        <f>IFERROR(B223/$B$36*100,"")</f>
        <v/>
      </c>
      <c r="L223" s="42">
        <f>IFERROR(C223/$C$36*100,"")</f>
        <v/>
      </c>
      <c r="M223" s="42">
        <f>IFERROR(D223/$D$36*100,"")</f>
        <v/>
      </c>
      <c r="N223" s="41">
        <f>IFERROR((1+H223)/(1+I223)-1,"")</f>
        <v/>
      </c>
      <c r="O223" s="41">
        <f>IFERROR((1+H223)/(1+J223)-1,"")</f>
        <v/>
      </c>
      <c r="P223" s="39">
        <f>IFERROR(B223*0.0099502487562189+P222*(1-0.0099502487562189),"")</f>
        <v/>
      </c>
      <c r="Q223" s="42">
        <f>Q222*(1+E223)</f>
        <v/>
      </c>
      <c r="R223" s="42">
        <f>MAX(R222,Q223)</f>
        <v/>
      </c>
      <c r="S223" s="41">
        <f>IFERROR(Q223/R223-1,"")</f>
        <v/>
      </c>
      <c r="T223" s="41">
        <f>IFERROR(_xlfn.STDEV.S(E164:E223)*SQRT($D$7),"")</f>
        <v/>
      </c>
      <c r="U223" s="41">
        <f>IFERROR(MIN(E223-$D$6,0),"")</f>
        <v/>
      </c>
      <c r="V223" s="41">
        <f>IFERROR(E223-F223,"")</f>
        <v/>
      </c>
      <c r="W223" s="39">
        <f>B223</f>
        <v/>
      </c>
      <c r="X223" s="21" t="n"/>
    </row>
    <row r="224">
      <c r="A224" s="38" t="n">
        <v>45261</v>
      </c>
      <c r="B224" s="39" t="n">
        <v>215.63</v>
      </c>
      <c r="C224" s="39" t="n">
        <v>459.1</v>
      </c>
      <c r="D224" s="39" t="n">
        <v>41.675</v>
      </c>
      <c r="E224" s="41">
        <f>IFERROR(B224/B223-1,"")</f>
        <v/>
      </c>
      <c r="F224" s="41">
        <f>IFERROR(C224/C223-1,"")</f>
        <v/>
      </c>
      <c r="G224" s="41">
        <f>IFERROR(D224/D223-1,"")</f>
        <v/>
      </c>
      <c r="H224" s="41">
        <f>IFERROR((1+E224)*(1+H223)-1,"")</f>
        <v/>
      </c>
      <c r="I224" s="41">
        <f>IFERROR((1+F224)*(1+I223)-1,"")</f>
        <v/>
      </c>
      <c r="J224" s="41">
        <f>IFERROR((1+G224)*(1+J223)-1,"")</f>
        <v/>
      </c>
      <c r="K224" s="42">
        <f>IFERROR(B224/$B$36*100,"")</f>
        <v/>
      </c>
      <c r="L224" s="42">
        <f>IFERROR(C224/$C$36*100,"")</f>
        <v/>
      </c>
      <c r="M224" s="42">
        <f>IFERROR(D224/$D$36*100,"")</f>
        <v/>
      </c>
      <c r="N224" s="41">
        <f>IFERROR((1+H224)/(1+I224)-1,"")</f>
        <v/>
      </c>
      <c r="O224" s="41">
        <f>IFERROR((1+H224)/(1+J224)-1,"")</f>
        <v/>
      </c>
      <c r="P224" s="39">
        <f>IFERROR(B224*0.0099502487562189+P223*(1-0.0099502487562189),"")</f>
        <v/>
      </c>
      <c r="Q224" s="42">
        <f>Q223*(1+E224)</f>
        <v/>
      </c>
      <c r="R224" s="42">
        <f>MAX(R223,Q224)</f>
        <v/>
      </c>
      <c r="S224" s="41">
        <f>IFERROR(Q224/R224-1,"")</f>
        <v/>
      </c>
      <c r="T224" s="41">
        <f>IFERROR(_xlfn.STDEV.S(E165:E224)*SQRT($D$7),"")</f>
        <v/>
      </c>
      <c r="U224" s="41">
        <f>IFERROR(MIN(E224-$D$6,0),"")</f>
        <v/>
      </c>
      <c r="V224" s="41">
        <f>IFERROR(E224-F224,"")</f>
        <v/>
      </c>
      <c r="W224" s="39">
        <f>B224</f>
        <v/>
      </c>
      <c r="X224" s="21" t="n"/>
    </row>
    <row r="225">
      <c r="A225" s="38" t="n">
        <v>45264</v>
      </c>
      <c r="B225" s="39" t="n">
        <v>214.8</v>
      </c>
      <c r="C225" s="39" t="n">
        <v>456.69</v>
      </c>
      <c r="D225" s="39" t="n">
        <v>41.19</v>
      </c>
      <c r="E225" s="41">
        <f>IFERROR(B225/B224-1,"")</f>
        <v/>
      </c>
      <c r="F225" s="41">
        <f>IFERROR(C225/C224-1,"")</f>
        <v/>
      </c>
      <c r="G225" s="41">
        <f>IFERROR(D225/D224-1,"")</f>
        <v/>
      </c>
      <c r="H225" s="41">
        <f>IFERROR((1+E225)*(1+H224)-1,"")</f>
        <v/>
      </c>
      <c r="I225" s="41">
        <f>IFERROR((1+F225)*(1+I224)-1,"")</f>
        <v/>
      </c>
      <c r="J225" s="41">
        <f>IFERROR((1+G225)*(1+J224)-1,"")</f>
        <v/>
      </c>
      <c r="K225" s="42">
        <f>IFERROR(B225/$B$36*100,"")</f>
        <v/>
      </c>
      <c r="L225" s="42">
        <f>IFERROR(C225/$C$36*100,"")</f>
        <v/>
      </c>
      <c r="M225" s="42">
        <f>IFERROR(D225/$D$36*100,"")</f>
        <v/>
      </c>
      <c r="N225" s="41">
        <f>IFERROR((1+H225)/(1+I225)-1,"")</f>
        <v/>
      </c>
      <c r="O225" s="41">
        <f>IFERROR((1+H225)/(1+J225)-1,"")</f>
        <v/>
      </c>
      <c r="P225" s="39">
        <f>IFERROR(B225*0.0099502487562189+P224*(1-0.0099502487562189),"")</f>
        <v/>
      </c>
      <c r="Q225" s="42">
        <f>Q224*(1+E225)</f>
        <v/>
      </c>
      <c r="R225" s="42">
        <f>MAX(R224,Q225)</f>
        <v/>
      </c>
      <c r="S225" s="41">
        <f>IFERROR(Q225/R225-1,"")</f>
        <v/>
      </c>
      <c r="T225" s="41">
        <f>IFERROR(_xlfn.STDEV.S(E166:E225)*SQRT($D$7),"")</f>
        <v/>
      </c>
      <c r="U225" s="41">
        <f>IFERROR(MIN(E225-$D$6,0),"")</f>
        <v/>
      </c>
      <c r="V225" s="41">
        <f>IFERROR(E225-F225,"")</f>
        <v/>
      </c>
      <c r="W225" s="39">
        <f>B225</f>
        <v/>
      </c>
      <c r="X225" s="21" t="n"/>
    </row>
    <row r="226">
      <c r="A226" s="38" t="n">
        <v>45265</v>
      </c>
      <c r="B226" s="39" t="n">
        <v>212.02</v>
      </c>
      <c r="C226" s="39" t="n">
        <v>456.6</v>
      </c>
      <c r="D226" s="39" t="n">
        <v>40.625</v>
      </c>
      <c r="E226" s="41">
        <f>IFERROR(B226/B225-1,"")</f>
        <v/>
      </c>
      <c r="F226" s="41">
        <f>IFERROR(C226/C225-1,"")</f>
        <v/>
      </c>
      <c r="G226" s="41">
        <f>IFERROR(D226/D225-1,"")</f>
        <v/>
      </c>
      <c r="H226" s="41">
        <f>IFERROR((1+E226)*(1+H225)-1,"")</f>
        <v/>
      </c>
      <c r="I226" s="41">
        <f>IFERROR((1+F226)*(1+I225)-1,"")</f>
        <v/>
      </c>
      <c r="J226" s="41">
        <f>IFERROR((1+G226)*(1+J225)-1,"")</f>
        <v/>
      </c>
      <c r="K226" s="42">
        <f>IFERROR(B226/$B$36*100,"")</f>
        <v/>
      </c>
      <c r="L226" s="42">
        <f>IFERROR(C226/$C$36*100,"")</f>
        <v/>
      </c>
      <c r="M226" s="42">
        <f>IFERROR(D226/$D$36*100,"")</f>
        <v/>
      </c>
      <c r="N226" s="41">
        <f>IFERROR((1+H226)/(1+I226)-1,"")</f>
        <v/>
      </c>
      <c r="O226" s="41">
        <f>IFERROR((1+H226)/(1+J226)-1,"")</f>
        <v/>
      </c>
      <c r="P226" s="39">
        <f>IFERROR(B226*0.0099502487562189+P225*(1-0.0099502487562189),"")</f>
        <v/>
      </c>
      <c r="Q226" s="42">
        <f>Q225*(1+E226)</f>
        <v/>
      </c>
      <c r="R226" s="42">
        <f>MAX(R225,Q226)</f>
        <v/>
      </c>
      <c r="S226" s="41">
        <f>IFERROR(Q226/R226-1,"")</f>
        <v/>
      </c>
      <c r="T226" s="41">
        <f>IFERROR(_xlfn.STDEV.S(E167:E226)*SQRT($D$7),"")</f>
        <v/>
      </c>
      <c r="U226" s="41">
        <f>IFERROR(MIN(E226-$D$6,0),"")</f>
        <v/>
      </c>
      <c r="V226" s="41">
        <f>IFERROR(E226-F226,"")</f>
        <v/>
      </c>
      <c r="W226" s="39">
        <f>B226</f>
        <v/>
      </c>
      <c r="X226" s="21" t="n"/>
    </row>
    <row r="227">
      <c r="A227" s="38" t="n">
        <v>45266</v>
      </c>
      <c r="B227" s="39" t="n">
        <v>211.93</v>
      </c>
      <c r="C227" s="39" t="n">
        <v>454.76</v>
      </c>
      <c r="D227" s="39" t="n">
        <v>40.54</v>
      </c>
      <c r="E227" s="41">
        <f>IFERROR(B227/B226-1,"")</f>
        <v/>
      </c>
      <c r="F227" s="41">
        <f>IFERROR(C227/C226-1,"")</f>
        <v/>
      </c>
      <c r="G227" s="41">
        <f>IFERROR(D227/D226-1,"")</f>
        <v/>
      </c>
      <c r="H227" s="41">
        <f>IFERROR((1+E227)*(1+H226)-1,"")</f>
        <v/>
      </c>
      <c r="I227" s="41">
        <f>IFERROR((1+F227)*(1+I226)-1,"")</f>
        <v/>
      </c>
      <c r="J227" s="41">
        <f>IFERROR((1+G227)*(1+J226)-1,"")</f>
        <v/>
      </c>
      <c r="K227" s="42">
        <f>IFERROR(B227/$B$36*100,"")</f>
        <v/>
      </c>
      <c r="L227" s="42">
        <f>IFERROR(C227/$C$36*100,"")</f>
        <v/>
      </c>
      <c r="M227" s="42">
        <f>IFERROR(D227/$D$36*100,"")</f>
        <v/>
      </c>
      <c r="N227" s="41">
        <f>IFERROR((1+H227)/(1+I227)-1,"")</f>
        <v/>
      </c>
      <c r="O227" s="41">
        <f>IFERROR((1+H227)/(1+J227)-1,"")</f>
        <v/>
      </c>
      <c r="P227" s="39">
        <f>IFERROR(B227*0.0099502487562189+P226*(1-0.0099502487562189),"")</f>
        <v/>
      </c>
      <c r="Q227" s="42">
        <f>Q226*(1+E227)</f>
        <v/>
      </c>
      <c r="R227" s="42">
        <f>MAX(R226,Q227)</f>
        <v/>
      </c>
      <c r="S227" s="41">
        <f>IFERROR(Q227/R227-1,"")</f>
        <v/>
      </c>
      <c r="T227" s="41">
        <f>IFERROR(_xlfn.STDEV.S(E168:E227)*SQRT($D$7),"")</f>
        <v/>
      </c>
      <c r="U227" s="41">
        <f>IFERROR(MIN(E227-$D$6,0),"")</f>
        <v/>
      </c>
      <c r="V227" s="41">
        <f>IFERROR(E227-F227,"")</f>
        <v/>
      </c>
      <c r="W227" s="39">
        <f>B227</f>
        <v/>
      </c>
      <c r="X227" s="21" t="n"/>
    </row>
    <row r="228">
      <c r="A228" s="38" t="n">
        <v>45267</v>
      </c>
      <c r="B228" s="39" t="n">
        <v>214.17</v>
      </c>
      <c r="C228" s="39" t="n">
        <v>458.23</v>
      </c>
      <c r="D228" s="39" t="n">
        <v>40.815</v>
      </c>
      <c r="E228" s="41">
        <f>IFERROR(B228/B227-1,"")</f>
        <v/>
      </c>
      <c r="F228" s="41">
        <f>IFERROR(C228/C227-1,"")</f>
        <v/>
      </c>
      <c r="G228" s="41">
        <f>IFERROR(D228/D227-1,"")</f>
        <v/>
      </c>
      <c r="H228" s="41">
        <f>IFERROR((1+E228)*(1+H227)-1,"")</f>
        <v/>
      </c>
      <c r="I228" s="41">
        <f>IFERROR((1+F228)*(1+I227)-1,"")</f>
        <v/>
      </c>
      <c r="J228" s="41">
        <f>IFERROR((1+G228)*(1+J227)-1,"")</f>
        <v/>
      </c>
      <c r="K228" s="42">
        <f>IFERROR(B228/$B$36*100,"")</f>
        <v/>
      </c>
      <c r="L228" s="42">
        <f>IFERROR(C228/$C$36*100,"")</f>
        <v/>
      </c>
      <c r="M228" s="42">
        <f>IFERROR(D228/$D$36*100,"")</f>
        <v/>
      </c>
      <c r="N228" s="41">
        <f>IFERROR((1+H228)/(1+I228)-1,"")</f>
        <v/>
      </c>
      <c r="O228" s="41">
        <f>IFERROR((1+H228)/(1+J228)-1,"")</f>
        <v/>
      </c>
      <c r="P228" s="39">
        <f>IFERROR(B228*0.0099502487562189+P227*(1-0.0099502487562189),"")</f>
        <v/>
      </c>
      <c r="Q228" s="42">
        <f>Q227*(1+E228)</f>
        <v/>
      </c>
      <c r="R228" s="42">
        <f>MAX(R227,Q228)</f>
        <v/>
      </c>
      <c r="S228" s="41">
        <f>IFERROR(Q228/R228-1,"")</f>
        <v/>
      </c>
      <c r="T228" s="41">
        <f>IFERROR(_xlfn.STDEV.S(E169:E228)*SQRT($D$7),"")</f>
        <v/>
      </c>
      <c r="U228" s="41">
        <f>IFERROR(MIN(E228-$D$6,0),"")</f>
        <v/>
      </c>
      <c r="V228" s="41">
        <f>IFERROR(E228-F228,"")</f>
        <v/>
      </c>
      <c r="W228" s="39">
        <f>B228</f>
        <v/>
      </c>
      <c r="X228" s="21" t="n"/>
    </row>
    <row r="229">
      <c r="A229" s="38" t="n">
        <v>45268</v>
      </c>
      <c r="B229" s="39" t="n">
        <v>216.03</v>
      </c>
      <c r="C229" s="39" t="n">
        <v>460.2</v>
      </c>
      <c r="D229" s="39" t="n">
        <v>40.965</v>
      </c>
      <c r="E229" s="41">
        <f>IFERROR(B229/B228-1,"")</f>
        <v/>
      </c>
      <c r="F229" s="41">
        <f>IFERROR(C229/C228-1,"")</f>
        <v/>
      </c>
      <c r="G229" s="41">
        <f>IFERROR(D229/D228-1,"")</f>
        <v/>
      </c>
      <c r="H229" s="41">
        <f>IFERROR((1+E229)*(1+H228)-1,"")</f>
        <v/>
      </c>
      <c r="I229" s="41">
        <f>IFERROR((1+F229)*(1+I228)-1,"")</f>
        <v/>
      </c>
      <c r="J229" s="41">
        <f>IFERROR((1+G229)*(1+J228)-1,"")</f>
        <v/>
      </c>
      <c r="K229" s="42">
        <f>IFERROR(B229/$B$36*100,"")</f>
        <v/>
      </c>
      <c r="L229" s="42">
        <f>IFERROR(C229/$C$36*100,"")</f>
        <v/>
      </c>
      <c r="M229" s="42">
        <f>IFERROR(D229/$D$36*100,"")</f>
        <v/>
      </c>
      <c r="N229" s="41">
        <f>IFERROR((1+H229)/(1+I229)-1,"")</f>
        <v/>
      </c>
      <c r="O229" s="41">
        <f>IFERROR((1+H229)/(1+J229)-1,"")</f>
        <v/>
      </c>
      <c r="P229" s="39">
        <f>IFERROR(B229*0.0099502487562189+P228*(1-0.0099502487562189),"")</f>
        <v/>
      </c>
      <c r="Q229" s="42">
        <f>Q228*(1+E229)</f>
        <v/>
      </c>
      <c r="R229" s="42">
        <f>MAX(R228,Q229)</f>
        <v/>
      </c>
      <c r="S229" s="41">
        <f>IFERROR(Q229/R229-1,"")</f>
        <v/>
      </c>
      <c r="T229" s="41">
        <f>IFERROR(_xlfn.STDEV.S(E170:E229)*SQRT($D$7),"")</f>
        <v/>
      </c>
      <c r="U229" s="41">
        <f>IFERROR(MIN(E229-$D$6,0),"")</f>
        <v/>
      </c>
      <c r="V229" s="41">
        <f>IFERROR(E229-F229,"")</f>
        <v/>
      </c>
      <c r="W229" s="39">
        <f>B229</f>
        <v/>
      </c>
      <c r="X229" s="21" t="n"/>
    </row>
    <row r="230">
      <c r="A230" s="38" t="n">
        <v>45271</v>
      </c>
      <c r="B230" s="39" t="n">
        <v>218.86</v>
      </c>
      <c r="C230" s="39" t="n">
        <v>461.99</v>
      </c>
      <c r="D230" s="39" t="n">
        <v>41.255</v>
      </c>
      <c r="E230" s="41">
        <f>IFERROR(B230/B229-1,"")</f>
        <v/>
      </c>
      <c r="F230" s="41">
        <f>IFERROR(C230/C229-1,"")</f>
        <v/>
      </c>
      <c r="G230" s="41">
        <f>IFERROR(D230/D229-1,"")</f>
        <v/>
      </c>
      <c r="H230" s="41">
        <f>IFERROR((1+E230)*(1+H229)-1,"")</f>
        <v/>
      </c>
      <c r="I230" s="41">
        <f>IFERROR((1+F230)*(1+I229)-1,"")</f>
        <v/>
      </c>
      <c r="J230" s="41">
        <f>IFERROR((1+G230)*(1+J229)-1,"")</f>
        <v/>
      </c>
      <c r="K230" s="42">
        <f>IFERROR(B230/$B$36*100,"")</f>
        <v/>
      </c>
      <c r="L230" s="42">
        <f>IFERROR(C230/$C$36*100,"")</f>
        <v/>
      </c>
      <c r="M230" s="42">
        <f>IFERROR(D230/$D$36*100,"")</f>
        <v/>
      </c>
      <c r="N230" s="41">
        <f>IFERROR((1+H230)/(1+I230)-1,"")</f>
        <v/>
      </c>
      <c r="O230" s="41">
        <f>IFERROR((1+H230)/(1+J230)-1,"")</f>
        <v/>
      </c>
      <c r="P230" s="39">
        <f>IFERROR(B230*0.0099502487562189+P229*(1-0.0099502487562189),"")</f>
        <v/>
      </c>
      <c r="Q230" s="42">
        <f>Q229*(1+E230)</f>
        <v/>
      </c>
      <c r="R230" s="42">
        <f>MAX(R229,Q230)</f>
        <v/>
      </c>
      <c r="S230" s="41">
        <f>IFERROR(Q230/R230-1,"")</f>
        <v/>
      </c>
      <c r="T230" s="41">
        <f>IFERROR(_xlfn.STDEV.S(E171:E230)*SQRT($D$7),"")</f>
        <v/>
      </c>
      <c r="U230" s="41">
        <f>IFERROR(MIN(E230-$D$6,0),"")</f>
        <v/>
      </c>
      <c r="V230" s="41">
        <f>IFERROR(E230-F230,"")</f>
        <v/>
      </c>
      <c r="W230" s="39">
        <f>B230</f>
        <v/>
      </c>
      <c r="X230" s="21" t="n"/>
    </row>
    <row r="231">
      <c r="A231" s="38" t="n">
        <v>45272</v>
      </c>
      <c r="B231" s="39" t="n">
        <v>220.9</v>
      </c>
      <c r="C231" s="39" t="n">
        <v>464.1</v>
      </c>
      <c r="D231" s="39" t="n">
        <v>41.495</v>
      </c>
      <c r="E231" s="41">
        <f>IFERROR(B231/B230-1,"")</f>
        <v/>
      </c>
      <c r="F231" s="41">
        <f>IFERROR(C231/C230-1,"")</f>
        <v/>
      </c>
      <c r="G231" s="41">
        <f>IFERROR(D231/D230-1,"")</f>
        <v/>
      </c>
      <c r="H231" s="41">
        <f>IFERROR((1+E231)*(1+H230)-1,"")</f>
        <v/>
      </c>
      <c r="I231" s="41">
        <f>IFERROR((1+F231)*(1+I230)-1,"")</f>
        <v/>
      </c>
      <c r="J231" s="41">
        <f>IFERROR((1+G231)*(1+J230)-1,"")</f>
        <v/>
      </c>
      <c r="K231" s="42">
        <f>IFERROR(B231/$B$36*100,"")</f>
        <v/>
      </c>
      <c r="L231" s="42">
        <f>IFERROR(C231/$C$36*100,"")</f>
        <v/>
      </c>
      <c r="M231" s="42">
        <f>IFERROR(D231/$D$36*100,"")</f>
        <v/>
      </c>
      <c r="N231" s="41">
        <f>IFERROR((1+H231)/(1+I231)-1,"")</f>
        <v/>
      </c>
      <c r="O231" s="41">
        <f>IFERROR((1+H231)/(1+J231)-1,"")</f>
        <v/>
      </c>
      <c r="P231" s="39">
        <f>IFERROR(B231*0.0099502487562189+P230*(1-0.0099502487562189),"")</f>
        <v/>
      </c>
      <c r="Q231" s="42">
        <f>Q230*(1+E231)</f>
        <v/>
      </c>
      <c r="R231" s="42">
        <f>MAX(R230,Q231)</f>
        <v/>
      </c>
      <c r="S231" s="41">
        <f>IFERROR(Q231/R231-1,"")</f>
        <v/>
      </c>
      <c r="T231" s="41">
        <f>IFERROR(_xlfn.STDEV.S(E172:E231)*SQRT($D$7),"")</f>
        <v/>
      </c>
      <c r="U231" s="41">
        <f>IFERROR(MIN(E231-$D$6,0),"")</f>
        <v/>
      </c>
      <c r="V231" s="41">
        <f>IFERROR(E231-F231,"")</f>
        <v/>
      </c>
      <c r="W231" s="39">
        <f>B231</f>
        <v/>
      </c>
      <c r="X231" s="21" t="n"/>
    </row>
    <row r="232">
      <c r="A232" s="38" t="n">
        <v>45273</v>
      </c>
      <c r="B232" s="39" t="n">
        <v>223.67</v>
      </c>
      <c r="C232" s="39" t="n">
        <v>470.5</v>
      </c>
      <c r="D232" s="39" t="n">
        <v>42</v>
      </c>
      <c r="E232" s="41">
        <f>IFERROR(B232/B231-1,"")</f>
        <v/>
      </c>
      <c r="F232" s="41">
        <f>IFERROR(C232/C231-1,"")</f>
        <v/>
      </c>
      <c r="G232" s="41">
        <f>IFERROR(D232/D231-1,"")</f>
        <v/>
      </c>
      <c r="H232" s="41">
        <f>IFERROR((1+E232)*(1+H231)-1,"")</f>
        <v/>
      </c>
      <c r="I232" s="41">
        <f>IFERROR((1+F232)*(1+I231)-1,"")</f>
        <v/>
      </c>
      <c r="J232" s="41">
        <f>IFERROR((1+G232)*(1+J231)-1,"")</f>
        <v/>
      </c>
      <c r="K232" s="42">
        <f>IFERROR(B232/$B$36*100,"")</f>
        <v/>
      </c>
      <c r="L232" s="42">
        <f>IFERROR(C232/$C$36*100,"")</f>
        <v/>
      </c>
      <c r="M232" s="42">
        <f>IFERROR(D232/$D$36*100,"")</f>
        <v/>
      </c>
      <c r="N232" s="41">
        <f>IFERROR((1+H232)/(1+I232)-1,"")</f>
        <v/>
      </c>
      <c r="O232" s="41">
        <f>IFERROR((1+H232)/(1+J232)-1,"")</f>
        <v/>
      </c>
      <c r="P232" s="39">
        <f>IFERROR(B232*0.0099502487562189+P231*(1-0.0099502487562189),"")</f>
        <v/>
      </c>
      <c r="Q232" s="42">
        <f>Q231*(1+E232)</f>
        <v/>
      </c>
      <c r="R232" s="42">
        <f>MAX(R231,Q232)</f>
        <v/>
      </c>
      <c r="S232" s="41">
        <f>IFERROR(Q232/R232-1,"")</f>
        <v/>
      </c>
      <c r="T232" s="41">
        <f>IFERROR(_xlfn.STDEV.S(E173:E232)*SQRT($D$7),"")</f>
        <v/>
      </c>
      <c r="U232" s="41">
        <f>IFERROR(MIN(E232-$D$6,0),"")</f>
        <v/>
      </c>
      <c r="V232" s="41">
        <f>IFERROR(E232-F232,"")</f>
        <v/>
      </c>
      <c r="W232" s="39">
        <f>B232</f>
        <v/>
      </c>
      <c r="X232" s="21" t="n"/>
    </row>
    <row r="233">
      <c r="A233" s="38" t="n">
        <v>45274</v>
      </c>
      <c r="B233" s="39" t="n">
        <v>224.76</v>
      </c>
      <c r="C233" s="39" t="n">
        <v>472.01</v>
      </c>
      <c r="D233" s="39" t="n">
        <v>42.695</v>
      </c>
      <c r="E233" s="41">
        <f>IFERROR(B233/B232-1,"")</f>
        <v/>
      </c>
      <c r="F233" s="41">
        <f>IFERROR(C233/C232-1,"")</f>
        <v/>
      </c>
      <c r="G233" s="41">
        <f>IFERROR(D233/D232-1,"")</f>
        <v/>
      </c>
      <c r="H233" s="41">
        <f>IFERROR((1+E233)*(1+H232)-1,"")</f>
        <v/>
      </c>
      <c r="I233" s="41">
        <f>IFERROR((1+F233)*(1+I232)-1,"")</f>
        <v/>
      </c>
      <c r="J233" s="41">
        <f>IFERROR((1+G233)*(1+J232)-1,"")</f>
        <v/>
      </c>
      <c r="K233" s="42">
        <f>IFERROR(B233/$B$36*100,"")</f>
        <v/>
      </c>
      <c r="L233" s="42">
        <f>IFERROR(C233/$C$36*100,"")</f>
        <v/>
      </c>
      <c r="M233" s="42">
        <f>IFERROR(D233/$D$36*100,"")</f>
        <v/>
      </c>
      <c r="N233" s="41">
        <f>IFERROR((1+H233)/(1+I233)-1,"")</f>
        <v/>
      </c>
      <c r="O233" s="41">
        <f>IFERROR((1+H233)/(1+J233)-1,"")</f>
        <v/>
      </c>
      <c r="P233" s="39">
        <f>IFERROR(B233*0.0099502487562189+P232*(1-0.0099502487562189),"")</f>
        <v/>
      </c>
      <c r="Q233" s="42">
        <f>Q232*(1+E233)</f>
        <v/>
      </c>
      <c r="R233" s="42">
        <f>MAX(R232,Q233)</f>
        <v/>
      </c>
      <c r="S233" s="41">
        <f>IFERROR(Q233/R233-1,"")</f>
        <v/>
      </c>
      <c r="T233" s="41">
        <f>IFERROR(_xlfn.STDEV.S(E174:E233)*SQRT($D$7),"")</f>
        <v/>
      </c>
      <c r="U233" s="41">
        <f>IFERROR(MIN(E233-$D$6,0),"")</f>
        <v/>
      </c>
      <c r="V233" s="41">
        <f>IFERROR(E233-F233,"")</f>
        <v/>
      </c>
      <c r="W233" s="39">
        <f>B233</f>
        <v/>
      </c>
      <c r="X233" s="21" t="n"/>
    </row>
    <row r="234">
      <c r="A234" s="38" t="n">
        <v>45275</v>
      </c>
      <c r="B234" s="39" t="n">
        <v>224.35</v>
      </c>
      <c r="C234" s="39" t="n">
        <v>469.33</v>
      </c>
      <c r="D234" s="39" t="n">
        <v>42.585</v>
      </c>
      <c r="E234" s="41">
        <f>IFERROR(B234/B233-1,"")</f>
        <v/>
      </c>
      <c r="F234" s="41">
        <f>IFERROR(C234/C233-1,"")</f>
        <v/>
      </c>
      <c r="G234" s="41">
        <f>IFERROR(D234/D233-1,"")</f>
        <v/>
      </c>
      <c r="H234" s="41">
        <f>IFERROR((1+E234)*(1+H233)-1,"")</f>
        <v/>
      </c>
      <c r="I234" s="41">
        <f>IFERROR((1+F234)*(1+I233)-1,"")</f>
        <v/>
      </c>
      <c r="J234" s="41">
        <f>IFERROR((1+G234)*(1+J233)-1,"")</f>
        <v/>
      </c>
      <c r="K234" s="42">
        <f>IFERROR(B234/$B$36*100,"")</f>
        <v/>
      </c>
      <c r="L234" s="42">
        <f>IFERROR(C234/$C$36*100,"")</f>
        <v/>
      </c>
      <c r="M234" s="42">
        <f>IFERROR(D234/$D$36*100,"")</f>
        <v/>
      </c>
      <c r="N234" s="41">
        <f>IFERROR((1+H234)/(1+I234)-1,"")</f>
        <v/>
      </c>
      <c r="O234" s="41">
        <f>IFERROR((1+H234)/(1+J234)-1,"")</f>
        <v/>
      </c>
      <c r="P234" s="39">
        <f>IFERROR(B234*0.0099502487562189+P233*(1-0.0099502487562189),"")</f>
        <v/>
      </c>
      <c r="Q234" s="42">
        <f>Q233*(1+E234)</f>
        <v/>
      </c>
      <c r="R234" s="42">
        <f>MAX(R233,Q234)</f>
        <v/>
      </c>
      <c r="S234" s="41">
        <f>IFERROR(Q234/R234-1,"")</f>
        <v/>
      </c>
      <c r="T234" s="41">
        <f>IFERROR(_xlfn.STDEV.S(E175:E234)*SQRT($D$7),"")</f>
        <v/>
      </c>
      <c r="U234" s="41">
        <f>IFERROR(MIN(E234-$D$6,0),"")</f>
        <v/>
      </c>
      <c r="V234" s="41">
        <f>IFERROR(E234-F234,"")</f>
        <v/>
      </c>
      <c r="W234" s="39">
        <f>B234</f>
        <v/>
      </c>
      <c r="X234" s="21" t="n"/>
    </row>
    <row r="235">
      <c r="A235" s="38" t="n">
        <v>45278</v>
      </c>
      <c r="B235" s="39" t="n">
        <v>222.7</v>
      </c>
      <c r="C235" s="39" t="n">
        <v>471.97</v>
      </c>
      <c r="D235" s="39" t="n">
        <v>42.355</v>
      </c>
      <c r="E235" s="41">
        <f>IFERROR(B235/B234-1,"")</f>
        <v/>
      </c>
      <c r="F235" s="41">
        <f>IFERROR(C235/C234-1,"")</f>
        <v/>
      </c>
      <c r="G235" s="41">
        <f>IFERROR(D235/D234-1,"")</f>
        <v/>
      </c>
      <c r="H235" s="41">
        <f>IFERROR((1+E235)*(1+H234)-1,"")</f>
        <v/>
      </c>
      <c r="I235" s="41">
        <f>IFERROR((1+F235)*(1+I234)-1,"")</f>
        <v/>
      </c>
      <c r="J235" s="41">
        <f>IFERROR((1+G235)*(1+J234)-1,"")</f>
        <v/>
      </c>
      <c r="K235" s="42">
        <f>IFERROR(B235/$B$36*100,"")</f>
        <v/>
      </c>
      <c r="L235" s="42">
        <f>IFERROR(C235/$C$36*100,"")</f>
        <v/>
      </c>
      <c r="M235" s="42">
        <f>IFERROR(D235/$D$36*100,"")</f>
        <v/>
      </c>
      <c r="N235" s="41">
        <f>IFERROR((1+H235)/(1+I235)-1,"")</f>
        <v/>
      </c>
      <c r="O235" s="41">
        <f>IFERROR((1+H235)/(1+J235)-1,"")</f>
        <v/>
      </c>
      <c r="P235" s="39">
        <f>IFERROR(B235*0.0099502487562189+P234*(1-0.0099502487562189),"")</f>
        <v/>
      </c>
      <c r="Q235" s="42">
        <f>Q234*(1+E235)</f>
        <v/>
      </c>
      <c r="R235" s="42">
        <f>MAX(R234,Q235)</f>
        <v/>
      </c>
      <c r="S235" s="41">
        <f>IFERROR(Q235/R235-1,"")</f>
        <v/>
      </c>
      <c r="T235" s="41">
        <f>IFERROR(_xlfn.STDEV.S(E176:E235)*SQRT($D$7),"")</f>
        <v/>
      </c>
      <c r="U235" s="41">
        <f>IFERROR(MIN(E235-$D$6,0),"")</f>
        <v/>
      </c>
      <c r="V235" s="41">
        <f>IFERROR(E235-F235,"")</f>
        <v/>
      </c>
      <c r="W235" s="39">
        <f>B235</f>
        <v/>
      </c>
      <c r="X235" s="21" t="n"/>
    </row>
    <row r="236">
      <c r="A236" s="38" t="n">
        <v>45279</v>
      </c>
      <c r="B236" s="39" t="n">
        <v>224.69</v>
      </c>
      <c r="C236" s="39" t="n">
        <v>474.84</v>
      </c>
      <c r="D236" s="39" t="n">
        <v>42.745</v>
      </c>
      <c r="E236" s="41">
        <f>IFERROR(B236/B235-1,"")</f>
        <v/>
      </c>
      <c r="F236" s="41">
        <f>IFERROR(C236/C235-1,"")</f>
        <v/>
      </c>
      <c r="G236" s="41">
        <f>IFERROR(D236/D235-1,"")</f>
        <v/>
      </c>
      <c r="H236" s="41">
        <f>IFERROR((1+E236)*(1+H235)-1,"")</f>
        <v/>
      </c>
      <c r="I236" s="41">
        <f>IFERROR((1+F236)*(1+I235)-1,"")</f>
        <v/>
      </c>
      <c r="J236" s="41">
        <f>IFERROR((1+G236)*(1+J235)-1,"")</f>
        <v/>
      </c>
      <c r="K236" s="42">
        <f>IFERROR(B236/$B$36*100,"")</f>
        <v/>
      </c>
      <c r="L236" s="42">
        <f>IFERROR(C236/$C$36*100,"")</f>
        <v/>
      </c>
      <c r="M236" s="42">
        <f>IFERROR(D236/$D$36*100,"")</f>
        <v/>
      </c>
      <c r="N236" s="41">
        <f>IFERROR((1+H236)/(1+I236)-1,"")</f>
        <v/>
      </c>
      <c r="O236" s="41">
        <f>IFERROR((1+H236)/(1+J236)-1,"")</f>
        <v/>
      </c>
      <c r="P236" s="39">
        <f>IFERROR(B236*0.0099502487562189+P235*(1-0.0099502487562189),"")</f>
        <v/>
      </c>
      <c r="Q236" s="42">
        <f>Q235*(1+E236)</f>
        <v/>
      </c>
      <c r="R236" s="42">
        <f>MAX(R235,Q236)</f>
        <v/>
      </c>
      <c r="S236" s="41">
        <f>IFERROR(Q236/R236-1,"")</f>
        <v/>
      </c>
      <c r="T236" s="41">
        <f>IFERROR(_xlfn.STDEV.S(E177:E236)*SQRT($D$7),"")</f>
        <v/>
      </c>
      <c r="U236" s="41">
        <f>IFERROR(MIN(E236-$D$6,0),"")</f>
        <v/>
      </c>
      <c r="V236" s="41">
        <f>IFERROR(E236-F236,"")</f>
        <v/>
      </c>
      <c r="W236" s="39">
        <f>B236</f>
        <v/>
      </c>
      <c r="X236" s="21" t="n"/>
    </row>
    <row r="237">
      <c r="A237" s="38" t="n">
        <v>45280</v>
      </c>
      <c r="B237" s="39" t="n">
        <v>221.18</v>
      </c>
      <c r="C237" s="39" t="n">
        <v>468.26</v>
      </c>
      <c r="D237" s="39" t="n">
        <v>42.09</v>
      </c>
      <c r="E237" s="41">
        <f>IFERROR(B237/B236-1,"")</f>
        <v/>
      </c>
      <c r="F237" s="41">
        <f>IFERROR(C237/C236-1,"")</f>
        <v/>
      </c>
      <c r="G237" s="41">
        <f>IFERROR(D237/D236-1,"")</f>
        <v/>
      </c>
      <c r="H237" s="41">
        <f>IFERROR((1+E237)*(1+H236)-1,"")</f>
        <v/>
      </c>
      <c r="I237" s="41">
        <f>IFERROR((1+F237)*(1+I236)-1,"")</f>
        <v/>
      </c>
      <c r="J237" s="41">
        <f>IFERROR((1+G237)*(1+J236)-1,"")</f>
        <v/>
      </c>
      <c r="K237" s="42">
        <f>IFERROR(B237/$B$36*100,"")</f>
        <v/>
      </c>
      <c r="L237" s="42">
        <f>IFERROR(C237/$C$36*100,"")</f>
        <v/>
      </c>
      <c r="M237" s="42">
        <f>IFERROR(D237/$D$36*100,"")</f>
        <v/>
      </c>
      <c r="N237" s="41">
        <f>IFERROR((1+H237)/(1+I237)-1,"")</f>
        <v/>
      </c>
      <c r="O237" s="41">
        <f>IFERROR((1+H237)/(1+J237)-1,"")</f>
        <v/>
      </c>
      <c r="P237" s="39">
        <f>IFERROR(B237*0.0099502487562189+P236*(1-0.0099502487562189),"")</f>
        <v/>
      </c>
      <c r="Q237" s="42">
        <f>Q236*(1+E237)</f>
        <v/>
      </c>
      <c r="R237" s="42">
        <f>MAX(R236,Q237)</f>
        <v/>
      </c>
      <c r="S237" s="41">
        <f>IFERROR(Q237/R237-1,"")</f>
        <v/>
      </c>
      <c r="T237" s="41">
        <f>IFERROR(_xlfn.STDEV.S(E178:E237)*SQRT($D$7),"")</f>
        <v/>
      </c>
      <c r="U237" s="41">
        <f>IFERROR(MIN(E237-$D$6,0),"")</f>
        <v/>
      </c>
      <c r="V237" s="41">
        <f>IFERROR(E237-F237,"")</f>
        <v/>
      </c>
      <c r="W237" s="39">
        <f>B237</f>
        <v/>
      </c>
      <c r="X237" s="21" t="n"/>
    </row>
    <row r="238">
      <c r="A238" s="38" t="n">
        <v>45281</v>
      </c>
      <c r="B238" s="39" t="n">
        <v>223.28</v>
      </c>
      <c r="C238" s="39" t="n">
        <v>472.7</v>
      </c>
      <c r="D238" s="39" t="n">
        <v>42.535</v>
      </c>
      <c r="E238" s="41">
        <f>IFERROR(B238/B237-1,"")</f>
        <v/>
      </c>
      <c r="F238" s="41">
        <f>IFERROR(C238/C237-1,"")</f>
        <v/>
      </c>
      <c r="G238" s="41">
        <f>IFERROR(D238/D237-1,"")</f>
        <v/>
      </c>
      <c r="H238" s="41">
        <f>IFERROR((1+E238)*(1+H237)-1,"")</f>
        <v/>
      </c>
      <c r="I238" s="41">
        <f>IFERROR((1+F238)*(1+I237)-1,"")</f>
        <v/>
      </c>
      <c r="J238" s="41">
        <f>IFERROR((1+G238)*(1+J237)-1,"")</f>
        <v/>
      </c>
      <c r="K238" s="42">
        <f>IFERROR(B238/$B$36*100,"")</f>
        <v/>
      </c>
      <c r="L238" s="42">
        <f>IFERROR(C238/$C$36*100,"")</f>
        <v/>
      </c>
      <c r="M238" s="42">
        <f>IFERROR(D238/$D$36*100,"")</f>
        <v/>
      </c>
      <c r="N238" s="41">
        <f>IFERROR((1+H238)/(1+I238)-1,"")</f>
        <v/>
      </c>
      <c r="O238" s="41">
        <f>IFERROR((1+H238)/(1+J238)-1,"")</f>
        <v/>
      </c>
      <c r="P238" s="39">
        <f>IFERROR(B238*0.0099502487562189+P237*(1-0.0099502487562189),"")</f>
        <v/>
      </c>
      <c r="Q238" s="42">
        <f>Q237*(1+E238)</f>
        <v/>
      </c>
      <c r="R238" s="42">
        <f>MAX(R237,Q238)</f>
        <v/>
      </c>
      <c r="S238" s="41">
        <f>IFERROR(Q238/R238-1,"")</f>
        <v/>
      </c>
      <c r="T238" s="41">
        <f>IFERROR(_xlfn.STDEV.S(E179:E238)*SQRT($D$7),"")</f>
        <v/>
      </c>
      <c r="U238" s="41">
        <f>IFERROR(MIN(E238-$D$6,0),"")</f>
        <v/>
      </c>
      <c r="V238" s="41">
        <f>IFERROR(E238-F238,"")</f>
        <v/>
      </c>
      <c r="W238" s="39">
        <f>B238</f>
        <v/>
      </c>
      <c r="X238" s="21" t="n"/>
    </row>
    <row r="239">
      <c r="A239" s="38" t="n">
        <v>45282</v>
      </c>
      <c r="B239" s="39" t="n">
        <v>224.93</v>
      </c>
      <c r="C239" s="39" t="n">
        <v>473.65</v>
      </c>
      <c r="D239" s="39" t="n">
        <v>42.8</v>
      </c>
      <c r="E239" s="41">
        <f>IFERROR(B239/B238-1,"")</f>
        <v/>
      </c>
      <c r="F239" s="41">
        <f>IFERROR(C239/C238-1,"")</f>
        <v/>
      </c>
      <c r="G239" s="41">
        <f>IFERROR(D239/D238-1,"")</f>
        <v/>
      </c>
      <c r="H239" s="41">
        <f>IFERROR((1+E239)*(1+H238)-1,"")</f>
        <v/>
      </c>
      <c r="I239" s="41">
        <f>IFERROR((1+F239)*(1+I238)-1,"")</f>
        <v/>
      </c>
      <c r="J239" s="41">
        <f>IFERROR((1+G239)*(1+J238)-1,"")</f>
        <v/>
      </c>
      <c r="K239" s="42">
        <f>IFERROR(B239/$B$36*100,"")</f>
        <v/>
      </c>
      <c r="L239" s="42">
        <f>IFERROR(C239/$C$36*100,"")</f>
        <v/>
      </c>
      <c r="M239" s="42">
        <f>IFERROR(D239/$D$36*100,"")</f>
        <v/>
      </c>
      <c r="N239" s="41">
        <f>IFERROR((1+H239)/(1+I239)-1,"")</f>
        <v/>
      </c>
      <c r="O239" s="41">
        <f>IFERROR((1+H239)/(1+J239)-1,"")</f>
        <v/>
      </c>
      <c r="P239" s="39">
        <f>IFERROR(B239*0.0099502487562189+P238*(1-0.0099502487562189),"")</f>
        <v/>
      </c>
      <c r="Q239" s="42">
        <f>Q238*(1+E239)</f>
        <v/>
      </c>
      <c r="R239" s="42">
        <f>MAX(R238,Q239)</f>
        <v/>
      </c>
      <c r="S239" s="41">
        <f>IFERROR(Q239/R239-1,"")</f>
        <v/>
      </c>
      <c r="T239" s="41">
        <f>IFERROR(_xlfn.STDEV.S(E180:E239)*SQRT($D$7),"")</f>
        <v/>
      </c>
      <c r="U239" s="41">
        <f>IFERROR(MIN(E239-$D$6,0),"")</f>
        <v/>
      </c>
      <c r="V239" s="41">
        <f>IFERROR(E239-F239,"")</f>
        <v/>
      </c>
      <c r="W239" s="39">
        <f>B239</f>
        <v/>
      </c>
      <c r="X239" s="21" t="n"/>
    </row>
    <row r="240">
      <c r="A240" s="38" t="n">
        <v>45286</v>
      </c>
      <c r="B240" s="39" t="n">
        <v>225.65</v>
      </c>
      <c r="C240" s="39" t="n">
        <v>475.65</v>
      </c>
      <c r="D240" s="39" t="n">
        <v>43</v>
      </c>
      <c r="E240" s="41">
        <f>IFERROR(B240/B239-1,"")</f>
        <v/>
      </c>
      <c r="F240" s="41">
        <f>IFERROR(C240/C239-1,"")</f>
        <v/>
      </c>
      <c r="G240" s="41">
        <f>IFERROR(D240/D239-1,"")</f>
        <v/>
      </c>
      <c r="H240" s="41">
        <f>IFERROR((1+E240)*(1+H239)-1,"")</f>
        <v/>
      </c>
      <c r="I240" s="41">
        <f>IFERROR((1+F240)*(1+I239)-1,"")</f>
        <v/>
      </c>
      <c r="J240" s="41">
        <f>IFERROR((1+G240)*(1+J239)-1,"")</f>
        <v/>
      </c>
      <c r="K240" s="42">
        <f>IFERROR(B240/$B$36*100,"")</f>
        <v/>
      </c>
      <c r="L240" s="42">
        <f>IFERROR(C240/$C$36*100,"")</f>
        <v/>
      </c>
      <c r="M240" s="42">
        <f>IFERROR(D240/$D$36*100,"")</f>
        <v/>
      </c>
      <c r="N240" s="41">
        <f>IFERROR((1+H240)/(1+I240)-1,"")</f>
        <v/>
      </c>
      <c r="O240" s="41">
        <f>IFERROR((1+H240)/(1+J240)-1,"")</f>
        <v/>
      </c>
      <c r="P240" s="39">
        <f>IFERROR(B240*0.0099502487562189+P239*(1-0.0099502487562189),"")</f>
        <v/>
      </c>
      <c r="Q240" s="42">
        <f>Q239*(1+E240)</f>
        <v/>
      </c>
      <c r="R240" s="42">
        <f>MAX(R239,Q240)</f>
        <v/>
      </c>
      <c r="S240" s="41">
        <f>IFERROR(Q240/R240-1,"")</f>
        <v/>
      </c>
      <c r="T240" s="41">
        <f>IFERROR(_xlfn.STDEV.S(E181:E240)*SQRT($D$7),"")</f>
        <v/>
      </c>
      <c r="U240" s="41">
        <f>IFERROR(MIN(E240-$D$6,0),"")</f>
        <v/>
      </c>
      <c r="V240" s="41">
        <f>IFERROR(E240-F240,"")</f>
        <v/>
      </c>
      <c r="W240" s="39">
        <f>B240</f>
        <v/>
      </c>
      <c r="X240" s="21" t="n"/>
    </row>
    <row r="241">
      <c r="A241" s="38" t="n">
        <v>45287</v>
      </c>
      <c r="B241" s="39" t="n">
        <v>225.82</v>
      </c>
      <c r="C241" s="39" t="n">
        <v>476.51</v>
      </c>
      <c r="D241" s="39" t="n">
        <v>43.105</v>
      </c>
      <c r="E241" s="41">
        <f>IFERROR(B241/B240-1,"")</f>
        <v/>
      </c>
      <c r="F241" s="41">
        <f>IFERROR(C241/C240-1,"")</f>
        <v/>
      </c>
      <c r="G241" s="41">
        <f>IFERROR(D241/D240-1,"")</f>
        <v/>
      </c>
      <c r="H241" s="41">
        <f>IFERROR((1+E241)*(1+H240)-1,"")</f>
        <v/>
      </c>
      <c r="I241" s="41">
        <f>IFERROR((1+F241)*(1+I240)-1,"")</f>
        <v/>
      </c>
      <c r="J241" s="41">
        <f>IFERROR((1+G241)*(1+J240)-1,"")</f>
        <v/>
      </c>
      <c r="K241" s="42">
        <f>IFERROR(B241/$B$36*100,"")</f>
        <v/>
      </c>
      <c r="L241" s="42">
        <f>IFERROR(C241/$C$36*100,"")</f>
        <v/>
      </c>
      <c r="M241" s="42">
        <f>IFERROR(D241/$D$36*100,"")</f>
        <v/>
      </c>
      <c r="N241" s="41">
        <f>IFERROR((1+H241)/(1+I241)-1,"")</f>
        <v/>
      </c>
      <c r="O241" s="41">
        <f>IFERROR((1+H241)/(1+J241)-1,"")</f>
        <v/>
      </c>
      <c r="P241" s="39">
        <f>IFERROR(B241*0.0099502487562189+P240*(1-0.0099502487562189),"")</f>
        <v/>
      </c>
      <c r="Q241" s="42">
        <f>Q240*(1+E241)</f>
        <v/>
      </c>
      <c r="R241" s="42">
        <f>MAX(R240,Q241)</f>
        <v/>
      </c>
      <c r="S241" s="41">
        <f>IFERROR(Q241/R241-1,"")</f>
        <v/>
      </c>
      <c r="T241" s="41">
        <f>IFERROR(_xlfn.STDEV.S(E182:E241)*SQRT($D$7),"")</f>
        <v/>
      </c>
      <c r="U241" s="41">
        <f>IFERROR(MIN(E241-$D$6,0),"")</f>
        <v/>
      </c>
      <c r="V241" s="41">
        <f>IFERROR(E241-F241,"")</f>
        <v/>
      </c>
      <c r="W241" s="39">
        <f>B241</f>
        <v/>
      </c>
      <c r="X241" s="21" t="n"/>
    </row>
    <row r="242">
      <c r="A242" s="38" t="n">
        <v>45288</v>
      </c>
      <c r="B242" s="39" t="n">
        <v>225.44</v>
      </c>
      <c r="C242" s="39" t="n">
        <v>476.69</v>
      </c>
      <c r="D242" s="39" t="n">
        <v>42.94</v>
      </c>
      <c r="E242" s="41">
        <f>IFERROR(B242/B241-1,"")</f>
        <v/>
      </c>
      <c r="F242" s="41">
        <f>IFERROR(C242/C241-1,"")</f>
        <v/>
      </c>
      <c r="G242" s="41">
        <f>IFERROR(D242/D241-1,"")</f>
        <v/>
      </c>
      <c r="H242" s="41">
        <f>IFERROR((1+E242)*(1+H241)-1,"")</f>
        <v/>
      </c>
      <c r="I242" s="41">
        <f>IFERROR((1+F242)*(1+I241)-1,"")</f>
        <v/>
      </c>
      <c r="J242" s="41">
        <f>IFERROR((1+G242)*(1+J241)-1,"")</f>
        <v/>
      </c>
      <c r="K242" s="42">
        <f>IFERROR(B242/$B$36*100,"")</f>
        <v/>
      </c>
      <c r="L242" s="42">
        <f>IFERROR(C242/$C$36*100,"")</f>
        <v/>
      </c>
      <c r="M242" s="42">
        <f>IFERROR(D242/$D$36*100,"")</f>
        <v/>
      </c>
      <c r="N242" s="41">
        <f>IFERROR((1+H242)/(1+I242)-1,"")</f>
        <v/>
      </c>
      <c r="O242" s="41">
        <f>IFERROR((1+H242)/(1+J242)-1,"")</f>
        <v/>
      </c>
      <c r="P242" s="39">
        <f>IFERROR(B242*0.0099502487562189+P241*(1-0.0099502487562189),"")</f>
        <v/>
      </c>
      <c r="Q242" s="42">
        <f>Q241*(1+E242)</f>
        <v/>
      </c>
      <c r="R242" s="42">
        <f>MAX(R241,Q242)</f>
        <v/>
      </c>
      <c r="S242" s="41">
        <f>IFERROR(Q242/R242-1,"")</f>
        <v/>
      </c>
      <c r="T242" s="41">
        <f>IFERROR(_xlfn.STDEV.S(E183:E242)*SQRT($D$7),"")</f>
        <v/>
      </c>
      <c r="U242" s="41">
        <f>IFERROR(MIN(E242-$D$6,0),"")</f>
        <v/>
      </c>
      <c r="V242" s="41">
        <f>IFERROR(E242-F242,"")</f>
        <v/>
      </c>
      <c r="W242" s="39">
        <f>B242</f>
        <v/>
      </c>
      <c r="X242" s="21" t="n"/>
    </row>
    <row r="243">
      <c r="A243" s="38" t="n">
        <v>45289</v>
      </c>
      <c r="B243" s="39" t="n">
        <v>227.01</v>
      </c>
      <c r="C243" s="39" t="n">
        <v>475.31</v>
      </c>
      <c r="D243" s="39" t="n">
        <v>42.77</v>
      </c>
      <c r="E243" s="41">
        <f>IFERROR(B243/B242-1,"")</f>
        <v/>
      </c>
      <c r="F243" s="41">
        <f>IFERROR(C243/C242-1,"")</f>
        <v/>
      </c>
      <c r="G243" s="41">
        <f>IFERROR(D243/D242-1,"")</f>
        <v/>
      </c>
      <c r="H243" s="41">
        <f>IFERROR((1+E243)*(1+H242)-1,"")</f>
        <v/>
      </c>
      <c r="I243" s="41">
        <f>IFERROR((1+F243)*(1+I242)-1,"")</f>
        <v/>
      </c>
      <c r="J243" s="41">
        <f>IFERROR((1+G243)*(1+J242)-1,"")</f>
        <v/>
      </c>
      <c r="K243" s="42">
        <f>IFERROR(B243/$B$36*100,"")</f>
        <v/>
      </c>
      <c r="L243" s="42">
        <f>IFERROR(C243/$C$36*100,"")</f>
        <v/>
      </c>
      <c r="M243" s="42">
        <f>IFERROR(D243/$D$36*100,"")</f>
        <v/>
      </c>
      <c r="N243" s="41">
        <f>IFERROR((1+H243)/(1+I243)-1,"")</f>
        <v/>
      </c>
      <c r="O243" s="41">
        <f>IFERROR((1+H243)/(1+J243)-1,"")</f>
        <v/>
      </c>
      <c r="P243" s="39">
        <f>IFERROR(B243*0.0099502487562189+P242*(1-0.0099502487562189),"")</f>
        <v/>
      </c>
      <c r="Q243" s="42">
        <f>Q242*(1+E243)</f>
        <v/>
      </c>
      <c r="R243" s="42">
        <f>MAX(R242,Q243)</f>
        <v/>
      </c>
      <c r="S243" s="41">
        <f>IFERROR(Q243/R243-1,"")</f>
        <v/>
      </c>
      <c r="T243" s="41">
        <f>IFERROR(_xlfn.STDEV.S(E184:E243)*SQRT($D$7),"")</f>
        <v/>
      </c>
      <c r="U243" s="41">
        <f>IFERROR(MIN(E243-$D$6,0),"")</f>
        <v/>
      </c>
      <c r="V243" s="41">
        <f>IFERROR(E243-F243,"")</f>
        <v/>
      </c>
      <c r="W243" s="39">
        <f>B243</f>
        <v/>
      </c>
      <c r="X243" s="21" t="n"/>
    </row>
    <row r="244">
      <c r="A244" s="38" t="n">
        <v>45293</v>
      </c>
      <c r="B244" s="39" t="n">
        <v>223.6</v>
      </c>
      <c r="C244" s="39" t="n">
        <v>472.65</v>
      </c>
      <c r="D244" s="39" t="n">
        <v>42.695</v>
      </c>
      <c r="E244" s="41">
        <f>IFERROR(B244/B243-1,"")</f>
        <v/>
      </c>
      <c r="F244" s="41">
        <f>IFERROR(C244/C243-1,"")</f>
        <v/>
      </c>
      <c r="G244" s="41">
        <f>IFERROR(D244/D243-1,"")</f>
        <v/>
      </c>
      <c r="H244" s="41">
        <f>IFERROR((1+E244)*(1+H243)-1,"")</f>
        <v/>
      </c>
      <c r="I244" s="41">
        <f>IFERROR((1+F244)*(1+I243)-1,"")</f>
        <v/>
      </c>
      <c r="J244" s="41">
        <f>IFERROR((1+G244)*(1+J243)-1,"")</f>
        <v/>
      </c>
      <c r="K244" s="42">
        <f>IFERROR(B244/$B$36*100,"")</f>
        <v/>
      </c>
      <c r="L244" s="42">
        <f>IFERROR(C244/$C$36*100,"")</f>
        <v/>
      </c>
      <c r="M244" s="42">
        <f>IFERROR(D244/$D$36*100,"")</f>
        <v/>
      </c>
      <c r="N244" s="41">
        <f>IFERROR((1+H244)/(1+I244)-1,"")</f>
        <v/>
      </c>
      <c r="O244" s="41">
        <f>IFERROR((1+H244)/(1+J244)-1,"")</f>
        <v/>
      </c>
      <c r="P244" s="39">
        <f>IFERROR(B244*0.0099502487562189+P243*(1-0.0099502487562189),"")</f>
        <v/>
      </c>
      <c r="Q244" s="42">
        <f>Q243*(1+E244)</f>
        <v/>
      </c>
      <c r="R244" s="42">
        <f>MAX(R243,Q244)</f>
        <v/>
      </c>
      <c r="S244" s="41">
        <f>IFERROR(Q244/R244-1,"")</f>
        <v/>
      </c>
      <c r="T244" s="41">
        <f>IFERROR(_xlfn.STDEV.S(E185:E244)*SQRT($D$7),"")</f>
        <v/>
      </c>
      <c r="U244" s="41">
        <f>IFERROR(MIN(E244-$D$6,0),"")</f>
        <v/>
      </c>
      <c r="V244" s="41">
        <f>IFERROR(E244-F244,"")</f>
        <v/>
      </c>
      <c r="W244" s="39">
        <f>B244</f>
        <v/>
      </c>
      <c r="X244" s="21" t="n"/>
    </row>
    <row r="245">
      <c r="A245" s="38" t="n">
        <v>45294</v>
      </c>
      <c r="B245" s="39" t="n">
        <v>219.33</v>
      </c>
      <c r="C245" s="39" t="n">
        <v>468.79</v>
      </c>
      <c r="D245" s="39" t="n">
        <v>42.235</v>
      </c>
      <c r="E245" s="41">
        <f>IFERROR(B245/B244-1,"")</f>
        <v/>
      </c>
      <c r="F245" s="41">
        <f>IFERROR(C245/C244-1,"")</f>
        <v/>
      </c>
      <c r="G245" s="41">
        <f>IFERROR(D245/D244-1,"")</f>
        <v/>
      </c>
      <c r="H245" s="41">
        <f>IFERROR((1+E245)*(1+H244)-1,"")</f>
        <v/>
      </c>
      <c r="I245" s="41">
        <f>IFERROR((1+F245)*(1+I244)-1,"")</f>
        <v/>
      </c>
      <c r="J245" s="41">
        <f>IFERROR((1+G245)*(1+J244)-1,"")</f>
        <v/>
      </c>
      <c r="K245" s="42">
        <f>IFERROR(B245/$B$36*100,"")</f>
        <v/>
      </c>
      <c r="L245" s="42">
        <f>IFERROR(C245/$C$36*100,"")</f>
        <v/>
      </c>
      <c r="M245" s="42">
        <f>IFERROR(D245/$D$36*100,"")</f>
        <v/>
      </c>
      <c r="N245" s="41">
        <f>IFERROR((1+H245)/(1+I245)-1,"")</f>
        <v/>
      </c>
      <c r="O245" s="41">
        <f>IFERROR((1+H245)/(1+J245)-1,"")</f>
        <v/>
      </c>
      <c r="P245" s="39">
        <f>IFERROR(B245*0.0099502487562189+P244*(1-0.0099502487562189),"")</f>
        <v/>
      </c>
      <c r="Q245" s="42">
        <f>Q244*(1+E245)</f>
        <v/>
      </c>
      <c r="R245" s="42">
        <f>MAX(R244,Q245)</f>
        <v/>
      </c>
      <c r="S245" s="41">
        <f>IFERROR(Q245/R245-1,"")</f>
        <v/>
      </c>
      <c r="T245" s="41">
        <f>IFERROR(_xlfn.STDEV.S(E186:E245)*SQRT($D$7),"")</f>
        <v/>
      </c>
      <c r="U245" s="41">
        <f>IFERROR(MIN(E245-$D$6,0),"")</f>
        <v/>
      </c>
      <c r="V245" s="41">
        <f>IFERROR(E245-F245,"")</f>
        <v/>
      </c>
      <c r="W245" s="39">
        <f>B245</f>
        <v/>
      </c>
      <c r="X245" s="21" t="n"/>
    </row>
    <row r="246">
      <c r="A246" s="38" t="n">
        <v>45295</v>
      </c>
      <c r="B246" s="39" t="n">
        <v>220.68</v>
      </c>
      <c r="C246" s="39" t="n">
        <v>467.28</v>
      </c>
      <c r="D246" s="39" t="n">
        <v>42.1</v>
      </c>
      <c r="E246" s="41">
        <f>IFERROR(B246/B245-1,"")</f>
        <v/>
      </c>
      <c r="F246" s="41">
        <f>IFERROR(C246/C245-1,"")</f>
        <v/>
      </c>
      <c r="G246" s="41">
        <f>IFERROR(D246/D245-1,"")</f>
        <v/>
      </c>
      <c r="H246" s="41">
        <f>IFERROR((1+E246)*(1+H245)-1,"")</f>
        <v/>
      </c>
      <c r="I246" s="41">
        <f>IFERROR((1+F246)*(1+I245)-1,"")</f>
        <v/>
      </c>
      <c r="J246" s="41">
        <f>IFERROR((1+G246)*(1+J245)-1,"")</f>
        <v/>
      </c>
      <c r="K246" s="42">
        <f>IFERROR(B246/$B$36*100,"")</f>
        <v/>
      </c>
      <c r="L246" s="42">
        <f>IFERROR(C246/$C$36*100,"")</f>
        <v/>
      </c>
      <c r="M246" s="42">
        <f>IFERROR(D246/$D$36*100,"")</f>
        <v/>
      </c>
      <c r="N246" s="41">
        <f>IFERROR((1+H246)/(1+I246)-1,"")</f>
        <v/>
      </c>
      <c r="O246" s="41">
        <f>IFERROR((1+H246)/(1+J246)-1,"")</f>
        <v/>
      </c>
      <c r="P246" s="39">
        <f>IFERROR(B246*0.0099502487562189+P245*(1-0.0099502487562189),"")</f>
        <v/>
      </c>
      <c r="Q246" s="42">
        <f>Q245*(1+E246)</f>
        <v/>
      </c>
      <c r="R246" s="42">
        <f>MAX(R245,Q246)</f>
        <v/>
      </c>
      <c r="S246" s="41">
        <f>IFERROR(Q246/R246-1,"")</f>
        <v/>
      </c>
      <c r="T246" s="41">
        <f>IFERROR(_xlfn.STDEV.S(E187:E246)*SQRT($D$7),"")</f>
        <v/>
      </c>
      <c r="U246" s="41">
        <f>IFERROR(MIN(E246-$D$6,0),"")</f>
        <v/>
      </c>
      <c r="V246" s="41">
        <f>IFERROR(E246-F246,"")</f>
        <v/>
      </c>
      <c r="W246" s="39">
        <f>B246</f>
        <v/>
      </c>
      <c r="X246" s="21" t="n"/>
    </row>
    <row r="247">
      <c r="A247" s="38" t="n">
        <v>45296</v>
      </c>
      <c r="B247" s="39" t="n">
        <v>221.62</v>
      </c>
      <c r="C247" s="39" t="n">
        <v>467.92</v>
      </c>
      <c r="D247" s="39" t="n">
        <v>42.17</v>
      </c>
      <c r="E247" s="41">
        <f>IFERROR(B247/B246-1,"")</f>
        <v/>
      </c>
      <c r="F247" s="41">
        <f>IFERROR(C247/C246-1,"")</f>
        <v/>
      </c>
      <c r="G247" s="41">
        <f>IFERROR(D247/D246-1,"")</f>
        <v/>
      </c>
      <c r="H247" s="41">
        <f>IFERROR((1+E247)*(1+H246)-1,"")</f>
        <v/>
      </c>
      <c r="I247" s="41">
        <f>IFERROR((1+F247)*(1+I246)-1,"")</f>
        <v/>
      </c>
      <c r="J247" s="41">
        <f>IFERROR((1+G247)*(1+J246)-1,"")</f>
        <v/>
      </c>
      <c r="K247" s="42">
        <f>IFERROR(B247/$B$36*100,"")</f>
        <v/>
      </c>
      <c r="L247" s="42">
        <f>IFERROR(C247/$C$36*100,"")</f>
        <v/>
      </c>
      <c r="M247" s="42">
        <f>IFERROR(D247/$D$36*100,"")</f>
        <v/>
      </c>
      <c r="N247" s="41">
        <f>IFERROR((1+H247)/(1+I247)-1,"")</f>
        <v/>
      </c>
      <c r="O247" s="41">
        <f>IFERROR((1+H247)/(1+J247)-1,"")</f>
        <v/>
      </c>
      <c r="P247" s="39">
        <f>IFERROR(B247*0.0099502487562189+P246*(1-0.0099502487562189),"")</f>
        <v/>
      </c>
      <c r="Q247" s="42">
        <f>Q246*(1+E247)</f>
        <v/>
      </c>
      <c r="R247" s="42">
        <f>MAX(R246,Q247)</f>
        <v/>
      </c>
      <c r="S247" s="41">
        <f>IFERROR(Q247/R247-1,"")</f>
        <v/>
      </c>
      <c r="T247" s="41">
        <f>IFERROR(_xlfn.STDEV.S(E188:E247)*SQRT($D$7),"")</f>
        <v/>
      </c>
      <c r="U247" s="41">
        <f>IFERROR(MIN(E247-$D$6,0),"")</f>
        <v/>
      </c>
      <c r="V247" s="41">
        <f>IFERROR(E247-F247,"")</f>
        <v/>
      </c>
      <c r="W247" s="39">
        <f>B247</f>
        <v/>
      </c>
      <c r="X247" s="21" t="n"/>
    </row>
    <row r="248">
      <c r="A248" s="38" t="n">
        <v>45299</v>
      </c>
      <c r="B248" s="39" t="n">
        <v>224</v>
      </c>
      <c r="C248" s="39" t="n">
        <v>474.6</v>
      </c>
      <c r="D248" s="39" t="n">
        <v>42.35</v>
      </c>
      <c r="E248" s="41">
        <f>IFERROR(B248/B247-1,"")</f>
        <v/>
      </c>
      <c r="F248" s="41">
        <f>IFERROR(C248/C247-1,"")</f>
        <v/>
      </c>
      <c r="G248" s="41">
        <f>IFERROR(D248/D247-1,"")</f>
        <v/>
      </c>
      <c r="H248" s="41">
        <f>IFERROR((1+E248)*(1+H247)-1,"")</f>
        <v/>
      </c>
      <c r="I248" s="41">
        <f>IFERROR((1+F248)*(1+I247)-1,"")</f>
        <v/>
      </c>
      <c r="J248" s="41">
        <f>IFERROR((1+G248)*(1+J247)-1,"")</f>
        <v/>
      </c>
      <c r="K248" s="42">
        <f>IFERROR(B248/$B$36*100,"")</f>
        <v/>
      </c>
      <c r="L248" s="42">
        <f>IFERROR(C248/$C$36*100,"")</f>
        <v/>
      </c>
      <c r="M248" s="42">
        <f>IFERROR(D248/$D$36*100,"")</f>
        <v/>
      </c>
      <c r="N248" s="41">
        <f>IFERROR((1+H248)/(1+I248)-1,"")</f>
        <v/>
      </c>
      <c r="O248" s="41">
        <f>IFERROR((1+H248)/(1+J248)-1,"")</f>
        <v/>
      </c>
      <c r="P248" s="39">
        <f>IFERROR(B248*0.0099502487562189+P247*(1-0.0099502487562189),"")</f>
        <v/>
      </c>
      <c r="Q248" s="42">
        <f>Q247*(1+E248)</f>
        <v/>
      </c>
      <c r="R248" s="42">
        <f>MAX(R247,Q248)</f>
        <v/>
      </c>
      <c r="S248" s="41">
        <f>IFERROR(Q248/R248-1,"")</f>
        <v/>
      </c>
      <c r="T248" s="41">
        <f>IFERROR(_xlfn.STDEV.S(E189:E248)*SQRT($D$7),"")</f>
        <v/>
      </c>
      <c r="U248" s="41">
        <f>IFERROR(MIN(E248-$D$6,0),"")</f>
        <v/>
      </c>
      <c r="V248" s="41">
        <f>IFERROR(E248-F248,"")</f>
        <v/>
      </c>
      <c r="W248" s="39">
        <f>B248</f>
        <v/>
      </c>
      <c r="X248" s="21" t="n"/>
    </row>
    <row r="249">
      <c r="A249" s="38" t="n">
        <v>45300</v>
      </c>
      <c r="B249" s="39" t="n">
        <v>223.42</v>
      </c>
      <c r="C249" s="39" t="n">
        <v>473.88</v>
      </c>
      <c r="D249" s="39" t="n">
        <v>41.865</v>
      </c>
      <c r="E249" s="41">
        <f>IFERROR(B249/B248-1,"")</f>
        <v/>
      </c>
      <c r="F249" s="41">
        <f>IFERROR(C249/C248-1,"")</f>
        <v/>
      </c>
      <c r="G249" s="41">
        <f>IFERROR(D249/D248-1,"")</f>
        <v/>
      </c>
      <c r="H249" s="41">
        <f>IFERROR((1+E249)*(1+H248)-1,"")</f>
        <v/>
      </c>
      <c r="I249" s="41">
        <f>IFERROR((1+F249)*(1+I248)-1,"")</f>
        <v/>
      </c>
      <c r="J249" s="41">
        <f>IFERROR((1+G249)*(1+J248)-1,"")</f>
        <v/>
      </c>
      <c r="K249" s="42">
        <f>IFERROR(B249/$B$36*100,"")</f>
        <v/>
      </c>
      <c r="L249" s="42">
        <f>IFERROR(C249/$C$36*100,"")</f>
        <v/>
      </c>
      <c r="M249" s="42">
        <f>IFERROR(D249/$D$36*100,"")</f>
        <v/>
      </c>
      <c r="N249" s="41">
        <f>IFERROR((1+H249)/(1+I249)-1,"")</f>
        <v/>
      </c>
      <c r="O249" s="41">
        <f>IFERROR((1+H249)/(1+J249)-1,"")</f>
        <v/>
      </c>
      <c r="P249" s="39">
        <f>IFERROR(B249*0.0099502487562189+P248*(1-0.0099502487562189),"")</f>
        <v/>
      </c>
      <c r="Q249" s="42">
        <f>Q248*(1+E249)</f>
        <v/>
      </c>
      <c r="R249" s="42">
        <f>MAX(R248,Q249)</f>
        <v/>
      </c>
      <c r="S249" s="41">
        <f>IFERROR(Q249/R249-1,"")</f>
        <v/>
      </c>
      <c r="T249" s="41">
        <f>IFERROR(_xlfn.STDEV.S(E190:E249)*SQRT($D$7),"")</f>
        <v/>
      </c>
      <c r="U249" s="41">
        <f>IFERROR(MIN(E249-$D$6,0),"")</f>
        <v/>
      </c>
      <c r="V249" s="41">
        <f>IFERROR(E249-F249,"")</f>
        <v/>
      </c>
      <c r="W249" s="39">
        <f>B249</f>
        <v/>
      </c>
      <c r="X249" s="21" t="n"/>
    </row>
    <row r="250">
      <c r="A250" s="38" t="n">
        <v>45301</v>
      </c>
      <c r="B250" s="39" t="n">
        <v>226.11</v>
      </c>
      <c r="C250" s="39" t="n">
        <v>476.56</v>
      </c>
      <c r="D250" s="39" t="n">
        <v>41.81</v>
      </c>
      <c r="E250" s="41">
        <f>IFERROR(B250/B249-1,"")</f>
        <v/>
      </c>
      <c r="F250" s="41">
        <f>IFERROR(C250/C249-1,"")</f>
        <v/>
      </c>
      <c r="G250" s="41">
        <f>IFERROR(D250/D249-1,"")</f>
        <v/>
      </c>
      <c r="H250" s="41">
        <f>IFERROR((1+E250)*(1+H249)-1,"")</f>
        <v/>
      </c>
      <c r="I250" s="41">
        <f>IFERROR((1+F250)*(1+I249)-1,"")</f>
        <v/>
      </c>
      <c r="J250" s="41">
        <f>IFERROR((1+G250)*(1+J249)-1,"")</f>
        <v/>
      </c>
      <c r="K250" s="42">
        <f>IFERROR(B250/$B$36*100,"")</f>
        <v/>
      </c>
      <c r="L250" s="42">
        <f>IFERROR(C250/$C$36*100,"")</f>
        <v/>
      </c>
      <c r="M250" s="42">
        <f>IFERROR(D250/$D$36*100,"")</f>
        <v/>
      </c>
      <c r="N250" s="41">
        <f>IFERROR((1+H250)/(1+I250)-1,"")</f>
        <v/>
      </c>
      <c r="O250" s="41">
        <f>IFERROR((1+H250)/(1+J250)-1,"")</f>
        <v/>
      </c>
      <c r="P250" s="39">
        <f>IFERROR(B250*0.0099502487562189+P249*(1-0.0099502487562189),"")</f>
        <v/>
      </c>
      <c r="Q250" s="42">
        <f>Q249*(1+E250)</f>
        <v/>
      </c>
      <c r="R250" s="42">
        <f>MAX(R249,Q250)</f>
        <v/>
      </c>
      <c r="S250" s="41">
        <f>IFERROR(Q250/R250-1,"")</f>
        <v/>
      </c>
      <c r="T250" s="41">
        <f>IFERROR(_xlfn.STDEV.S(E191:E250)*SQRT($D$7),"")</f>
        <v/>
      </c>
      <c r="U250" s="41">
        <f>IFERROR(MIN(E250-$D$6,0),"")</f>
        <v/>
      </c>
      <c r="V250" s="41">
        <f>IFERROR(E250-F250,"")</f>
        <v/>
      </c>
      <c r="W250" s="39">
        <f>B250</f>
        <v/>
      </c>
      <c r="X250" s="21" t="n"/>
    </row>
    <row r="251">
      <c r="A251" s="38" t="n">
        <v>45302</v>
      </c>
      <c r="B251" s="39" t="n">
        <v>224.36</v>
      </c>
      <c r="C251" s="39" t="n">
        <v>476.35</v>
      </c>
      <c r="D251" s="39" t="n">
        <v>41.685</v>
      </c>
      <c r="E251" s="41">
        <f>IFERROR(B251/B250-1,"")</f>
        <v/>
      </c>
      <c r="F251" s="41">
        <f>IFERROR(C251/C250-1,"")</f>
        <v/>
      </c>
      <c r="G251" s="41">
        <f>IFERROR(D251/D250-1,"")</f>
        <v/>
      </c>
      <c r="H251" s="41">
        <f>IFERROR((1+E251)*(1+H250)-1,"")</f>
        <v/>
      </c>
      <c r="I251" s="41">
        <f>IFERROR((1+F251)*(1+I250)-1,"")</f>
        <v/>
      </c>
      <c r="J251" s="41">
        <f>IFERROR((1+G251)*(1+J250)-1,"")</f>
        <v/>
      </c>
      <c r="K251" s="42">
        <f>IFERROR(B251/$B$36*100,"")</f>
        <v/>
      </c>
      <c r="L251" s="42">
        <f>IFERROR(C251/$C$36*100,"")</f>
        <v/>
      </c>
      <c r="M251" s="42">
        <f>IFERROR(D251/$D$36*100,"")</f>
        <v/>
      </c>
      <c r="N251" s="41">
        <f>IFERROR((1+H251)/(1+I251)-1,"")</f>
        <v/>
      </c>
      <c r="O251" s="41">
        <f>IFERROR((1+H251)/(1+J251)-1,"")</f>
        <v/>
      </c>
      <c r="P251" s="39">
        <f>IFERROR(B251*0.0099502487562189+P250*(1-0.0099502487562189),"")</f>
        <v/>
      </c>
      <c r="Q251" s="42">
        <f>Q250*(1+E251)</f>
        <v/>
      </c>
      <c r="R251" s="42">
        <f>MAX(R250,Q251)</f>
        <v/>
      </c>
      <c r="S251" s="41">
        <f>IFERROR(Q251/R251-1,"")</f>
        <v/>
      </c>
      <c r="T251" s="41">
        <f>IFERROR(_xlfn.STDEV.S(E192:E251)*SQRT($D$7),"")</f>
        <v/>
      </c>
      <c r="U251" s="41">
        <f>IFERROR(MIN(E251-$D$6,0),"")</f>
        <v/>
      </c>
      <c r="V251" s="41">
        <f>IFERROR(E251-F251,"")</f>
        <v/>
      </c>
      <c r="W251" s="39">
        <f>B251</f>
        <v/>
      </c>
      <c r="X251" s="21" t="n"/>
    </row>
    <row r="252">
      <c r="A252" s="38" t="n">
        <v>45303</v>
      </c>
      <c r="B252" s="39" t="n">
        <v>223.96</v>
      </c>
      <c r="C252" s="39" t="n">
        <v>476.68</v>
      </c>
      <c r="D252" s="39" t="n">
        <v>41.725</v>
      </c>
      <c r="E252" s="41">
        <f>IFERROR(B252/B251-1,"")</f>
        <v/>
      </c>
      <c r="F252" s="41">
        <f>IFERROR(C252/C251-1,"")</f>
        <v/>
      </c>
      <c r="G252" s="41">
        <f>IFERROR(D252/D251-1,"")</f>
        <v/>
      </c>
      <c r="H252" s="41">
        <f>IFERROR((1+E252)*(1+H251)-1,"")</f>
        <v/>
      </c>
      <c r="I252" s="41">
        <f>IFERROR((1+F252)*(1+I251)-1,"")</f>
        <v/>
      </c>
      <c r="J252" s="41">
        <f>IFERROR((1+G252)*(1+J251)-1,"")</f>
        <v/>
      </c>
      <c r="K252" s="42">
        <f>IFERROR(B252/$B$36*100,"")</f>
        <v/>
      </c>
      <c r="L252" s="42">
        <f>IFERROR(C252/$C$36*100,"")</f>
        <v/>
      </c>
      <c r="M252" s="42">
        <f>IFERROR(D252/$D$36*100,"")</f>
        <v/>
      </c>
      <c r="N252" s="41">
        <f>IFERROR((1+H252)/(1+I252)-1,"")</f>
        <v/>
      </c>
      <c r="O252" s="41">
        <f>IFERROR((1+H252)/(1+J252)-1,"")</f>
        <v/>
      </c>
      <c r="P252" s="39">
        <f>IFERROR(B252*0.0099502487562189+P251*(1-0.0099502487562189),"")</f>
        <v/>
      </c>
      <c r="Q252" s="42">
        <f>Q251*(1+E252)</f>
        <v/>
      </c>
      <c r="R252" s="42">
        <f>MAX(R251,Q252)</f>
        <v/>
      </c>
      <c r="S252" s="41">
        <f>IFERROR(Q252/R252-1,"")</f>
        <v/>
      </c>
      <c r="T252" s="41">
        <f>IFERROR(_xlfn.STDEV.S(E193:E252)*SQRT($D$7),"")</f>
        <v/>
      </c>
      <c r="U252" s="41">
        <f>IFERROR(MIN(E252-$D$6,0),"")</f>
        <v/>
      </c>
      <c r="V252" s="41">
        <f>IFERROR(E252-F252,"")</f>
        <v/>
      </c>
      <c r="W252" s="39">
        <f>B252</f>
        <v/>
      </c>
      <c r="X252" s="21" t="n"/>
    </row>
    <row r="253">
      <c r="A253" s="38" t="n">
        <v>45307</v>
      </c>
      <c r="B253" s="39" t="n">
        <v>222.38</v>
      </c>
      <c r="C253" s="39" t="n">
        <v>474.93</v>
      </c>
      <c r="D253" s="39" t="n">
        <v>41.245</v>
      </c>
      <c r="E253" s="41">
        <f>IFERROR(B253/B252-1,"")</f>
        <v/>
      </c>
      <c r="F253" s="41">
        <f>IFERROR(C253/C252-1,"")</f>
        <v/>
      </c>
      <c r="G253" s="41">
        <f>IFERROR(D253/D252-1,"")</f>
        <v/>
      </c>
      <c r="H253" s="41">
        <f>IFERROR((1+E253)*(1+H252)-1,"")</f>
        <v/>
      </c>
      <c r="I253" s="41">
        <f>IFERROR((1+F253)*(1+I252)-1,"")</f>
        <v/>
      </c>
      <c r="J253" s="41">
        <f>IFERROR((1+G253)*(1+J252)-1,"")</f>
        <v/>
      </c>
      <c r="K253" s="42">
        <f>IFERROR(B253/$B$36*100,"")</f>
        <v/>
      </c>
      <c r="L253" s="42">
        <f>IFERROR(C253/$C$36*100,"")</f>
        <v/>
      </c>
      <c r="M253" s="42">
        <f>IFERROR(D253/$D$36*100,"")</f>
        <v/>
      </c>
      <c r="N253" s="41">
        <f>IFERROR((1+H253)/(1+I253)-1,"")</f>
        <v/>
      </c>
      <c r="O253" s="41">
        <f>IFERROR((1+H253)/(1+J253)-1,"")</f>
        <v/>
      </c>
      <c r="P253" s="39">
        <f>IFERROR(B253*0.0099502487562189+P252*(1-0.0099502487562189),"")</f>
        <v/>
      </c>
      <c r="Q253" s="42">
        <f>Q252*(1+E253)</f>
        <v/>
      </c>
      <c r="R253" s="42">
        <f>MAX(R252,Q253)</f>
        <v/>
      </c>
      <c r="S253" s="41">
        <f>IFERROR(Q253/R253-1,"")</f>
        <v/>
      </c>
      <c r="T253" s="41">
        <f>IFERROR(_xlfn.STDEV.S(E194:E253)*SQRT($D$7),"")</f>
        <v/>
      </c>
      <c r="U253" s="41">
        <f>IFERROR(MIN(E253-$D$6,0),"")</f>
        <v/>
      </c>
      <c r="V253" s="41">
        <f>IFERROR(E253-F253,"")</f>
        <v/>
      </c>
      <c r="W253" s="39">
        <f>B253</f>
        <v/>
      </c>
      <c r="X253" s="21" t="n"/>
    </row>
    <row r="254">
      <c r="A254" s="38" t="n">
        <v>45308</v>
      </c>
      <c r="B254" s="39" t="n">
        <v>221.26</v>
      </c>
      <c r="C254" s="39" t="n">
        <v>472.29</v>
      </c>
      <c r="D254" s="39" t="n">
        <v>40.945</v>
      </c>
      <c r="E254" s="41">
        <f>IFERROR(B254/B253-1,"")</f>
        <v/>
      </c>
      <c r="F254" s="41">
        <f>IFERROR(C254/C253-1,"")</f>
        <v/>
      </c>
      <c r="G254" s="41">
        <f>IFERROR(D254/D253-1,"")</f>
        <v/>
      </c>
      <c r="H254" s="41">
        <f>IFERROR((1+E254)*(1+H253)-1,"")</f>
        <v/>
      </c>
      <c r="I254" s="41">
        <f>IFERROR((1+F254)*(1+I253)-1,"")</f>
        <v/>
      </c>
      <c r="J254" s="41">
        <f>IFERROR((1+G254)*(1+J253)-1,"")</f>
        <v/>
      </c>
      <c r="K254" s="42">
        <f>IFERROR(B254/$B$36*100,"")</f>
        <v/>
      </c>
      <c r="L254" s="42">
        <f>IFERROR(C254/$C$36*100,"")</f>
        <v/>
      </c>
      <c r="M254" s="42">
        <f>IFERROR(D254/$D$36*100,"")</f>
        <v/>
      </c>
      <c r="N254" s="41">
        <f>IFERROR((1+H254)/(1+I254)-1,"")</f>
        <v/>
      </c>
      <c r="O254" s="41">
        <f>IFERROR((1+H254)/(1+J254)-1,"")</f>
        <v/>
      </c>
      <c r="P254" s="39">
        <f>IFERROR(B254*0.0099502487562189+P253*(1-0.0099502487562189),"")</f>
        <v/>
      </c>
      <c r="Q254" s="42">
        <f>Q253*(1+E254)</f>
        <v/>
      </c>
      <c r="R254" s="42">
        <f>MAX(R253,Q254)</f>
        <v/>
      </c>
      <c r="S254" s="41">
        <f>IFERROR(Q254/R254-1,"")</f>
        <v/>
      </c>
      <c r="T254" s="41">
        <f>IFERROR(_xlfn.STDEV.S(E195:E254)*SQRT($D$7),"")</f>
        <v/>
      </c>
      <c r="U254" s="41">
        <f>IFERROR(MIN(E254-$D$6,0),"")</f>
        <v/>
      </c>
      <c r="V254" s="41">
        <f>IFERROR(E254-F254,"")</f>
        <v/>
      </c>
      <c r="W254" s="39">
        <f>B254</f>
        <v/>
      </c>
      <c r="X254" s="21" t="n"/>
    </row>
    <row r="255">
      <c r="A255" s="38" t="n">
        <v>45309</v>
      </c>
      <c r="B255" s="39" t="n">
        <v>225.12</v>
      </c>
      <c r="C255" s="39" t="n">
        <v>476.49</v>
      </c>
      <c r="D255" s="39" t="n">
        <v>41.075</v>
      </c>
      <c r="E255" s="41">
        <f>IFERROR(B255/B254-1,"")</f>
        <v/>
      </c>
      <c r="F255" s="41">
        <f>IFERROR(C255/C254-1,"")</f>
        <v/>
      </c>
      <c r="G255" s="41">
        <f>IFERROR(D255/D254-1,"")</f>
        <v/>
      </c>
      <c r="H255" s="41">
        <f>IFERROR((1+E255)*(1+H254)-1,"")</f>
        <v/>
      </c>
      <c r="I255" s="41">
        <f>IFERROR((1+F255)*(1+I254)-1,"")</f>
        <v/>
      </c>
      <c r="J255" s="41">
        <f>IFERROR((1+G255)*(1+J254)-1,"")</f>
        <v/>
      </c>
      <c r="K255" s="42">
        <f>IFERROR(B255/$B$36*100,"")</f>
        <v/>
      </c>
      <c r="L255" s="42">
        <f>IFERROR(C255/$C$36*100,"")</f>
        <v/>
      </c>
      <c r="M255" s="42">
        <f>IFERROR(D255/$D$36*100,"")</f>
        <v/>
      </c>
      <c r="N255" s="41">
        <f>IFERROR((1+H255)/(1+I255)-1,"")</f>
        <v/>
      </c>
      <c r="O255" s="41">
        <f>IFERROR((1+H255)/(1+J255)-1,"")</f>
        <v/>
      </c>
      <c r="P255" s="39">
        <f>IFERROR(B255*0.0099502487562189+P254*(1-0.0099502487562189),"")</f>
        <v/>
      </c>
      <c r="Q255" s="42">
        <f>Q254*(1+E255)</f>
        <v/>
      </c>
      <c r="R255" s="42">
        <f>MAX(R254,Q255)</f>
        <v/>
      </c>
      <c r="S255" s="41">
        <f>IFERROR(Q255/R255-1,"")</f>
        <v/>
      </c>
      <c r="T255" s="41">
        <f>IFERROR(_xlfn.STDEV.S(E196:E255)*SQRT($D$7),"")</f>
        <v/>
      </c>
      <c r="U255" s="41">
        <f>IFERROR(MIN(E255-$D$6,0),"")</f>
        <v/>
      </c>
      <c r="V255" s="41">
        <f>IFERROR(E255-F255,"")</f>
        <v/>
      </c>
      <c r="W255" s="39">
        <f>B255</f>
        <v/>
      </c>
      <c r="X255" s="21" t="n"/>
    </row>
    <row r="256">
      <c r="A256" s="38" t="n">
        <v>45310</v>
      </c>
      <c r="B256" s="39" t="n">
        <v>226.08</v>
      </c>
      <c r="C256" s="39" t="n">
        <v>482.43</v>
      </c>
      <c r="D256" s="39" t="n">
        <v>41.115</v>
      </c>
      <c r="E256" s="41">
        <f>IFERROR(B256/B255-1,"")</f>
        <v/>
      </c>
      <c r="F256" s="41">
        <f>IFERROR(C256/C255-1,"")</f>
        <v/>
      </c>
      <c r="G256" s="41">
        <f>IFERROR(D256/D255-1,"")</f>
        <v/>
      </c>
      <c r="H256" s="41">
        <f>IFERROR((1+E256)*(1+H255)-1,"")</f>
        <v/>
      </c>
      <c r="I256" s="41">
        <f>IFERROR((1+F256)*(1+I255)-1,"")</f>
        <v/>
      </c>
      <c r="J256" s="41">
        <f>IFERROR((1+G256)*(1+J255)-1,"")</f>
        <v/>
      </c>
      <c r="K256" s="42">
        <f>IFERROR(B256/$B$36*100,"")</f>
        <v/>
      </c>
      <c r="L256" s="42">
        <f>IFERROR(C256/$C$36*100,"")</f>
        <v/>
      </c>
      <c r="M256" s="42">
        <f>IFERROR(D256/$D$36*100,"")</f>
        <v/>
      </c>
      <c r="N256" s="41">
        <f>IFERROR((1+H256)/(1+I256)-1,"")</f>
        <v/>
      </c>
      <c r="O256" s="41">
        <f>IFERROR((1+H256)/(1+J256)-1,"")</f>
        <v/>
      </c>
      <c r="P256" s="39">
        <f>IFERROR(B256*0.0099502487562189+P255*(1-0.0099502487562189),"")</f>
        <v/>
      </c>
      <c r="Q256" s="42">
        <f>Q255*(1+E256)</f>
        <v/>
      </c>
      <c r="R256" s="42">
        <f>MAX(R255,Q256)</f>
        <v/>
      </c>
      <c r="S256" s="41">
        <f>IFERROR(Q256/R256-1,"")</f>
        <v/>
      </c>
      <c r="T256" s="41">
        <f>IFERROR(_xlfn.STDEV.S(E197:E256)*SQRT($D$7),"")</f>
        <v/>
      </c>
      <c r="U256" s="41">
        <f>IFERROR(MIN(E256-$D$6,0),"")</f>
        <v/>
      </c>
      <c r="V256" s="41">
        <f>IFERROR(E256-F256,"")</f>
        <v/>
      </c>
      <c r="W256" s="39">
        <f>B256</f>
        <v/>
      </c>
      <c r="X256" s="21" t="n"/>
    </row>
    <row r="257">
      <c r="A257" s="38" t="n">
        <v>45313</v>
      </c>
      <c r="B257" s="39" t="n">
        <v>227.28</v>
      </c>
      <c r="C257" s="39" t="n">
        <v>483.45</v>
      </c>
      <c r="D257" s="39" t="n">
        <v>41.235</v>
      </c>
      <c r="E257" s="41">
        <f>IFERROR(B257/B256-1,"")</f>
        <v/>
      </c>
      <c r="F257" s="41">
        <f>IFERROR(C257/C256-1,"")</f>
        <v/>
      </c>
      <c r="G257" s="41">
        <f>IFERROR(D257/D256-1,"")</f>
        <v/>
      </c>
      <c r="H257" s="41">
        <f>IFERROR((1+E257)*(1+H256)-1,"")</f>
        <v/>
      </c>
      <c r="I257" s="41">
        <f>IFERROR((1+F257)*(1+I256)-1,"")</f>
        <v/>
      </c>
      <c r="J257" s="41">
        <f>IFERROR((1+G257)*(1+J256)-1,"")</f>
        <v/>
      </c>
      <c r="K257" s="42">
        <f>IFERROR(B257/$B$36*100,"")</f>
        <v/>
      </c>
      <c r="L257" s="42">
        <f>IFERROR(C257/$C$36*100,"")</f>
        <v/>
      </c>
      <c r="M257" s="42">
        <f>IFERROR(D257/$D$36*100,"")</f>
        <v/>
      </c>
      <c r="N257" s="41">
        <f>IFERROR((1+H257)/(1+I257)-1,"")</f>
        <v/>
      </c>
      <c r="O257" s="41">
        <f>IFERROR((1+H257)/(1+J257)-1,"")</f>
        <v/>
      </c>
      <c r="P257" s="39">
        <f>IFERROR(B257*0.0099502487562189+P256*(1-0.0099502487562189),"")</f>
        <v/>
      </c>
      <c r="Q257" s="42">
        <f>Q256*(1+E257)</f>
        <v/>
      </c>
      <c r="R257" s="42">
        <f>MAX(R256,Q257)</f>
        <v/>
      </c>
      <c r="S257" s="41">
        <f>IFERROR(Q257/R257-1,"")</f>
        <v/>
      </c>
      <c r="T257" s="41">
        <f>IFERROR(_xlfn.STDEV.S(E198:E257)*SQRT($D$7),"")</f>
        <v/>
      </c>
      <c r="U257" s="41">
        <f>IFERROR(MIN(E257-$D$6,0),"")</f>
        <v/>
      </c>
      <c r="V257" s="41">
        <f>IFERROR(E257-F257,"")</f>
        <v/>
      </c>
      <c r="W257" s="39">
        <f>B257</f>
        <v/>
      </c>
      <c r="X257" s="21" t="n"/>
    </row>
    <row r="258">
      <c r="A258" s="38" t="n">
        <v>45314</v>
      </c>
      <c r="B258" s="39" t="n">
        <v>222.8</v>
      </c>
      <c r="C258" s="39" t="n">
        <v>484.86</v>
      </c>
      <c r="D258" s="39" t="n">
        <v>41.37</v>
      </c>
      <c r="E258" s="41">
        <f>IFERROR(B258/B257-1,"")</f>
        <v/>
      </c>
      <c r="F258" s="41">
        <f>IFERROR(C258/C257-1,"")</f>
        <v/>
      </c>
      <c r="G258" s="41">
        <f>IFERROR(D258/D257-1,"")</f>
        <v/>
      </c>
      <c r="H258" s="41">
        <f>IFERROR((1+E258)*(1+H257)-1,"")</f>
        <v/>
      </c>
      <c r="I258" s="41">
        <f>IFERROR((1+F258)*(1+I257)-1,"")</f>
        <v/>
      </c>
      <c r="J258" s="41">
        <f>IFERROR((1+G258)*(1+J257)-1,"")</f>
        <v/>
      </c>
      <c r="K258" s="42">
        <f>IFERROR(B258/$B$36*100,"")</f>
        <v/>
      </c>
      <c r="L258" s="42">
        <f>IFERROR(C258/$C$36*100,"")</f>
        <v/>
      </c>
      <c r="M258" s="42">
        <f>IFERROR(D258/$D$36*100,"")</f>
        <v/>
      </c>
      <c r="N258" s="41">
        <f>IFERROR((1+H258)/(1+I258)-1,"")</f>
        <v/>
      </c>
      <c r="O258" s="41">
        <f>IFERROR((1+H258)/(1+J258)-1,"")</f>
        <v/>
      </c>
      <c r="P258" s="39">
        <f>IFERROR(B258*0.0099502487562189+P257*(1-0.0099502487562189),"")</f>
        <v/>
      </c>
      <c r="Q258" s="42">
        <f>Q257*(1+E258)</f>
        <v/>
      </c>
      <c r="R258" s="42">
        <f>MAX(R257,Q258)</f>
        <v/>
      </c>
      <c r="S258" s="41">
        <f>IFERROR(Q258/R258-1,"")</f>
        <v/>
      </c>
      <c r="T258" s="41">
        <f>IFERROR(_xlfn.STDEV.S(E199:E258)*SQRT($D$7),"")</f>
        <v/>
      </c>
      <c r="U258" s="41">
        <f>IFERROR(MIN(E258-$D$6,0),"")</f>
        <v/>
      </c>
      <c r="V258" s="41">
        <f>IFERROR(E258-F258,"")</f>
        <v/>
      </c>
      <c r="W258" s="39">
        <f>B258</f>
        <v/>
      </c>
      <c r="X258" s="21" t="n"/>
    </row>
    <row r="259">
      <c r="A259" s="38" t="n">
        <v>45315</v>
      </c>
      <c r="B259" s="39" t="n">
        <v>219.8</v>
      </c>
      <c r="C259" s="39" t="n">
        <v>485.39</v>
      </c>
      <c r="D259" s="39" t="n">
        <v>40.81</v>
      </c>
      <c r="E259" s="41">
        <f>IFERROR(B259/B258-1,"")</f>
        <v/>
      </c>
      <c r="F259" s="41">
        <f>IFERROR(C259/C258-1,"")</f>
        <v/>
      </c>
      <c r="G259" s="41">
        <f>IFERROR(D259/D258-1,"")</f>
        <v/>
      </c>
      <c r="H259" s="41">
        <f>IFERROR((1+E259)*(1+H258)-1,"")</f>
        <v/>
      </c>
      <c r="I259" s="41">
        <f>IFERROR((1+F259)*(1+I258)-1,"")</f>
        <v/>
      </c>
      <c r="J259" s="41">
        <f>IFERROR((1+G259)*(1+J258)-1,"")</f>
        <v/>
      </c>
      <c r="K259" s="42">
        <f>IFERROR(B259/$B$36*100,"")</f>
        <v/>
      </c>
      <c r="L259" s="42">
        <f>IFERROR(C259/$C$36*100,"")</f>
        <v/>
      </c>
      <c r="M259" s="42">
        <f>IFERROR(D259/$D$36*100,"")</f>
        <v/>
      </c>
      <c r="N259" s="41">
        <f>IFERROR((1+H259)/(1+I259)-1,"")</f>
        <v/>
      </c>
      <c r="O259" s="41">
        <f>IFERROR((1+H259)/(1+J259)-1,"")</f>
        <v/>
      </c>
      <c r="P259" s="39">
        <f>IFERROR(B259*0.0099502487562189+P258*(1-0.0099502487562189),"")</f>
        <v/>
      </c>
      <c r="Q259" s="42">
        <f>Q258*(1+E259)</f>
        <v/>
      </c>
      <c r="R259" s="42">
        <f>MAX(R258,Q259)</f>
        <v/>
      </c>
      <c r="S259" s="41">
        <f>IFERROR(Q259/R259-1,"")</f>
        <v/>
      </c>
      <c r="T259" s="41">
        <f>IFERROR(_xlfn.STDEV.S(E200:E259)*SQRT($D$7),"")</f>
        <v/>
      </c>
      <c r="U259" s="41">
        <f>IFERROR(MIN(E259-$D$6,0),"")</f>
        <v/>
      </c>
      <c r="V259" s="41">
        <f>IFERROR(E259-F259,"")</f>
        <v/>
      </c>
      <c r="W259" s="39">
        <f>B259</f>
        <v/>
      </c>
      <c r="X259" s="21" t="n"/>
    </row>
    <row r="260">
      <c r="A260" s="38" t="n">
        <v>45316</v>
      </c>
      <c r="B260" s="39" t="n">
        <v>223.41</v>
      </c>
      <c r="C260" s="39" t="n">
        <v>488.03</v>
      </c>
      <c r="D260" s="39" t="n">
        <v>41.24</v>
      </c>
      <c r="E260" s="41">
        <f>IFERROR(B260/B259-1,"")</f>
        <v/>
      </c>
      <c r="F260" s="41">
        <f>IFERROR(C260/C259-1,"")</f>
        <v/>
      </c>
      <c r="G260" s="41">
        <f>IFERROR(D260/D259-1,"")</f>
        <v/>
      </c>
      <c r="H260" s="41">
        <f>IFERROR((1+E260)*(1+H259)-1,"")</f>
        <v/>
      </c>
      <c r="I260" s="41">
        <f>IFERROR((1+F260)*(1+I259)-1,"")</f>
        <v/>
      </c>
      <c r="J260" s="41">
        <f>IFERROR((1+G260)*(1+J259)-1,"")</f>
        <v/>
      </c>
      <c r="K260" s="42">
        <f>IFERROR(B260/$B$36*100,"")</f>
        <v/>
      </c>
      <c r="L260" s="42">
        <f>IFERROR(C260/$C$36*100,"")</f>
        <v/>
      </c>
      <c r="M260" s="42">
        <f>IFERROR(D260/$D$36*100,"")</f>
        <v/>
      </c>
      <c r="N260" s="41">
        <f>IFERROR((1+H260)/(1+I260)-1,"")</f>
        <v/>
      </c>
      <c r="O260" s="41">
        <f>IFERROR((1+H260)/(1+J260)-1,"")</f>
        <v/>
      </c>
      <c r="P260" s="39">
        <f>IFERROR(B260*0.0099502487562189+P259*(1-0.0099502487562189),"")</f>
        <v/>
      </c>
      <c r="Q260" s="42">
        <f>Q259*(1+E260)</f>
        <v/>
      </c>
      <c r="R260" s="42">
        <f>MAX(R259,Q260)</f>
        <v/>
      </c>
      <c r="S260" s="41">
        <f>IFERROR(Q260/R260-1,"")</f>
        <v/>
      </c>
      <c r="T260" s="41">
        <f>IFERROR(_xlfn.STDEV.S(E201:E260)*SQRT($D$7),"")</f>
        <v/>
      </c>
      <c r="U260" s="41">
        <f>IFERROR(MIN(E260-$D$6,0),"")</f>
        <v/>
      </c>
      <c r="V260" s="41">
        <f>IFERROR(E260-F260,"")</f>
        <v/>
      </c>
      <c r="W260" s="39">
        <f>B260</f>
        <v/>
      </c>
      <c r="X260" s="21" t="n"/>
    </row>
    <row r="261">
      <c r="A261" s="38" t="n">
        <v>45317</v>
      </c>
      <c r="B261" s="39" t="n">
        <v>222.36</v>
      </c>
      <c r="C261" s="39" t="n">
        <v>487.41</v>
      </c>
      <c r="D261" s="39" t="n">
        <v>41.255</v>
      </c>
      <c r="E261" s="41">
        <f>IFERROR(B261/B260-1,"")</f>
        <v/>
      </c>
      <c r="F261" s="41">
        <f>IFERROR(C261/C260-1,"")</f>
        <v/>
      </c>
      <c r="G261" s="41">
        <f>IFERROR(D261/D260-1,"")</f>
        <v/>
      </c>
      <c r="H261" s="41">
        <f>IFERROR((1+E261)*(1+H260)-1,"")</f>
        <v/>
      </c>
      <c r="I261" s="41">
        <f>IFERROR((1+F261)*(1+I260)-1,"")</f>
        <v/>
      </c>
      <c r="J261" s="41">
        <f>IFERROR((1+G261)*(1+J260)-1,"")</f>
        <v/>
      </c>
      <c r="K261" s="42">
        <f>IFERROR(B261/$B$36*100,"")</f>
        <v/>
      </c>
      <c r="L261" s="42">
        <f>IFERROR(C261/$C$36*100,"")</f>
        <v/>
      </c>
      <c r="M261" s="42">
        <f>IFERROR(D261/$D$36*100,"")</f>
        <v/>
      </c>
      <c r="N261" s="41">
        <f>IFERROR((1+H261)/(1+I261)-1,"")</f>
        <v/>
      </c>
      <c r="O261" s="41">
        <f>IFERROR((1+H261)/(1+J261)-1,"")</f>
        <v/>
      </c>
      <c r="P261" s="39">
        <f>IFERROR(B261*0.0099502487562189+P260*(1-0.0099502487562189),"")</f>
        <v/>
      </c>
      <c r="Q261" s="42">
        <f>Q260*(1+E261)</f>
        <v/>
      </c>
      <c r="R261" s="42">
        <f>MAX(R260,Q261)</f>
        <v/>
      </c>
      <c r="S261" s="41">
        <f>IFERROR(Q261/R261-1,"")</f>
        <v/>
      </c>
      <c r="T261" s="41">
        <f>IFERROR(_xlfn.STDEV.S(E202:E261)*SQRT($D$7),"")</f>
        <v/>
      </c>
      <c r="U261" s="41">
        <f>IFERROR(MIN(E261-$D$6,0),"")</f>
        <v/>
      </c>
      <c r="V261" s="41">
        <f>IFERROR(E261-F261,"")</f>
        <v/>
      </c>
      <c r="W261" s="39">
        <f>B261</f>
        <v/>
      </c>
      <c r="X261" s="21" t="n"/>
    </row>
    <row r="262">
      <c r="A262" s="38" t="n">
        <v>45320</v>
      </c>
      <c r="B262" s="39" t="n">
        <v>229.37</v>
      </c>
      <c r="C262" s="39" t="n">
        <v>491.27</v>
      </c>
      <c r="D262" s="39" t="n">
        <v>41.46</v>
      </c>
      <c r="E262" s="41">
        <f>IFERROR(B262/B261-1,"")</f>
        <v/>
      </c>
      <c r="F262" s="41">
        <f>IFERROR(C262/C261-1,"")</f>
        <v/>
      </c>
      <c r="G262" s="41">
        <f>IFERROR(D262/D261-1,"")</f>
        <v/>
      </c>
      <c r="H262" s="41">
        <f>IFERROR((1+E262)*(1+H261)-1,"")</f>
        <v/>
      </c>
      <c r="I262" s="41">
        <f>IFERROR((1+F262)*(1+I261)-1,"")</f>
        <v/>
      </c>
      <c r="J262" s="41">
        <f>IFERROR((1+G262)*(1+J261)-1,"")</f>
        <v/>
      </c>
      <c r="K262" s="42">
        <f>IFERROR(B262/$B$36*100,"")</f>
        <v/>
      </c>
      <c r="L262" s="42">
        <f>IFERROR(C262/$C$36*100,"")</f>
        <v/>
      </c>
      <c r="M262" s="42">
        <f>IFERROR(D262/$D$36*100,"")</f>
        <v/>
      </c>
      <c r="N262" s="41">
        <f>IFERROR((1+H262)/(1+I262)-1,"")</f>
        <v/>
      </c>
      <c r="O262" s="41">
        <f>IFERROR((1+H262)/(1+J262)-1,"")</f>
        <v/>
      </c>
      <c r="P262" s="39">
        <f>IFERROR(B262*0.0099502487562189+P261*(1-0.0099502487562189),"")</f>
        <v/>
      </c>
      <c r="Q262" s="42">
        <f>Q261*(1+E262)</f>
        <v/>
      </c>
      <c r="R262" s="42">
        <f>MAX(R261,Q262)</f>
        <v/>
      </c>
      <c r="S262" s="41">
        <f>IFERROR(Q262/R262-1,"")</f>
        <v/>
      </c>
      <c r="T262" s="41">
        <f>IFERROR(_xlfn.STDEV.S(E203:E262)*SQRT($D$7),"")</f>
        <v/>
      </c>
      <c r="U262" s="41">
        <f>IFERROR(MIN(E262-$D$6,0),"")</f>
        <v/>
      </c>
      <c r="V262" s="41">
        <f>IFERROR(E262-F262,"")</f>
        <v/>
      </c>
      <c r="W262" s="39">
        <f>B262</f>
        <v/>
      </c>
      <c r="X262" s="21" t="n"/>
    </row>
    <row r="263">
      <c r="A263" s="38" t="n">
        <v>45321</v>
      </c>
      <c r="B263" s="39" t="n">
        <v>231.05</v>
      </c>
      <c r="C263" s="39" t="n">
        <v>490.89</v>
      </c>
      <c r="D263" s="39" t="n">
        <v>41.65</v>
      </c>
      <c r="E263" s="41">
        <f>IFERROR(B263/B262-1,"")</f>
        <v/>
      </c>
      <c r="F263" s="41">
        <f>IFERROR(C263/C262-1,"")</f>
        <v/>
      </c>
      <c r="G263" s="41">
        <f>IFERROR(D263/D262-1,"")</f>
        <v/>
      </c>
      <c r="H263" s="41">
        <f>IFERROR((1+E263)*(1+H262)-1,"")</f>
        <v/>
      </c>
      <c r="I263" s="41">
        <f>IFERROR((1+F263)*(1+I262)-1,"")</f>
        <v/>
      </c>
      <c r="J263" s="41">
        <f>IFERROR((1+G263)*(1+J262)-1,"")</f>
        <v/>
      </c>
      <c r="K263" s="42">
        <f>IFERROR(B263/$B$36*100,"")</f>
        <v/>
      </c>
      <c r="L263" s="42">
        <f>IFERROR(C263/$C$36*100,"")</f>
        <v/>
      </c>
      <c r="M263" s="42">
        <f>IFERROR(D263/$D$36*100,"")</f>
        <v/>
      </c>
      <c r="N263" s="41">
        <f>IFERROR((1+H263)/(1+I263)-1,"")</f>
        <v/>
      </c>
      <c r="O263" s="41">
        <f>IFERROR((1+H263)/(1+J263)-1,"")</f>
        <v/>
      </c>
      <c r="P263" s="39">
        <f>IFERROR(B263*0.0099502487562189+P262*(1-0.0099502487562189),"")</f>
        <v/>
      </c>
      <c r="Q263" s="42">
        <f>Q262*(1+E263)</f>
        <v/>
      </c>
      <c r="R263" s="42">
        <f>MAX(R262,Q263)</f>
        <v/>
      </c>
      <c r="S263" s="41">
        <f>IFERROR(Q263/R263-1,"")</f>
        <v/>
      </c>
      <c r="T263" s="41">
        <f>IFERROR(_xlfn.STDEV.S(E204:E263)*SQRT($D$7),"")</f>
        <v/>
      </c>
      <c r="U263" s="41">
        <f>IFERROR(MIN(E263-$D$6,0),"")</f>
        <v/>
      </c>
      <c r="V263" s="41">
        <f>IFERROR(E263-F263,"")</f>
        <v/>
      </c>
      <c r="W263" s="39">
        <f>B263</f>
        <v/>
      </c>
      <c r="X263" s="21" t="n"/>
    </row>
    <row r="264">
      <c r="A264" s="38" t="n">
        <v>45322</v>
      </c>
      <c r="B264" s="39" t="n">
        <v>226.01</v>
      </c>
      <c r="C264" s="39" t="n">
        <v>482.88</v>
      </c>
      <c r="D264" s="39" t="n">
        <v>41.105</v>
      </c>
      <c r="E264" s="41">
        <f>IFERROR(B264/B263-1,"")</f>
        <v/>
      </c>
      <c r="F264" s="41">
        <f>IFERROR(C264/C263-1,"")</f>
        <v/>
      </c>
      <c r="G264" s="41">
        <f>IFERROR(D264/D263-1,"")</f>
        <v/>
      </c>
      <c r="H264" s="41">
        <f>IFERROR((1+E264)*(1+H263)-1,"")</f>
        <v/>
      </c>
      <c r="I264" s="41">
        <f>IFERROR((1+F264)*(1+I263)-1,"")</f>
        <v/>
      </c>
      <c r="J264" s="41">
        <f>IFERROR((1+G264)*(1+J263)-1,"")</f>
        <v/>
      </c>
      <c r="K264" s="42">
        <f>IFERROR(B264/$B$36*100,"")</f>
        <v/>
      </c>
      <c r="L264" s="42">
        <f>IFERROR(C264/$C$36*100,"")</f>
        <v/>
      </c>
      <c r="M264" s="42">
        <f>IFERROR(D264/$D$36*100,"")</f>
        <v/>
      </c>
      <c r="N264" s="41">
        <f>IFERROR((1+H264)/(1+I264)-1,"")</f>
        <v/>
      </c>
      <c r="O264" s="41">
        <f>IFERROR((1+H264)/(1+J264)-1,"")</f>
        <v/>
      </c>
      <c r="P264" s="39">
        <f>IFERROR(B264*0.0099502487562189+P263*(1-0.0099502487562189),"")</f>
        <v/>
      </c>
      <c r="Q264" s="42">
        <f>Q263*(1+E264)</f>
        <v/>
      </c>
      <c r="R264" s="42">
        <f>MAX(R263,Q264)</f>
        <v/>
      </c>
      <c r="S264" s="41">
        <f>IFERROR(Q264/R264-1,"")</f>
        <v/>
      </c>
      <c r="T264" s="41">
        <f>IFERROR(_xlfn.STDEV.S(E205:E264)*SQRT($D$7),"")</f>
        <v/>
      </c>
      <c r="U264" s="41">
        <f>IFERROR(MIN(E264-$D$6,0),"")</f>
        <v/>
      </c>
      <c r="V264" s="41">
        <f>IFERROR(E264-F264,"")</f>
        <v/>
      </c>
      <c r="W264" s="39">
        <f>B264</f>
        <v/>
      </c>
      <c r="X264" s="21" t="n"/>
    </row>
    <row r="265">
      <c r="A265" s="38" t="n">
        <v>45323</v>
      </c>
      <c r="B265" s="39" t="n">
        <v>230.36</v>
      </c>
      <c r="C265" s="39" t="n">
        <v>489.2</v>
      </c>
      <c r="D265" s="39" t="n">
        <v>41.79</v>
      </c>
      <c r="E265" s="41">
        <f>IFERROR(B265/B264-1,"")</f>
        <v/>
      </c>
      <c r="F265" s="41">
        <f>IFERROR(C265/C264-1,"")</f>
        <v/>
      </c>
      <c r="G265" s="41">
        <f>IFERROR(D265/D264-1,"")</f>
        <v/>
      </c>
      <c r="H265" s="41">
        <f>IFERROR((1+E265)*(1+H264)-1,"")</f>
        <v/>
      </c>
      <c r="I265" s="41">
        <f>IFERROR((1+F265)*(1+I264)-1,"")</f>
        <v/>
      </c>
      <c r="J265" s="41">
        <f>IFERROR((1+G265)*(1+J264)-1,"")</f>
        <v/>
      </c>
      <c r="K265" s="42">
        <f>IFERROR(B265/$B$36*100,"")</f>
        <v/>
      </c>
      <c r="L265" s="42">
        <f>IFERROR(C265/$C$36*100,"")</f>
        <v/>
      </c>
      <c r="M265" s="42">
        <f>IFERROR(D265/$D$36*100,"")</f>
        <v/>
      </c>
      <c r="N265" s="41">
        <f>IFERROR((1+H265)/(1+I265)-1,"")</f>
        <v/>
      </c>
      <c r="O265" s="41">
        <f>IFERROR((1+H265)/(1+J265)-1,"")</f>
        <v/>
      </c>
      <c r="P265" s="39">
        <f>IFERROR(B265*0.0099502487562189+P264*(1-0.0099502487562189),"")</f>
        <v/>
      </c>
      <c r="Q265" s="42">
        <f>Q264*(1+E265)</f>
        <v/>
      </c>
      <c r="R265" s="42">
        <f>MAX(R264,Q265)</f>
        <v/>
      </c>
      <c r="S265" s="41">
        <f>IFERROR(Q265/R265-1,"")</f>
        <v/>
      </c>
      <c r="T265" s="41">
        <f>IFERROR(_xlfn.STDEV.S(E206:E265)*SQRT($D$7),"")</f>
        <v/>
      </c>
      <c r="U265" s="41">
        <f>IFERROR(MIN(E265-$D$6,0),"")</f>
        <v/>
      </c>
      <c r="V265" s="41">
        <f>IFERROR(E265-F265,"")</f>
        <v/>
      </c>
      <c r="W265" s="39">
        <f>B265</f>
        <v/>
      </c>
      <c r="X265" s="21" t="n"/>
    </row>
    <row r="266">
      <c r="A266" s="38" t="n">
        <v>45324</v>
      </c>
      <c r="B266" s="39" t="n">
        <v>234.44</v>
      </c>
      <c r="C266" s="39" t="n">
        <v>494.35</v>
      </c>
      <c r="D266" s="39" t="n">
        <v>41.545</v>
      </c>
      <c r="E266" s="41">
        <f>IFERROR(B266/B265-1,"")</f>
        <v/>
      </c>
      <c r="F266" s="41">
        <f>IFERROR(C266/C265-1,"")</f>
        <v/>
      </c>
      <c r="G266" s="41">
        <f>IFERROR(D266/D265-1,"")</f>
        <v/>
      </c>
      <c r="H266" s="41">
        <f>IFERROR((1+E266)*(1+H265)-1,"")</f>
        <v/>
      </c>
      <c r="I266" s="41">
        <f>IFERROR((1+F266)*(1+I265)-1,"")</f>
        <v/>
      </c>
      <c r="J266" s="41">
        <f>IFERROR((1+G266)*(1+J265)-1,"")</f>
        <v/>
      </c>
      <c r="K266" s="42">
        <f>IFERROR(B266/$B$36*100,"")</f>
        <v/>
      </c>
      <c r="L266" s="42">
        <f>IFERROR(C266/$C$36*100,"")</f>
        <v/>
      </c>
      <c r="M266" s="42">
        <f>IFERROR(D266/$D$36*100,"")</f>
        <v/>
      </c>
      <c r="N266" s="41">
        <f>IFERROR((1+H266)/(1+I266)-1,"")</f>
        <v/>
      </c>
      <c r="O266" s="41">
        <f>IFERROR((1+H266)/(1+J266)-1,"")</f>
        <v/>
      </c>
      <c r="P266" s="39">
        <f>IFERROR(B266*0.0099502487562189+P265*(1-0.0099502487562189),"")</f>
        <v/>
      </c>
      <c r="Q266" s="42">
        <f>Q265*(1+E266)</f>
        <v/>
      </c>
      <c r="R266" s="42">
        <f>MAX(R265,Q266)</f>
        <v/>
      </c>
      <c r="S266" s="41">
        <f>IFERROR(Q266/R266-1,"")</f>
        <v/>
      </c>
      <c r="T266" s="41">
        <f>IFERROR(_xlfn.STDEV.S(E207:E266)*SQRT($D$7),"")</f>
        <v/>
      </c>
      <c r="U266" s="41">
        <f>IFERROR(MIN(E266-$D$6,0),"")</f>
        <v/>
      </c>
      <c r="V266" s="41">
        <f>IFERROR(E266-F266,"")</f>
        <v/>
      </c>
      <c r="W266" s="39">
        <f>B266</f>
        <v/>
      </c>
      <c r="X266" s="21" t="n"/>
    </row>
    <row r="267">
      <c r="A267" s="38" t="n">
        <v>45327</v>
      </c>
      <c r="B267" s="39" t="n">
        <v>229.65</v>
      </c>
      <c r="C267" s="39" t="n">
        <v>492.55</v>
      </c>
      <c r="D267" s="39" t="n">
        <v>40.49</v>
      </c>
      <c r="E267" s="41">
        <f>IFERROR(B267/B266-1,"")</f>
        <v/>
      </c>
      <c r="F267" s="41">
        <f>IFERROR(C267/C266-1,"")</f>
        <v/>
      </c>
      <c r="G267" s="41">
        <f>IFERROR(D267/D266-1,"")</f>
        <v/>
      </c>
      <c r="H267" s="41">
        <f>IFERROR((1+E267)*(1+H266)-1,"")</f>
        <v/>
      </c>
      <c r="I267" s="41">
        <f>IFERROR((1+F267)*(1+I266)-1,"")</f>
        <v/>
      </c>
      <c r="J267" s="41">
        <f>IFERROR((1+G267)*(1+J266)-1,"")</f>
        <v/>
      </c>
      <c r="K267" s="42">
        <f>IFERROR(B267/$B$36*100,"")</f>
        <v/>
      </c>
      <c r="L267" s="42">
        <f>IFERROR(C267/$C$36*100,"")</f>
        <v/>
      </c>
      <c r="M267" s="42">
        <f>IFERROR(D267/$D$36*100,"")</f>
        <v/>
      </c>
      <c r="N267" s="41">
        <f>IFERROR((1+H267)/(1+I267)-1,"")</f>
        <v/>
      </c>
      <c r="O267" s="41">
        <f>IFERROR((1+H267)/(1+J267)-1,"")</f>
        <v/>
      </c>
      <c r="P267" s="39">
        <f>IFERROR(B267*0.0099502487562189+P266*(1-0.0099502487562189),"")</f>
        <v/>
      </c>
      <c r="Q267" s="42">
        <f>Q266*(1+E267)</f>
        <v/>
      </c>
      <c r="R267" s="42">
        <f>MAX(R266,Q267)</f>
        <v/>
      </c>
      <c r="S267" s="41">
        <f>IFERROR(Q267/R267-1,"")</f>
        <v/>
      </c>
      <c r="T267" s="41">
        <f>IFERROR(_xlfn.STDEV.S(E208:E267)*SQRT($D$7),"")</f>
        <v/>
      </c>
      <c r="U267" s="41">
        <f>IFERROR(MIN(E267-$D$6,0),"")</f>
        <v/>
      </c>
      <c r="V267" s="41">
        <f>IFERROR(E267-F267,"")</f>
        <v/>
      </c>
      <c r="W267" s="39">
        <f>B267</f>
        <v/>
      </c>
      <c r="X267" s="21" t="n"/>
    </row>
    <row r="268">
      <c r="A268" s="38" t="n">
        <v>45328</v>
      </c>
      <c r="B268" s="39" t="n">
        <v>231.58</v>
      </c>
      <c r="C268" s="39" t="n">
        <v>493.98</v>
      </c>
      <c r="D268" s="39" t="n">
        <v>41.205</v>
      </c>
      <c r="E268" s="41">
        <f>IFERROR(B268/B267-1,"")</f>
        <v/>
      </c>
      <c r="F268" s="41">
        <f>IFERROR(C268/C267-1,"")</f>
        <v/>
      </c>
      <c r="G268" s="41">
        <f>IFERROR(D268/D267-1,"")</f>
        <v/>
      </c>
      <c r="H268" s="41">
        <f>IFERROR((1+E268)*(1+H267)-1,"")</f>
        <v/>
      </c>
      <c r="I268" s="41">
        <f>IFERROR((1+F268)*(1+I267)-1,"")</f>
        <v/>
      </c>
      <c r="J268" s="41">
        <f>IFERROR((1+G268)*(1+J267)-1,"")</f>
        <v/>
      </c>
      <c r="K268" s="42">
        <f>IFERROR(B268/$B$36*100,"")</f>
        <v/>
      </c>
      <c r="L268" s="42">
        <f>IFERROR(C268/$C$36*100,"")</f>
        <v/>
      </c>
      <c r="M268" s="42">
        <f>IFERROR(D268/$D$36*100,"")</f>
        <v/>
      </c>
      <c r="N268" s="41">
        <f>IFERROR((1+H268)/(1+I268)-1,"")</f>
        <v/>
      </c>
      <c r="O268" s="41">
        <f>IFERROR((1+H268)/(1+J268)-1,"")</f>
        <v/>
      </c>
      <c r="P268" s="39">
        <f>IFERROR(B268*0.0099502487562189+P267*(1-0.0099502487562189),"")</f>
        <v/>
      </c>
      <c r="Q268" s="42">
        <f>Q267*(1+E268)</f>
        <v/>
      </c>
      <c r="R268" s="42">
        <f>MAX(R267,Q268)</f>
        <v/>
      </c>
      <c r="S268" s="41">
        <f>IFERROR(Q268/R268-1,"")</f>
        <v/>
      </c>
      <c r="T268" s="41">
        <f>IFERROR(_xlfn.STDEV.S(E209:E268)*SQRT($D$7),"")</f>
        <v/>
      </c>
      <c r="U268" s="41">
        <f>IFERROR(MIN(E268-$D$6,0),"")</f>
        <v/>
      </c>
      <c r="V268" s="41">
        <f>IFERROR(E268-F268,"")</f>
        <v/>
      </c>
      <c r="W268" s="39">
        <f>B268</f>
        <v/>
      </c>
      <c r="X268" s="21" t="n"/>
    </row>
    <row r="269">
      <c r="A269" s="38" t="n">
        <v>45329</v>
      </c>
      <c r="B269" s="39" t="n">
        <v>236.52</v>
      </c>
      <c r="C269" s="39" t="n">
        <v>498.1</v>
      </c>
      <c r="D269" s="39" t="n">
        <v>41.535</v>
      </c>
      <c r="E269" s="41">
        <f>IFERROR(B269/B268-1,"")</f>
        <v/>
      </c>
      <c r="F269" s="41">
        <f>IFERROR(C269/C268-1,"")</f>
        <v/>
      </c>
      <c r="G269" s="41">
        <f>IFERROR(D269/D268-1,"")</f>
        <v/>
      </c>
      <c r="H269" s="41">
        <f>IFERROR((1+E269)*(1+H268)-1,"")</f>
        <v/>
      </c>
      <c r="I269" s="41">
        <f>IFERROR((1+F269)*(1+I268)-1,"")</f>
        <v/>
      </c>
      <c r="J269" s="41">
        <f>IFERROR((1+G269)*(1+J268)-1,"")</f>
        <v/>
      </c>
      <c r="K269" s="42">
        <f>IFERROR(B269/$B$36*100,"")</f>
        <v/>
      </c>
      <c r="L269" s="42">
        <f>IFERROR(C269/$C$36*100,"")</f>
        <v/>
      </c>
      <c r="M269" s="42">
        <f>IFERROR(D269/$D$36*100,"")</f>
        <v/>
      </c>
      <c r="N269" s="41">
        <f>IFERROR((1+H269)/(1+I269)-1,"")</f>
        <v/>
      </c>
      <c r="O269" s="41">
        <f>IFERROR((1+H269)/(1+J269)-1,"")</f>
        <v/>
      </c>
      <c r="P269" s="39">
        <f>IFERROR(B269*0.0099502487562189+P268*(1-0.0099502487562189),"")</f>
        <v/>
      </c>
      <c r="Q269" s="42">
        <f>Q268*(1+E269)</f>
        <v/>
      </c>
      <c r="R269" s="42">
        <f>MAX(R268,Q269)</f>
        <v/>
      </c>
      <c r="S269" s="41">
        <f>IFERROR(Q269/R269-1,"")</f>
        <v/>
      </c>
      <c r="T269" s="41">
        <f>IFERROR(_xlfn.STDEV.S(E210:E269)*SQRT($D$7),"")</f>
        <v/>
      </c>
      <c r="U269" s="41">
        <f>IFERROR(MIN(E269-$D$6,0),"")</f>
        <v/>
      </c>
      <c r="V269" s="41">
        <f>IFERROR(E269-F269,"")</f>
        <v/>
      </c>
      <c r="W269" s="39">
        <f>B269</f>
        <v/>
      </c>
      <c r="X269" s="21" t="n"/>
    </row>
    <row r="270">
      <c r="A270" s="38" t="n">
        <v>45330</v>
      </c>
      <c r="B270" s="39" t="n">
        <v>238.44</v>
      </c>
      <c r="C270" s="39" t="n">
        <v>498.32</v>
      </c>
      <c r="D270" s="39" t="n">
        <v>41.48</v>
      </c>
      <c r="E270" s="41">
        <f>IFERROR(B270/B269-1,"")</f>
        <v/>
      </c>
      <c r="F270" s="41">
        <f>IFERROR(C270/C269-1,"")</f>
        <v/>
      </c>
      <c r="G270" s="41">
        <f>IFERROR(D270/D269-1,"")</f>
        <v/>
      </c>
      <c r="H270" s="41">
        <f>IFERROR((1+E270)*(1+H269)-1,"")</f>
        <v/>
      </c>
      <c r="I270" s="41">
        <f>IFERROR((1+F270)*(1+I269)-1,"")</f>
        <v/>
      </c>
      <c r="J270" s="41">
        <f>IFERROR((1+G270)*(1+J269)-1,"")</f>
        <v/>
      </c>
      <c r="K270" s="42">
        <f>IFERROR(B270/$B$36*100,"")</f>
        <v/>
      </c>
      <c r="L270" s="42">
        <f>IFERROR(C270/$C$36*100,"")</f>
        <v/>
      </c>
      <c r="M270" s="42">
        <f>IFERROR(D270/$D$36*100,"")</f>
        <v/>
      </c>
      <c r="N270" s="41">
        <f>IFERROR((1+H270)/(1+I270)-1,"")</f>
        <v/>
      </c>
      <c r="O270" s="41">
        <f>IFERROR((1+H270)/(1+J270)-1,"")</f>
        <v/>
      </c>
      <c r="P270" s="39">
        <f>IFERROR(B270*0.0099502487562189+P269*(1-0.0099502487562189),"")</f>
        <v/>
      </c>
      <c r="Q270" s="42">
        <f>Q269*(1+E270)</f>
        <v/>
      </c>
      <c r="R270" s="42">
        <f>MAX(R269,Q270)</f>
        <v/>
      </c>
      <c r="S270" s="41">
        <f>IFERROR(Q270/R270-1,"")</f>
        <v/>
      </c>
      <c r="T270" s="41">
        <f>IFERROR(_xlfn.STDEV.S(E211:E270)*SQRT($D$7),"")</f>
        <v/>
      </c>
      <c r="U270" s="41">
        <f>IFERROR(MIN(E270-$D$6,0),"")</f>
        <v/>
      </c>
      <c r="V270" s="41">
        <f>IFERROR(E270-F270,"")</f>
        <v/>
      </c>
      <c r="W270" s="39">
        <f>B270</f>
        <v/>
      </c>
      <c r="X270" s="21" t="n"/>
    </row>
    <row r="271">
      <c r="A271" s="38" t="n">
        <v>45331</v>
      </c>
      <c r="B271" s="39" t="n">
        <v>240</v>
      </c>
      <c r="C271" s="39" t="n">
        <v>501.2</v>
      </c>
      <c r="D271" s="39" t="n">
        <v>41.57</v>
      </c>
      <c r="E271" s="41">
        <f>IFERROR(B271/B270-1,"")</f>
        <v/>
      </c>
      <c r="F271" s="41">
        <f>IFERROR(C271/C270-1,"")</f>
        <v/>
      </c>
      <c r="G271" s="41">
        <f>IFERROR(D271/D270-1,"")</f>
        <v/>
      </c>
      <c r="H271" s="41">
        <f>IFERROR((1+E271)*(1+H270)-1,"")</f>
        <v/>
      </c>
      <c r="I271" s="41">
        <f>IFERROR((1+F271)*(1+I270)-1,"")</f>
        <v/>
      </c>
      <c r="J271" s="41">
        <f>IFERROR((1+G271)*(1+J270)-1,"")</f>
        <v/>
      </c>
      <c r="K271" s="42">
        <f>IFERROR(B271/$B$36*100,"")</f>
        <v/>
      </c>
      <c r="L271" s="42">
        <f>IFERROR(C271/$C$36*100,"")</f>
        <v/>
      </c>
      <c r="M271" s="42">
        <f>IFERROR(D271/$D$36*100,"")</f>
        <v/>
      </c>
      <c r="N271" s="41">
        <f>IFERROR((1+H271)/(1+I271)-1,"")</f>
        <v/>
      </c>
      <c r="O271" s="41">
        <f>IFERROR((1+H271)/(1+J271)-1,"")</f>
        <v/>
      </c>
      <c r="P271" s="39">
        <f>IFERROR(B271*0.0099502487562189+P270*(1-0.0099502487562189),"")</f>
        <v/>
      </c>
      <c r="Q271" s="42">
        <f>Q270*(1+E271)</f>
        <v/>
      </c>
      <c r="R271" s="42">
        <f>MAX(R270,Q271)</f>
        <v/>
      </c>
      <c r="S271" s="41">
        <f>IFERROR(Q271/R271-1,"")</f>
        <v/>
      </c>
      <c r="T271" s="41">
        <f>IFERROR(_xlfn.STDEV.S(E212:E271)*SQRT($D$7),"")</f>
        <v/>
      </c>
      <c r="U271" s="41">
        <f>IFERROR(MIN(E271-$D$6,0),"")</f>
        <v/>
      </c>
      <c r="V271" s="41">
        <f>IFERROR(E271-F271,"")</f>
        <v/>
      </c>
      <c r="W271" s="39">
        <f>B271</f>
        <v/>
      </c>
      <c r="X271" s="21" t="n"/>
    </row>
    <row r="272">
      <c r="A272" s="38" t="n">
        <v>45334</v>
      </c>
      <c r="B272" s="39" t="n">
        <v>240.13</v>
      </c>
      <c r="C272" s="39" t="n">
        <v>500.98</v>
      </c>
      <c r="D272" s="39" t="n">
        <v>41.9</v>
      </c>
      <c r="E272" s="41">
        <f>IFERROR(B272/B271-1,"")</f>
        <v/>
      </c>
      <c r="F272" s="41">
        <f>IFERROR(C272/C271-1,"")</f>
        <v/>
      </c>
      <c r="G272" s="41">
        <f>IFERROR(D272/D271-1,"")</f>
        <v/>
      </c>
      <c r="H272" s="41">
        <f>IFERROR((1+E272)*(1+H271)-1,"")</f>
        <v/>
      </c>
      <c r="I272" s="41">
        <f>IFERROR((1+F272)*(1+I271)-1,"")</f>
        <v/>
      </c>
      <c r="J272" s="41">
        <f>IFERROR((1+G272)*(1+J271)-1,"")</f>
        <v/>
      </c>
      <c r="K272" s="42">
        <f>IFERROR(B272/$B$36*100,"")</f>
        <v/>
      </c>
      <c r="L272" s="42">
        <f>IFERROR(C272/$C$36*100,"")</f>
        <v/>
      </c>
      <c r="M272" s="42">
        <f>IFERROR(D272/$D$36*100,"")</f>
        <v/>
      </c>
      <c r="N272" s="41">
        <f>IFERROR((1+H272)/(1+I272)-1,"")</f>
        <v/>
      </c>
      <c r="O272" s="41">
        <f>IFERROR((1+H272)/(1+J272)-1,"")</f>
        <v/>
      </c>
      <c r="P272" s="39">
        <f>IFERROR(B272*0.0099502487562189+P271*(1-0.0099502487562189),"")</f>
        <v/>
      </c>
      <c r="Q272" s="42">
        <f>Q271*(1+E272)</f>
        <v/>
      </c>
      <c r="R272" s="42">
        <f>MAX(R271,Q272)</f>
        <v/>
      </c>
      <c r="S272" s="41">
        <f>IFERROR(Q272/R272-1,"")</f>
        <v/>
      </c>
      <c r="T272" s="41">
        <f>IFERROR(_xlfn.STDEV.S(E213:E272)*SQRT($D$7),"")</f>
        <v/>
      </c>
      <c r="U272" s="41">
        <f>IFERROR(MIN(E272-$D$6,0),"")</f>
        <v/>
      </c>
      <c r="V272" s="41">
        <f>IFERROR(E272-F272,"")</f>
        <v/>
      </c>
      <c r="W272" s="39">
        <f>B272</f>
        <v/>
      </c>
      <c r="X272" s="21" t="n"/>
    </row>
    <row r="273">
      <c r="A273" s="38" t="n">
        <v>45335</v>
      </c>
      <c r="B273" s="39" t="n">
        <v>237.12</v>
      </c>
      <c r="C273" s="39" t="n">
        <v>494.08</v>
      </c>
      <c r="D273" s="39" t="n">
        <v>41.31</v>
      </c>
      <c r="E273" s="41">
        <f>IFERROR(B273/B272-1,"")</f>
        <v/>
      </c>
      <c r="F273" s="41">
        <f>IFERROR(C273/C272-1,"")</f>
        <v/>
      </c>
      <c r="G273" s="41">
        <f>IFERROR(D273/D272-1,"")</f>
        <v/>
      </c>
      <c r="H273" s="41">
        <f>IFERROR((1+E273)*(1+H272)-1,"")</f>
        <v/>
      </c>
      <c r="I273" s="41">
        <f>IFERROR((1+F273)*(1+I272)-1,"")</f>
        <v/>
      </c>
      <c r="J273" s="41">
        <f>IFERROR((1+G273)*(1+J272)-1,"")</f>
        <v/>
      </c>
      <c r="K273" s="42">
        <f>IFERROR(B273/$B$36*100,"")</f>
        <v/>
      </c>
      <c r="L273" s="42">
        <f>IFERROR(C273/$C$36*100,"")</f>
        <v/>
      </c>
      <c r="M273" s="42">
        <f>IFERROR(D273/$D$36*100,"")</f>
        <v/>
      </c>
      <c r="N273" s="41">
        <f>IFERROR((1+H273)/(1+I273)-1,"")</f>
        <v/>
      </c>
      <c r="O273" s="41">
        <f>IFERROR((1+H273)/(1+J273)-1,"")</f>
        <v/>
      </c>
      <c r="P273" s="39">
        <f>IFERROR(B273*0.0099502487562189+P272*(1-0.0099502487562189),"")</f>
        <v/>
      </c>
      <c r="Q273" s="42">
        <f>Q272*(1+E273)</f>
        <v/>
      </c>
      <c r="R273" s="42">
        <f>MAX(R272,Q273)</f>
        <v/>
      </c>
      <c r="S273" s="41">
        <f>IFERROR(Q273/R273-1,"")</f>
        <v/>
      </c>
      <c r="T273" s="41">
        <f>IFERROR(_xlfn.STDEV.S(E214:E273)*SQRT($D$7),"")</f>
        <v/>
      </c>
      <c r="U273" s="41">
        <f>IFERROR(MIN(E273-$D$6,0),"")</f>
        <v/>
      </c>
      <c r="V273" s="41">
        <f>IFERROR(E273-F273,"")</f>
        <v/>
      </c>
      <c r="W273" s="39">
        <f>B273</f>
        <v/>
      </c>
      <c r="X273" s="21" t="n"/>
    </row>
    <row r="274">
      <c r="A274" s="38" t="n">
        <v>45336</v>
      </c>
      <c r="B274" s="39" t="n">
        <v>241.1</v>
      </c>
      <c r="C274" s="39" t="n">
        <v>498.57</v>
      </c>
      <c r="D274" s="39" t="n">
        <v>41.575</v>
      </c>
      <c r="E274" s="41">
        <f>IFERROR(B274/B273-1,"")</f>
        <v/>
      </c>
      <c r="F274" s="41">
        <f>IFERROR(C274/C273-1,"")</f>
        <v/>
      </c>
      <c r="G274" s="41">
        <f>IFERROR(D274/D273-1,"")</f>
        <v/>
      </c>
      <c r="H274" s="41">
        <f>IFERROR((1+E274)*(1+H273)-1,"")</f>
        <v/>
      </c>
      <c r="I274" s="41">
        <f>IFERROR((1+F274)*(1+I273)-1,"")</f>
        <v/>
      </c>
      <c r="J274" s="41">
        <f>IFERROR((1+G274)*(1+J273)-1,"")</f>
        <v/>
      </c>
      <c r="K274" s="42">
        <f>IFERROR(B274/$B$36*100,"")</f>
        <v/>
      </c>
      <c r="L274" s="42">
        <f>IFERROR(C274/$C$36*100,"")</f>
        <v/>
      </c>
      <c r="M274" s="42">
        <f>IFERROR(D274/$D$36*100,"")</f>
        <v/>
      </c>
      <c r="N274" s="41">
        <f>IFERROR((1+H274)/(1+I274)-1,"")</f>
        <v/>
      </c>
      <c r="O274" s="41">
        <f>IFERROR((1+H274)/(1+J274)-1,"")</f>
        <v/>
      </c>
      <c r="P274" s="39">
        <f>IFERROR(B274*0.0099502487562189+P273*(1-0.0099502487562189),"")</f>
        <v/>
      </c>
      <c r="Q274" s="42">
        <f>Q273*(1+E274)</f>
        <v/>
      </c>
      <c r="R274" s="42">
        <f>MAX(R273,Q274)</f>
        <v/>
      </c>
      <c r="S274" s="41">
        <f>IFERROR(Q274/R274-1,"")</f>
        <v/>
      </c>
      <c r="T274" s="41">
        <f>IFERROR(_xlfn.STDEV.S(E215:E274)*SQRT($D$7),"")</f>
        <v/>
      </c>
      <c r="U274" s="41">
        <f>IFERROR(MIN(E274-$D$6,0),"")</f>
        <v/>
      </c>
      <c r="V274" s="41">
        <f>IFERROR(E274-F274,"")</f>
        <v/>
      </c>
      <c r="W274" s="39">
        <f>B274</f>
        <v/>
      </c>
      <c r="X274" s="21" t="n"/>
    </row>
    <row r="275">
      <c r="A275" s="38" t="n">
        <v>45337</v>
      </c>
      <c r="B275" s="39" t="n">
        <v>242.46</v>
      </c>
      <c r="C275" s="39" t="n">
        <v>502.01</v>
      </c>
      <c r="D275" s="39" t="n">
        <v>42.36</v>
      </c>
      <c r="E275" s="41">
        <f>IFERROR(B275/B274-1,"")</f>
        <v/>
      </c>
      <c r="F275" s="41">
        <f>IFERROR(C275/C274-1,"")</f>
        <v/>
      </c>
      <c r="G275" s="41">
        <f>IFERROR(D275/D274-1,"")</f>
        <v/>
      </c>
      <c r="H275" s="41">
        <f>IFERROR((1+E275)*(1+H274)-1,"")</f>
        <v/>
      </c>
      <c r="I275" s="41">
        <f>IFERROR((1+F275)*(1+I274)-1,"")</f>
        <v/>
      </c>
      <c r="J275" s="41">
        <f>IFERROR((1+G275)*(1+J274)-1,"")</f>
        <v/>
      </c>
      <c r="K275" s="42">
        <f>IFERROR(B275/$B$36*100,"")</f>
        <v/>
      </c>
      <c r="L275" s="42">
        <f>IFERROR(C275/$C$36*100,"")</f>
        <v/>
      </c>
      <c r="M275" s="42">
        <f>IFERROR(D275/$D$36*100,"")</f>
        <v/>
      </c>
      <c r="N275" s="41">
        <f>IFERROR((1+H275)/(1+I275)-1,"")</f>
        <v/>
      </c>
      <c r="O275" s="41">
        <f>IFERROR((1+H275)/(1+J275)-1,"")</f>
        <v/>
      </c>
      <c r="P275" s="39">
        <f>IFERROR(B275*0.0099502487562189+P274*(1-0.0099502487562189),"")</f>
        <v/>
      </c>
      <c r="Q275" s="42">
        <f>Q274*(1+E275)</f>
        <v/>
      </c>
      <c r="R275" s="42">
        <f>MAX(R274,Q275)</f>
        <v/>
      </c>
      <c r="S275" s="41">
        <f>IFERROR(Q275/R275-1,"")</f>
        <v/>
      </c>
      <c r="T275" s="41">
        <f>IFERROR(_xlfn.STDEV.S(E216:E275)*SQRT($D$7),"")</f>
        <v/>
      </c>
      <c r="U275" s="41">
        <f>IFERROR(MIN(E275-$D$6,0),"")</f>
        <v/>
      </c>
      <c r="V275" s="41">
        <f>IFERROR(E275-F275,"")</f>
        <v/>
      </c>
      <c r="W275" s="39">
        <f>B275</f>
        <v/>
      </c>
      <c r="X275" s="21" t="n"/>
    </row>
    <row r="276">
      <c r="A276" s="38" t="n">
        <v>45338</v>
      </c>
      <c r="B276" s="39" t="n">
        <v>255.15</v>
      </c>
      <c r="C276" s="39" t="n">
        <v>499.51</v>
      </c>
      <c r="D276" s="39" t="n">
        <v>42.585</v>
      </c>
      <c r="E276" s="41">
        <f>IFERROR(B276/B275-1,"")</f>
        <v/>
      </c>
      <c r="F276" s="41">
        <f>IFERROR(C276/C275-1,"")</f>
        <v/>
      </c>
      <c r="G276" s="41">
        <f>IFERROR(D276/D275-1,"")</f>
        <v/>
      </c>
      <c r="H276" s="41">
        <f>IFERROR((1+E276)*(1+H275)-1,"")</f>
        <v/>
      </c>
      <c r="I276" s="41">
        <f>IFERROR((1+F276)*(1+I275)-1,"")</f>
        <v/>
      </c>
      <c r="J276" s="41">
        <f>IFERROR((1+G276)*(1+J275)-1,"")</f>
        <v/>
      </c>
      <c r="K276" s="42">
        <f>IFERROR(B276/$B$36*100,"")</f>
        <v/>
      </c>
      <c r="L276" s="42">
        <f>IFERROR(C276/$C$36*100,"")</f>
        <v/>
      </c>
      <c r="M276" s="42">
        <f>IFERROR(D276/$D$36*100,"")</f>
        <v/>
      </c>
      <c r="N276" s="41">
        <f>IFERROR((1+H276)/(1+I276)-1,"")</f>
        <v/>
      </c>
      <c r="O276" s="41">
        <f>IFERROR((1+H276)/(1+J276)-1,"")</f>
        <v/>
      </c>
      <c r="P276" s="39">
        <f>IFERROR(B276*0.0099502487562189+P275*(1-0.0099502487562189),"")</f>
        <v/>
      </c>
      <c r="Q276" s="42">
        <f>Q275*(1+E276)</f>
        <v/>
      </c>
      <c r="R276" s="42">
        <f>MAX(R275,Q276)</f>
        <v/>
      </c>
      <c r="S276" s="41">
        <f>IFERROR(Q276/R276-1,"")</f>
        <v/>
      </c>
      <c r="T276" s="41">
        <f>IFERROR(_xlfn.STDEV.S(E217:E276)*SQRT($D$7),"")</f>
        <v/>
      </c>
      <c r="U276" s="41">
        <f>IFERROR(MIN(E276-$D$6,0),"")</f>
        <v/>
      </c>
      <c r="V276" s="41">
        <f>IFERROR(E276-F276,"")</f>
        <v/>
      </c>
      <c r="W276" s="39">
        <f>B276</f>
        <v/>
      </c>
      <c r="X276" s="21" t="n"/>
    </row>
    <row r="277">
      <c r="A277" s="38" t="n">
        <v>45342</v>
      </c>
      <c r="B277" s="39" t="n">
        <v>251.38</v>
      </c>
      <c r="C277" s="39" t="n">
        <v>496.76</v>
      </c>
      <c r="D277" s="39" t="n">
        <v>42.495</v>
      </c>
      <c r="E277" s="41">
        <f>IFERROR(B277/B276-1,"")</f>
        <v/>
      </c>
      <c r="F277" s="41">
        <f>IFERROR(C277/C276-1,"")</f>
        <v/>
      </c>
      <c r="G277" s="41">
        <f>IFERROR(D277/D276-1,"")</f>
        <v/>
      </c>
      <c r="H277" s="41">
        <f>IFERROR((1+E277)*(1+H276)-1,"")</f>
        <v/>
      </c>
      <c r="I277" s="41">
        <f>IFERROR((1+F277)*(1+I276)-1,"")</f>
        <v/>
      </c>
      <c r="J277" s="41">
        <f>IFERROR((1+G277)*(1+J276)-1,"")</f>
        <v/>
      </c>
      <c r="K277" s="42">
        <f>IFERROR(B277/$B$36*100,"")</f>
        <v/>
      </c>
      <c r="L277" s="42">
        <f>IFERROR(C277/$C$36*100,"")</f>
        <v/>
      </c>
      <c r="M277" s="42">
        <f>IFERROR(D277/$D$36*100,"")</f>
        <v/>
      </c>
      <c r="N277" s="41">
        <f>IFERROR((1+H277)/(1+I277)-1,"")</f>
        <v/>
      </c>
      <c r="O277" s="41">
        <f>IFERROR((1+H277)/(1+J277)-1,"")</f>
        <v/>
      </c>
      <c r="P277" s="39">
        <f>IFERROR(B277*0.0099502487562189+P276*(1-0.0099502487562189),"")</f>
        <v/>
      </c>
      <c r="Q277" s="42">
        <f>Q276*(1+E277)</f>
        <v/>
      </c>
      <c r="R277" s="42">
        <f>MAX(R276,Q277)</f>
        <v/>
      </c>
      <c r="S277" s="41">
        <f>IFERROR(Q277/R277-1,"")</f>
        <v/>
      </c>
      <c r="T277" s="41">
        <f>IFERROR(_xlfn.STDEV.S(E218:E277)*SQRT($D$7),"")</f>
        <v/>
      </c>
      <c r="U277" s="41">
        <f>IFERROR(MIN(E277-$D$6,0),"")</f>
        <v/>
      </c>
      <c r="V277" s="41">
        <f>IFERROR(E277-F277,"")</f>
        <v/>
      </c>
      <c r="W277" s="39">
        <f>B277</f>
        <v/>
      </c>
      <c r="X277" s="21" t="n"/>
    </row>
    <row r="278">
      <c r="A278" s="38" t="n">
        <v>45343</v>
      </c>
      <c r="B278" s="39" t="n">
        <v>253.43</v>
      </c>
      <c r="C278" s="39" t="n">
        <v>497.21</v>
      </c>
      <c r="D278" s="39" t="n">
        <v>42.73</v>
      </c>
      <c r="E278" s="41">
        <f>IFERROR(B278/B277-1,"")</f>
        <v/>
      </c>
      <c r="F278" s="41">
        <f>IFERROR(C278/C277-1,"")</f>
        <v/>
      </c>
      <c r="G278" s="41">
        <f>IFERROR(D278/D277-1,"")</f>
        <v/>
      </c>
      <c r="H278" s="41">
        <f>IFERROR((1+E278)*(1+H277)-1,"")</f>
        <v/>
      </c>
      <c r="I278" s="41">
        <f>IFERROR((1+F278)*(1+I277)-1,"")</f>
        <v/>
      </c>
      <c r="J278" s="41">
        <f>IFERROR((1+G278)*(1+J277)-1,"")</f>
        <v/>
      </c>
      <c r="K278" s="42">
        <f>IFERROR(B278/$B$36*100,"")</f>
        <v/>
      </c>
      <c r="L278" s="42">
        <f>IFERROR(C278/$C$36*100,"")</f>
        <v/>
      </c>
      <c r="M278" s="42">
        <f>IFERROR(D278/$D$36*100,"")</f>
        <v/>
      </c>
      <c r="N278" s="41">
        <f>IFERROR((1+H278)/(1+I278)-1,"")</f>
        <v/>
      </c>
      <c r="O278" s="41">
        <f>IFERROR((1+H278)/(1+J278)-1,"")</f>
        <v/>
      </c>
      <c r="P278" s="39">
        <f>IFERROR(B278*0.0099502487562189+P277*(1-0.0099502487562189),"")</f>
        <v/>
      </c>
      <c r="Q278" s="42">
        <f>Q277*(1+E278)</f>
        <v/>
      </c>
      <c r="R278" s="42">
        <f>MAX(R277,Q278)</f>
        <v/>
      </c>
      <c r="S278" s="41">
        <f>IFERROR(Q278/R278-1,"")</f>
        <v/>
      </c>
      <c r="T278" s="41">
        <f>IFERROR(_xlfn.STDEV.S(E219:E278)*SQRT($D$7),"")</f>
        <v/>
      </c>
      <c r="U278" s="41">
        <f>IFERROR(MIN(E278-$D$6,0),"")</f>
        <v/>
      </c>
      <c r="V278" s="41">
        <f>IFERROR(E278-F278,"")</f>
        <v/>
      </c>
      <c r="W278" s="39">
        <f>B278</f>
        <v/>
      </c>
      <c r="X278" s="21" t="n"/>
    </row>
    <row r="279">
      <c r="A279" s="38" t="n">
        <v>45344</v>
      </c>
      <c r="B279" s="39" t="n">
        <v>256.94</v>
      </c>
      <c r="C279" s="39" t="n">
        <v>507.5</v>
      </c>
      <c r="D279" s="39" t="n">
        <v>43.16</v>
      </c>
      <c r="E279" s="41">
        <f>IFERROR(B279/B278-1,"")</f>
        <v/>
      </c>
      <c r="F279" s="41">
        <f>IFERROR(C279/C278-1,"")</f>
        <v/>
      </c>
      <c r="G279" s="41">
        <f>IFERROR(D279/D278-1,"")</f>
        <v/>
      </c>
      <c r="H279" s="41">
        <f>IFERROR((1+E279)*(1+H278)-1,"")</f>
        <v/>
      </c>
      <c r="I279" s="41">
        <f>IFERROR((1+F279)*(1+I278)-1,"")</f>
        <v/>
      </c>
      <c r="J279" s="41">
        <f>IFERROR((1+G279)*(1+J278)-1,"")</f>
        <v/>
      </c>
      <c r="K279" s="42">
        <f>IFERROR(B279/$B$36*100,"")</f>
        <v/>
      </c>
      <c r="L279" s="42">
        <f>IFERROR(C279/$C$36*100,"")</f>
        <v/>
      </c>
      <c r="M279" s="42">
        <f>IFERROR(D279/$D$36*100,"")</f>
        <v/>
      </c>
      <c r="N279" s="41">
        <f>IFERROR((1+H279)/(1+I279)-1,"")</f>
        <v/>
      </c>
      <c r="O279" s="41">
        <f>IFERROR((1+H279)/(1+J279)-1,"")</f>
        <v/>
      </c>
      <c r="P279" s="39">
        <f>IFERROR(B279*0.0099502487562189+P278*(1-0.0099502487562189),"")</f>
        <v/>
      </c>
      <c r="Q279" s="42">
        <f>Q278*(1+E279)</f>
        <v/>
      </c>
      <c r="R279" s="42">
        <f>MAX(R278,Q279)</f>
        <v/>
      </c>
      <c r="S279" s="41">
        <f>IFERROR(Q279/R279-1,"")</f>
        <v/>
      </c>
      <c r="T279" s="41">
        <f>IFERROR(_xlfn.STDEV.S(E220:E279)*SQRT($D$7),"")</f>
        <v/>
      </c>
      <c r="U279" s="41">
        <f>IFERROR(MIN(E279-$D$6,0),"")</f>
        <v/>
      </c>
      <c r="V279" s="41">
        <f>IFERROR(E279-F279,"")</f>
        <v/>
      </c>
      <c r="W279" s="39">
        <f>B279</f>
        <v/>
      </c>
      <c r="X279" s="21" t="n"/>
    </row>
    <row r="280">
      <c r="A280" s="38" t="n">
        <v>45345</v>
      </c>
      <c r="B280" s="39" t="n">
        <v>257.23</v>
      </c>
      <c r="C280" s="39" t="n">
        <v>507.85</v>
      </c>
      <c r="D280" s="39" t="n">
        <v>43.415</v>
      </c>
      <c r="E280" s="41">
        <f>IFERROR(B280/B279-1,"")</f>
        <v/>
      </c>
      <c r="F280" s="41">
        <f>IFERROR(C280/C279-1,"")</f>
        <v/>
      </c>
      <c r="G280" s="41">
        <f>IFERROR(D280/D279-1,"")</f>
        <v/>
      </c>
      <c r="H280" s="41">
        <f>IFERROR((1+E280)*(1+H279)-1,"")</f>
        <v/>
      </c>
      <c r="I280" s="41">
        <f>IFERROR((1+F280)*(1+I279)-1,"")</f>
        <v/>
      </c>
      <c r="J280" s="41">
        <f>IFERROR((1+G280)*(1+J279)-1,"")</f>
        <v/>
      </c>
      <c r="K280" s="42">
        <f>IFERROR(B280/$B$36*100,"")</f>
        <v/>
      </c>
      <c r="L280" s="42">
        <f>IFERROR(C280/$C$36*100,"")</f>
        <v/>
      </c>
      <c r="M280" s="42">
        <f>IFERROR(D280/$D$36*100,"")</f>
        <v/>
      </c>
      <c r="N280" s="41">
        <f>IFERROR((1+H280)/(1+I280)-1,"")</f>
        <v/>
      </c>
      <c r="O280" s="41">
        <f>IFERROR((1+H280)/(1+J280)-1,"")</f>
        <v/>
      </c>
      <c r="P280" s="39">
        <f>IFERROR(B280*0.0099502487562189+P279*(1-0.0099502487562189),"")</f>
        <v/>
      </c>
      <c r="Q280" s="42">
        <f>Q279*(1+E280)</f>
        <v/>
      </c>
      <c r="R280" s="42">
        <f>MAX(R279,Q280)</f>
        <v/>
      </c>
      <c r="S280" s="41">
        <f>IFERROR(Q280/R280-1,"")</f>
        <v/>
      </c>
      <c r="T280" s="41">
        <f>IFERROR(_xlfn.STDEV.S(E221:E280)*SQRT($D$7),"")</f>
        <v/>
      </c>
      <c r="U280" s="41">
        <f>IFERROR(MIN(E280-$D$6,0),"")</f>
        <v/>
      </c>
      <c r="V280" s="41">
        <f>IFERROR(E280-F280,"")</f>
        <v/>
      </c>
      <c r="W280" s="39">
        <f>B280</f>
        <v/>
      </c>
      <c r="X280" s="21" t="n"/>
    </row>
    <row r="281">
      <c r="A281" s="38" t="n">
        <v>45348</v>
      </c>
      <c r="B281" s="39" t="n">
        <v>261.08</v>
      </c>
      <c r="C281" s="39" t="n">
        <v>505.99</v>
      </c>
      <c r="D281" s="39" t="n">
        <v>43.155</v>
      </c>
      <c r="E281" s="41">
        <f>IFERROR(B281/B280-1,"")</f>
        <v/>
      </c>
      <c r="F281" s="41">
        <f>IFERROR(C281/C280-1,"")</f>
        <v/>
      </c>
      <c r="G281" s="41">
        <f>IFERROR(D281/D280-1,"")</f>
        <v/>
      </c>
      <c r="H281" s="41">
        <f>IFERROR((1+E281)*(1+H280)-1,"")</f>
        <v/>
      </c>
      <c r="I281" s="41">
        <f>IFERROR((1+F281)*(1+I280)-1,"")</f>
        <v/>
      </c>
      <c r="J281" s="41">
        <f>IFERROR((1+G281)*(1+J280)-1,"")</f>
        <v/>
      </c>
      <c r="K281" s="42">
        <f>IFERROR(B281/$B$36*100,"")</f>
        <v/>
      </c>
      <c r="L281" s="42">
        <f>IFERROR(C281/$C$36*100,"")</f>
        <v/>
      </c>
      <c r="M281" s="42">
        <f>IFERROR(D281/$D$36*100,"")</f>
        <v/>
      </c>
      <c r="N281" s="41">
        <f>IFERROR((1+H281)/(1+I281)-1,"")</f>
        <v/>
      </c>
      <c r="O281" s="41">
        <f>IFERROR((1+H281)/(1+J281)-1,"")</f>
        <v/>
      </c>
      <c r="P281" s="39">
        <f>IFERROR(B281*0.0099502487562189+P280*(1-0.0099502487562189),"")</f>
        <v/>
      </c>
      <c r="Q281" s="42">
        <f>Q280*(1+E281)</f>
        <v/>
      </c>
      <c r="R281" s="42">
        <f>MAX(R280,Q281)</f>
        <v/>
      </c>
      <c r="S281" s="41">
        <f>IFERROR(Q281/R281-1,"")</f>
        <v/>
      </c>
      <c r="T281" s="41">
        <f>IFERROR(_xlfn.STDEV.S(E222:E281)*SQRT($D$7),"")</f>
        <v/>
      </c>
      <c r="U281" s="41">
        <f>IFERROR(MIN(E281-$D$6,0),"")</f>
        <v/>
      </c>
      <c r="V281" s="41">
        <f>IFERROR(E281-F281,"")</f>
        <v/>
      </c>
      <c r="W281" s="39">
        <f>B281</f>
        <v/>
      </c>
      <c r="X281" s="21" t="n"/>
    </row>
    <row r="282">
      <c r="A282" s="38" t="n">
        <v>45349</v>
      </c>
      <c r="B282" s="39" t="n">
        <v>263.56</v>
      </c>
      <c r="C282" s="39" t="n">
        <v>506.93</v>
      </c>
      <c r="D282" s="39" t="n">
        <v>43.315</v>
      </c>
      <c r="E282" s="41">
        <f>IFERROR(B282/B281-1,"")</f>
        <v/>
      </c>
      <c r="F282" s="41">
        <f>IFERROR(C282/C281-1,"")</f>
        <v/>
      </c>
      <c r="G282" s="41">
        <f>IFERROR(D282/D281-1,"")</f>
        <v/>
      </c>
      <c r="H282" s="41">
        <f>IFERROR((1+E282)*(1+H281)-1,"")</f>
        <v/>
      </c>
      <c r="I282" s="41">
        <f>IFERROR((1+F282)*(1+I281)-1,"")</f>
        <v/>
      </c>
      <c r="J282" s="41">
        <f>IFERROR((1+G282)*(1+J281)-1,"")</f>
        <v/>
      </c>
      <c r="K282" s="42">
        <f>IFERROR(B282/$B$36*100,"")</f>
        <v/>
      </c>
      <c r="L282" s="42">
        <f>IFERROR(C282/$C$36*100,"")</f>
        <v/>
      </c>
      <c r="M282" s="42">
        <f>IFERROR(D282/$D$36*100,"")</f>
        <v/>
      </c>
      <c r="N282" s="41">
        <f>IFERROR((1+H282)/(1+I282)-1,"")</f>
        <v/>
      </c>
      <c r="O282" s="41">
        <f>IFERROR((1+H282)/(1+J282)-1,"")</f>
        <v/>
      </c>
      <c r="P282" s="39">
        <f>IFERROR(B282*0.0099502487562189+P281*(1-0.0099502487562189),"")</f>
        <v/>
      </c>
      <c r="Q282" s="42">
        <f>Q281*(1+E282)</f>
        <v/>
      </c>
      <c r="R282" s="42">
        <f>MAX(R281,Q282)</f>
        <v/>
      </c>
      <c r="S282" s="41">
        <f>IFERROR(Q282/R282-1,"")</f>
        <v/>
      </c>
      <c r="T282" s="41">
        <f>IFERROR(_xlfn.STDEV.S(E223:E282)*SQRT($D$7),"")</f>
        <v/>
      </c>
      <c r="U282" s="41">
        <f>IFERROR(MIN(E282-$D$6,0),"")</f>
        <v/>
      </c>
      <c r="V282" s="41">
        <f>IFERROR(E282-F282,"")</f>
        <v/>
      </c>
      <c r="W282" s="39">
        <f>B282</f>
        <v/>
      </c>
      <c r="X282" s="21" t="n"/>
    </row>
    <row r="283">
      <c r="A283" s="38" t="n">
        <v>45350</v>
      </c>
      <c r="B283" s="39" t="n">
        <v>262.3</v>
      </c>
      <c r="C283" s="39" t="n">
        <v>506.26</v>
      </c>
      <c r="D283" s="39" t="n">
        <v>43.45</v>
      </c>
      <c r="E283" s="41">
        <f>IFERROR(B283/B282-1,"")</f>
        <v/>
      </c>
      <c r="F283" s="41">
        <f>IFERROR(C283/C282-1,"")</f>
        <v/>
      </c>
      <c r="G283" s="41">
        <f>IFERROR(D283/D282-1,"")</f>
        <v/>
      </c>
      <c r="H283" s="41">
        <f>IFERROR((1+E283)*(1+H282)-1,"")</f>
        <v/>
      </c>
      <c r="I283" s="41">
        <f>IFERROR((1+F283)*(1+I282)-1,"")</f>
        <v/>
      </c>
      <c r="J283" s="41">
        <f>IFERROR((1+G283)*(1+J282)-1,"")</f>
        <v/>
      </c>
      <c r="K283" s="42">
        <f>IFERROR(B283/$B$36*100,"")</f>
        <v/>
      </c>
      <c r="L283" s="42">
        <f>IFERROR(C283/$C$36*100,"")</f>
        <v/>
      </c>
      <c r="M283" s="42">
        <f>IFERROR(D283/$D$36*100,"")</f>
        <v/>
      </c>
      <c r="N283" s="41">
        <f>IFERROR((1+H283)/(1+I283)-1,"")</f>
        <v/>
      </c>
      <c r="O283" s="41">
        <f>IFERROR((1+H283)/(1+J283)-1,"")</f>
        <v/>
      </c>
      <c r="P283" s="39">
        <f>IFERROR(B283*0.0099502487562189+P282*(1-0.0099502487562189),"")</f>
        <v/>
      </c>
      <c r="Q283" s="42">
        <f>Q282*(1+E283)</f>
        <v/>
      </c>
      <c r="R283" s="42">
        <f>MAX(R282,Q283)</f>
        <v/>
      </c>
      <c r="S283" s="41">
        <f>IFERROR(Q283/R283-1,"")</f>
        <v/>
      </c>
      <c r="T283" s="41">
        <f>IFERROR(_xlfn.STDEV.S(E224:E283)*SQRT($D$7),"")</f>
        <v/>
      </c>
      <c r="U283" s="41">
        <f>IFERROR(MIN(E283-$D$6,0),"")</f>
        <v/>
      </c>
      <c r="V283" s="41">
        <f>IFERROR(E283-F283,"")</f>
        <v/>
      </c>
      <c r="W283" s="39">
        <f>B283</f>
        <v/>
      </c>
      <c r="X283" s="21" t="n"/>
    </row>
    <row r="284">
      <c r="A284" s="38" t="n">
        <v>45351</v>
      </c>
      <c r="B284" s="39" t="n">
        <v>265.85</v>
      </c>
      <c r="C284" s="39" t="n">
        <v>508.08</v>
      </c>
      <c r="D284" s="39" t="n">
        <v>43.78</v>
      </c>
      <c r="E284" s="41">
        <f>IFERROR(B284/B283-1,"")</f>
        <v/>
      </c>
      <c r="F284" s="41">
        <f>IFERROR(C284/C283-1,"")</f>
        <v/>
      </c>
      <c r="G284" s="41">
        <f>IFERROR(D284/D283-1,"")</f>
        <v/>
      </c>
      <c r="H284" s="41">
        <f>IFERROR((1+E284)*(1+H283)-1,"")</f>
        <v/>
      </c>
      <c r="I284" s="41">
        <f>IFERROR((1+F284)*(1+I283)-1,"")</f>
        <v/>
      </c>
      <c r="J284" s="41">
        <f>IFERROR((1+G284)*(1+J283)-1,"")</f>
        <v/>
      </c>
      <c r="K284" s="42">
        <f>IFERROR(B284/$B$36*100,"")</f>
        <v/>
      </c>
      <c r="L284" s="42">
        <f>IFERROR(C284/$C$36*100,"")</f>
        <v/>
      </c>
      <c r="M284" s="42">
        <f>IFERROR(D284/$D$36*100,"")</f>
        <v/>
      </c>
      <c r="N284" s="41">
        <f>IFERROR((1+H284)/(1+I284)-1,"")</f>
        <v/>
      </c>
      <c r="O284" s="41">
        <f>IFERROR((1+H284)/(1+J284)-1,"")</f>
        <v/>
      </c>
      <c r="P284" s="39">
        <f>IFERROR(B284*0.0099502487562189+P283*(1-0.0099502487562189),"")</f>
        <v/>
      </c>
      <c r="Q284" s="42">
        <f>Q283*(1+E284)</f>
        <v/>
      </c>
      <c r="R284" s="42">
        <f>MAX(R283,Q284)</f>
        <v/>
      </c>
      <c r="S284" s="41">
        <f>IFERROR(Q284/R284-1,"")</f>
        <v/>
      </c>
      <c r="T284" s="41">
        <f>IFERROR(_xlfn.STDEV.S(E225:E284)*SQRT($D$7),"")</f>
        <v/>
      </c>
      <c r="U284" s="41">
        <f>IFERROR(MIN(E284-$D$6,0),"")</f>
        <v/>
      </c>
      <c r="V284" s="41">
        <f>IFERROR(E284-F284,"")</f>
        <v/>
      </c>
      <c r="W284" s="39">
        <f>B284</f>
        <v/>
      </c>
      <c r="X284" s="21" t="n"/>
    </row>
    <row r="285">
      <c r="A285" s="38" t="n">
        <v>45352</v>
      </c>
      <c r="B285" s="39" t="n">
        <v>267.43</v>
      </c>
      <c r="C285" s="39" t="n">
        <v>512.85</v>
      </c>
      <c r="D285" s="39" t="n">
        <v>43.98</v>
      </c>
      <c r="E285" s="41">
        <f>IFERROR(B285/B284-1,"")</f>
        <v/>
      </c>
      <c r="F285" s="41">
        <f>IFERROR(C285/C284-1,"")</f>
        <v/>
      </c>
      <c r="G285" s="41">
        <f>IFERROR(D285/D284-1,"")</f>
        <v/>
      </c>
      <c r="H285" s="41">
        <f>IFERROR((1+E285)*(1+H284)-1,"")</f>
        <v/>
      </c>
      <c r="I285" s="41">
        <f>IFERROR((1+F285)*(1+I284)-1,"")</f>
        <v/>
      </c>
      <c r="J285" s="41">
        <f>IFERROR((1+G285)*(1+J284)-1,"")</f>
        <v/>
      </c>
      <c r="K285" s="42">
        <f>IFERROR(B285/$B$36*100,"")</f>
        <v/>
      </c>
      <c r="L285" s="42">
        <f>IFERROR(C285/$C$36*100,"")</f>
        <v/>
      </c>
      <c r="M285" s="42">
        <f>IFERROR(D285/$D$36*100,"")</f>
        <v/>
      </c>
      <c r="N285" s="41">
        <f>IFERROR((1+H285)/(1+I285)-1,"")</f>
        <v/>
      </c>
      <c r="O285" s="41">
        <f>IFERROR((1+H285)/(1+J285)-1,"")</f>
        <v/>
      </c>
      <c r="P285" s="39">
        <f>IFERROR(B285*0.0099502487562189+P284*(1-0.0099502487562189),"")</f>
        <v/>
      </c>
      <c r="Q285" s="42">
        <f>Q284*(1+E285)</f>
        <v/>
      </c>
      <c r="R285" s="42">
        <f>MAX(R284,Q285)</f>
        <v/>
      </c>
      <c r="S285" s="41">
        <f>IFERROR(Q285/R285-1,"")</f>
        <v/>
      </c>
      <c r="T285" s="41">
        <f>IFERROR(_xlfn.STDEV.S(E226:E285)*SQRT($D$7),"")</f>
        <v/>
      </c>
      <c r="U285" s="41">
        <f>IFERROR(MIN(E285-$D$6,0),"")</f>
        <v/>
      </c>
      <c r="V285" s="41">
        <f>IFERROR(E285-F285,"")</f>
        <v/>
      </c>
      <c r="W285" s="39">
        <f>B285</f>
        <v/>
      </c>
      <c r="X285" s="21" t="n"/>
    </row>
    <row r="286">
      <c r="A286" s="38" t="n">
        <v>45355</v>
      </c>
      <c r="B286" s="39" t="n">
        <v>267.85</v>
      </c>
      <c r="C286" s="39" t="n">
        <v>512.3</v>
      </c>
      <c r="D286" s="39" t="n">
        <v>44.3</v>
      </c>
      <c r="E286" s="41">
        <f>IFERROR(B286/B285-1,"")</f>
        <v/>
      </c>
      <c r="F286" s="41">
        <f>IFERROR(C286/C285-1,"")</f>
        <v/>
      </c>
      <c r="G286" s="41">
        <f>IFERROR(D286/D285-1,"")</f>
        <v/>
      </c>
      <c r="H286" s="41">
        <f>IFERROR((1+E286)*(1+H285)-1,"")</f>
        <v/>
      </c>
      <c r="I286" s="41">
        <f>IFERROR((1+F286)*(1+I285)-1,"")</f>
        <v/>
      </c>
      <c r="J286" s="41">
        <f>IFERROR((1+G286)*(1+J285)-1,"")</f>
        <v/>
      </c>
      <c r="K286" s="42">
        <f>IFERROR(B286/$B$36*100,"")</f>
        <v/>
      </c>
      <c r="L286" s="42">
        <f>IFERROR(C286/$C$36*100,"")</f>
        <v/>
      </c>
      <c r="M286" s="42">
        <f>IFERROR(D286/$D$36*100,"")</f>
        <v/>
      </c>
      <c r="N286" s="41">
        <f>IFERROR((1+H286)/(1+I286)-1,"")</f>
        <v/>
      </c>
      <c r="O286" s="41">
        <f>IFERROR((1+H286)/(1+J286)-1,"")</f>
        <v/>
      </c>
      <c r="P286" s="39">
        <f>IFERROR(B286*0.0099502487562189+P285*(1-0.0099502487562189),"")</f>
        <v/>
      </c>
      <c r="Q286" s="42">
        <f>Q285*(1+E286)</f>
        <v/>
      </c>
      <c r="R286" s="42">
        <f>MAX(R285,Q286)</f>
        <v/>
      </c>
      <c r="S286" s="41">
        <f>IFERROR(Q286/R286-1,"")</f>
        <v/>
      </c>
      <c r="T286" s="41">
        <f>IFERROR(_xlfn.STDEV.S(E227:E286)*SQRT($D$7),"")</f>
        <v/>
      </c>
      <c r="U286" s="41">
        <f>IFERROR(MIN(E286-$D$6,0),"")</f>
        <v/>
      </c>
      <c r="V286" s="41">
        <f>IFERROR(E286-F286,"")</f>
        <v/>
      </c>
      <c r="W286" s="39">
        <f>B286</f>
        <v/>
      </c>
      <c r="X286" s="21" t="n"/>
    </row>
    <row r="287">
      <c r="A287" s="38" t="n">
        <v>45356</v>
      </c>
      <c r="B287" s="39" t="n">
        <v>264.98</v>
      </c>
      <c r="C287" s="39" t="n">
        <v>507.18</v>
      </c>
      <c r="D287" s="39" t="n">
        <v>44.065</v>
      </c>
      <c r="E287" s="41">
        <f>IFERROR(B287/B286-1,"")</f>
        <v/>
      </c>
      <c r="F287" s="41">
        <f>IFERROR(C287/C286-1,"")</f>
        <v/>
      </c>
      <c r="G287" s="41">
        <f>IFERROR(D287/D286-1,"")</f>
        <v/>
      </c>
      <c r="H287" s="41">
        <f>IFERROR((1+E287)*(1+H286)-1,"")</f>
        <v/>
      </c>
      <c r="I287" s="41">
        <f>IFERROR((1+F287)*(1+I286)-1,"")</f>
        <v/>
      </c>
      <c r="J287" s="41">
        <f>IFERROR((1+G287)*(1+J286)-1,"")</f>
        <v/>
      </c>
      <c r="K287" s="42">
        <f>IFERROR(B287/$B$36*100,"")</f>
        <v/>
      </c>
      <c r="L287" s="42">
        <f>IFERROR(C287/$C$36*100,"")</f>
        <v/>
      </c>
      <c r="M287" s="42">
        <f>IFERROR(D287/$D$36*100,"")</f>
        <v/>
      </c>
      <c r="N287" s="41">
        <f>IFERROR((1+H287)/(1+I287)-1,"")</f>
        <v/>
      </c>
      <c r="O287" s="41">
        <f>IFERROR((1+H287)/(1+J287)-1,"")</f>
        <v/>
      </c>
      <c r="P287" s="39">
        <f>IFERROR(B287*0.0099502487562189+P286*(1-0.0099502487562189),"")</f>
        <v/>
      </c>
      <c r="Q287" s="42">
        <f>Q286*(1+E287)</f>
        <v/>
      </c>
      <c r="R287" s="42">
        <f>MAX(R286,Q287)</f>
        <v/>
      </c>
      <c r="S287" s="41">
        <f>IFERROR(Q287/R287-1,"")</f>
        <v/>
      </c>
      <c r="T287" s="41">
        <f>IFERROR(_xlfn.STDEV.S(E228:E287)*SQRT($D$7),"")</f>
        <v/>
      </c>
      <c r="U287" s="41">
        <f>IFERROR(MIN(E287-$D$6,0),"")</f>
        <v/>
      </c>
      <c r="V287" s="41">
        <f>IFERROR(E287-F287,"")</f>
        <v/>
      </c>
      <c r="W287" s="39">
        <f>B287</f>
        <v/>
      </c>
      <c r="X287" s="21" t="n"/>
    </row>
    <row r="288">
      <c r="A288" s="38" t="n">
        <v>45357</v>
      </c>
      <c r="B288" s="39" t="n">
        <v>267.34</v>
      </c>
      <c r="C288" s="39" t="n">
        <v>509.75</v>
      </c>
      <c r="D288" s="39" t="n">
        <v>44.39</v>
      </c>
      <c r="E288" s="41">
        <f>IFERROR(B288/B287-1,"")</f>
        <v/>
      </c>
      <c r="F288" s="41">
        <f>IFERROR(C288/C287-1,"")</f>
        <v/>
      </c>
      <c r="G288" s="41">
        <f>IFERROR(D288/D287-1,"")</f>
        <v/>
      </c>
      <c r="H288" s="41">
        <f>IFERROR((1+E288)*(1+H287)-1,"")</f>
        <v/>
      </c>
      <c r="I288" s="41">
        <f>IFERROR((1+F288)*(1+I287)-1,"")</f>
        <v/>
      </c>
      <c r="J288" s="41">
        <f>IFERROR((1+G288)*(1+J287)-1,"")</f>
        <v/>
      </c>
      <c r="K288" s="42">
        <f>IFERROR(B288/$B$36*100,"")</f>
        <v/>
      </c>
      <c r="L288" s="42">
        <f>IFERROR(C288/$C$36*100,"")</f>
        <v/>
      </c>
      <c r="M288" s="42">
        <f>IFERROR(D288/$D$36*100,"")</f>
        <v/>
      </c>
      <c r="N288" s="41">
        <f>IFERROR((1+H288)/(1+I288)-1,"")</f>
        <v/>
      </c>
      <c r="O288" s="41">
        <f>IFERROR((1+H288)/(1+J288)-1,"")</f>
        <v/>
      </c>
      <c r="P288" s="39">
        <f>IFERROR(B288*0.0099502487562189+P287*(1-0.0099502487562189),"")</f>
        <v/>
      </c>
      <c r="Q288" s="42">
        <f>Q287*(1+E288)</f>
        <v/>
      </c>
      <c r="R288" s="42">
        <f>MAX(R287,Q288)</f>
        <v/>
      </c>
      <c r="S288" s="41">
        <f>IFERROR(Q288/R288-1,"")</f>
        <v/>
      </c>
      <c r="T288" s="41">
        <f>IFERROR(_xlfn.STDEV.S(E229:E288)*SQRT($D$7),"")</f>
        <v/>
      </c>
      <c r="U288" s="41">
        <f>IFERROR(MIN(E288-$D$6,0),"")</f>
        <v/>
      </c>
      <c r="V288" s="41">
        <f>IFERROR(E288-F288,"")</f>
        <v/>
      </c>
      <c r="W288" s="39">
        <f>B288</f>
        <v/>
      </c>
      <c r="X288" s="21" t="n"/>
    </row>
    <row r="289">
      <c r="A289" s="38" t="n">
        <v>45358</v>
      </c>
      <c r="B289" s="39" t="n">
        <v>271.17</v>
      </c>
      <c r="C289" s="39" t="n">
        <v>514.8099999999999</v>
      </c>
      <c r="D289" s="39" t="n">
        <v>44.935</v>
      </c>
      <c r="E289" s="41">
        <f>IFERROR(B289/B288-1,"")</f>
        <v/>
      </c>
      <c r="F289" s="41">
        <f>IFERROR(C289/C288-1,"")</f>
        <v/>
      </c>
      <c r="G289" s="41">
        <f>IFERROR(D289/D288-1,"")</f>
        <v/>
      </c>
      <c r="H289" s="41">
        <f>IFERROR((1+E289)*(1+H288)-1,"")</f>
        <v/>
      </c>
      <c r="I289" s="41">
        <f>IFERROR((1+F289)*(1+I288)-1,"")</f>
        <v/>
      </c>
      <c r="J289" s="41">
        <f>IFERROR((1+G289)*(1+J288)-1,"")</f>
        <v/>
      </c>
      <c r="K289" s="42">
        <f>IFERROR(B289/$B$36*100,"")</f>
        <v/>
      </c>
      <c r="L289" s="42">
        <f>IFERROR(C289/$C$36*100,"")</f>
        <v/>
      </c>
      <c r="M289" s="42">
        <f>IFERROR(D289/$D$36*100,"")</f>
        <v/>
      </c>
      <c r="N289" s="41">
        <f>IFERROR((1+H289)/(1+I289)-1,"")</f>
        <v/>
      </c>
      <c r="O289" s="41">
        <f>IFERROR((1+H289)/(1+J289)-1,"")</f>
        <v/>
      </c>
      <c r="P289" s="39">
        <f>IFERROR(B289*0.0099502487562189+P288*(1-0.0099502487562189),"")</f>
        <v/>
      </c>
      <c r="Q289" s="42">
        <f>Q288*(1+E289)</f>
        <v/>
      </c>
      <c r="R289" s="42">
        <f>MAX(R288,Q289)</f>
        <v/>
      </c>
      <c r="S289" s="41">
        <f>IFERROR(Q289/R289-1,"")</f>
        <v/>
      </c>
      <c r="T289" s="41">
        <f>IFERROR(_xlfn.STDEV.S(E230:E289)*SQRT($D$7),"")</f>
        <v/>
      </c>
      <c r="U289" s="41">
        <f>IFERROR(MIN(E289-$D$6,0),"")</f>
        <v/>
      </c>
      <c r="V289" s="41">
        <f>IFERROR(E289-F289,"")</f>
        <v/>
      </c>
      <c r="W289" s="39">
        <f>B289</f>
        <v/>
      </c>
      <c r="X289" s="21" t="n"/>
    </row>
    <row r="290">
      <c r="A290" s="38" t="n">
        <v>45359</v>
      </c>
      <c r="B290" s="39" t="n">
        <v>266.7</v>
      </c>
      <c r="C290" s="39" t="n">
        <v>511.72</v>
      </c>
      <c r="D290" s="39" t="n">
        <v>44.675</v>
      </c>
      <c r="E290" s="41">
        <f>IFERROR(B290/B289-1,"")</f>
        <v/>
      </c>
      <c r="F290" s="41">
        <f>IFERROR(C290/C289-1,"")</f>
        <v/>
      </c>
      <c r="G290" s="41">
        <f>IFERROR(D290/D289-1,"")</f>
        <v/>
      </c>
      <c r="H290" s="41">
        <f>IFERROR((1+E290)*(1+H289)-1,"")</f>
        <v/>
      </c>
      <c r="I290" s="41">
        <f>IFERROR((1+F290)*(1+I289)-1,"")</f>
        <v/>
      </c>
      <c r="J290" s="41">
        <f>IFERROR((1+G290)*(1+J289)-1,"")</f>
        <v/>
      </c>
      <c r="K290" s="42">
        <f>IFERROR(B290/$B$36*100,"")</f>
        <v/>
      </c>
      <c r="L290" s="42">
        <f>IFERROR(C290/$C$36*100,"")</f>
        <v/>
      </c>
      <c r="M290" s="42">
        <f>IFERROR(D290/$D$36*100,"")</f>
        <v/>
      </c>
      <c r="N290" s="41">
        <f>IFERROR((1+H290)/(1+I290)-1,"")</f>
        <v/>
      </c>
      <c r="O290" s="41">
        <f>IFERROR((1+H290)/(1+J290)-1,"")</f>
        <v/>
      </c>
      <c r="P290" s="39">
        <f>IFERROR(B290*0.0099502487562189+P289*(1-0.0099502487562189),"")</f>
        <v/>
      </c>
      <c r="Q290" s="42">
        <f>Q289*(1+E290)</f>
        <v/>
      </c>
      <c r="R290" s="42">
        <f>MAX(R289,Q290)</f>
        <v/>
      </c>
      <c r="S290" s="41">
        <f>IFERROR(Q290/R290-1,"")</f>
        <v/>
      </c>
      <c r="T290" s="41">
        <f>IFERROR(_xlfn.STDEV.S(E231:E290)*SQRT($D$7),"")</f>
        <v/>
      </c>
      <c r="U290" s="41">
        <f>IFERROR(MIN(E290-$D$6,0),"")</f>
        <v/>
      </c>
      <c r="V290" s="41">
        <f>IFERROR(E290-F290,"")</f>
        <v/>
      </c>
      <c r="W290" s="39">
        <f>B290</f>
        <v/>
      </c>
      <c r="X290" s="21" t="n"/>
    </row>
    <row r="291">
      <c r="A291" s="38" t="n">
        <v>45362</v>
      </c>
      <c r="B291" s="39" t="n">
        <v>264.95</v>
      </c>
      <c r="C291" s="39" t="n">
        <v>511.28</v>
      </c>
      <c r="D291" s="39" t="n">
        <v>45.18</v>
      </c>
      <c r="E291" s="41">
        <f>IFERROR(B291/B290-1,"")</f>
        <v/>
      </c>
      <c r="F291" s="41">
        <f>IFERROR(C291/C290-1,"")</f>
        <v/>
      </c>
      <c r="G291" s="41">
        <f>IFERROR(D291/D290-1,"")</f>
        <v/>
      </c>
      <c r="H291" s="41">
        <f>IFERROR((1+E291)*(1+H290)-1,"")</f>
        <v/>
      </c>
      <c r="I291" s="41">
        <f>IFERROR((1+F291)*(1+I290)-1,"")</f>
        <v/>
      </c>
      <c r="J291" s="41">
        <f>IFERROR((1+G291)*(1+J290)-1,"")</f>
        <v/>
      </c>
      <c r="K291" s="42">
        <f>IFERROR(B291/$B$36*100,"")</f>
        <v/>
      </c>
      <c r="L291" s="42">
        <f>IFERROR(C291/$C$36*100,"")</f>
        <v/>
      </c>
      <c r="M291" s="42">
        <f>IFERROR(D291/$D$36*100,"")</f>
        <v/>
      </c>
      <c r="N291" s="41">
        <f>IFERROR((1+H291)/(1+I291)-1,"")</f>
        <v/>
      </c>
      <c r="O291" s="41">
        <f>IFERROR((1+H291)/(1+J291)-1,"")</f>
        <v/>
      </c>
      <c r="P291" s="39">
        <f>IFERROR(B291*0.0099502487562189+P290*(1-0.0099502487562189),"")</f>
        <v/>
      </c>
      <c r="Q291" s="42">
        <f>Q290*(1+E291)</f>
        <v/>
      </c>
      <c r="R291" s="42">
        <f>MAX(R290,Q291)</f>
        <v/>
      </c>
      <c r="S291" s="41">
        <f>IFERROR(Q291/R291-1,"")</f>
        <v/>
      </c>
      <c r="T291" s="41">
        <f>IFERROR(_xlfn.STDEV.S(E232:E291)*SQRT($D$7),"")</f>
        <v/>
      </c>
      <c r="U291" s="41">
        <f>IFERROR(MIN(E291-$D$6,0),"")</f>
        <v/>
      </c>
      <c r="V291" s="41">
        <f>IFERROR(E291-F291,"")</f>
        <v/>
      </c>
      <c r="W291" s="39">
        <f>B291</f>
        <v/>
      </c>
      <c r="X291" s="21" t="n"/>
    </row>
    <row r="292">
      <c r="A292" s="38" t="n">
        <v>45363</v>
      </c>
      <c r="B292" s="39" t="n">
        <v>269.58</v>
      </c>
      <c r="C292" s="39" t="n">
        <v>516.78</v>
      </c>
      <c r="D292" s="39" t="n">
        <v>45.175</v>
      </c>
      <c r="E292" s="41">
        <f>IFERROR(B292/B291-1,"")</f>
        <v/>
      </c>
      <c r="F292" s="41">
        <f>IFERROR(C292/C291-1,"")</f>
        <v/>
      </c>
      <c r="G292" s="41">
        <f>IFERROR(D292/D291-1,"")</f>
        <v/>
      </c>
      <c r="H292" s="41">
        <f>IFERROR((1+E292)*(1+H291)-1,"")</f>
        <v/>
      </c>
      <c r="I292" s="41">
        <f>IFERROR((1+F292)*(1+I291)-1,"")</f>
        <v/>
      </c>
      <c r="J292" s="41">
        <f>IFERROR((1+G292)*(1+J291)-1,"")</f>
        <v/>
      </c>
      <c r="K292" s="42">
        <f>IFERROR(B292/$B$36*100,"")</f>
        <v/>
      </c>
      <c r="L292" s="42">
        <f>IFERROR(C292/$C$36*100,"")</f>
        <v/>
      </c>
      <c r="M292" s="42">
        <f>IFERROR(D292/$D$36*100,"")</f>
        <v/>
      </c>
      <c r="N292" s="41">
        <f>IFERROR((1+H292)/(1+I292)-1,"")</f>
        <v/>
      </c>
      <c r="O292" s="41">
        <f>IFERROR((1+H292)/(1+J292)-1,"")</f>
        <v/>
      </c>
      <c r="P292" s="39">
        <f>IFERROR(B292*0.0099502487562189+P291*(1-0.0099502487562189),"")</f>
        <v/>
      </c>
      <c r="Q292" s="42">
        <f>Q291*(1+E292)</f>
        <v/>
      </c>
      <c r="R292" s="42">
        <f>MAX(R291,Q292)</f>
        <v/>
      </c>
      <c r="S292" s="41">
        <f>IFERROR(Q292/R292-1,"")</f>
        <v/>
      </c>
      <c r="T292" s="41">
        <f>IFERROR(_xlfn.STDEV.S(E233:E292)*SQRT($D$7),"")</f>
        <v/>
      </c>
      <c r="U292" s="41">
        <f>IFERROR(MIN(E292-$D$6,0),"")</f>
        <v/>
      </c>
      <c r="V292" s="41">
        <f>IFERROR(E292-F292,"")</f>
        <v/>
      </c>
      <c r="W292" s="39">
        <f>B292</f>
        <v/>
      </c>
      <c r="X292" s="21" t="n"/>
    </row>
    <row r="293">
      <c r="A293" s="38" t="n">
        <v>45364</v>
      </c>
      <c r="B293" s="39" t="n">
        <v>269.32</v>
      </c>
      <c r="C293" s="39" t="n">
        <v>515.97</v>
      </c>
      <c r="D293" s="39" t="n">
        <v>45.62</v>
      </c>
      <c r="E293" s="41">
        <f>IFERROR(B293/B292-1,"")</f>
        <v/>
      </c>
      <c r="F293" s="41">
        <f>IFERROR(C293/C292-1,"")</f>
        <v/>
      </c>
      <c r="G293" s="41">
        <f>IFERROR(D293/D292-1,"")</f>
        <v/>
      </c>
      <c r="H293" s="41">
        <f>IFERROR((1+E293)*(1+H292)-1,"")</f>
        <v/>
      </c>
      <c r="I293" s="41">
        <f>IFERROR((1+F293)*(1+I292)-1,"")</f>
        <v/>
      </c>
      <c r="J293" s="41">
        <f>IFERROR((1+G293)*(1+J292)-1,"")</f>
        <v/>
      </c>
      <c r="K293" s="42">
        <f>IFERROR(B293/$B$36*100,"")</f>
        <v/>
      </c>
      <c r="L293" s="42">
        <f>IFERROR(C293/$C$36*100,"")</f>
        <v/>
      </c>
      <c r="M293" s="42">
        <f>IFERROR(D293/$D$36*100,"")</f>
        <v/>
      </c>
      <c r="N293" s="41">
        <f>IFERROR((1+H293)/(1+I293)-1,"")</f>
        <v/>
      </c>
      <c r="O293" s="41">
        <f>IFERROR((1+H293)/(1+J293)-1,"")</f>
        <v/>
      </c>
      <c r="P293" s="39">
        <f>IFERROR(B293*0.0099502487562189+P292*(1-0.0099502487562189),"")</f>
        <v/>
      </c>
      <c r="Q293" s="42">
        <f>Q292*(1+E293)</f>
        <v/>
      </c>
      <c r="R293" s="42">
        <f>MAX(R292,Q293)</f>
        <v/>
      </c>
      <c r="S293" s="41">
        <f>IFERROR(Q293/R293-1,"")</f>
        <v/>
      </c>
      <c r="T293" s="41">
        <f>IFERROR(_xlfn.STDEV.S(E234:E293)*SQRT($D$7),"")</f>
        <v/>
      </c>
      <c r="U293" s="41">
        <f>IFERROR(MIN(E293-$D$6,0),"")</f>
        <v/>
      </c>
      <c r="V293" s="41">
        <f>IFERROR(E293-F293,"")</f>
        <v/>
      </c>
      <c r="W293" s="39">
        <f>B293</f>
        <v/>
      </c>
      <c r="X293" s="21" t="n"/>
    </row>
    <row r="294">
      <c r="A294" s="38" t="n">
        <v>45365</v>
      </c>
      <c r="B294" s="39" t="n">
        <v>270.73</v>
      </c>
      <c r="C294" s="39" t="n">
        <v>514.95</v>
      </c>
      <c r="D294" s="39" t="n">
        <v>45.38</v>
      </c>
      <c r="E294" s="41">
        <f>IFERROR(B294/B293-1,"")</f>
        <v/>
      </c>
      <c r="F294" s="41">
        <f>IFERROR(C294/C293-1,"")</f>
        <v/>
      </c>
      <c r="G294" s="41">
        <f>IFERROR(D294/D293-1,"")</f>
        <v/>
      </c>
      <c r="H294" s="41">
        <f>IFERROR((1+E294)*(1+H293)-1,"")</f>
        <v/>
      </c>
      <c r="I294" s="41">
        <f>IFERROR((1+F294)*(1+I293)-1,"")</f>
        <v/>
      </c>
      <c r="J294" s="41">
        <f>IFERROR((1+G294)*(1+J293)-1,"")</f>
        <v/>
      </c>
      <c r="K294" s="42">
        <f>IFERROR(B294/$B$36*100,"")</f>
        <v/>
      </c>
      <c r="L294" s="42">
        <f>IFERROR(C294/$C$36*100,"")</f>
        <v/>
      </c>
      <c r="M294" s="42">
        <f>IFERROR(D294/$D$36*100,"")</f>
        <v/>
      </c>
      <c r="N294" s="41">
        <f>IFERROR((1+H294)/(1+I294)-1,"")</f>
        <v/>
      </c>
      <c r="O294" s="41">
        <f>IFERROR((1+H294)/(1+J294)-1,"")</f>
        <v/>
      </c>
      <c r="P294" s="39">
        <f>IFERROR(B294*0.0099502487562189+P293*(1-0.0099502487562189),"")</f>
        <v/>
      </c>
      <c r="Q294" s="42">
        <f>Q293*(1+E294)</f>
        <v/>
      </c>
      <c r="R294" s="42">
        <f>MAX(R293,Q294)</f>
        <v/>
      </c>
      <c r="S294" s="41">
        <f>IFERROR(Q294/R294-1,"")</f>
        <v/>
      </c>
      <c r="T294" s="41">
        <f>IFERROR(_xlfn.STDEV.S(E235:E294)*SQRT($D$7),"")</f>
        <v/>
      </c>
      <c r="U294" s="41">
        <f>IFERROR(MIN(E294-$D$6,0),"")</f>
        <v/>
      </c>
      <c r="V294" s="41">
        <f>IFERROR(E294-F294,"")</f>
        <v/>
      </c>
      <c r="W294" s="39">
        <f>B294</f>
        <v/>
      </c>
      <c r="X294" s="21" t="n"/>
    </row>
    <row r="295">
      <c r="A295" s="38" t="n">
        <v>45366</v>
      </c>
      <c r="B295" s="39" t="n">
        <v>266.86</v>
      </c>
      <c r="C295" s="39" t="n">
        <v>509.83</v>
      </c>
      <c r="D295" s="39" t="n">
        <v>45.4</v>
      </c>
      <c r="E295" s="41">
        <f>IFERROR(B295/B294-1,"")</f>
        <v/>
      </c>
      <c r="F295" s="41">
        <f>IFERROR(C295/C294-1,"")</f>
        <v/>
      </c>
      <c r="G295" s="41">
        <f>IFERROR(D295/D294-1,"")</f>
        <v/>
      </c>
      <c r="H295" s="41">
        <f>IFERROR((1+E295)*(1+H294)-1,"")</f>
        <v/>
      </c>
      <c r="I295" s="41">
        <f>IFERROR((1+F295)*(1+I294)-1,"")</f>
        <v/>
      </c>
      <c r="J295" s="41">
        <f>IFERROR((1+G295)*(1+J294)-1,"")</f>
        <v/>
      </c>
      <c r="K295" s="42">
        <f>IFERROR(B295/$B$36*100,"")</f>
        <v/>
      </c>
      <c r="L295" s="42">
        <f>IFERROR(C295/$C$36*100,"")</f>
        <v/>
      </c>
      <c r="M295" s="42">
        <f>IFERROR(D295/$D$36*100,"")</f>
        <v/>
      </c>
      <c r="N295" s="41">
        <f>IFERROR((1+H295)/(1+I295)-1,"")</f>
        <v/>
      </c>
      <c r="O295" s="41">
        <f>IFERROR((1+H295)/(1+J295)-1,"")</f>
        <v/>
      </c>
      <c r="P295" s="39">
        <f>IFERROR(B295*0.0099502487562189+P294*(1-0.0099502487562189),"")</f>
        <v/>
      </c>
      <c r="Q295" s="42">
        <f>Q294*(1+E295)</f>
        <v/>
      </c>
      <c r="R295" s="42">
        <f>MAX(R294,Q295)</f>
        <v/>
      </c>
      <c r="S295" s="41">
        <f>IFERROR(Q295/R295-1,"")</f>
        <v/>
      </c>
      <c r="T295" s="41">
        <f>IFERROR(_xlfn.STDEV.S(E236:E295)*SQRT($D$7),"")</f>
        <v/>
      </c>
      <c r="U295" s="41">
        <f>IFERROR(MIN(E295-$D$6,0),"")</f>
        <v/>
      </c>
      <c r="V295" s="41">
        <f>IFERROR(E295-F295,"")</f>
        <v/>
      </c>
      <c r="W295" s="39">
        <f>B295</f>
        <v/>
      </c>
      <c r="X295" s="21" t="n"/>
    </row>
    <row r="296">
      <c r="A296" s="38" t="n">
        <v>45369</v>
      </c>
      <c r="B296" s="39" t="n">
        <v>269.42</v>
      </c>
      <c r="C296" s="39" t="n">
        <v>512.86</v>
      </c>
      <c r="D296" s="39" t="n">
        <v>45.32</v>
      </c>
      <c r="E296" s="41">
        <f>IFERROR(B296/B295-1,"")</f>
        <v/>
      </c>
      <c r="F296" s="41">
        <f>IFERROR(C296/C295-1,"")</f>
        <v/>
      </c>
      <c r="G296" s="41">
        <f>IFERROR(D296/D295-1,"")</f>
        <v/>
      </c>
      <c r="H296" s="41">
        <f>IFERROR((1+E296)*(1+H295)-1,"")</f>
        <v/>
      </c>
      <c r="I296" s="41">
        <f>IFERROR((1+F296)*(1+I295)-1,"")</f>
        <v/>
      </c>
      <c r="J296" s="41">
        <f>IFERROR((1+G296)*(1+J295)-1,"")</f>
        <v/>
      </c>
      <c r="K296" s="42">
        <f>IFERROR(B296/$B$36*100,"")</f>
        <v/>
      </c>
      <c r="L296" s="42">
        <f>IFERROR(C296/$C$36*100,"")</f>
        <v/>
      </c>
      <c r="M296" s="42">
        <f>IFERROR(D296/$D$36*100,"")</f>
        <v/>
      </c>
      <c r="N296" s="41">
        <f>IFERROR((1+H296)/(1+I296)-1,"")</f>
        <v/>
      </c>
      <c r="O296" s="41">
        <f>IFERROR((1+H296)/(1+J296)-1,"")</f>
        <v/>
      </c>
      <c r="P296" s="39">
        <f>IFERROR(B296*0.0099502487562189+P295*(1-0.0099502487562189),"")</f>
        <v/>
      </c>
      <c r="Q296" s="42">
        <f>Q295*(1+E296)</f>
        <v/>
      </c>
      <c r="R296" s="42">
        <f>MAX(R295,Q296)</f>
        <v/>
      </c>
      <c r="S296" s="41">
        <f>IFERROR(Q296/R296-1,"")</f>
        <v/>
      </c>
      <c r="T296" s="41">
        <f>IFERROR(_xlfn.STDEV.S(E237:E296)*SQRT($D$7),"")</f>
        <v/>
      </c>
      <c r="U296" s="41">
        <f>IFERROR(MIN(E296-$D$6,0),"")</f>
        <v/>
      </c>
      <c r="V296" s="41">
        <f>IFERROR(E296-F296,"")</f>
        <v/>
      </c>
      <c r="W296" s="39">
        <f>B296</f>
        <v/>
      </c>
      <c r="X296" s="21" t="n"/>
    </row>
    <row r="297">
      <c r="A297" s="38" t="n">
        <v>45370</v>
      </c>
      <c r="B297" s="39" t="n">
        <v>269.01</v>
      </c>
      <c r="C297" s="39" t="n">
        <v>515.71</v>
      </c>
      <c r="D297" s="39" t="n">
        <v>45.325</v>
      </c>
      <c r="E297" s="41">
        <f>IFERROR(B297/B296-1,"")</f>
        <v/>
      </c>
      <c r="F297" s="41">
        <f>IFERROR(C297/C296-1,"")</f>
        <v/>
      </c>
      <c r="G297" s="41">
        <f>IFERROR(D297/D296-1,"")</f>
        <v/>
      </c>
      <c r="H297" s="41">
        <f>IFERROR((1+E297)*(1+H296)-1,"")</f>
        <v/>
      </c>
      <c r="I297" s="41">
        <f>IFERROR((1+F297)*(1+I296)-1,"")</f>
        <v/>
      </c>
      <c r="J297" s="41">
        <f>IFERROR((1+G297)*(1+J296)-1,"")</f>
        <v/>
      </c>
      <c r="K297" s="42">
        <f>IFERROR(B297/$B$36*100,"")</f>
        <v/>
      </c>
      <c r="L297" s="42">
        <f>IFERROR(C297/$C$36*100,"")</f>
        <v/>
      </c>
      <c r="M297" s="42">
        <f>IFERROR(D297/$D$36*100,"")</f>
        <v/>
      </c>
      <c r="N297" s="41">
        <f>IFERROR((1+H297)/(1+I297)-1,"")</f>
        <v/>
      </c>
      <c r="O297" s="41">
        <f>IFERROR((1+H297)/(1+J297)-1,"")</f>
        <v/>
      </c>
      <c r="P297" s="39">
        <f>IFERROR(B297*0.0099502487562189+P296*(1-0.0099502487562189),"")</f>
        <v/>
      </c>
      <c r="Q297" s="42">
        <f>Q296*(1+E297)</f>
        <v/>
      </c>
      <c r="R297" s="42">
        <f>MAX(R296,Q297)</f>
        <v/>
      </c>
      <c r="S297" s="41">
        <f>IFERROR(Q297/R297-1,"")</f>
        <v/>
      </c>
      <c r="T297" s="41">
        <f>IFERROR(_xlfn.STDEV.S(E238:E297)*SQRT($D$7),"")</f>
        <v/>
      </c>
      <c r="U297" s="41">
        <f>IFERROR(MIN(E297-$D$6,0),"")</f>
        <v/>
      </c>
      <c r="V297" s="41">
        <f>IFERROR(E297-F297,"")</f>
        <v/>
      </c>
      <c r="W297" s="39">
        <f>B297</f>
        <v/>
      </c>
      <c r="X297" s="21" t="n"/>
    </row>
    <row r="298">
      <c r="A298" s="38" t="n">
        <v>45371</v>
      </c>
      <c r="B298" s="39" t="n">
        <v>271.74</v>
      </c>
      <c r="C298" s="39" t="n">
        <v>520.48</v>
      </c>
      <c r="D298" s="39" t="n">
        <v>45.78</v>
      </c>
      <c r="E298" s="41">
        <f>IFERROR(B298/B297-1,"")</f>
        <v/>
      </c>
      <c r="F298" s="41">
        <f>IFERROR(C298/C297-1,"")</f>
        <v/>
      </c>
      <c r="G298" s="41">
        <f>IFERROR(D298/D297-1,"")</f>
        <v/>
      </c>
      <c r="H298" s="41">
        <f>IFERROR((1+E298)*(1+H297)-1,"")</f>
        <v/>
      </c>
      <c r="I298" s="41">
        <f>IFERROR((1+F298)*(1+I297)-1,"")</f>
        <v/>
      </c>
      <c r="J298" s="41">
        <f>IFERROR((1+G298)*(1+J297)-1,"")</f>
        <v/>
      </c>
      <c r="K298" s="42">
        <f>IFERROR(B298/$B$36*100,"")</f>
        <v/>
      </c>
      <c r="L298" s="42">
        <f>IFERROR(C298/$C$36*100,"")</f>
        <v/>
      </c>
      <c r="M298" s="42">
        <f>IFERROR(D298/$D$36*100,"")</f>
        <v/>
      </c>
      <c r="N298" s="41">
        <f>IFERROR((1+H298)/(1+I298)-1,"")</f>
        <v/>
      </c>
      <c r="O298" s="41">
        <f>IFERROR((1+H298)/(1+J298)-1,"")</f>
        <v/>
      </c>
      <c r="P298" s="39">
        <f>IFERROR(B298*0.0099502487562189+P297*(1-0.0099502487562189),"")</f>
        <v/>
      </c>
      <c r="Q298" s="42">
        <f>Q297*(1+E298)</f>
        <v/>
      </c>
      <c r="R298" s="42">
        <f>MAX(R297,Q298)</f>
        <v/>
      </c>
      <c r="S298" s="41">
        <f>IFERROR(Q298/R298-1,"")</f>
        <v/>
      </c>
      <c r="T298" s="41">
        <f>IFERROR(_xlfn.STDEV.S(E239:E298)*SQRT($D$7),"")</f>
        <v/>
      </c>
      <c r="U298" s="41">
        <f>IFERROR(MIN(E298-$D$6,0),"")</f>
        <v/>
      </c>
      <c r="V298" s="41">
        <f>IFERROR(E298-F298,"")</f>
        <v/>
      </c>
      <c r="W298" s="39">
        <f>B298</f>
        <v/>
      </c>
      <c r="X298" s="21" t="n"/>
    </row>
    <row r="299">
      <c r="A299" s="38" t="n">
        <v>45372</v>
      </c>
      <c r="B299" s="39" t="n">
        <v>275.59</v>
      </c>
      <c r="C299" s="39" t="n">
        <v>522.2</v>
      </c>
      <c r="D299" s="39" t="n">
        <v>45.97</v>
      </c>
      <c r="E299" s="41">
        <f>IFERROR(B299/B298-1,"")</f>
        <v/>
      </c>
      <c r="F299" s="41">
        <f>IFERROR(C299/C298-1,"")</f>
        <v/>
      </c>
      <c r="G299" s="41">
        <f>IFERROR(D299/D298-1,"")</f>
        <v/>
      </c>
      <c r="H299" s="41">
        <f>IFERROR((1+E299)*(1+H298)-1,"")</f>
        <v/>
      </c>
      <c r="I299" s="41">
        <f>IFERROR((1+F299)*(1+I298)-1,"")</f>
        <v/>
      </c>
      <c r="J299" s="41">
        <f>IFERROR((1+G299)*(1+J298)-1,"")</f>
        <v/>
      </c>
      <c r="K299" s="42">
        <f>IFERROR(B299/$B$36*100,"")</f>
        <v/>
      </c>
      <c r="L299" s="42">
        <f>IFERROR(C299/$C$36*100,"")</f>
        <v/>
      </c>
      <c r="M299" s="42">
        <f>IFERROR(D299/$D$36*100,"")</f>
        <v/>
      </c>
      <c r="N299" s="41">
        <f>IFERROR((1+H299)/(1+I299)-1,"")</f>
        <v/>
      </c>
      <c r="O299" s="41">
        <f>IFERROR((1+H299)/(1+J299)-1,"")</f>
        <v/>
      </c>
      <c r="P299" s="39">
        <f>IFERROR(B299*0.0099502487562189+P298*(1-0.0099502487562189),"")</f>
        <v/>
      </c>
      <c r="Q299" s="42">
        <f>Q298*(1+E299)</f>
        <v/>
      </c>
      <c r="R299" s="42">
        <f>MAX(R298,Q299)</f>
        <v/>
      </c>
      <c r="S299" s="41">
        <f>IFERROR(Q299/R299-1,"")</f>
        <v/>
      </c>
      <c r="T299" s="41">
        <f>IFERROR(_xlfn.STDEV.S(E240:E299)*SQRT($D$7),"")</f>
        <v/>
      </c>
      <c r="U299" s="41">
        <f>IFERROR(MIN(E299-$D$6,0),"")</f>
        <v/>
      </c>
      <c r="V299" s="41">
        <f>IFERROR(E299-F299,"")</f>
        <v/>
      </c>
      <c r="W299" s="39">
        <f>B299</f>
        <v/>
      </c>
      <c r="X299" s="21" t="n"/>
    </row>
    <row r="300">
      <c r="A300" s="38" t="n">
        <v>45373</v>
      </c>
      <c r="B300" s="39" t="n">
        <v>274.36</v>
      </c>
      <c r="C300" s="39" t="n">
        <v>521.21</v>
      </c>
      <c r="D300" s="39" t="n">
        <v>45.685</v>
      </c>
      <c r="E300" s="41">
        <f>IFERROR(B300/B299-1,"")</f>
        <v/>
      </c>
      <c r="F300" s="41">
        <f>IFERROR(C300/C299-1,"")</f>
        <v/>
      </c>
      <c r="G300" s="41">
        <f>IFERROR(D300/D299-1,"")</f>
        <v/>
      </c>
      <c r="H300" s="41">
        <f>IFERROR((1+E300)*(1+H299)-1,"")</f>
        <v/>
      </c>
      <c r="I300" s="41">
        <f>IFERROR((1+F300)*(1+I299)-1,"")</f>
        <v/>
      </c>
      <c r="J300" s="41">
        <f>IFERROR((1+G300)*(1+J299)-1,"")</f>
        <v/>
      </c>
      <c r="K300" s="42">
        <f>IFERROR(B300/$B$36*100,"")</f>
        <v/>
      </c>
      <c r="L300" s="42">
        <f>IFERROR(C300/$C$36*100,"")</f>
        <v/>
      </c>
      <c r="M300" s="42">
        <f>IFERROR(D300/$D$36*100,"")</f>
        <v/>
      </c>
      <c r="N300" s="41">
        <f>IFERROR((1+H300)/(1+I300)-1,"")</f>
        <v/>
      </c>
      <c r="O300" s="41">
        <f>IFERROR((1+H300)/(1+J300)-1,"")</f>
        <v/>
      </c>
      <c r="P300" s="39">
        <f>IFERROR(B300*0.0099502487562189+P299*(1-0.0099502487562189),"")</f>
        <v/>
      </c>
      <c r="Q300" s="42">
        <f>Q299*(1+E300)</f>
        <v/>
      </c>
      <c r="R300" s="42">
        <f>MAX(R299,Q300)</f>
        <v/>
      </c>
      <c r="S300" s="41">
        <f>IFERROR(Q300/R300-1,"")</f>
        <v/>
      </c>
      <c r="T300" s="41">
        <f>IFERROR(_xlfn.STDEV.S(E241:E300)*SQRT($D$7),"")</f>
        <v/>
      </c>
      <c r="U300" s="41">
        <f>IFERROR(MIN(E300-$D$6,0),"")</f>
        <v/>
      </c>
      <c r="V300" s="41">
        <f>IFERROR(E300-F300,"")</f>
        <v/>
      </c>
      <c r="W300" s="39">
        <f>B300</f>
        <v/>
      </c>
      <c r="X300" s="21" t="n"/>
    </row>
    <row r="301">
      <c r="A301" s="38" t="n">
        <v>45376</v>
      </c>
      <c r="B301" s="39" t="n">
        <v>272.62</v>
      </c>
      <c r="C301" s="39" t="n">
        <v>519.77</v>
      </c>
      <c r="D301" s="39" t="n">
        <v>45.7</v>
      </c>
      <c r="E301" s="41">
        <f>IFERROR(B301/B300-1,"")</f>
        <v/>
      </c>
      <c r="F301" s="41">
        <f>IFERROR(C301/C300-1,"")</f>
        <v/>
      </c>
      <c r="G301" s="41">
        <f>IFERROR(D301/D300-1,"")</f>
        <v/>
      </c>
      <c r="H301" s="41">
        <f>IFERROR((1+E301)*(1+H300)-1,"")</f>
        <v/>
      </c>
      <c r="I301" s="41">
        <f>IFERROR((1+F301)*(1+I300)-1,"")</f>
        <v/>
      </c>
      <c r="J301" s="41">
        <f>IFERROR((1+G301)*(1+J300)-1,"")</f>
        <v/>
      </c>
      <c r="K301" s="42">
        <f>IFERROR(B301/$B$36*100,"")</f>
        <v/>
      </c>
      <c r="L301" s="42">
        <f>IFERROR(C301/$C$36*100,"")</f>
        <v/>
      </c>
      <c r="M301" s="42">
        <f>IFERROR(D301/$D$36*100,"")</f>
        <v/>
      </c>
      <c r="N301" s="41">
        <f>IFERROR((1+H301)/(1+I301)-1,"")</f>
        <v/>
      </c>
      <c r="O301" s="41">
        <f>IFERROR((1+H301)/(1+J301)-1,"")</f>
        <v/>
      </c>
      <c r="P301" s="39">
        <f>IFERROR(B301*0.0099502487562189+P300*(1-0.0099502487562189),"")</f>
        <v/>
      </c>
      <c r="Q301" s="42">
        <f>Q300*(1+E301)</f>
        <v/>
      </c>
      <c r="R301" s="42">
        <f>MAX(R300,Q301)</f>
        <v/>
      </c>
      <c r="S301" s="41">
        <f>IFERROR(Q301/R301-1,"")</f>
        <v/>
      </c>
      <c r="T301" s="41">
        <f>IFERROR(_xlfn.STDEV.S(E242:E301)*SQRT($D$7),"")</f>
        <v/>
      </c>
      <c r="U301" s="41">
        <f>IFERROR(MIN(E301-$D$6,0),"")</f>
        <v/>
      </c>
      <c r="V301" s="41">
        <f>IFERROR(E301-F301,"")</f>
        <v/>
      </c>
      <c r="W301" s="39">
        <f>B301</f>
        <v/>
      </c>
      <c r="X301" s="21" t="n"/>
    </row>
    <row r="302">
      <c r="A302" s="38" t="n">
        <v>45377</v>
      </c>
      <c r="B302" s="39" t="n">
        <v>273.87</v>
      </c>
      <c r="C302" s="39" t="n">
        <v>518.8099999999999</v>
      </c>
      <c r="D302" s="39" t="n">
        <v>45.665</v>
      </c>
      <c r="E302" s="41">
        <f>IFERROR(B302/B301-1,"")</f>
        <v/>
      </c>
      <c r="F302" s="41">
        <f>IFERROR(C302/C301-1,"")</f>
        <v/>
      </c>
      <c r="G302" s="41">
        <f>IFERROR(D302/D301-1,"")</f>
        <v/>
      </c>
      <c r="H302" s="41">
        <f>IFERROR((1+E302)*(1+H301)-1,"")</f>
        <v/>
      </c>
      <c r="I302" s="41">
        <f>IFERROR((1+F302)*(1+I301)-1,"")</f>
        <v/>
      </c>
      <c r="J302" s="41">
        <f>IFERROR((1+G302)*(1+J301)-1,"")</f>
        <v/>
      </c>
      <c r="K302" s="42">
        <f>IFERROR(B302/$B$36*100,"")</f>
        <v/>
      </c>
      <c r="L302" s="42">
        <f>IFERROR(C302/$C$36*100,"")</f>
        <v/>
      </c>
      <c r="M302" s="42">
        <f>IFERROR(D302/$D$36*100,"")</f>
        <v/>
      </c>
      <c r="N302" s="41">
        <f>IFERROR((1+H302)/(1+I302)-1,"")</f>
        <v/>
      </c>
      <c r="O302" s="41">
        <f>IFERROR((1+H302)/(1+J302)-1,"")</f>
        <v/>
      </c>
      <c r="P302" s="39">
        <f>IFERROR(B302*0.0099502487562189+P301*(1-0.0099502487562189),"")</f>
        <v/>
      </c>
      <c r="Q302" s="42">
        <f>Q301*(1+E302)</f>
        <v/>
      </c>
      <c r="R302" s="42">
        <f>MAX(R301,Q302)</f>
        <v/>
      </c>
      <c r="S302" s="41">
        <f>IFERROR(Q302/R302-1,"")</f>
        <v/>
      </c>
      <c r="T302" s="41">
        <f>IFERROR(_xlfn.STDEV.S(E243:E302)*SQRT($D$7),"")</f>
        <v/>
      </c>
      <c r="U302" s="41">
        <f>IFERROR(MIN(E302-$D$6,0),"")</f>
        <v/>
      </c>
      <c r="V302" s="41">
        <f>IFERROR(E302-F302,"")</f>
        <v/>
      </c>
      <c r="W302" s="39">
        <f>B302</f>
        <v/>
      </c>
      <c r="X302" s="21" t="n"/>
    </row>
    <row r="303">
      <c r="A303" s="38" t="n">
        <v>45378</v>
      </c>
      <c r="B303" s="39" t="n">
        <v>272.79</v>
      </c>
      <c r="C303" s="39" t="n">
        <v>523.17</v>
      </c>
      <c r="D303" s="39" t="n">
        <v>46.32</v>
      </c>
      <c r="E303" s="41">
        <f>IFERROR(B303/B302-1,"")</f>
        <v/>
      </c>
      <c r="F303" s="41">
        <f>IFERROR(C303/C302-1,"")</f>
        <v/>
      </c>
      <c r="G303" s="41">
        <f>IFERROR(D303/D302-1,"")</f>
        <v/>
      </c>
      <c r="H303" s="41">
        <f>IFERROR((1+E303)*(1+H302)-1,"")</f>
        <v/>
      </c>
      <c r="I303" s="41">
        <f>IFERROR((1+F303)*(1+I302)-1,"")</f>
        <v/>
      </c>
      <c r="J303" s="41">
        <f>IFERROR((1+G303)*(1+J302)-1,"")</f>
        <v/>
      </c>
      <c r="K303" s="42">
        <f>IFERROR(B303/$B$36*100,"")</f>
        <v/>
      </c>
      <c r="L303" s="42">
        <f>IFERROR(C303/$C$36*100,"")</f>
        <v/>
      </c>
      <c r="M303" s="42">
        <f>IFERROR(D303/$D$36*100,"")</f>
        <v/>
      </c>
      <c r="N303" s="41">
        <f>IFERROR((1+H303)/(1+I303)-1,"")</f>
        <v/>
      </c>
      <c r="O303" s="41">
        <f>IFERROR((1+H303)/(1+J303)-1,"")</f>
        <v/>
      </c>
      <c r="P303" s="39">
        <f>IFERROR(B303*0.0099502487562189+P302*(1-0.0099502487562189),"")</f>
        <v/>
      </c>
      <c r="Q303" s="42">
        <f>Q302*(1+E303)</f>
        <v/>
      </c>
      <c r="R303" s="42">
        <f>MAX(R302,Q303)</f>
        <v/>
      </c>
      <c r="S303" s="41">
        <f>IFERROR(Q303/R303-1,"")</f>
        <v/>
      </c>
      <c r="T303" s="41">
        <f>IFERROR(_xlfn.STDEV.S(E244:E303)*SQRT($D$7),"")</f>
        <v/>
      </c>
      <c r="U303" s="41">
        <f>IFERROR(MIN(E303-$D$6,0),"")</f>
        <v/>
      </c>
      <c r="V303" s="41">
        <f>IFERROR(E303-F303,"")</f>
        <v/>
      </c>
      <c r="W303" s="39">
        <f>B303</f>
        <v/>
      </c>
      <c r="X303" s="21" t="n"/>
    </row>
    <row r="304">
      <c r="A304" s="38" t="n">
        <v>45379</v>
      </c>
      <c r="B304" s="39" t="n">
        <v>272.92</v>
      </c>
      <c r="C304" s="39" t="n">
        <v>523.0700000000001</v>
      </c>
      <c r="D304" s="39" t="n">
        <v>46.445</v>
      </c>
      <c r="E304" s="41">
        <f>IFERROR(B304/B303-1,"")</f>
        <v/>
      </c>
      <c r="F304" s="41">
        <f>IFERROR(C304/C303-1,"")</f>
        <v/>
      </c>
      <c r="G304" s="41">
        <f>IFERROR(D304/D303-1,"")</f>
        <v/>
      </c>
      <c r="H304" s="41">
        <f>IFERROR((1+E304)*(1+H303)-1,"")</f>
        <v/>
      </c>
      <c r="I304" s="41">
        <f>IFERROR((1+F304)*(1+I303)-1,"")</f>
        <v/>
      </c>
      <c r="J304" s="41">
        <f>IFERROR((1+G304)*(1+J303)-1,"")</f>
        <v/>
      </c>
      <c r="K304" s="42">
        <f>IFERROR(B304/$B$36*100,"")</f>
        <v/>
      </c>
      <c r="L304" s="42">
        <f>IFERROR(C304/$C$36*100,"")</f>
        <v/>
      </c>
      <c r="M304" s="42">
        <f>IFERROR(D304/$D$36*100,"")</f>
        <v/>
      </c>
      <c r="N304" s="41">
        <f>IFERROR((1+H304)/(1+I304)-1,"")</f>
        <v/>
      </c>
      <c r="O304" s="41">
        <f>IFERROR((1+H304)/(1+J304)-1,"")</f>
        <v/>
      </c>
      <c r="P304" s="39">
        <f>IFERROR(B304*0.0099502487562189+P303*(1-0.0099502487562189),"")</f>
        <v/>
      </c>
      <c r="Q304" s="42">
        <f>Q303*(1+E304)</f>
        <v/>
      </c>
      <c r="R304" s="42">
        <f>MAX(R303,Q304)</f>
        <v/>
      </c>
      <c r="S304" s="41">
        <f>IFERROR(Q304/R304-1,"")</f>
        <v/>
      </c>
      <c r="T304" s="41">
        <f>IFERROR(_xlfn.STDEV.S(E245:E304)*SQRT($D$7),"")</f>
        <v/>
      </c>
      <c r="U304" s="41">
        <f>IFERROR(MIN(E304-$D$6,0),"")</f>
        <v/>
      </c>
      <c r="V304" s="41">
        <f>IFERROR(E304-F304,"")</f>
        <v/>
      </c>
      <c r="W304" s="39">
        <f>B304</f>
        <v/>
      </c>
      <c r="X304" s="21" t="n"/>
    </row>
    <row r="305">
      <c r="A305" s="38" t="n">
        <v>45383</v>
      </c>
      <c r="B305" s="39" t="n">
        <v>269.69</v>
      </c>
      <c r="C305" s="39" t="n">
        <v>522.16</v>
      </c>
      <c r="D305" s="39" t="n">
        <v>46.335</v>
      </c>
      <c r="E305" s="41">
        <f>IFERROR(B305/B304-1,"")</f>
        <v/>
      </c>
      <c r="F305" s="41">
        <f>IFERROR(C305/C304-1,"")</f>
        <v/>
      </c>
      <c r="G305" s="41">
        <f>IFERROR(D305/D304-1,"")</f>
        <v/>
      </c>
      <c r="H305" s="41">
        <f>IFERROR((1+E305)*(1+H304)-1,"")</f>
        <v/>
      </c>
      <c r="I305" s="41">
        <f>IFERROR((1+F305)*(1+I304)-1,"")</f>
        <v/>
      </c>
      <c r="J305" s="41">
        <f>IFERROR((1+G305)*(1+J304)-1,"")</f>
        <v/>
      </c>
      <c r="K305" s="42">
        <f>IFERROR(B305/$B$36*100,"")</f>
        <v/>
      </c>
      <c r="L305" s="42">
        <f>IFERROR(C305/$C$36*100,"")</f>
        <v/>
      </c>
      <c r="M305" s="42">
        <f>IFERROR(D305/$D$36*100,"")</f>
        <v/>
      </c>
      <c r="N305" s="41">
        <f>IFERROR((1+H305)/(1+I305)-1,"")</f>
        <v/>
      </c>
      <c r="O305" s="41">
        <f>IFERROR((1+H305)/(1+J305)-1,"")</f>
        <v/>
      </c>
      <c r="P305" s="39">
        <f>IFERROR(B305*0.0099502487562189+P304*(1-0.0099502487562189),"")</f>
        <v/>
      </c>
      <c r="Q305" s="42">
        <f>Q304*(1+E305)</f>
        <v/>
      </c>
      <c r="R305" s="42">
        <f>MAX(R304,Q305)</f>
        <v/>
      </c>
      <c r="S305" s="41">
        <f>IFERROR(Q305/R305-1,"")</f>
        <v/>
      </c>
      <c r="T305" s="41">
        <f>IFERROR(_xlfn.STDEV.S(E246:E305)*SQRT($D$7),"")</f>
        <v/>
      </c>
      <c r="U305" s="41">
        <f>IFERROR(MIN(E305-$D$6,0),"")</f>
        <v/>
      </c>
      <c r="V305" s="41">
        <f>IFERROR(E305-F305,"")</f>
        <v/>
      </c>
      <c r="W305" s="39">
        <f>B305</f>
        <v/>
      </c>
      <c r="X305" s="21" t="n"/>
    </row>
    <row r="306">
      <c r="A306" s="38" t="n">
        <v>45384</v>
      </c>
      <c r="B306" s="39" t="n">
        <v>266.25</v>
      </c>
      <c r="C306" s="39" t="n">
        <v>518.84</v>
      </c>
      <c r="D306" s="39" t="n">
        <v>46.165</v>
      </c>
      <c r="E306" s="41">
        <f>IFERROR(B306/B305-1,"")</f>
        <v/>
      </c>
      <c r="F306" s="41">
        <f>IFERROR(C306/C305-1,"")</f>
        <v/>
      </c>
      <c r="G306" s="41">
        <f>IFERROR(D306/D305-1,"")</f>
        <v/>
      </c>
      <c r="H306" s="41">
        <f>IFERROR((1+E306)*(1+H305)-1,"")</f>
        <v/>
      </c>
      <c r="I306" s="41">
        <f>IFERROR((1+F306)*(1+I305)-1,"")</f>
        <v/>
      </c>
      <c r="J306" s="41">
        <f>IFERROR((1+G306)*(1+J305)-1,"")</f>
        <v/>
      </c>
      <c r="K306" s="42">
        <f>IFERROR(B306/$B$36*100,"")</f>
        <v/>
      </c>
      <c r="L306" s="42">
        <f>IFERROR(C306/$C$36*100,"")</f>
        <v/>
      </c>
      <c r="M306" s="42">
        <f>IFERROR(D306/$D$36*100,"")</f>
        <v/>
      </c>
      <c r="N306" s="41">
        <f>IFERROR((1+H306)/(1+I306)-1,"")</f>
        <v/>
      </c>
      <c r="O306" s="41">
        <f>IFERROR((1+H306)/(1+J306)-1,"")</f>
        <v/>
      </c>
      <c r="P306" s="39">
        <f>IFERROR(B306*0.0099502487562189+P305*(1-0.0099502487562189),"")</f>
        <v/>
      </c>
      <c r="Q306" s="42">
        <f>Q305*(1+E306)</f>
        <v/>
      </c>
      <c r="R306" s="42">
        <f>MAX(R305,Q306)</f>
        <v/>
      </c>
      <c r="S306" s="41">
        <f>IFERROR(Q306/R306-1,"")</f>
        <v/>
      </c>
      <c r="T306" s="41">
        <f>IFERROR(_xlfn.STDEV.S(E247:E306)*SQRT($D$7),"")</f>
        <v/>
      </c>
      <c r="U306" s="41">
        <f>IFERROR(MIN(E306-$D$6,0),"")</f>
        <v/>
      </c>
      <c r="V306" s="41">
        <f>IFERROR(E306-F306,"")</f>
        <v/>
      </c>
      <c r="W306" s="39">
        <f>B306</f>
        <v/>
      </c>
      <c r="X306" s="21" t="n"/>
    </row>
    <row r="307">
      <c r="A307" s="38" t="n">
        <v>45385</v>
      </c>
      <c r="B307" s="39" t="n">
        <v>268.77</v>
      </c>
      <c r="C307" s="39" t="n">
        <v>519.41</v>
      </c>
      <c r="D307" s="39" t="n">
        <v>46.44</v>
      </c>
      <c r="E307" s="41">
        <f>IFERROR(B307/B306-1,"")</f>
        <v/>
      </c>
      <c r="F307" s="41">
        <f>IFERROR(C307/C306-1,"")</f>
        <v/>
      </c>
      <c r="G307" s="41">
        <f>IFERROR(D307/D306-1,"")</f>
        <v/>
      </c>
      <c r="H307" s="41">
        <f>IFERROR((1+E307)*(1+H306)-1,"")</f>
        <v/>
      </c>
      <c r="I307" s="41">
        <f>IFERROR((1+F307)*(1+I306)-1,"")</f>
        <v/>
      </c>
      <c r="J307" s="41">
        <f>IFERROR((1+G307)*(1+J306)-1,"")</f>
        <v/>
      </c>
      <c r="K307" s="42">
        <f>IFERROR(B307/$B$36*100,"")</f>
        <v/>
      </c>
      <c r="L307" s="42">
        <f>IFERROR(C307/$C$36*100,"")</f>
        <v/>
      </c>
      <c r="M307" s="42">
        <f>IFERROR(D307/$D$36*100,"")</f>
        <v/>
      </c>
      <c r="N307" s="41">
        <f>IFERROR((1+H307)/(1+I307)-1,"")</f>
        <v/>
      </c>
      <c r="O307" s="41">
        <f>IFERROR((1+H307)/(1+J307)-1,"")</f>
        <v/>
      </c>
      <c r="P307" s="39">
        <f>IFERROR(B307*0.0099502487562189+P306*(1-0.0099502487562189),"")</f>
        <v/>
      </c>
      <c r="Q307" s="42">
        <f>Q306*(1+E307)</f>
        <v/>
      </c>
      <c r="R307" s="42">
        <f>MAX(R306,Q307)</f>
        <v/>
      </c>
      <c r="S307" s="41">
        <f>IFERROR(Q307/R307-1,"")</f>
        <v/>
      </c>
      <c r="T307" s="41">
        <f>IFERROR(_xlfn.STDEV.S(E248:E307)*SQRT($D$7),"")</f>
        <v/>
      </c>
      <c r="U307" s="41">
        <f>IFERROR(MIN(E307-$D$6,0),"")</f>
        <v/>
      </c>
      <c r="V307" s="41">
        <f>IFERROR(E307-F307,"")</f>
        <v/>
      </c>
      <c r="W307" s="39">
        <f>B307</f>
        <v/>
      </c>
      <c r="X307" s="21" t="n"/>
    </row>
    <row r="308">
      <c r="A308" s="38" t="n">
        <v>45386</v>
      </c>
      <c r="B308" s="39" t="n">
        <v>265.89</v>
      </c>
      <c r="C308" s="39" t="n">
        <v>513.0700000000001</v>
      </c>
      <c r="D308" s="39" t="n">
        <v>45.97</v>
      </c>
      <c r="E308" s="41">
        <f>IFERROR(B308/B307-1,"")</f>
        <v/>
      </c>
      <c r="F308" s="41">
        <f>IFERROR(C308/C307-1,"")</f>
        <v/>
      </c>
      <c r="G308" s="41">
        <f>IFERROR(D308/D307-1,"")</f>
        <v/>
      </c>
      <c r="H308" s="41">
        <f>IFERROR((1+E308)*(1+H307)-1,"")</f>
        <v/>
      </c>
      <c r="I308" s="41">
        <f>IFERROR((1+F308)*(1+I307)-1,"")</f>
        <v/>
      </c>
      <c r="J308" s="41">
        <f>IFERROR((1+G308)*(1+J307)-1,"")</f>
        <v/>
      </c>
      <c r="K308" s="42">
        <f>IFERROR(B308/$B$36*100,"")</f>
        <v/>
      </c>
      <c r="L308" s="42">
        <f>IFERROR(C308/$C$36*100,"")</f>
        <v/>
      </c>
      <c r="M308" s="42">
        <f>IFERROR(D308/$D$36*100,"")</f>
        <v/>
      </c>
      <c r="N308" s="41">
        <f>IFERROR((1+H308)/(1+I308)-1,"")</f>
        <v/>
      </c>
      <c r="O308" s="41">
        <f>IFERROR((1+H308)/(1+J308)-1,"")</f>
        <v/>
      </c>
      <c r="P308" s="39">
        <f>IFERROR(B308*0.0099502487562189+P307*(1-0.0099502487562189),"")</f>
        <v/>
      </c>
      <c r="Q308" s="42">
        <f>Q307*(1+E308)</f>
        <v/>
      </c>
      <c r="R308" s="42">
        <f>MAX(R307,Q308)</f>
        <v/>
      </c>
      <c r="S308" s="41">
        <f>IFERROR(Q308/R308-1,"")</f>
        <v/>
      </c>
      <c r="T308" s="41">
        <f>IFERROR(_xlfn.STDEV.S(E249:E308)*SQRT($D$7),"")</f>
        <v/>
      </c>
      <c r="U308" s="41">
        <f>IFERROR(MIN(E308-$D$6,0),"")</f>
        <v/>
      </c>
      <c r="V308" s="41">
        <f>IFERROR(E308-F308,"")</f>
        <v/>
      </c>
      <c r="W308" s="39">
        <f>B308</f>
        <v/>
      </c>
      <c r="X308" s="21" t="n"/>
    </row>
    <row r="309">
      <c r="A309" s="38" t="n">
        <v>45387</v>
      </c>
      <c r="B309" s="39" t="n">
        <v>270.15</v>
      </c>
      <c r="C309" s="39" t="n">
        <v>518.4299999999999</v>
      </c>
      <c r="D309" s="39" t="n">
        <v>46.385</v>
      </c>
      <c r="E309" s="41">
        <f>IFERROR(B309/B308-1,"")</f>
        <v/>
      </c>
      <c r="F309" s="41">
        <f>IFERROR(C309/C308-1,"")</f>
        <v/>
      </c>
      <c r="G309" s="41">
        <f>IFERROR(D309/D308-1,"")</f>
        <v/>
      </c>
      <c r="H309" s="41">
        <f>IFERROR((1+E309)*(1+H308)-1,"")</f>
        <v/>
      </c>
      <c r="I309" s="41">
        <f>IFERROR((1+F309)*(1+I308)-1,"")</f>
        <v/>
      </c>
      <c r="J309" s="41">
        <f>IFERROR((1+G309)*(1+J308)-1,"")</f>
        <v/>
      </c>
      <c r="K309" s="42">
        <f>IFERROR(B309/$B$36*100,"")</f>
        <v/>
      </c>
      <c r="L309" s="42">
        <f>IFERROR(C309/$C$36*100,"")</f>
        <v/>
      </c>
      <c r="M309" s="42">
        <f>IFERROR(D309/$D$36*100,"")</f>
        <v/>
      </c>
      <c r="N309" s="41">
        <f>IFERROR((1+H309)/(1+I309)-1,"")</f>
        <v/>
      </c>
      <c r="O309" s="41">
        <f>IFERROR((1+H309)/(1+J309)-1,"")</f>
        <v/>
      </c>
      <c r="P309" s="39">
        <f>IFERROR(B309*0.0099502487562189+P308*(1-0.0099502487562189),"")</f>
        <v/>
      </c>
      <c r="Q309" s="42">
        <f>Q308*(1+E309)</f>
        <v/>
      </c>
      <c r="R309" s="42">
        <f>MAX(R308,Q309)</f>
        <v/>
      </c>
      <c r="S309" s="41">
        <f>IFERROR(Q309/R309-1,"")</f>
        <v/>
      </c>
      <c r="T309" s="41">
        <f>IFERROR(_xlfn.STDEV.S(E250:E309)*SQRT($D$7),"")</f>
        <v/>
      </c>
      <c r="U309" s="41">
        <f>IFERROR(MIN(E309-$D$6,0),"")</f>
        <v/>
      </c>
      <c r="V309" s="41">
        <f>IFERROR(E309-F309,"")</f>
        <v/>
      </c>
      <c r="W309" s="39">
        <f>B309</f>
        <v/>
      </c>
      <c r="X309" s="21" t="n"/>
    </row>
    <row r="310">
      <c r="A310" s="38" t="n">
        <v>45390</v>
      </c>
      <c r="B310" s="39" t="n">
        <v>269.72</v>
      </c>
      <c r="C310" s="39" t="n">
        <v>518.72</v>
      </c>
      <c r="D310" s="39" t="n">
        <v>46.42</v>
      </c>
      <c r="E310" s="41">
        <f>IFERROR(B310/B309-1,"")</f>
        <v/>
      </c>
      <c r="F310" s="41">
        <f>IFERROR(C310/C309-1,"")</f>
        <v/>
      </c>
      <c r="G310" s="41">
        <f>IFERROR(D310/D309-1,"")</f>
        <v/>
      </c>
      <c r="H310" s="41">
        <f>IFERROR((1+E310)*(1+H309)-1,"")</f>
        <v/>
      </c>
      <c r="I310" s="41">
        <f>IFERROR((1+F310)*(1+I309)-1,"")</f>
        <v/>
      </c>
      <c r="J310" s="41">
        <f>IFERROR((1+G310)*(1+J309)-1,"")</f>
        <v/>
      </c>
      <c r="K310" s="42">
        <f>IFERROR(B310/$B$36*100,"")</f>
        <v/>
      </c>
      <c r="L310" s="42">
        <f>IFERROR(C310/$C$36*100,"")</f>
        <v/>
      </c>
      <c r="M310" s="42">
        <f>IFERROR(D310/$D$36*100,"")</f>
        <v/>
      </c>
      <c r="N310" s="41">
        <f>IFERROR((1+H310)/(1+I310)-1,"")</f>
        <v/>
      </c>
      <c r="O310" s="41">
        <f>IFERROR((1+H310)/(1+J310)-1,"")</f>
        <v/>
      </c>
      <c r="P310" s="39">
        <f>IFERROR(B310*0.0099502487562189+P309*(1-0.0099502487562189),"")</f>
        <v/>
      </c>
      <c r="Q310" s="42">
        <f>Q309*(1+E310)</f>
        <v/>
      </c>
      <c r="R310" s="42">
        <f>MAX(R309,Q310)</f>
        <v/>
      </c>
      <c r="S310" s="41">
        <f>IFERROR(Q310/R310-1,"")</f>
        <v/>
      </c>
      <c r="T310" s="41">
        <f>IFERROR(_xlfn.STDEV.S(E251:E310)*SQRT($D$7),"")</f>
        <v/>
      </c>
      <c r="U310" s="41">
        <f>IFERROR(MIN(E310-$D$6,0),"")</f>
        <v/>
      </c>
      <c r="V310" s="41">
        <f>IFERROR(E310-F310,"")</f>
        <v/>
      </c>
      <c r="W310" s="39">
        <f>B310</f>
        <v/>
      </c>
      <c r="X310" s="21" t="n"/>
    </row>
    <row r="311">
      <c r="A311" s="38" t="n">
        <v>45391</v>
      </c>
      <c r="B311" s="39" t="n">
        <v>265.62</v>
      </c>
      <c r="C311" s="39" t="n">
        <v>519.3200000000001</v>
      </c>
      <c r="D311" s="39" t="n">
        <v>46.53</v>
      </c>
      <c r="E311" s="41">
        <f>IFERROR(B311/B310-1,"")</f>
        <v/>
      </c>
      <c r="F311" s="41">
        <f>IFERROR(C311/C310-1,"")</f>
        <v/>
      </c>
      <c r="G311" s="41">
        <f>IFERROR(D311/D310-1,"")</f>
        <v/>
      </c>
      <c r="H311" s="41">
        <f>IFERROR((1+E311)*(1+H310)-1,"")</f>
        <v/>
      </c>
      <c r="I311" s="41">
        <f>IFERROR((1+F311)*(1+I310)-1,"")</f>
        <v/>
      </c>
      <c r="J311" s="41">
        <f>IFERROR((1+G311)*(1+J310)-1,"")</f>
        <v/>
      </c>
      <c r="K311" s="42">
        <f>IFERROR(B311/$B$36*100,"")</f>
        <v/>
      </c>
      <c r="L311" s="42">
        <f>IFERROR(C311/$C$36*100,"")</f>
        <v/>
      </c>
      <c r="M311" s="42">
        <f>IFERROR(D311/$D$36*100,"")</f>
        <v/>
      </c>
      <c r="N311" s="41">
        <f>IFERROR((1+H311)/(1+I311)-1,"")</f>
        <v/>
      </c>
      <c r="O311" s="41">
        <f>IFERROR((1+H311)/(1+J311)-1,"")</f>
        <v/>
      </c>
      <c r="P311" s="39">
        <f>IFERROR(B311*0.0099502487562189+P310*(1-0.0099502487562189),"")</f>
        <v/>
      </c>
      <c r="Q311" s="42">
        <f>Q310*(1+E311)</f>
        <v/>
      </c>
      <c r="R311" s="42">
        <f>MAX(R310,Q311)</f>
        <v/>
      </c>
      <c r="S311" s="41">
        <f>IFERROR(Q311/R311-1,"")</f>
        <v/>
      </c>
      <c r="T311" s="41">
        <f>IFERROR(_xlfn.STDEV.S(E252:E311)*SQRT($D$7),"")</f>
        <v/>
      </c>
      <c r="U311" s="41">
        <f>IFERROR(MIN(E311-$D$6,0),"")</f>
        <v/>
      </c>
      <c r="V311" s="41">
        <f>IFERROR(E311-F311,"")</f>
        <v/>
      </c>
      <c r="W311" s="39">
        <f>B311</f>
        <v/>
      </c>
      <c r="X311" s="21" t="n"/>
    </row>
    <row r="312">
      <c r="A312" s="38" t="n">
        <v>45392</v>
      </c>
      <c r="B312" s="39" t="n">
        <v>264.56</v>
      </c>
      <c r="C312" s="39" t="n">
        <v>514.12</v>
      </c>
      <c r="D312" s="39" t="n">
        <v>45.805</v>
      </c>
      <c r="E312" s="41">
        <f>IFERROR(B312/B311-1,"")</f>
        <v/>
      </c>
      <c r="F312" s="41">
        <f>IFERROR(C312/C311-1,"")</f>
        <v/>
      </c>
      <c r="G312" s="41">
        <f>IFERROR(D312/D311-1,"")</f>
        <v/>
      </c>
      <c r="H312" s="41">
        <f>IFERROR((1+E312)*(1+H311)-1,"")</f>
        <v/>
      </c>
      <c r="I312" s="41">
        <f>IFERROR((1+F312)*(1+I311)-1,"")</f>
        <v/>
      </c>
      <c r="J312" s="41">
        <f>IFERROR((1+G312)*(1+J311)-1,"")</f>
        <v/>
      </c>
      <c r="K312" s="42">
        <f>IFERROR(B312/$B$36*100,"")</f>
        <v/>
      </c>
      <c r="L312" s="42">
        <f>IFERROR(C312/$C$36*100,"")</f>
        <v/>
      </c>
      <c r="M312" s="42">
        <f>IFERROR(D312/$D$36*100,"")</f>
        <v/>
      </c>
      <c r="N312" s="41">
        <f>IFERROR((1+H312)/(1+I312)-1,"")</f>
        <v/>
      </c>
      <c r="O312" s="41">
        <f>IFERROR((1+H312)/(1+J312)-1,"")</f>
        <v/>
      </c>
      <c r="P312" s="39">
        <f>IFERROR(B312*0.0099502487562189+P311*(1-0.0099502487562189),"")</f>
        <v/>
      </c>
      <c r="Q312" s="42">
        <f>Q311*(1+E312)</f>
        <v/>
      </c>
      <c r="R312" s="42">
        <f>MAX(R311,Q312)</f>
        <v/>
      </c>
      <c r="S312" s="41">
        <f>IFERROR(Q312/R312-1,"")</f>
        <v/>
      </c>
      <c r="T312" s="41">
        <f>IFERROR(_xlfn.STDEV.S(E253:E312)*SQRT($D$7),"")</f>
        <v/>
      </c>
      <c r="U312" s="41">
        <f>IFERROR(MIN(E312-$D$6,0),"")</f>
        <v/>
      </c>
      <c r="V312" s="41">
        <f>IFERROR(E312-F312,"")</f>
        <v/>
      </c>
      <c r="W312" s="39">
        <f>B312</f>
        <v/>
      </c>
      <c r="X312" s="21" t="n"/>
    </row>
    <row r="313">
      <c r="A313" s="38" t="n">
        <v>45393</v>
      </c>
      <c r="B313" s="39" t="n">
        <v>265.5</v>
      </c>
      <c r="C313" s="39" t="n">
        <v>518</v>
      </c>
      <c r="D313" s="39" t="n">
        <v>45.77</v>
      </c>
      <c r="E313" s="41">
        <f>IFERROR(B313/B312-1,"")</f>
        <v/>
      </c>
      <c r="F313" s="41">
        <f>IFERROR(C313/C312-1,"")</f>
        <v/>
      </c>
      <c r="G313" s="41">
        <f>IFERROR(D313/D312-1,"")</f>
        <v/>
      </c>
      <c r="H313" s="41">
        <f>IFERROR((1+E313)*(1+H312)-1,"")</f>
        <v/>
      </c>
      <c r="I313" s="41">
        <f>IFERROR((1+F313)*(1+I312)-1,"")</f>
        <v/>
      </c>
      <c r="J313" s="41">
        <f>IFERROR((1+G313)*(1+J312)-1,"")</f>
        <v/>
      </c>
      <c r="K313" s="42">
        <f>IFERROR(B313/$B$36*100,"")</f>
        <v/>
      </c>
      <c r="L313" s="42">
        <f>IFERROR(C313/$C$36*100,"")</f>
        <v/>
      </c>
      <c r="M313" s="42">
        <f>IFERROR(D313/$D$36*100,"")</f>
        <v/>
      </c>
      <c r="N313" s="41">
        <f>IFERROR((1+H313)/(1+I313)-1,"")</f>
        <v/>
      </c>
      <c r="O313" s="41">
        <f>IFERROR((1+H313)/(1+J313)-1,"")</f>
        <v/>
      </c>
      <c r="P313" s="39">
        <f>IFERROR(B313*0.0099502487562189+P312*(1-0.0099502487562189),"")</f>
        <v/>
      </c>
      <c r="Q313" s="42">
        <f>Q312*(1+E313)</f>
        <v/>
      </c>
      <c r="R313" s="42">
        <f>MAX(R312,Q313)</f>
        <v/>
      </c>
      <c r="S313" s="41">
        <f>IFERROR(Q313/R313-1,"")</f>
        <v/>
      </c>
      <c r="T313" s="41">
        <f>IFERROR(_xlfn.STDEV.S(E254:E313)*SQRT($D$7),"")</f>
        <v/>
      </c>
      <c r="U313" s="41">
        <f>IFERROR(MIN(E313-$D$6,0),"")</f>
        <v/>
      </c>
      <c r="V313" s="41">
        <f>IFERROR(E313-F313,"")</f>
        <v/>
      </c>
      <c r="W313" s="39">
        <f>B313</f>
        <v/>
      </c>
      <c r="X313" s="21" t="n"/>
    </row>
    <row r="314">
      <c r="A314" s="38" t="n">
        <v>45394</v>
      </c>
      <c r="B314" s="39" t="n">
        <v>262.78</v>
      </c>
      <c r="C314" s="39" t="n">
        <v>510.85</v>
      </c>
      <c r="D314" s="39" t="n">
        <v>44.96</v>
      </c>
      <c r="E314" s="41">
        <f>IFERROR(B314/B313-1,"")</f>
        <v/>
      </c>
      <c r="F314" s="41">
        <f>IFERROR(C314/C313-1,"")</f>
        <v/>
      </c>
      <c r="G314" s="41">
        <f>IFERROR(D314/D313-1,"")</f>
        <v/>
      </c>
      <c r="H314" s="41">
        <f>IFERROR((1+E314)*(1+H313)-1,"")</f>
        <v/>
      </c>
      <c r="I314" s="41">
        <f>IFERROR((1+F314)*(1+I313)-1,"")</f>
        <v/>
      </c>
      <c r="J314" s="41">
        <f>IFERROR((1+G314)*(1+J313)-1,"")</f>
        <v/>
      </c>
      <c r="K314" s="42">
        <f>IFERROR(B314/$B$36*100,"")</f>
        <v/>
      </c>
      <c r="L314" s="42">
        <f>IFERROR(C314/$C$36*100,"")</f>
        <v/>
      </c>
      <c r="M314" s="42">
        <f>IFERROR(D314/$D$36*100,"")</f>
        <v/>
      </c>
      <c r="N314" s="41">
        <f>IFERROR((1+H314)/(1+I314)-1,"")</f>
        <v/>
      </c>
      <c r="O314" s="41">
        <f>IFERROR((1+H314)/(1+J314)-1,"")</f>
        <v/>
      </c>
      <c r="P314" s="39">
        <f>IFERROR(B314*0.0099502487562189+P313*(1-0.0099502487562189),"")</f>
        <v/>
      </c>
      <c r="Q314" s="42">
        <f>Q313*(1+E314)</f>
        <v/>
      </c>
      <c r="R314" s="42">
        <f>MAX(R313,Q314)</f>
        <v/>
      </c>
      <c r="S314" s="41">
        <f>IFERROR(Q314/R314-1,"")</f>
        <v/>
      </c>
      <c r="T314" s="41">
        <f>IFERROR(_xlfn.STDEV.S(E255:E314)*SQRT($D$7),"")</f>
        <v/>
      </c>
      <c r="U314" s="41">
        <f>IFERROR(MIN(E314-$D$6,0),"")</f>
        <v/>
      </c>
      <c r="V314" s="41">
        <f>IFERROR(E314-F314,"")</f>
        <v/>
      </c>
      <c r="W314" s="39">
        <f>B314</f>
        <v/>
      </c>
      <c r="X314" s="21" t="n"/>
    </row>
    <row r="315">
      <c r="A315" s="38" t="n">
        <v>45397</v>
      </c>
      <c r="B315" s="39" t="n">
        <v>260.47</v>
      </c>
      <c r="C315" s="39" t="n">
        <v>504.45</v>
      </c>
      <c r="D315" s="39" t="n">
        <v>44.745</v>
      </c>
      <c r="E315" s="41">
        <f>IFERROR(B315/B314-1,"")</f>
        <v/>
      </c>
      <c r="F315" s="41">
        <f>IFERROR(C315/C314-1,"")</f>
        <v/>
      </c>
      <c r="G315" s="41">
        <f>IFERROR(D315/D314-1,"")</f>
        <v/>
      </c>
      <c r="H315" s="41">
        <f>IFERROR((1+E315)*(1+H314)-1,"")</f>
        <v/>
      </c>
      <c r="I315" s="41">
        <f>IFERROR((1+F315)*(1+I314)-1,"")</f>
        <v/>
      </c>
      <c r="J315" s="41">
        <f>IFERROR((1+G315)*(1+J314)-1,"")</f>
        <v/>
      </c>
      <c r="K315" s="42">
        <f>IFERROR(B315/$B$36*100,"")</f>
        <v/>
      </c>
      <c r="L315" s="42">
        <f>IFERROR(C315/$C$36*100,"")</f>
        <v/>
      </c>
      <c r="M315" s="42">
        <f>IFERROR(D315/$D$36*100,"")</f>
        <v/>
      </c>
      <c r="N315" s="41">
        <f>IFERROR((1+H315)/(1+I315)-1,"")</f>
        <v/>
      </c>
      <c r="O315" s="41">
        <f>IFERROR((1+H315)/(1+J315)-1,"")</f>
        <v/>
      </c>
      <c r="P315" s="39">
        <f>IFERROR(B315*0.0099502487562189+P314*(1-0.0099502487562189),"")</f>
        <v/>
      </c>
      <c r="Q315" s="42">
        <f>Q314*(1+E315)</f>
        <v/>
      </c>
      <c r="R315" s="42">
        <f>MAX(R314,Q315)</f>
        <v/>
      </c>
      <c r="S315" s="41">
        <f>IFERROR(Q315/R315-1,"")</f>
        <v/>
      </c>
      <c r="T315" s="41">
        <f>IFERROR(_xlfn.STDEV.S(E256:E315)*SQRT($D$7),"")</f>
        <v/>
      </c>
      <c r="U315" s="41">
        <f>IFERROR(MIN(E315-$D$6,0),"")</f>
        <v/>
      </c>
      <c r="V315" s="41">
        <f>IFERROR(E315-F315,"")</f>
        <v/>
      </c>
      <c r="W315" s="39">
        <f>B315</f>
        <v/>
      </c>
      <c r="X315" s="21" t="n"/>
    </row>
    <row r="316">
      <c r="A316" s="38" t="n">
        <v>45398</v>
      </c>
      <c r="B316" s="39" t="n">
        <v>258.54</v>
      </c>
      <c r="C316" s="39" t="n">
        <v>503.53</v>
      </c>
      <c r="D316" s="39" t="n">
        <v>44.4</v>
      </c>
      <c r="E316" s="41">
        <f>IFERROR(B316/B315-1,"")</f>
        <v/>
      </c>
      <c r="F316" s="41">
        <f>IFERROR(C316/C315-1,"")</f>
        <v/>
      </c>
      <c r="G316" s="41">
        <f>IFERROR(D316/D315-1,"")</f>
        <v/>
      </c>
      <c r="H316" s="41">
        <f>IFERROR((1+E316)*(1+H315)-1,"")</f>
        <v/>
      </c>
      <c r="I316" s="41">
        <f>IFERROR((1+F316)*(1+I315)-1,"")</f>
        <v/>
      </c>
      <c r="J316" s="41">
        <f>IFERROR((1+G316)*(1+J315)-1,"")</f>
        <v/>
      </c>
      <c r="K316" s="42">
        <f>IFERROR(B316/$B$36*100,"")</f>
        <v/>
      </c>
      <c r="L316" s="42">
        <f>IFERROR(C316/$C$36*100,"")</f>
        <v/>
      </c>
      <c r="M316" s="42">
        <f>IFERROR(D316/$D$36*100,"")</f>
        <v/>
      </c>
      <c r="N316" s="41">
        <f>IFERROR((1+H316)/(1+I316)-1,"")</f>
        <v/>
      </c>
      <c r="O316" s="41">
        <f>IFERROR((1+H316)/(1+J316)-1,"")</f>
        <v/>
      </c>
      <c r="P316" s="39">
        <f>IFERROR(B316*0.0099502487562189+P315*(1-0.0099502487562189),"")</f>
        <v/>
      </c>
      <c r="Q316" s="42">
        <f>Q315*(1+E316)</f>
        <v/>
      </c>
      <c r="R316" s="42">
        <f>MAX(R315,Q316)</f>
        <v/>
      </c>
      <c r="S316" s="41">
        <f>IFERROR(Q316/R316-1,"")</f>
        <v/>
      </c>
      <c r="T316" s="41">
        <f>IFERROR(_xlfn.STDEV.S(E257:E316)*SQRT($D$7),"")</f>
        <v/>
      </c>
      <c r="U316" s="41">
        <f>IFERROR(MIN(E316-$D$6,0),"")</f>
        <v/>
      </c>
      <c r="V316" s="41">
        <f>IFERROR(E316-F316,"")</f>
        <v/>
      </c>
      <c r="W316" s="39">
        <f>B316</f>
        <v/>
      </c>
      <c r="X316" s="21" t="n"/>
    </row>
    <row r="317">
      <c r="A317" s="38" t="n">
        <v>45399</v>
      </c>
      <c r="B317" s="39" t="n">
        <v>258.26</v>
      </c>
      <c r="C317" s="39" t="n">
        <v>500.55</v>
      </c>
      <c r="D317" s="39" t="n">
        <v>44.5</v>
      </c>
      <c r="E317" s="41">
        <f>IFERROR(B317/B316-1,"")</f>
        <v/>
      </c>
      <c r="F317" s="41">
        <f>IFERROR(C317/C316-1,"")</f>
        <v/>
      </c>
      <c r="G317" s="41">
        <f>IFERROR(D317/D316-1,"")</f>
        <v/>
      </c>
      <c r="H317" s="41">
        <f>IFERROR((1+E317)*(1+H316)-1,"")</f>
        <v/>
      </c>
      <c r="I317" s="41">
        <f>IFERROR((1+F317)*(1+I316)-1,"")</f>
        <v/>
      </c>
      <c r="J317" s="41">
        <f>IFERROR((1+G317)*(1+J316)-1,"")</f>
        <v/>
      </c>
      <c r="K317" s="42">
        <f>IFERROR(B317/$B$36*100,"")</f>
        <v/>
      </c>
      <c r="L317" s="42">
        <f>IFERROR(C317/$C$36*100,"")</f>
        <v/>
      </c>
      <c r="M317" s="42">
        <f>IFERROR(D317/$D$36*100,"")</f>
        <v/>
      </c>
      <c r="N317" s="41">
        <f>IFERROR((1+H317)/(1+I317)-1,"")</f>
        <v/>
      </c>
      <c r="O317" s="41">
        <f>IFERROR((1+H317)/(1+J317)-1,"")</f>
        <v/>
      </c>
      <c r="P317" s="39">
        <f>IFERROR(B317*0.0099502487562189+P316*(1-0.0099502487562189),"")</f>
        <v/>
      </c>
      <c r="Q317" s="42">
        <f>Q316*(1+E317)</f>
        <v/>
      </c>
      <c r="R317" s="42">
        <f>MAX(R316,Q317)</f>
        <v/>
      </c>
      <c r="S317" s="41">
        <f>IFERROR(Q317/R317-1,"")</f>
        <v/>
      </c>
      <c r="T317" s="41">
        <f>IFERROR(_xlfn.STDEV.S(E258:E317)*SQRT($D$7),"")</f>
        <v/>
      </c>
      <c r="U317" s="41">
        <f>IFERROR(MIN(E317-$D$6,0),"")</f>
        <v/>
      </c>
      <c r="V317" s="41">
        <f>IFERROR(E317-F317,"")</f>
        <v/>
      </c>
      <c r="W317" s="39">
        <f>B317</f>
        <v/>
      </c>
      <c r="X317" s="21" t="n"/>
    </row>
    <row r="318">
      <c r="A318" s="38" t="n">
        <v>45400</v>
      </c>
      <c r="B318" s="39" t="n">
        <v>255.07</v>
      </c>
      <c r="C318" s="39" t="n">
        <v>499.52</v>
      </c>
      <c r="D318" s="39" t="n">
        <v>44.515</v>
      </c>
      <c r="E318" s="41">
        <f>IFERROR(B318/B317-1,"")</f>
        <v/>
      </c>
      <c r="F318" s="41">
        <f>IFERROR(C318/C317-1,"")</f>
        <v/>
      </c>
      <c r="G318" s="41">
        <f>IFERROR(D318/D317-1,"")</f>
        <v/>
      </c>
      <c r="H318" s="41">
        <f>IFERROR((1+E318)*(1+H317)-1,"")</f>
        <v/>
      </c>
      <c r="I318" s="41">
        <f>IFERROR((1+F318)*(1+I317)-1,"")</f>
        <v/>
      </c>
      <c r="J318" s="41">
        <f>IFERROR((1+G318)*(1+J317)-1,"")</f>
        <v/>
      </c>
      <c r="K318" s="42">
        <f>IFERROR(B318/$B$36*100,"")</f>
        <v/>
      </c>
      <c r="L318" s="42">
        <f>IFERROR(C318/$C$36*100,"")</f>
        <v/>
      </c>
      <c r="M318" s="42">
        <f>IFERROR(D318/$D$36*100,"")</f>
        <v/>
      </c>
      <c r="N318" s="41">
        <f>IFERROR((1+H318)/(1+I318)-1,"")</f>
        <v/>
      </c>
      <c r="O318" s="41">
        <f>IFERROR((1+H318)/(1+J318)-1,"")</f>
        <v/>
      </c>
      <c r="P318" s="39">
        <f>IFERROR(B318*0.0099502487562189+P317*(1-0.0099502487562189),"")</f>
        <v/>
      </c>
      <c r="Q318" s="42">
        <f>Q317*(1+E318)</f>
        <v/>
      </c>
      <c r="R318" s="42">
        <f>MAX(R317,Q318)</f>
        <v/>
      </c>
      <c r="S318" s="41">
        <f>IFERROR(Q318/R318-1,"")</f>
        <v/>
      </c>
      <c r="T318" s="41">
        <f>IFERROR(_xlfn.STDEV.S(E259:E318)*SQRT($D$7),"")</f>
        <v/>
      </c>
      <c r="U318" s="41">
        <f>IFERROR(MIN(E318-$D$6,0),"")</f>
        <v/>
      </c>
      <c r="V318" s="41">
        <f>IFERROR(E318-F318,"")</f>
        <v/>
      </c>
      <c r="W318" s="39">
        <f>B318</f>
        <v/>
      </c>
      <c r="X318" s="21" t="n"/>
    </row>
    <row r="319">
      <c r="A319" s="38" t="n">
        <v>45401</v>
      </c>
      <c r="B319" s="39" t="n">
        <v>252.06</v>
      </c>
      <c r="C319" s="39" t="n">
        <v>495.16</v>
      </c>
      <c r="D319" s="39" t="n">
        <v>44.48</v>
      </c>
      <c r="E319" s="41">
        <f>IFERROR(B319/B318-1,"")</f>
        <v/>
      </c>
      <c r="F319" s="41">
        <f>IFERROR(C319/C318-1,"")</f>
        <v/>
      </c>
      <c r="G319" s="41">
        <f>IFERROR(D319/D318-1,"")</f>
        <v/>
      </c>
      <c r="H319" s="41">
        <f>IFERROR((1+E319)*(1+H318)-1,"")</f>
        <v/>
      </c>
      <c r="I319" s="41">
        <f>IFERROR((1+F319)*(1+I318)-1,"")</f>
        <v/>
      </c>
      <c r="J319" s="41">
        <f>IFERROR((1+G319)*(1+J318)-1,"")</f>
        <v/>
      </c>
      <c r="K319" s="42">
        <f>IFERROR(B319/$B$36*100,"")</f>
        <v/>
      </c>
      <c r="L319" s="42">
        <f>IFERROR(C319/$C$36*100,"")</f>
        <v/>
      </c>
      <c r="M319" s="42">
        <f>IFERROR(D319/$D$36*100,"")</f>
        <v/>
      </c>
      <c r="N319" s="41">
        <f>IFERROR((1+H319)/(1+I319)-1,"")</f>
        <v/>
      </c>
      <c r="O319" s="41">
        <f>IFERROR((1+H319)/(1+J319)-1,"")</f>
        <v/>
      </c>
      <c r="P319" s="39">
        <f>IFERROR(B319*0.0099502487562189+P318*(1-0.0099502487562189),"")</f>
        <v/>
      </c>
      <c r="Q319" s="42">
        <f>Q318*(1+E319)</f>
        <v/>
      </c>
      <c r="R319" s="42">
        <f>MAX(R318,Q319)</f>
        <v/>
      </c>
      <c r="S319" s="41">
        <f>IFERROR(Q319/R319-1,"")</f>
        <v/>
      </c>
      <c r="T319" s="41">
        <f>IFERROR(_xlfn.STDEV.S(E260:E319)*SQRT($D$7),"")</f>
        <v/>
      </c>
      <c r="U319" s="41">
        <f>IFERROR(MIN(E319-$D$6,0),"")</f>
        <v/>
      </c>
      <c r="V319" s="41">
        <f>IFERROR(E319-F319,"")</f>
        <v/>
      </c>
      <c r="W319" s="39">
        <f>B319</f>
        <v/>
      </c>
      <c r="X319" s="21" t="n"/>
    </row>
    <row r="320">
      <c r="A320" s="38" t="n">
        <v>45404</v>
      </c>
      <c r="B320" s="39" t="n">
        <v>254.48</v>
      </c>
      <c r="C320" s="39" t="n">
        <v>499.72</v>
      </c>
      <c r="D320" s="39" t="n">
        <v>44.525</v>
      </c>
      <c r="E320" s="41">
        <f>IFERROR(B320/B319-1,"")</f>
        <v/>
      </c>
      <c r="F320" s="41">
        <f>IFERROR(C320/C319-1,"")</f>
        <v/>
      </c>
      <c r="G320" s="41">
        <f>IFERROR(D320/D319-1,"")</f>
        <v/>
      </c>
      <c r="H320" s="41">
        <f>IFERROR((1+E320)*(1+H319)-1,"")</f>
        <v/>
      </c>
      <c r="I320" s="41">
        <f>IFERROR((1+F320)*(1+I319)-1,"")</f>
        <v/>
      </c>
      <c r="J320" s="41">
        <f>IFERROR((1+G320)*(1+J319)-1,"")</f>
        <v/>
      </c>
      <c r="K320" s="42">
        <f>IFERROR(B320/$B$36*100,"")</f>
        <v/>
      </c>
      <c r="L320" s="42">
        <f>IFERROR(C320/$C$36*100,"")</f>
        <v/>
      </c>
      <c r="M320" s="42">
        <f>IFERROR(D320/$D$36*100,"")</f>
        <v/>
      </c>
      <c r="N320" s="41">
        <f>IFERROR((1+H320)/(1+I320)-1,"")</f>
        <v/>
      </c>
      <c r="O320" s="41">
        <f>IFERROR((1+H320)/(1+J320)-1,"")</f>
        <v/>
      </c>
      <c r="P320" s="39">
        <f>IFERROR(B320*0.0099502487562189+P319*(1-0.0099502487562189),"")</f>
        <v/>
      </c>
      <c r="Q320" s="42">
        <f>Q319*(1+E320)</f>
        <v/>
      </c>
      <c r="R320" s="42">
        <f>MAX(R319,Q320)</f>
        <v/>
      </c>
      <c r="S320" s="41">
        <f>IFERROR(Q320/R320-1,"")</f>
        <v/>
      </c>
      <c r="T320" s="41">
        <f>IFERROR(_xlfn.STDEV.S(E261:E320)*SQRT($D$7),"")</f>
        <v/>
      </c>
      <c r="U320" s="41">
        <f>IFERROR(MIN(E320-$D$6,0),"")</f>
        <v/>
      </c>
      <c r="V320" s="41">
        <f>IFERROR(E320-F320,"")</f>
        <v/>
      </c>
      <c r="W320" s="39">
        <f>B320</f>
        <v/>
      </c>
      <c r="X320" s="21" t="n"/>
    </row>
    <row r="321">
      <c r="A321" s="38" t="n">
        <v>45405</v>
      </c>
      <c r="B321" s="39" t="n">
        <v>259.34</v>
      </c>
      <c r="C321" s="39" t="n">
        <v>505.65</v>
      </c>
      <c r="D321" s="39" t="n">
        <v>44.14</v>
      </c>
      <c r="E321" s="41">
        <f>IFERROR(B321/B320-1,"")</f>
        <v/>
      </c>
      <c r="F321" s="41">
        <f>IFERROR(C321/C320-1,"")</f>
        <v/>
      </c>
      <c r="G321" s="41">
        <f>IFERROR(D321/D320-1,"")</f>
        <v/>
      </c>
      <c r="H321" s="41">
        <f>IFERROR((1+E321)*(1+H320)-1,"")</f>
        <v/>
      </c>
      <c r="I321" s="41">
        <f>IFERROR((1+F321)*(1+I320)-1,"")</f>
        <v/>
      </c>
      <c r="J321" s="41">
        <f>IFERROR((1+G321)*(1+J320)-1,"")</f>
        <v/>
      </c>
      <c r="K321" s="42">
        <f>IFERROR(B321/$B$36*100,"")</f>
        <v/>
      </c>
      <c r="L321" s="42">
        <f>IFERROR(C321/$C$36*100,"")</f>
        <v/>
      </c>
      <c r="M321" s="42">
        <f>IFERROR(D321/$D$36*100,"")</f>
        <v/>
      </c>
      <c r="N321" s="41">
        <f>IFERROR((1+H321)/(1+I321)-1,"")</f>
        <v/>
      </c>
      <c r="O321" s="41">
        <f>IFERROR((1+H321)/(1+J321)-1,"")</f>
        <v/>
      </c>
      <c r="P321" s="39">
        <f>IFERROR(B321*0.0099502487562189+P320*(1-0.0099502487562189),"")</f>
        <v/>
      </c>
      <c r="Q321" s="42">
        <f>Q320*(1+E321)</f>
        <v/>
      </c>
      <c r="R321" s="42">
        <f>MAX(R320,Q321)</f>
        <v/>
      </c>
      <c r="S321" s="41">
        <f>IFERROR(Q321/R321-1,"")</f>
        <v/>
      </c>
      <c r="T321" s="41">
        <f>IFERROR(_xlfn.STDEV.S(E262:E321)*SQRT($D$7),"")</f>
        <v/>
      </c>
      <c r="U321" s="41">
        <f>IFERROR(MIN(E321-$D$6,0),"")</f>
        <v/>
      </c>
      <c r="V321" s="41">
        <f>IFERROR(E321-F321,"")</f>
        <v/>
      </c>
      <c r="W321" s="39">
        <f>B321</f>
        <v/>
      </c>
      <c r="X321" s="21" t="n"/>
    </row>
    <row r="322">
      <c r="A322" s="38" t="n">
        <v>45406</v>
      </c>
      <c r="B322" s="39" t="n">
        <v>256.4</v>
      </c>
      <c r="C322" s="39" t="n">
        <v>505.41</v>
      </c>
      <c r="D322" s="39" t="n">
        <v>44.17</v>
      </c>
      <c r="E322" s="41">
        <f>IFERROR(B322/B321-1,"")</f>
        <v/>
      </c>
      <c r="F322" s="41">
        <f>IFERROR(C322/C321-1,"")</f>
        <v/>
      </c>
      <c r="G322" s="41">
        <f>IFERROR(D322/D321-1,"")</f>
        <v/>
      </c>
      <c r="H322" s="41">
        <f>IFERROR((1+E322)*(1+H321)-1,"")</f>
        <v/>
      </c>
      <c r="I322" s="41">
        <f>IFERROR((1+F322)*(1+I321)-1,"")</f>
        <v/>
      </c>
      <c r="J322" s="41">
        <f>IFERROR((1+G322)*(1+J321)-1,"")</f>
        <v/>
      </c>
      <c r="K322" s="42">
        <f>IFERROR(B322/$B$36*100,"")</f>
        <v/>
      </c>
      <c r="L322" s="42">
        <f>IFERROR(C322/$C$36*100,"")</f>
        <v/>
      </c>
      <c r="M322" s="42">
        <f>IFERROR(D322/$D$36*100,"")</f>
        <v/>
      </c>
      <c r="N322" s="41">
        <f>IFERROR((1+H322)/(1+I322)-1,"")</f>
        <v/>
      </c>
      <c r="O322" s="41">
        <f>IFERROR((1+H322)/(1+J322)-1,"")</f>
        <v/>
      </c>
      <c r="P322" s="39">
        <f>IFERROR(B322*0.0099502487562189+P321*(1-0.0099502487562189),"")</f>
        <v/>
      </c>
      <c r="Q322" s="42">
        <f>Q321*(1+E322)</f>
        <v/>
      </c>
      <c r="R322" s="42">
        <f>MAX(R321,Q322)</f>
        <v/>
      </c>
      <c r="S322" s="41">
        <f>IFERROR(Q322/R322-1,"")</f>
        <v/>
      </c>
      <c r="T322" s="41">
        <f>IFERROR(_xlfn.STDEV.S(E263:E322)*SQRT($D$7),"")</f>
        <v/>
      </c>
      <c r="U322" s="41">
        <f>IFERROR(MIN(E322-$D$6,0),"")</f>
        <v/>
      </c>
      <c r="V322" s="41">
        <f>IFERROR(E322-F322,"")</f>
        <v/>
      </c>
      <c r="W322" s="39">
        <f>B322</f>
        <v/>
      </c>
      <c r="X322" s="21" t="n"/>
    </row>
    <row r="323">
      <c r="A323" s="38" t="n">
        <v>45407</v>
      </c>
      <c r="B323" s="39" t="n">
        <v>258.54</v>
      </c>
      <c r="C323" s="39" t="n">
        <v>503.49</v>
      </c>
      <c r="D323" s="39" t="n">
        <v>44.485</v>
      </c>
      <c r="E323" s="41">
        <f>IFERROR(B323/B322-1,"")</f>
        <v/>
      </c>
      <c r="F323" s="41">
        <f>IFERROR(C323/C322-1,"")</f>
        <v/>
      </c>
      <c r="G323" s="41">
        <f>IFERROR(D323/D322-1,"")</f>
        <v/>
      </c>
      <c r="H323" s="41">
        <f>IFERROR((1+E323)*(1+H322)-1,"")</f>
        <v/>
      </c>
      <c r="I323" s="41">
        <f>IFERROR((1+F323)*(1+I322)-1,"")</f>
        <v/>
      </c>
      <c r="J323" s="41">
        <f>IFERROR((1+G323)*(1+J322)-1,"")</f>
        <v/>
      </c>
      <c r="K323" s="42">
        <f>IFERROR(B323/$B$36*100,"")</f>
        <v/>
      </c>
      <c r="L323" s="42">
        <f>IFERROR(C323/$C$36*100,"")</f>
        <v/>
      </c>
      <c r="M323" s="42">
        <f>IFERROR(D323/$D$36*100,"")</f>
        <v/>
      </c>
      <c r="N323" s="41">
        <f>IFERROR((1+H323)/(1+I323)-1,"")</f>
        <v/>
      </c>
      <c r="O323" s="41">
        <f>IFERROR((1+H323)/(1+J323)-1,"")</f>
        <v/>
      </c>
      <c r="P323" s="39">
        <f>IFERROR(B323*0.0099502487562189+P322*(1-0.0099502487562189),"")</f>
        <v/>
      </c>
      <c r="Q323" s="42">
        <f>Q322*(1+E323)</f>
        <v/>
      </c>
      <c r="R323" s="42">
        <f>MAX(R322,Q323)</f>
        <v/>
      </c>
      <c r="S323" s="41">
        <f>IFERROR(Q323/R323-1,"")</f>
        <v/>
      </c>
      <c r="T323" s="41">
        <f>IFERROR(_xlfn.STDEV.S(E264:E323)*SQRT($D$7),"")</f>
        <v/>
      </c>
      <c r="U323" s="41">
        <f>IFERROR(MIN(E323-$D$6,0),"")</f>
        <v/>
      </c>
      <c r="V323" s="41">
        <f>IFERROR(E323-F323,"")</f>
        <v/>
      </c>
      <c r="W323" s="39">
        <f>B323</f>
        <v/>
      </c>
      <c r="X323" s="21" t="n"/>
    </row>
    <row r="324">
      <c r="A324" s="38" t="n">
        <v>45408</v>
      </c>
      <c r="B324" s="39" t="n">
        <v>261.24</v>
      </c>
      <c r="C324" s="39" t="n">
        <v>508.26</v>
      </c>
      <c r="D324" s="39" t="n">
        <v>44.76</v>
      </c>
      <c r="E324" s="41">
        <f>IFERROR(B324/B323-1,"")</f>
        <v/>
      </c>
      <c r="F324" s="41">
        <f>IFERROR(C324/C323-1,"")</f>
        <v/>
      </c>
      <c r="G324" s="41">
        <f>IFERROR(D324/D323-1,"")</f>
        <v/>
      </c>
      <c r="H324" s="41">
        <f>IFERROR((1+E324)*(1+H323)-1,"")</f>
        <v/>
      </c>
      <c r="I324" s="41">
        <f>IFERROR((1+F324)*(1+I323)-1,"")</f>
        <v/>
      </c>
      <c r="J324" s="41">
        <f>IFERROR((1+G324)*(1+J323)-1,"")</f>
        <v/>
      </c>
      <c r="K324" s="42">
        <f>IFERROR(B324/$B$36*100,"")</f>
        <v/>
      </c>
      <c r="L324" s="42">
        <f>IFERROR(C324/$C$36*100,"")</f>
        <v/>
      </c>
      <c r="M324" s="42">
        <f>IFERROR(D324/$D$36*100,"")</f>
        <v/>
      </c>
      <c r="N324" s="41">
        <f>IFERROR((1+H324)/(1+I324)-1,"")</f>
        <v/>
      </c>
      <c r="O324" s="41">
        <f>IFERROR((1+H324)/(1+J324)-1,"")</f>
        <v/>
      </c>
      <c r="P324" s="39">
        <f>IFERROR(B324*0.0099502487562189+P323*(1-0.0099502487562189),"")</f>
        <v/>
      </c>
      <c r="Q324" s="42">
        <f>Q323*(1+E324)</f>
        <v/>
      </c>
      <c r="R324" s="42">
        <f>MAX(R323,Q324)</f>
        <v/>
      </c>
      <c r="S324" s="41">
        <f>IFERROR(Q324/R324-1,"")</f>
        <v/>
      </c>
      <c r="T324" s="41">
        <f>IFERROR(_xlfn.STDEV.S(E265:E324)*SQRT($D$7),"")</f>
        <v/>
      </c>
      <c r="U324" s="41">
        <f>IFERROR(MIN(E324-$D$6,0),"")</f>
        <v/>
      </c>
      <c r="V324" s="41">
        <f>IFERROR(E324-F324,"")</f>
        <v/>
      </c>
      <c r="W324" s="39">
        <f>B324</f>
        <v/>
      </c>
      <c r="X324" s="21" t="n"/>
    </row>
    <row r="325">
      <c r="A325" s="38" t="n">
        <v>45411</v>
      </c>
      <c r="B325" s="39" t="n">
        <v>261.45</v>
      </c>
      <c r="C325" s="39" t="n">
        <v>510.06</v>
      </c>
      <c r="D325" s="39" t="n">
        <v>45.135</v>
      </c>
      <c r="E325" s="41">
        <f>IFERROR(B325/B324-1,"")</f>
        <v/>
      </c>
      <c r="F325" s="41">
        <f>IFERROR(C325/C324-1,"")</f>
        <v/>
      </c>
      <c r="G325" s="41">
        <f>IFERROR(D325/D324-1,"")</f>
        <v/>
      </c>
      <c r="H325" s="41">
        <f>IFERROR((1+E325)*(1+H324)-1,"")</f>
        <v/>
      </c>
      <c r="I325" s="41">
        <f>IFERROR((1+F325)*(1+I324)-1,"")</f>
        <v/>
      </c>
      <c r="J325" s="41">
        <f>IFERROR((1+G325)*(1+J324)-1,"")</f>
        <v/>
      </c>
      <c r="K325" s="42">
        <f>IFERROR(B325/$B$36*100,"")</f>
        <v/>
      </c>
      <c r="L325" s="42">
        <f>IFERROR(C325/$C$36*100,"")</f>
        <v/>
      </c>
      <c r="M325" s="42">
        <f>IFERROR(D325/$D$36*100,"")</f>
        <v/>
      </c>
      <c r="N325" s="41">
        <f>IFERROR((1+H325)/(1+I325)-1,"")</f>
        <v/>
      </c>
      <c r="O325" s="41">
        <f>IFERROR((1+H325)/(1+J325)-1,"")</f>
        <v/>
      </c>
      <c r="P325" s="39">
        <f>IFERROR(B325*0.0099502487562189+P324*(1-0.0099502487562189),"")</f>
        <v/>
      </c>
      <c r="Q325" s="42">
        <f>Q324*(1+E325)</f>
        <v/>
      </c>
      <c r="R325" s="42">
        <f>MAX(R324,Q325)</f>
        <v/>
      </c>
      <c r="S325" s="41">
        <f>IFERROR(Q325/R325-1,"")</f>
        <v/>
      </c>
      <c r="T325" s="41">
        <f>IFERROR(_xlfn.STDEV.S(E266:E325)*SQRT($D$7),"")</f>
        <v/>
      </c>
      <c r="U325" s="41">
        <f>IFERROR(MIN(E325-$D$6,0),"")</f>
        <v/>
      </c>
      <c r="V325" s="41">
        <f>IFERROR(E325-F325,"")</f>
        <v/>
      </c>
      <c r="W325" s="39">
        <f>B325</f>
        <v/>
      </c>
      <c r="X325" s="21" t="n"/>
    </row>
    <row r="326">
      <c r="A326" s="38" t="n">
        <v>45412</v>
      </c>
      <c r="B326" s="39" t="n">
        <v>257.63</v>
      </c>
      <c r="C326" s="39" t="n">
        <v>501.98</v>
      </c>
      <c r="D326" s="39" t="n">
        <v>44.315</v>
      </c>
      <c r="E326" s="41">
        <f>IFERROR(B326/B325-1,"")</f>
        <v/>
      </c>
      <c r="F326" s="41">
        <f>IFERROR(C326/C325-1,"")</f>
        <v/>
      </c>
      <c r="G326" s="41">
        <f>IFERROR(D326/D325-1,"")</f>
        <v/>
      </c>
      <c r="H326" s="41">
        <f>IFERROR((1+E326)*(1+H325)-1,"")</f>
        <v/>
      </c>
      <c r="I326" s="41">
        <f>IFERROR((1+F326)*(1+I325)-1,"")</f>
        <v/>
      </c>
      <c r="J326" s="41">
        <f>IFERROR((1+G326)*(1+J325)-1,"")</f>
        <v/>
      </c>
      <c r="K326" s="42">
        <f>IFERROR(B326/$B$36*100,"")</f>
        <v/>
      </c>
      <c r="L326" s="42">
        <f>IFERROR(C326/$C$36*100,"")</f>
        <v/>
      </c>
      <c r="M326" s="42">
        <f>IFERROR(D326/$D$36*100,"")</f>
        <v/>
      </c>
      <c r="N326" s="41">
        <f>IFERROR((1+H326)/(1+I326)-1,"")</f>
        <v/>
      </c>
      <c r="O326" s="41">
        <f>IFERROR((1+H326)/(1+J326)-1,"")</f>
        <v/>
      </c>
      <c r="P326" s="39">
        <f>IFERROR(B326*0.0099502487562189+P325*(1-0.0099502487562189),"")</f>
        <v/>
      </c>
      <c r="Q326" s="42">
        <f>Q325*(1+E326)</f>
        <v/>
      </c>
      <c r="R326" s="42">
        <f>MAX(R325,Q326)</f>
        <v/>
      </c>
      <c r="S326" s="41">
        <f>IFERROR(Q326/R326-1,"")</f>
        <v/>
      </c>
      <c r="T326" s="41">
        <f>IFERROR(_xlfn.STDEV.S(E267:E326)*SQRT($D$7),"")</f>
        <v/>
      </c>
      <c r="U326" s="41">
        <f>IFERROR(MIN(E326-$D$6,0),"")</f>
        <v/>
      </c>
      <c r="V326" s="41">
        <f>IFERROR(E326-F326,"")</f>
        <v/>
      </c>
      <c r="W326" s="39">
        <f>B326</f>
        <v/>
      </c>
      <c r="X326" s="21" t="n"/>
    </row>
    <row r="327">
      <c r="A327" s="38" t="n">
        <v>45413</v>
      </c>
      <c r="B327" s="39" t="n">
        <v>259.73</v>
      </c>
      <c r="C327" s="39" t="n">
        <v>500.35</v>
      </c>
      <c r="D327" s="39" t="n">
        <v>44.545</v>
      </c>
      <c r="E327" s="41">
        <f>IFERROR(B327/B326-1,"")</f>
        <v/>
      </c>
      <c r="F327" s="41">
        <f>IFERROR(C327/C326-1,"")</f>
        <v/>
      </c>
      <c r="G327" s="41">
        <f>IFERROR(D327/D326-1,"")</f>
        <v/>
      </c>
      <c r="H327" s="41">
        <f>IFERROR((1+E327)*(1+H326)-1,"")</f>
        <v/>
      </c>
      <c r="I327" s="41">
        <f>IFERROR((1+F327)*(1+I326)-1,"")</f>
        <v/>
      </c>
      <c r="J327" s="41">
        <f>IFERROR((1+G327)*(1+J326)-1,"")</f>
        <v/>
      </c>
      <c r="K327" s="42">
        <f>IFERROR(B327/$B$36*100,"")</f>
        <v/>
      </c>
      <c r="L327" s="42">
        <f>IFERROR(C327/$C$36*100,"")</f>
        <v/>
      </c>
      <c r="M327" s="42">
        <f>IFERROR(D327/$D$36*100,"")</f>
        <v/>
      </c>
      <c r="N327" s="41">
        <f>IFERROR((1+H327)/(1+I327)-1,"")</f>
        <v/>
      </c>
      <c r="O327" s="41">
        <f>IFERROR((1+H327)/(1+J327)-1,"")</f>
        <v/>
      </c>
      <c r="P327" s="39">
        <f>IFERROR(B327*0.0099502487562189+P326*(1-0.0099502487562189),"")</f>
        <v/>
      </c>
      <c r="Q327" s="42">
        <f>Q326*(1+E327)</f>
        <v/>
      </c>
      <c r="R327" s="42">
        <f>MAX(R326,Q327)</f>
        <v/>
      </c>
      <c r="S327" s="41">
        <f>IFERROR(Q327/R327-1,"")</f>
        <v/>
      </c>
      <c r="T327" s="41">
        <f>IFERROR(_xlfn.STDEV.S(E268:E327)*SQRT($D$7),"")</f>
        <v/>
      </c>
      <c r="U327" s="41">
        <f>IFERROR(MIN(E327-$D$6,0),"")</f>
        <v/>
      </c>
      <c r="V327" s="41">
        <f>IFERROR(E327-F327,"")</f>
        <v/>
      </c>
      <c r="W327" s="39">
        <f>B327</f>
        <v/>
      </c>
      <c r="X327" s="21" t="n"/>
    </row>
    <row r="328">
      <c r="A328" s="38" t="n">
        <v>45414</v>
      </c>
      <c r="B328" s="39" t="n">
        <v>264.41</v>
      </c>
      <c r="C328" s="39" t="n">
        <v>505.03</v>
      </c>
      <c r="D328" s="39" t="n">
        <v>44.315</v>
      </c>
      <c r="E328" s="41">
        <f>IFERROR(B328/B327-1,"")</f>
        <v/>
      </c>
      <c r="F328" s="41">
        <f>IFERROR(C328/C327-1,"")</f>
        <v/>
      </c>
      <c r="G328" s="41">
        <f>IFERROR(D328/D327-1,"")</f>
        <v/>
      </c>
      <c r="H328" s="41">
        <f>IFERROR((1+E328)*(1+H327)-1,"")</f>
        <v/>
      </c>
      <c r="I328" s="41">
        <f>IFERROR((1+F328)*(1+I327)-1,"")</f>
        <v/>
      </c>
      <c r="J328" s="41">
        <f>IFERROR((1+G328)*(1+J327)-1,"")</f>
        <v/>
      </c>
      <c r="K328" s="42">
        <f>IFERROR(B328/$B$36*100,"")</f>
        <v/>
      </c>
      <c r="L328" s="42">
        <f>IFERROR(C328/$C$36*100,"")</f>
        <v/>
      </c>
      <c r="M328" s="42">
        <f>IFERROR(D328/$D$36*100,"")</f>
        <v/>
      </c>
      <c r="N328" s="41">
        <f>IFERROR((1+H328)/(1+I328)-1,"")</f>
        <v/>
      </c>
      <c r="O328" s="41">
        <f>IFERROR((1+H328)/(1+J328)-1,"")</f>
        <v/>
      </c>
      <c r="P328" s="39">
        <f>IFERROR(B328*0.0099502487562189+P327*(1-0.0099502487562189),"")</f>
        <v/>
      </c>
      <c r="Q328" s="42">
        <f>Q327*(1+E328)</f>
        <v/>
      </c>
      <c r="R328" s="42">
        <f>MAX(R327,Q328)</f>
        <v/>
      </c>
      <c r="S328" s="41">
        <f>IFERROR(Q328/R328-1,"")</f>
        <v/>
      </c>
      <c r="T328" s="41">
        <f>IFERROR(_xlfn.STDEV.S(E269:E328)*SQRT($D$7),"")</f>
        <v/>
      </c>
      <c r="U328" s="41">
        <f>IFERROR(MIN(E328-$D$6,0),"")</f>
        <v/>
      </c>
      <c r="V328" s="41">
        <f>IFERROR(E328-F328,"")</f>
        <v/>
      </c>
      <c r="W328" s="39">
        <f>B328</f>
        <v/>
      </c>
      <c r="X328" s="21" t="n"/>
    </row>
    <row r="329">
      <c r="A329" s="38" t="n">
        <v>45415</v>
      </c>
      <c r="B329" s="39" t="n">
        <v>264.44</v>
      </c>
      <c r="C329" s="39" t="n">
        <v>511.29</v>
      </c>
      <c r="D329" s="39" t="n">
        <v>44.765</v>
      </c>
      <c r="E329" s="41">
        <f>IFERROR(B329/B328-1,"")</f>
        <v/>
      </c>
      <c r="F329" s="41">
        <f>IFERROR(C329/C328-1,"")</f>
        <v/>
      </c>
      <c r="G329" s="41">
        <f>IFERROR(D329/D328-1,"")</f>
        <v/>
      </c>
      <c r="H329" s="41">
        <f>IFERROR((1+E329)*(1+H328)-1,"")</f>
        <v/>
      </c>
      <c r="I329" s="41">
        <f>IFERROR((1+F329)*(1+I328)-1,"")</f>
        <v/>
      </c>
      <c r="J329" s="41">
        <f>IFERROR((1+G329)*(1+J328)-1,"")</f>
        <v/>
      </c>
      <c r="K329" s="42">
        <f>IFERROR(B329/$B$36*100,"")</f>
        <v/>
      </c>
      <c r="L329" s="42">
        <f>IFERROR(C329/$C$36*100,"")</f>
        <v/>
      </c>
      <c r="M329" s="42">
        <f>IFERROR(D329/$D$36*100,"")</f>
        <v/>
      </c>
      <c r="N329" s="41">
        <f>IFERROR((1+H329)/(1+I329)-1,"")</f>
        <v/>
      </c>
      <c r="O329" s="41">
        <f>IFERROR((1+H329)/(1+J329)-1,"")</f>
        <v/>
      </c>
      <c r="P329" s="39">
        <f>IFERROR(B329*0.0099502487562189+P328*(1-0.0099502487562189),"")</f>
        <v/>
      </c>
      <c r="Q329" s="42">
        <f>Q328*(1+E329)</f>
        <v/>
      </c>
      <c r="R329" s="42">
        <f>MAX(R328,Q329)</f>
        <v/>
      </c>
      <c r="S329" s="41">
        <f>IFERROR(Q329/R329-1,"")</f>
        <v/>
      </c>
      <c r="T329" s="41">
        <f>IFERROR(_xlfn.STDEV.S(E270:E329)*SQRT($D$7),"")</f>
        <v/>
      </c>
      <c r="U329" s="41">
        <f>IFERROR(MIN(E329-$D$6,0),"")</f>
        <v/>
      </c>
      <c r="V329" s="41">
        <f>IFERROR(E329-F329,"")</f>
        <v/>
      </c>
      <c r="W329" s="39">
        <f>B329</f>
        <v/>
      </c>
      <c r="X329" s="21" t="n"/>
    </row>
    <row r="330">
      <c r="A330" s="38" t="n">
        <v>45418</v>
      </c>
      <c r="B330" s="39" t="n">
        <v>266.61</v>
      </c>
      <c r="C330" s="39" t="n">
        <v>516.5700000000001</v>
      </c>
      <c r="D330" s="39" t="n">
        <v>45.035</v>
      </c>
      <c r="E330" s="41">
        <f>IFERROR(B330/B329-1,"")</f>
        <v/>
      </c>
      <c r="F330" s="41">
        <f>IFERROR(C330/C329-1,"")</f>
        <v/>
      </c>
      <c r="G330" s="41">
        <f>IFERROR(D330/D329-1,"")</f>
        <v/>
      </c>
      <c r="H330" s="41">
        <f>IFERROR((1+E330)*(1+H329)-1,"")</f>
        <v/>
      </c>
      <c r="I330" s="41">
        <f>IFERROR((1+F330)*(1+I329)-1,"")</f>
        <v/>
      </c>
      <c r="J330" s="41">
        <f>IFERROR((1+G330)*(1+J329)-1,"")</f>
        <v/>
      </c>
      <c r="K330" s="42">
        <f>IFERROR(B330/$B$36*100,"")</f>
        <v/>
      </c>
      <c r="L330" s="42">
        <f>IFERROR(C330/$C$36*100,"")</f>
        <v/>
      </c>
      <c r="M330" s="42">
        <f>IFERROR(D330/$D$36*100,"")</f>
        <v/>
      </c>
      <c r="N330" s="41">
        <f>IFERROR((1+H330)/(1+I330)-1,"")</f>
        <v/>
      </c>
      <c r="O330" s="41">
        <f>IFERROR((1+H330)/(1+J330)-1,"")</f>
        <v/>
      </c>
      <c r="P330" s="39">
        <f>IFERROR(B330*0.0099502487562189+P329*(1-0.0099502487562189),"")</f>
        <v/>
      </c>
      <c r="Q330" s="42">
        <f>Q329*(1+E330)</f>
        <v/>
      </c>
      <c r="R330" s="42">
        <f>MAX(R329,Q330)</f>
        <v/>
      </c>
      <c r="S330" s="41">
        <f>IFERROR(Q330/R330-1,"")</f>
        <v/>
      </c>
      <c r="T330" s="41">
        <f>IFERROR(_xlfn.STDEV.S(E271:E330)*SQRT($D$7),"")</f>
        <v/>
      </c>
      <c r="U330" s="41">
        <f>IFERROR(MIN(E330-$D$6,0),"")</f>
        <v/>
      </c>
      <c r="V330" s="41">
        <f>IFERROR(E330-F330,"")</f>
        <v/>
      </c>
      <c r="W330" s="39">
        <f>B330</f>
        <v/>
      </c>
      <c r="X330" s="21" t="n"/>
    </row>
    <row r="331">
      <c r="A331" s="38" t="n">
        <v>45419</v>
      </c>
      <c r="B331" s="39" t="n">
        <v>268.35</v>
      </c>
      <c r="C331" s="39" t="n">
        <v>517.14</v>
      </c>
      <c r="D331" s="39" t="n">
        <v>45.57</v>
      </c>
      <c r="E331" s="41">
        <f>IFERROR(B331/B330-1,"")</f>
        <v/>
      </c>
      <c r="F331" s="41">
        <f>IFERROR(C331/C330-1,"")</f>
        <v/>
      </c>
      <c r="G331" s="41">
        <f>IFERROR(D331/D330-1,"")</f>
        <v/>
      </c>
      <c r="H331" s="41">
        <f>IFERROR((1+E331)*(1+H330)-1,"")</f>
        <v/>
      </c>
      <c r="I331" s="41">
        <f>IFERROR((1+F331)*(1+I330)-1,"")</f>
        <v/>
      </c>
      <c r="J331" s="41">
        <f>IFERROR((1+G331)*(1+J330)-1,"")</f>
        <v/>
      </c>
      <c r="K331" s="42">
        <f>IFERROR(B331/$B$36*100,"")</f>
        <v/>
      </c>
      <c r="L331" s="42">
        <f>IFERROR(C331/$C$36*100,"")</f>
        <v/>
      </c>
      <c r="M331" s="42">
        <f>IFERROR(D331/$D$36*100,"")</f>
        <v/>
      </c>
      <c r="N331" s="41">
        <f>IFERROR((1+H331)/(1+I331)-1,"")</f>
        <v/>
      </c>
      <c r="O331" s="41">
        <f>IFERROR((1+H331)/(1+J331)-1,"")</f>
        <v/>
      </c>
      <c r="P331" s="39">
        <f>IFERROR(B331*0.0099502487562189+P330*(1-0.0099502487562189),"")</f>
        <v/>
      </c>
      <c r="Q331" s="42">
        <f>Q330*(1+E331)</f>
        <v/>
      </c>
      <c r="R331" s="42">
        <f>MAX(R330,Q331)</f>
        <v/>
      </c>
      <c r="S331" s="41">
        <f>IFERROR(Q331/R331-1,"")</f>
        <v/>
      </c>
      <c r="T331" s="41">
        <f>IFERROR(_xlfn.STDEV.S(E272:E331)*SQRT($D$7),"")</f>
        <v/>
      </c>
      <c r="U331" s="41">
        <f>IFERROR(MIN(E331-$D$6,0),"")</f>
        <v/>
      </c>
      <c r="V331" s="41">
        <f>IFERROR(E331-F331,"")</f>
        <v/>
      </c>
      <c r="W331" s="39">
        <f>B331</f>
        <v/>
      </c>
      <c r="X331" s="21" t="n"/>
    </row>
    <row r="332">
      <c r="A332" s="38" t="n">
        <v>45420</v>
      </c>
      <c r="B332" s="39" t="n">
        <v>267.93</v>
      </c>
      <c r="C332" s="39" t="n">
        <v>517.1900000000001</v>
      </c>
      <c r="D332" s="39" t="n">
        <v>45.36</v>
      </c>
      <c r="E332" s="41">
        <f>IFERROR(B332/B331-1,"")</f>
        <v/>
      </c>
      <c r="F332" s="41">
        <f>IFERROR(C332/C331-1,"")</f>
        <v/>
      </c>
      <c r="G332" s="41">
        <f>IFERROR(D332/D331-1,"")</f>
        <v/>
      </c>
      <c r="H332" s="41">
        <f>IFERROR((1+E332)*(1+H331)-1,"")</f>
        <v/>
      </c>
      <c r="I332" s="41">
        <f>IFERROR((1+F332)*(1+I331)-1,"")</f>
        <v/>
      </c>
      <c r="J332" s="41">
        <f>IFERROR((1+G332)*(1+J331)-1,"")</f>
        <v/>
      </c>
      <c r="K332" s="42">
        <f>IFERROR(B332/$B$36*100,"")</f>
        <v/>
      </c>
      <c r="L332" s="42">
        <f>IFERROR(C332/$C$36*100,"")</f>
        <v/>
      </c>
      <c r="M332" s="42">
        <f>IFERROR(D332/$D$36*100,"")</f>
        <v/>
      </c>
      <c r="N332" s="41">
        <f>IFERROR((1+H332)/(1+I332)-1,"")</f>
        <v/>
      </c>
      <c r="O332" s="41">
        <f>IFERROR((1+H332)/(1+J332)-1,"")</f>
        <v/>
      </c>
      <c r="P332" s="39">
        <f>IFERROR(B332*0.0099502487562189+P331*(1-0.0099502487562189),"")</f>
        <v/>
      </c>
      <c r="Q332" s="42">
        <f>Q331*(1+E332)</f>
        <v/>
      </c>
      <c r="R332" s="42">
        <f>MAX(R331,Q332)</f>
        <v/>
      </c>
      <c r="S332" s="41">
        <f>IFERROR(Q332/R332-1,"")</f>
        <v/>
      </c>
      <c r="T332" s="41">
        <f>IFERROR(_xlfn.STDEV.S(E273:E332)*SQRT($D$7),"")</f>
        <v/>
      </c>
      <c r="U332" s="41">
        <f>IFERROR(MIN(E332-$D$6,0),"")</f>
        <v/>
      </c>
      <c r="V332" s="41">
        <f>IFERROR(E332-F332,"")</f>
        <v/>
      </c>
      <c r="W332" s="39">
        <f>B332</f>
        <v/>
      </c>
      <c r="X332" s="21" t="n"/>
    </row>
    <row r="333">
      <c r="A333" s="38" t="n">
        <v>45421</v>
      </c>
      <c r="B333" s="39" t="n">
        <v>270.69</v>
      </c>
      <c r="C333" s="39" t="n">
        <v>520.17</v>
      </c>
      <c r="D333" s="39" t="n">
        <v>45.865</v>
      </c>
      <c r="E333" s="41">
        <f>IFERROR(B333/B332-1,"")</f>
        <v/>
      </c>
      <c r="F333" s="41">
        <f>IFERROR(C333/C332-1,"")</f>
        <v/>
      </c>
      <c r="G333" s="41">
        <f>IFERROR(D333/D332-1,"")</f>
        <v/>
      </c>
      <c r="H333" s="41">
        <f>IFERROR((1+E333)*(1+H332)-1,"")</f>
        <v/>
      </c>
      <c r="I333" s="41">
        <f>IFERROR((1+F333)*(1+I332)-1,"")</f>
        <v/>
      </c>
      <c r="J333" s="41">
        <f>IFERROR((1+G333)*(1+J332)-1,"")</f>
        <v/>
      </c>
      <c r="K333" s="42">
        <f>IFERROR(B333/$B$36*100,"")</f>
        <v/>
      </c>
      <c r="L333" s="42">
        <f>IFERROR(C333/$C$36*100,"")</f>
        <v/>
      </c>
      <c r="M333" s="42">
        <f>IFERROR(D333/$D$36*100,"")</f>
        <v/>
      </c>
      <c r="N333" s="41">
        <f>IFERROR((1+H333)/(1+I333)-1,"")</f>
        <v/>
      </c>
      <c r="O333" s="41">
        <f>IFERROR((1+H333)/(1+J333)-1,"")</f>
        <v/>
      </c>
      <c r="P333" s="39">
        <f>IFERROR(B333*0.0099502487562189+P332*(1-0.0099502487562189),"")</f>
        <v/>
      </c>
      <c r="Q333" s="42">
        <f>Q332*(1+E333)</f>
        <v/>
      </c>
      <c r="R333" s="42">
        <f>MAX(R332,Q333)</f>
        <v/>
      </c>
      <c r="S333" s="41">
        <f>IFERROR(Q333/R333-1,"")</f>
        <v/>
      </c>
      <c r="T333" s="41">
        <f>IFERROR(_xlfn.STDEV.S(E274:E333)*SQRT($D$7),"")</f>
        <v/>
      </c>
      <c r="U333" s="41">
        <f>IFERROR(MIN(E333-$D$6,0),"")</f>
        <v/>
      </c>
      <c r="V333" s="41">
        <f>IFERROR(E333-F333,"")</f>
        <v/>
      </c>
      <c r="W333" s="39">
        <f>B333</f>
        <v/>
      </c>
      <c r="X333" s="21" t="n"/>
    </row>
    <row r="334">
      <c r="A334" s="38" t="n">
        <v>45422</v>
      </c>
      <c r="B334" s="39" t="n">
        <v>272.07</v>
      </c>
      <c r="C334" s="39" t="n">
        <v>520.84</v>
      </c>
      <c r="D334" s="39" t="n">
        <v>45.92</v>
      </c>
      <c r="E334" s="41">
        <f>IFERROR(B334/B333-1,"")</f>
        <v/>
      </c>
      <c r="F334" s="41">
        <f>IFERROR(C334/C333-1,"")</f>
        <v/>
      </c>
      <c r="G334" s="41">
        <f>IFERROR(D334/D333-1,"")</f>
        <v/>
      </c>
      <c r="H334" s="41">
        <f>IFERROR((1+E334)*(1+H333)-1,"")</f>
        <v/>
      </c>
      <c r="I334" s="41">
        <f>IFERROR((1+F334)*(1+I333)-1,"")</f>
        <v/>
      </c>
      <c r="J334" s="41">
        <f>IFERROR((1+G334)*(1+J333)-1,"")</f>
        <v/>
      </c>
      <c r="K334" s="42">
        <f>IFERROR(B334/$B$36*100,"")</f>
        <v/>
      </c>
      <c r="L334" s="42">
        <f>IFERROR(C334/$C$36*100,"")</f>
        <v/>
      </c>
      <c r="M334" s="42">
        <f>IFERROR(D334/$D$36*100,"")</f>
        <v/>
      </c>
      <c r="N334" s="41">
        <f>IFERROR((1+H334)/(1+I334)-1,"")</f>
        <v/>
      </c>
      <c r="O334" s="41">
        <f>IFERROR((1+H334)/(1+J334)-1,"")</f>
        <v/>
      </c>
      <c r="P334" s="39">
        <f>IFERROR(B334*0.0099502487562189+P333*(1-0.0099502487562189),"")</f>
        <v/>
      </c>
      <c r="Q334" s="42">
        <f>Q333*(1+E334)</f>
        <v/>
      </c>
      <c r="R334" s="42">
        <f>MAX(R333,Q334)</f>
        <v/>
      </c>
      <c r="S334" s="41">
        <f>IFERROR(Q334/R334-1,"")</f>
        <v/>
      </c>
      <c r="T334" s="41">
        <f>IFERROR(_xlfn.STDEV.S(E275:E334)*SQRT($D$7),"")</f>
        <v/>
      </c>
      <c r="U334" s="41">
        <f>IFERROR(MIN(E334-$D$6,0),"")</f>
        <v/>
      </c>
      <c r="V334" s="41">
        <f>IFERROR(E334-F334,"")</f>
        <v/>
      </c>
      <c r="W334" s="39">
        <f>B334</f>
        <v/>
      </c>
      <c r="X334" s="21" t="n"/>
    </row>
    <row r="335">
      <c r="A335" s="38" t="n">
        <v>45425</v>
      </c>
      <c r="B335" s="39" t="n">
        <v>270.09</v>
      </c>
      <c r="C335" s="39" t="n">
        <v>520.91</v>
      </c>
      <c r="D335" s="39" t="n">
        <v>45.89</v>
      </c>
      <c r="E335" s="41">
        <f>IFERROR(B335/B334-1,"")</f>
        <v/>
      </c>
      <c r="F335" s="41">
        <f>IFERROR(C335/C334-1,"")</f>
        <v/>
      </c>
      <c r="G335" s="41">
        <f>IFERROR(D335/D334-1,"")</f>
        <v/>
      </c>
      <c r="H335" s="41">
        <f>IFERROR((1+E335)*(1+H334)-1,"")</f>
        <v/>
      </c>
      <c r="I335" s="41">
        <f>IFERROR((1+F335)*(1+I334)-1,"")</f>
        <v/>
      </c>
      <c r="J335" s="41">
        <f>IFERROR((1+G335)*(1+J334)-1,"")</f>
        <v/>
      </c>
      <c r="K335" s="42">
        <f>IFERROR(B335/$B$36*100,"")</f>
        <v/>
      </c>
      <c r="L335" s="42">
        <f>IFERROR(C335/$C$36*100,"")</f>
        <v/>
      </c>
      <c r="M335" s="42">
        <f>IFERROR(D335/$D$36*100,"")</f>
        <v/>
      </c>
      <c r="N335" s="41">
        <f>IFERROR((1+H335)/(1+I335)-1,"")</f>
        <v/>
      </c>
      <c r="O335" s="41">
        <f>IFERROR((1+H335)/(1+J335)-1,"")</f>
        <v/>
      </c>
      <c r="P335" s="39">
        <f>IFERROR(B335*0.0099502487562189+P334*(1-0.0099502487562189),"")</f>
        <v/>
      </c>
      <c r="Q335" s="42">
        <f>Q334*(1+E335)</f>
        <v/>
      </c>
      <c r="R335" s="42">
        <f>MAX(R334,Q335)</f>
        <v/>
      </c>
      <c r="S335" s="41">
        <f>IFERROR(Q335/R335-1,"")</f>
        <v/>
      </c>
      <c r="T335" s="41">
        <f>IFERROR(_xlfn.STDEV.S(E276:E335)*SQRT($D$7),"")</f>
        <v/>
      </c>
      <c r="U335" s="41">
        <f>IFERROR(MIN(E335-$D$6,0),"")</f>
        <v/>
      </c>
      <c r="V335" s="41">
        <f>IFERROR(E335-F335,"")</f>
        <v/>
      </c>
      <c r="W335" s="39">
        <f>B335</f>
        <v/>
      </c>
      <c r="X335" s="21" t="n"/>
    </row>
    <row r="336">
      <c r="A336" s="38" t="n">
        <v>45426</v>
      </c>
      <c r="B336" s="39" t="n">
        <v>267.75</v>
      </c>
      <c r="C336" s="39" t="n">
        <v>523.3</v>
      </c>
      <c r="D336" s="39" t="n">
        <v>45.935</v>
      </c>
      <c r="E336" s="41">
        <f>IFERROR(B336/B335-1,"")</f>
        <v/>
      </c>
      <c r="F336" s="41">
        <f>IFERROR(C336/C335-1,"")</f>
        <v/>
      </c>
      <c r="G336" s="41">
        <f>IFERROR(D336/D335-1,"")</f>
        <v/>
      </c>
      <c r="H336" s="41">
        <f>IFERROR((1+E336)*(1+H335)-1,"")</f>
        <v/>
      </c>
      <c r="I336" s="41">
        <f>IFERROR((1+F336)*(1+I335)-1,"")</f>
        <v/>
      </c>
      <c r="J336" s="41">
        <f>IFERROR((1+G336)*(1+J335)-1,"")</f>
        <v/>
      </c>
      <c r="K336" s="42">
        <f>IFERROR(B336/$B$36*100,"")</f>
        <v/>
      </c>
      <c r="L336" s="42">
        <f>IFERROR(C336/$C$36*100,"")</f>
        <v/>
      </c>
      <c r="M336" s="42">
        <f>IFERROR(D336/$D$36*100,"")</f>
        <v/>
      </c>
      <c r="N336" s="41">
        <f>IFERROR((1+H336)/(1+I336)-1,"")</f>
        <v/>
      </c>
      <c r="O336" s="41">
        <f>IFERROR((1+H336)/(1+J336)-1,"")</f>
        <v/>
      </c>
      <c r="P336" s="39">
        <f>IFERROR(B336*0.0099502487562189+P335*(1-0.0099502487562189),"")</f>
        <v/>
      </c>
      <c r="Q336" s="42">
        <f>Q335*(1+E336)</f>
        <v/>
      </c>
      <c r="R336" s="42">
        <f>MAX(R335,Q336)</f>
        <v/>
      </c>
      <c r="S336" s="41">
        <f>IFERROR(Q336/R336-1,"")</f>
        <v/>
      </c>
      <c r="T336" s="41">
        <f>IFERROR(_xlfn.STDEV.S(E277:E336)*SQRT($D$7),"")</f>
        <v/>
      </c>
      <c r="U336" s="41">
        <f>IFERROR(MIN(E336-$D$6,0),"")</f>
        <v/>
      </c>
      <c r="V336" s="41">
        <f>IFERROR(E336-F336,"")</f>
        <v/>
      </c>
      <c r="W336" s="39">
        <f>B336</f>
        <v/>
      </c>
      <c r="X336" s="21" t="n"/>
    </row>
    <row r="337">
      <c r="A337" s="38" t="n">
        <v>45427</v>
      </c>
      <c r="B337" s="39" t="n">
        <v>270.5</v>
      </c>
      <c r="C337" s="39" t="n">
        <v>529.78</v>
      </c>
      <c r="D337" s="39" t="n">
        <v>46.015</v>
      </c>
      <c r="E337" s="41">
        <f>IFERROR(B337/B336-1,"")</f>
        <v/>
      </c>
      <c r="F337" s="41">
        <f>IFERROR(C337/C336-1,"")</f>
        <v/>
      </c>
      <c r="G337" s="41">
        <f>IFERROR(D337/D336-1,"")</f>
        <v/>
      </c>
      <c r="H337" s="41">
        <f>IFERROR((1+E337)*(1+H336)-1,"")</f>
        <v/>
      </c>
      <c r="I337" s="41">
        <f>IFERROR((1+F337)*(1+I336)-1,"")</f>
        <v/>
      </c>
      <c r="J337" s="41">
        <f>IFERROR((1+G337)*(1+J336)-1,"")</f>
        <v/>
      </c>
      <c r="K337" s="42">
        <f>IFERROR(B337/$B$36*100,"")</f>
        <v/>
      </c>
      <c r="L337" s="42">
        <f>IFERROR(C337/$C$36*100,"")</f>
        <v/>
      </c>
      <c r="M337" s="42">
        <f>IFERROR(D337/$D$36*100,"")</f>
        <v/>
      </c>
      <c r="N337" s="41">
        <f>IFERROR((1+H337)/(1+I337)-1,"")</f>
        <v/>
      </c>
      <c r="O337" s="41">
        <f>IFERROR((1+H337)/(1+J337)-1,"")</f>
        <v/>
      </c>
      <c r="P337" s="39">
        <f>IFERROR(B337*0.0099502487562189+P336*(1-0.0099502487562189),"")</f>
        <v/>
      </c>
      <c r="Q337" s="42">
        <f>Q336*(1+E337)</f>
        <v/>
      </c>
      <c r="R337" s="42">
        <f>MAX(R336,Q337)</f>
        <v/>
      </c>
      <c r="S337" s="41">
        <f>IFERROR(Q337/R337-1,"")</f>
        <v/>
      </c>
      <c r="T337" s="41">
        <f>IFERROR(_xlfn.STDEV.S(E278:E337)*SQRT($D$7),"")</f>
        <v/>
      </c>
      <c r="U337" s="41">
        <f>IFERROR(MIN(E337-$D$6,0),"")</f>
        <v/>
      </c>
      <c r="V337" s="41">
        <f>IFERROR(E337-F337,"")</f>
        <v/>
      </c>
      <c r="W337" s="39">
        <f>B337</f>
        <v/>
      </c>
      <c r="X337" s="21" t="n"/>
    </row>
    <row r="338">
      <c r="A338" s="38" t="n">
        <v>45428</v>
      </c>
      <c r="B338" s="39" t="n">
        <v>260</v>
      </c>
      <c r="C338" s="39" t="n">
        <v>528.6900000000001</v>
      </c>
      <c r="D338" s="39" t="n">
        <v>45.685</v>
      </c>
      <c r="E338" s="41">
        <f>IFERROR(B338/B337-1,"")</f>
        <v/>
      </c>
      <c r="F338" s="41">
        <f>IFERROR(C338/C337-1,"")</f>
        <v/>
      </c>
      <c r="G338" s="41">
        <f>IFERROR(D338/D337-1,"")</f>
        <v/>
      </c>
      <c r="H338" s="41">
        <f>IFERROR((1+E338)*(1+H337)-1,"")</f>
        <v/>
      </c>
      <c r="I338" s="41">
        <f>IFERROR((1+F338)*(1+I337)-1,"")</f>
        <v/>
      </c>
      <c r="J338" s="41">
        <f>IFERROR((1+G338)*(1+J337)-1,"")</f>
        <v/>
      </c>
      <c r="K338" s="42">
        <f>IFERROR(B338/$B$36*100,"")</f>
        <v/>
      </c>
      <c r="L338" s="42">
        <f>IFERROR(C338/$C$36*100,"")</f>
        <v/>
      </c>
      <c r="M338" s="42">
        <f>IFERROR(D338/$D$36*100,"")</f>
        <v/>
      </c>
      <c r="N338" s="41">
        <f>IFERROR((1+H338)/(1+I338)-1,"")</f>
        <v/>
      </c>
      <c r="O338" s="41">
        <f>IFERROR((1+H338)/(1+J338)-1,"")</f>
        <v/>
      </c>
      <c r="P338" s="39">
        <f>IFERROR(B338*0.0099502487562189+P337*(1-0.0099502487562189),"")</f>
        <v/>
      </c>
      <c r="Q338" s="42">
        <f>Q337*(1+E338)</f>
        <v/>
      </c>
      <c r="R338" s="42">
        <f>MAX(R337,Q338)</f>
        <v/>
      </c>
      <c r="S338" s="41">
        <f>IFERROR(Q338/R338-1,"")</f>
        <v/>
      </c>
      <c r="T338" s="41">
        <f>IFERROR(_xlfn.STDEV.S(E279:E338)*SQRT($D$7),"")</f>
        <v/>
      </c>
      <c r="U338" s="41">
        <f>IFERROR(MIN(E338-$D$6,0),"")</f>
        <v/>
      </c>
      <c r="V338" s="41">
        <f>IFERROR(E338-F338,"")</f>
        <v/>
      </c>
      <c r="W338" s="39">
        <f>B338</f>
        <v/>
      </c>
      <c r="X338" s="21" t="n"/>
    </row>
    <row r="339">
      <c r="A339" s="38" t="n">
        <v>45429</v>
      </c>
      <c r="B339" s="39" t="n">
        <v>259.1</v>
      </c>
      <c r="C339" s="39" t="n">
        <v>529.45</v>
      </c>
      <c r="D339" s="39" t="n">
        <v>46.075</v>
      </c>
      <c r="E339" s="41">
        <f>IFERROR(B339/B338-1,"")</f>
        <v/>
      </c>
      <c r="F339" s="41">
        <f>IFERROR(C339/C338-1,"")</f>
        <v/>
      </c>
      <c r="G339" s="41">
        <f>IFERROR(D339/D338-1,"")</f>
        <v/>
      </c>
      <c r="H339" s="41">
        <f>IFERROR((1+E339)*(1+H338)-1,"")</f>
        <v/>
      </c>
      <c r="I339" s="41">
        <f>IFERROR((1+F339)*(1+I338)-1,"")</f>
        <v/>
      </c>
      <c r="J339" s="41">
        <f>IFERROR((1+G339)*(1+J338)-1,"")</f>
        <v/>
      </c>
      <c r="K339" s="42">
        <f>IFERROR(B339/$B$36*100,"")</f>
        <v/>
      </c>
      <c r="L339" s="42">
        <f>IFERROR(C339/$C$36*100,"")</f>
        <v/>
      </c>
      <c r="M339" s="42">
        <f>IFERROR(D339/$D$36*100,"")</f>
        <v/>
      </c>
      <c r="N339" s="41">
        <f>IFERROR((1+H339)/(1+I339)-1,"")</f>
        <v/>
      </c>
      <c r="O339" s="41">
        <f>IFERROR((1+H339)/(1+J339)-1,"")</f>
        <v/>
      </c>
      <c r="P339" s="39">
        <f>IFERROR(B339*0.0099502487562189+P338*(1-0.0099502487562189),"")</f>
        <v/>
      </c>
      <c r="Q339" s="42">
        <f>Q338*(1+E339)</f>
        <v/>
      </c>
      <c r="R339" s="42">
        <f>MAX(R338,Q339)</f>
        <v/>
      </c>
      <c r="S339" s="41">
        <f>IFERROR(Q339/R339-1,"")</f>
        <v/>
      </c>
      <c r="T339" s="41">
        <f>IFERROR(_xlfn.STDEV.S(E280:E339)*SQRT($D$7),"")</f>
        <v/>
      </c>
      <c r="U339" s="41">
        <f>IFERROR(MIN(E339-$D$6,0),"")</f>
        <v/>
      </c>
      <c r="V339" s="41">
        <f>IFERROR(E339-F339,"")</f>
        <v/>
      </c>
      <c r="W339" s="39">
        <f>B339</f>
        <v/>
      </c>
      <c r="X339" s="21" t="n"/>
    </row>
    <row r="340">
      <c r="A340" s="38" t="n">
        <v>45432</v>
      </c>
      <c r="B340" s="39" t="n">
        <v>260.21</v>
      </c>
      <c r="C340" s="39" t="n">
        <v>530.0599999999999</v>
      </c>
      <c r="D340" s="39" t="n">
        <v>46.14</v>
      </c>
      <c r="E340" s="41">
        <f>IFERROR(B340/B339-1,"")</f>
        <v/>
      </c>
      <c r="F340" s="41">
        <f>IFERROR(C340/C339-1,"")</f>
        <v/>
      </c>
      <c r="G340" s="41">
        <f>IFERROR(D340/D339-1,"")</f>
        <v/>
      </c>
      <c r="H340" s="41">
        <f>IFERROR((1+E340)*(1+H339)-1,"")</f>
        <v/>
      </c>
      <c r="I340" s="41">
        <f>IFERROR((1+F340)*(1+I339)-1,"")</f>
        <v/>
      </c>
      <c r="J340" s="41">
        <f>IFERROR((1+G340)*(1+J339)-1,"")</f>
        <v/>
      </c>
      <c r="K340" s="42">
        <f>IFERROR(B340/$B$36*100,"")</f>
        <v/>
      </c>
      <c r="L340" s="42">
        <f>IFERROR(C340/$C$36*100,"")</f>
        <v/>
      </c>
      <c r="M340" s="42">
        <f>IFERROR(D340/$D$36*100,"")</f>
        <v/>
      </c>
      <c r="N340" s="41">
        <f>IFERROR((1+H340)/(1+I340)-1,"")</f>
        <v/>
      </c>
      <c r="O340" s="41">
        <f>IFERROR((1+H340)/(1+J340)-1,"")</f>
        <v/>
      </c>
      <c r="P340" s="39">
        <f>IFERROR(B340*0.0099502487562189+P339*(1-0.0099502487562189),"")</f>
        <v/>
      </c>
      <c r="Q340" s="42">
        <f>Q339*(1+E340)</f>
        <v/>
      </c>
      <c r="R340" s="42">
        <f>MAX(R339,Q340)</f>
        <v/>
      </c>
      <c r="S340" s="41">
        <f>IFERROR(Q340/R340-1,"")</f>
        <v/>
      </c>
      <c r="T340" s="41">
        <f>IFERROR(_xlfn.STDEV.S(E281:E340)*SQRT($D$7),"")</f>
        <v/>
      </c>
      <c r="U340" s="41">
        <f>IFERROR(MIN(E340-$D$6,0),"")</f>
        <v/>
      </c>
      <c r="V340" s="41">
        <f>IFERROR(E340-F340,"")</f>
        <v/>
      </c>
      <c r="W340" s="39">
        <f>B340</f>
        <v/>
      </c>
      <c r="X340" s="21" t="n"/>
    </row>
    <row r="341">
      <c r="A341" s="38" t="n">
        <v>45433</v>
      </c>
      <c r="B341" s="39" t="n">
        <v>262.18</v>
      </c>
      <c r="C341" s="39" t="n">
        <v>531.36</v>
      </c>
      <c r="D341" s="39" t="n">
        <v>46.14</v>
      </c>
      <c r="E341" s="41">
        <f>IFERROR(B341/B340-1,"")</f>
        <v/>
      </c>
      <c r="F341" s="41">
        <f>IFERROR(C341/C340-1,"")</f>
        <v/>
      </c>
      <c r="G341" s="41">
        <f>IFERROR(D341/D340-1,"")</f>
        <v/>
      </c>
      <c r="H341" s="41">
        <f>IFERROR((1+E341)*(1+H340)-1,"")</f>
        <v/>
      </c>
      <c r="I341" s="41">
        <f>IFERROR((1+F341)*(1+I340)-1,"")</f>
        <v/>
      </c>
      <c r="J341" s="41">
        <f>IFERROR((1+G341)*(1+J340)-1,"")</f>
        <v/>
      </c>
      <c r="K341" s="42">
        <f>IFERROR(B341/$B$36*100,"")</f>
        <v/>
      </c>
      <c r="L341" s="42">
        <f>IFERROR(C341/$C$36*100,"")</f>
        <v/>
      </c>
      <c r="M341" s="42">
        <f>IFERROR(D341/$D$36*100,"")</f>
        <v/>
      </c>
      <c r="N341" s="41">
        <f>IFERROR((1+H341)/(1+I341)-1,"")</f>
        <v/>
      </c>
      <c r="O341" s="41">
        <f>IFERROR((1+H341)/(1+J341)-1,"")</f>
        <v/>
      </c>
      <c r="P341" s="39">
        <f>IFERROR(B341*0.0099502487562189+P340*(1-0.0099502487562189),"")</f>
        <v/>
      </c>
      <c r="Q341" s="42">
        <f>Q340*(1+E341)</f>
        <v/>
      </c>
      <c r="R341" s="42">
        <f>MAX(R340,Q341)</f>
        <v/>
      </c>
      <c r="S341" s="41">
        <f>IFERROR(Q341/R341-1,"")</f>
        <v/>
      </c>
      <c r="T341" s="41">
        <f>IFERROR(_xlfn.STDEV.S(E282:E341)*SQRT($D$7),"")</f>
        <v/>
      </c>
      <c r="U341" s="41">
        <f>IFERROR(MIN(E341-$D$6,0),"")</f>
        <v/>
      </c>
      <c r="V341" s="41">
        <f>IFERROR(E341-F341,"")</f>
        <v/>
      </c>
      <c r="W341" s="39">
        <f>B341</f>
        <v/>
      </c>
      <c r="X341" s="21" t="n"/>
    </row>
    <row r="342">
      <c r="A342" s="38" t="n">
        <v>45434</v>
      </c>
      <c r="B342" s="39" t="n">
        <v>260.87</v>
      </c>
      <c r="C342" s="39" t="n">
        <v>529.83</v>
      </c>
      <c r="D342" s="39" t="n">
        <v>45.69</v>
      </c>
      <c r="E342" s="41">
        <f>IFERROR(B342/B341-1,"")</f>
        <v/>
      </c>
      <c r="F342" s="41">
        <f>IFERROR(C342/C341-1,"")</f>
        <v/>
      </c>
      <c r="G342" s="41">
        <f>IFERROR(D342/D341-1,"")</f>
        <v/>
      </c>
      <c r="H342" s="41">
        <f>IFERROR((1+E342)*(1+H341)-1,"")</f>
        <v/>
      </c>
      <c r="I342" s="41">
        <f>IFERROR((1+F342)*(1+I341)-1,"")</f>
        <v/>
      </c>
      <c r="J342" s="41">
        <f>IFERROR((1+G342)*(1+J341)-1,"")</f>
        <v/>
      </c>
      <c r="K342" s="42">
        <f>IFERROR(B342/$B$36*100,"")</f>
        <v/>
      </c>
      <c r="L342" s="42">
        <f>IFERROR(C342/$C$36*100,"")</f>
        <v/>
      </c>
      <c r="M342" s="42">
        <f>IFERROR(D342/$D$36*100,"")</f>
        <v/>
      </c>
      <c r="N342" s="41">
        <f>IFERROR((1+H342)/(1+I342)-1,"")</f>
        <v/>
      </c>
      <c r="O342" s="41">
        <f>IFERROR((1+H342)/(1+J342)-1,"")</f>
        <v/>
      </c>
      <c r="P342" s="39">
        <f>IFERROR(B342*0.0099502487562189+P341*(1-0.0099502487562189),"")</f>
        <v/>
      </c>
      <c r="Q342" s="42">
        <f>Q341*(1+E342)</f>
        <v/>
      </c>
      <c r="R342" s="42">
        <f>MAX(R341,Q342)</f>
        <v/>
      </c>
      <c r="S342" s="41">
        <f>IFERROR(Q342/R342-1,"")</f>
        <v/>
      </c>
      <c r="T342" s="41">
        <f>IFERROR(_xlfn.STDEV.S(E283:E342)*SQRT($D$7),"")</f>
        <v/>
      </c>
      <c r="U342" s="41">
        <f>IFERROR(MIN(E342-$D$6,0),"")</f>
        <v/>
      </c>
      <c r="V342" s="41">
        <f>IFERROR(E342-F342,"")</f>
        <v/>
      </c>
      <c r="W342" s="39">
        <f>B342</f>
        <v/>
      </c>
      <c r="X342" s="21" t="n"/>
    </row>
    <row r="343">
      <c r="A343" s="38" t="n">
        <v>45435</v>
      </c>
      <c r="B343" s="39" t="n">
        <v>257.21</v>
      </c>
      <c r="C343" s="39" t="n">
        <v>525.96</v>
      </c>
      <c r="D343" s="39" t="n">
        <v>45.285</v>
      </c>
      <c r="E343" s="41">
        <f>IFERROR(B343/B342-1,"")</f>
        <v/>
      </c>
      <c r="F343" s="41">
        <f>IFERROR(C343/C342-1,"")</f>
        <v/>
      </c>
      <c r="G343" s="41">
        <f>IFERROR(D343/D342-1,"")</f>
        <v/>
      </c>
      <c r="H343" s="41">
        <f>IFERROR((1+E343)*(1+H342)-1,"")</f>
        <v/>
      </c>
      <c r="I343" s="41">
        <f>IFERROR((1+F343)*(1+I342)-1,"")</f>
        <v/>
      </c>
      <c r="J343" s="41">
        <f>IFERROR((1+G343)*(1+J342)-1,"")</f>
        <v/>
      </c>
      <c r="K343" s="42">
        <f>IFERROR(B343/$B$36*100,"")</f>
        <v/>
      </c>
      <c r="L343" s="42">
        <f>IFERROR(C343/$C$36*100,"")</f>
        <v/>
      </c>
      <c r="M343" s="42">
        <f>IFERROR(D343/$D$36*100,"")</f>
        <v/>
      </c>
      <c r="N343" s="41">
        <f>IFERROR((1+H343)/(1+I343)-1,"")</f>
        <v/>
      </c>
      <c r="O343" s="41">
        <f>IFERROR((1+H343)/(1+J343)-1,"")</f>
        <v/>
      </c>
      <c r="P343" s="39">
        <f>IFERROR(B343*0.0099502487562189+P342*(1-0.0099502487562189),"")</f>
        <v/>
      </c>
      <c r="Q343" s="42">
        <f>Q342*(1+E343)</f>
        <v/>
      </c>
      <c r="R343" s="42">
        <f>MAX(R342,Q343)</f>
        <v/>
      </c>
      <c r="S343" s="41">
        <f>IFERROR(Q343/R343-1,"")</f>
        <v/>
      </c>
      <c r="T343" s="41">
        <f>IFERROR(_xlfn.STDEV.S(E284:E343)*SQRT($D$7),"")</f>
        <v/>
      </c>
      <c r="U343" s="41">
        <f>IFERROR(MIN(E343-$D$6,0),"")</f>
        <v/>
      </c>
      <c r="V343" s="41">
        <f>IFERROR(E343-F343,"")</f>
        <v/>
      </c>
      <c r="W343" s="39">
        <f>B343</f>
        <v/>
      </c>
      <c r="X343" s="21" t="n"/>
    </row>
    <row r="344">
      <c r="A344" s="38" t="n">
        <v>45436</v>
      </c>
      <c r="B344" s="39" t="n">
        <v>259.25</v>
      </c>
      <c r="C344" s="39" t="n">
        <v>529.4400000000001</v>
      </c>
      <c r="D344" s="39" t="n">
        <v>45.68</v>
      </c>
      <c r="E344" s="41">
        <f>IFERROR(B344/B343-1,"")</f>
        <v/>
      </c>
      <c r="F344" s="41">
        <f>IFERROR(C344/C343-1,"")</f>
        <v/>
      </c>
      <c r="G344" s="41">
        <f>IFERROR(D344/D343-1,"")</f>
        <v/>
      </c>
      <c r="H344" s="41">
        <f>IFERROR((1+E344)*(1+H343)-1,"")</f>
        <v/>
      </c>
      <c r="I344" s="41">
        <f>IFERROR((1+F344)*(1+I343)-1,"")</f>
        <v/>
      </c>
      <c r="J344" s="41">
        <f>IFERROR((1+G344)*(1+J343)-1,"")</f>
        <v/>
      </c>
      <c r="K344" s="42">
        <f>IFERROR(B344/$B$36*100,"")</f>
        <v/>
      </c>
      <c r="L344" s="42">
        <f>IFERROR(C344/$C$36*100,"")</f>
        <v/>
      </c>
      <c r="M344" s="42">
        <f>IFERROR(D344/$D$36*100,"")</f>
        <v/>
      </c>
      <c r="N344" s="41">
        <f>IFERROR((1+H344)/(1+I344)-1,"")</f>
        <v/>
      </c>
      <c r="O344" s="41">
        <f>IFERROR((1+H344)/(1+J344)-1,"")</f>
        <v/>
      </c>
      <c r="P344" s="39">
        <f>IFERROR(B344*0.0099502487562189+P343*(1-0.0099502487562189),"")</f>
        <v/>
      </c>
      <c r="Q344" s="42">
        <f>Q343*(1+E344)</f>
        <v/>
      </c>
      <c r="R344" s="42">
        <f>MAX(R343,Q344)</f>
        <v/>
      </c>
      <c r="S344" s="41">
        <f>IFERROR(Q344/R344-1,"")</f>
        <v/>
      </c>
      <c r="T344" s="41">
        <f>IFERROR(_xlfn.STDEV.S(E285:E344)*SQRT($D$7),"")</f>
        <v/>
      </c>
      <c r="U344" s="41">
        <f>IFERROR(MIN(E344-$D$6,0),"")</f>
        <v/>
      </c>
      <c r="V344" s="41">
        <f>IFERROR(E344-F344,"")</f>
        <v/>
      </c>
      <c r="W344" s="39">
        <f>B344</f>
        <v/>
      </c>
      <c r="X344" s="21" t="n"/>
    </row>
    <row r="345">
      <c r="A345" s="38" t="n">
        <v>45440</v>
      </c>
      <c r="B345" s="39" t="n">
        <v>253.98</v>
      </c>
      <c r="C345" s="39" t="n">
        <v>529.8099999999999</v>
      </c>
      <c r="D345" s="39" t="n">
        <v>45.505</v>
      </c>
      <c r="E345" s="41">
        <f>IFERROR(B345/B344-1,"")</f>
        <v/>
      </c>
      <c r="F345" s="41">
        <f>IFERROR(C345/C344-1,"")</f>
        <v/>
      </c>
      <c r="G345" s="41">
        <f>IFERROR(D345/D344-1,"")</f>
        <v/>
      </c>
      <c r="H345" s="41">
        <f>IFERROR((1+E345)*(1+H344)-1,"")</f>
        <v/>
      </c>
      <c r="I345" s="41">
        <f>IFERROR((1+F345)*(1+I344)-1,"")</f>
        <v/>
      </c>
      <c r="J345" s="41">
        <f>IFERROR((1+G345)*(1+J344)-1,"")</f>
        <v/>
      </c>
      <c r="K345" s="42">
        <f>IFERROR(B345/$B$36*100,"")</f>
        <v/>
      </c>
      <c r="L345" s="42">
        <f>IFERROR(C345/$C$36*100,"")</f>
        <v/>
      </c>
      <c r="M345" s="42">
        <f>IFERROR(D345/$D$36*100,"")</f>
        <v/>
      </c>
      <c r="N345" s="41">
        <f>IFERROR((1+H345)/(1+I345)-1,"")</f>
        <v/>
      </c>
      <c r="O345" s="41">
        <f>IFERROR((1+H345)/(1+J345)-1,"")</f>
        <v/>
      </c>
      <c r="P345" s="39">
        <f>IFERROR(B345*0.0099502487562189+P344*(1-0.0099502487562189),"")</f>
        <v/>
      </c>
      <c r="Q345" s="42">
        <f>Q344*(1+E345)</f>
        <v/>
      </c>
      <c r="R345" s="42">
        <f>MAX(R344,Q345)</f>
        <v/>
      </c>
      <c r="S345" s="41">
        <f>IFERROR(Q345/R345-1,"")</f>
        <v/>
      </c>
      <c r="T345" s="41">
        <f>IFERROR(_xlfn.STDEV.S(E286:E345)*SQRT($D$7),"")</f>
        <v/>
      </c>
      <c r="U345" s="41">
        <f>IFERROR(MIN(E345-$D$6,0),"")</f>
        <v/>
      </c>
      <c r="V345" s="41">
        <f>IFERROR(E345-F345,"")</f>
        <v/>
      </c>
      <c r="W345" s="39">
        <f>B345</f>
        <v/>
      </c>
      <c r="X345" s="21" t="n"/>
    </row>
    <row r="346">
      <c r="A346" s="38" t="n">
        <v>45441</v>
      </c>
      <c r="B346" s="39" t="n">
        <v>251.91</v>
      </c>
      <c r="C346" s="39" t="n">
        <v>526.1</v>
      </c>
      <c r="D346" s="39" t="n">
        <v>44.855</v>
      </c>
      <c r="E346" s="41">
        <f>IFERROR(B346/B345-1,"")</f>
        <v/>
      </c>
      <c r="F346" s="41">
        <f>IFERROR(C346/C345-1,"")</f>
        <v/>
      </c>
      <c r="G346" s="41">
        <f>IFERROR(D346/D345-1,"")</f>
        <v/>
      </c>
      <c r="H346" s="41">
        <f>IFERROR((1+E346)*(1+H345)-1,"")</f>
        <v/>
      </c>
      <c r="I346" s="41">
        <f>IFERROR((1+F346)*(1+I345)-1,"")</f>
        <v/>
      </c>
      <c r="J346" s="41">
        <f>IFERROR((1+G346)*(1+J345)-1,"")</f>
        <v/>
      </c>
      <c r="K346" s="42">
        <f>IFERROR(B346/$B$36*100,"")</f>
        <v/>
      </c>
      <c r="L346" s="42">
        <f>IFERROR(C346/$C$36*100,"")</f>
        <v/>
      </c>
      <c r="M346" s="42">
        <f>IFERROR(D346/$D$36*100,"")</f>
        <v/>
      </c>
      <c r="N346" s="41">
        <f>IFERROR((1+H346)/(1+I346)-1,"")</f>
        <v/>
      </c>
      <c r="O346" s="41">
        <f>IFERROR((1+H346)/(1+J346)-1,"")</f>
        <v/>
      </c>
      <c r="P346" s="39">
        <f>IFERROR(B346*0.0099502487562189+P345*(1-0.0099502487562189),"")</f>
        <v/>
      </c>
      <c r="Q346" s="42">
        <f>Q345*(1+E346)</f>
        <v/>
      </c>
      <c r="R346" s="42">
        <f>MAX(R345,Q346)</f>
        <v/>
      </c>
      <c r="S346" s="41">
        <f>IFERROR(Q346/R346-1,"")</f>
        <v/>
      </c>
      <c r="T346" s="41">
        <f>IFERROR(_xlfn.STDEV.S(E287:E346)*SQRT($D$7),"")</f>
        <v/>
      </c>
      <c r="U346" s="41">
        <f>IFERROR(MIN(E346-$D$6,0),"")</f>
        <v/>
      </c>
      <c r="V346" s="41">
        <f>IFERROR(E346-F346,"")</f>
        <v/>
      </c>
      <c r="W346" s="39">
        <f>B346</f>
        <v/>
      </c>
      <c r="X346" s="21" t="n"/>
    </row>
    <row r="347">
      <c r="A347" s="38" t="n">
        <v>45442</v>
      </c>
      <c r="B347" s="39" t="n">
        <v>254.08</v>
      </c>
      <c r="C347" s="39" t="n">
        <v>522.61</v>
      </c>
      <c r="D347" s="39" t="n">
        <v>45.22</v>
      </c>
      <c r="E347" s="41">
        <f>IFERROR(B347/B346-1,"")</f>
        <v/>
      </c>
      <c r="F347" s="41">
        <f>IFERROR(C347/C346-1,"")</f>
        <v/>
      </c>
      <c r="G347" s="41">
        <f>IFERROR(D347/D346-1,"")</f>
        <v/>
      </c>
      <c r="H347" s="41">
        <f>IFERROR((1+E347)*(1+H346)-1,"")</f>
        <v/>
      </c>
      <c r="I347" s="41">
        <f>IFERROR((1+F347)*(1+I346)-1,"")</f>
        <v/>
      </c>
      <c r="J347" s="41">
        <f>IFERROR((1+G347)*(1+J346)-1,"")</f>
        <v/>
      </c>
      <c r="K347" s="42">
        <f>IFERROR(B347/$B$36*100,"")</f>
        <v/>
      </c>
      <c r="L347" s="42">
        <f>IFERROR(C347/$C$36*100,"")</f>
        <v/>
      </c>
      <c r="M347" s="42">
        <f>IFERROR(D347/$D$36*100,"")</f>
        <v/>
      </c>
      <c r="N347" s="41">
        <f>IFERROR((1+H347)/(1+I347)-1,"")</f>
        <v/>
      </c>
      <c r="O347" s="41">
        <f>IFERROR((1+H347)/(1+J347)-1,"")</f>
        <v/>
      </c>
      <c r="P347" s="39">
        <f>IFERROR(B347*0.0099502487562189+P346*(1-0.0099502487562189),"")</f>
        <v/>
      </c>
      <c r="Q347" s="42">
        <f>Q346*(1+E347)</f>
        <v/>
      </c>
      <c r="R347" s="42">
        <f>MAX(R346,Q347)</f>
        <v/>
      </c>
      <c r="S347" s="41">
        <f>IFERROR(Q347/R347-1,"")</f>
        <v/>
      </c>
      <c r="T347" s="41">
        <f>IFERROR(_xlfn.STDEV.S(E288:E347)*SQRT($D$7),"")</f>
        <v/>
      </c>
      <c r="U347" s="41">
        <f>IFERROR(MIN(E347-$D$6,0),"")</f>
        <v/>
      </c>
      <c r="V347" s="41">
        <f>IFERROR(E347-F347,"")</f>
        <v/>
      </c>
      <c r="W347" s="39">
        <f>B347</f>
        <v/>
      </c>
      <c r="X347" s="21" t="n"/>
    </row>
    <row r="348">
      <c r="A348" s="38" t="n">
        <v>45443</v>
      </c>
      <c r="B348" s="39" t="n">
        <v>255.77</v>
      </c>
      <c r="C348" s="39" t="n">
        <v>527.37</v>
      </c>
      <c r="D348" s="39" t="n">
        <v>45.765</v>
      </c>
      <c r="E348" s="41">
        <f>IFERROR(B348/B347-1,"")</f>
        <v/>
      </c>
      <c r="F348" s="41">
        <f>IFERROR(C348/C347-1,"")</f>
        <v/>
      </c>
      <c r="G348" s="41">
        <f>IFERROR(D348/D347-1,"")</f>
        <v/>
      </c>
      <c r="H348" s="41">
        <f>IFERROR((1+E348)*(1+H347)-1,"")</f>
        <v/>
      </c>
      <c r="I348" s="41">
        <f>IFERROR((1+F348)*(1+I347)-1,"")</f>
        <v/>
      </c>
      <c r="J348" s="41">
        <f>IFERROR((1+G348)*(1+J347)-1,"")</f>
        <v/>
      </c>
      <c r="K348" s="42">
        <f>IFERROR(B348/$B$36*100,"")</f>
        <v/>
      </c>
      <c r="L348" s="42">
        <f>IFERROR(C348/$C$36*100,"")</f>
        <v/>
      </c>
      <c r="M348" s="42">
        <f>IFERROR(D348/$D$36*100,"")</f>
        <v/>
      </c>
      <c r="N348" s="41">
        <f>IFERROR((1+H348)/(1+I348)-1,"")</f>
        <v/>
      </c>
      <c r="O348" s="41">
        <f>IFERROR((1+H348)/(1+J348)-1,"")</f>
        <v/>
      </c>
      <c r="P348" s="39">
        <f>IFERROR(B348*0.0099502487562189+P347*(1-0.0099502487562189),"")</f>
        <v/>
      </c>
      <c r="Q348" s="42">
        <f>Q347*(1+E348)</f>
        <v/>
      </c>
      <c r="R348" s="42">
        <f>MAX(R347,Q348)</f>
        <v/>
      </c>
      <c r="S348" s="41">
        <f>IFERROR(Q348/R348-1,"")</f>
        <v/>
      </c>
      <c r="T348" s="41">
        <f>IFERROR(_xlfn.STDEV.S(E289:E348)*SQRT($D$7),"")</f>
        <v/>
      </c>
      <c r="U348" s="41">
        <f>IFERROR(MIN(E348-$D$6,0),"")</f>
        <v/>
      </c>
      <c r="V348" s="41">
        <f>IFERROR(E348-F348,"")</f>
        <v/>
      </c>
      <c r="W348" s="39">
        <f>B348</f>
        <v/>
      </c>
      <c r="X348" s="21" t="n"/>
    </row>
    <row r="349">
      <c r="A349" s="38" t="n">
        <v>45446</v>
      </c>
      <c r="B349" s="39" t="n">
        <v>252.19</v>
      </c>
      <c r="C349" s="39" t="n">
        <v>527.8</v>
      </c>
      <c r="D349" s="39" t="n">
        <v>45.495</v>
      </c>
      <c r="E349" s="41">
        <f>IFERROR(B349/B348-1,"")</f>
        <v/>
      </c>
      <c r="F349" s="41">
        <f>IFERROR(C349/C348-1,"")</f>
        <v/>
      </c>
      <c r="G349" s="41">
        <f>IFERROR(D349/D348-1,"")</f>
        <v/>
      </c>
      <c r="H349" s="41">
        <f>IFERROR((1+E349)*(1+H348)-1,"")</f>
        <v/>
      </c>
      <c r="I349" s="41">
        <f>IFERROR((1+F349)*(1+I348)-1,"")</f>
        <v/>
      </c>
      <c r="J349" s="41">
        <f>IFERROR((1+G349)*(1+J348)-1,"")</f>
        <v/>
      </c>
      <c r="K349" s="42">
        <f>IFERROR(B349/$B$36*100,"")</f>
        <v/>
      </c>
      <c r="L349" s="42">
        <f>IFERROR(C349/$C$36*100,"")</f>
        <v/>
      </c>
      <c r="M349" s="42">
        <f>IFERROR(D349/$D$36*100,"")</f>
        <v/>
      </c>
      <c r="N349" s="41">
        <f>IFERROR((1+H349)/(1+I349)-1,"")</f>
        <v/>
      </c>
      <c r="O349" s="41">
        <f>IFERROR((1+H349)/(1+J349)-1,"")</f>
        <v/>
      </c>
      <c r="P349" s="39">
        <f>IFERROR(B349*0.0099502487562189+P348*(1-0.0099502487562189),"")</f>
        <v/>
      </c>
      <c r="Q349" s="42">
        <f>Q348*(1+E349)</f>
        <v/>
      </c>
      <c r="R349" s="42">
        <f>MAX(R348,Q349)</f>
        <v/>
      </c>
      <c r="S349" s="41">
        <f>IFERROR(Q349/R349-1,"")</f>
        <v/>
      </c>
      <c r="T349" s="41">
        <f>IFERROR(_xlfn.STDEV.S(E290:E349)*SQRT($D$7),"")</f>
        <v/>
      </c>
      <c r="U349" s="41">
        <f>IFERROR(MIN(E349-$D$6,0),"")</f>
        <v/>
      </c>
      <c r="V349" s="41">
        <f>IFERROR(E349-F349,"")</f>
        <v/>
      </c>
      <c r="W349" s="39">
        <f>B349</f>
        <v/>
      </c>
      <c r="X349" s="21" t="n"/>
    </row>
    <row r="350">
      <c r="A350" s="38" t="n">
        <v>45447</v>
      </c>
      <c r="B350" s="39" t="n">
        <v>250.46</v>
      </c>
      <c r="C350" s="39" t="n">
        <v>528.39</v>
      </c>
      <c r="D350" s="39" t="n">
        <v>44.99</v>
      </c>
      <c r="E350" s="41">
        <f>IFERROR(B350/B349-1,"")</f>
        <v/>
      </c>
      <c r="F350" s="41">
        <f>IFERROR(C350/C349-1,"")</f>
        <v/>
      </c>
      <c r="G350" s="41">
        <f>IFERROR(D350/D349-1,"")</f>
        <v/>
      </c>
      <c r="H350" s="41">
        <f>IFERROR((1+E350)*(1+H349)-1,"")</f>
        <v/>
      </c>
      <c r="I350" s="41">
        <f>IFERROR((1+F350)*(1+I349)-1,"")</f>
        <v/>
      </c>
      <c r="J350" s="41">
        <f>IFERROR((1+G350)*(1+J349)-1,"")</f>
        <v/>
      </c>
      <c r="K350" s="42">
        <f>IFERROR(B350/$B$36*100,"")</f>
        <v/>
      </c>
      <c r="L350" s="42">
        <f>IFERROR(C350/$C$36*100,"")</f>
        <v/>
      </c>
      <c r="M350" s="42">
        <f>IFERROR(D350/$D$36*100,"")</f>
        <v/>
      </c>
      <c r="N350" s="41">
        <f>IFERROR((1+H350)/(1+I350)-1,"")</f>
        <v/>
      </c>
      <c r="O350" s="41">
        <f>IFERROR((1+H350)/(1+J350)-1,"")</f>
        <v/>
      </c>
      <c r="P350" s="39">
        <f>IFERROR(B350*0.0099502487562189+P349*(1-0.0099502487562189),"")</f>
        <v/>
      </c>
      <c r="Q350" s="42">
        <f>Q349*(1+E350)</f>
        <v/>
      </c>
      <c r="R350" s="42">
        <f>MAX(R349,Q350)</f>
        <v/>
      </c>
      <c r="S350" s="41">
        <f>IFERROR(Q350/R350-1,"")</f>
        <v/>
      </c>
      <c r="T350" s="41">
        <f>IFERROR(_xlfn.STDEV.S(E291:E350)*SQRT($D$7),"")</f>
        <v/>
      </c>
      <c r="U350" s="41">
        <f>IFERROR(MIN(E350-$D$6,0),"")</f>
        <v/>
      </c>
      <c r="V350" s="41">
        <f>IFERROR(E350-F350,"")</f>
        <v/>
      </c>
      <c r="W350" s="39">
        <f>B350</f>
        <v/>
      </c>
      <c r="X350" s="21" t="n"/>
    </row>
    <row r="351">
      <c r="A351" s="38" t="n">
        <v>45448</v>
      </c>
      <c r="B351" s="39" t="n">
        <v>251.18</v>
      </c>
      <c r="C351" s="39" t="n">
        <v>534.67</v>
      </c>
      <c r="D351" s="39" t="n">
        <v>45.3</v>
      </c>
      <c r="E351" s="41">
        <f>IFERROR(B351/B350-1,"")</f>
        <v/>
      </c>
      <c r="F351" s="41">
        <f>IFERROR(C351/C350-1,"")</f>
        <v/>
      </c>
      <c r="G351" s="41">
        <f>IFERROR(D351/D350-1,"")</f>
        <v/>
      </c>
      <c r="H351" s="41">
        <f>IFERROR((1+E351)*(1+H350)-1,"")</f>
        <v/>
      </c>
      <c r="I351" s="41">
        <f>IFERROR((1+F351)*(1+I350)-1,"")</f>
        <v/>
      </c>
      <c r="J351" s="41">
        <f>IFERROR((1+G351)*(1+J350)-1,"")</f>
        <v/>
      </c>
      <c r="K351" s="42">
        <f>IFERROR(B351/$B$36*100,"")</f>
        <v/>
      </c>
      <c r="L351" s="42">
        <f>IFERROR(C351/$C$36*100,"")</f>
        <v/>
      </c>
      <c r="M351" s="42">
        <f>IFERROR(D351/$D$36*100,"")</f>
        <v/>
      </c>
      <c r="N351" s="41">
        <f>IFERROR((1+H351)/(1+I351)-1,"")</f>
        <v/>
      </c>
      <c r="O351" s="41">
        <f>IFERROR((1+H351)/(1+J351)-1,"")</f>
        <v/>
      </c>
      <c r="P351" s="39">
        <f>IFERROR(B351*0.0099502487562189+P350*(1-0.0099502487562189),"")</f>
        <v/>
      </c>
      <c r="Q351" s="42">
        <f>Q350*(1+E351)</f>
        <v/>
      </c>
      <c r="R351" s="42">
        <f>MAX(R350,Q351)</f>
        <v/>
      </c>
      <c r="S351" s="41">
        <f>IFERROR(Q351/R351-1,"")</f>
        <v/>
      </c>
      <c r="T351" s="41">
        <f>IFERROR(_xlfn.STDEV.S(E292:E351)*SQRT($D$7),"")</f>
        <v/>
      </c>
      <c r="U351" s="41">
        <f>IFERROR(MIN(E351-$D$6,0),"")</f>
        <v/>
      </c>
      <c r="V351" s="41">
        <f>IFERROR(E351-F351,"")</f>
        <v/>
      </c>
      <c r="W351" s="39">
        <f>B351</f>
        <v/>
      </c>
      <c r="X351" s="21" t="n"/>
    </row>
    <row r="352">
      <c r="A352" s="38" t="n">
        <v>45449</v>
      </c>
      <c r="B352" s="39" t="n">
        <v>248.58</v>
      </c>
      <c r="C352" s="39" t="n">
        <v>534.66</v>
      </c>
      <c r="D352" s="39" t="n">
        <v>45.35</v>
      </c>
      <c r="E352" s="41">
        <f>IFERROR(B352/B351-1,"")</f>
        <v/>
      </c>
      <c r="F352" s="41">
        <f>IFERROR(C352/C351-1,"")</f>
        <v/>
      </c>
      <c r="G352" s="41">
        <f>IFERROR(D352/D351-1,"")</f>
        <v/>
      </c>
      <c r="H352" s="41">
        <f>IFERROR((1+E352)*(1+H351)-1,"")</f>
        <v/>
      </c>
      <c r="I352" s="41">
        <f>IFERROR((1+F352)*(1+I351)-1,"")</f>
        <v/>
      </c>
      <c r="J352" s="41">
        <f>IFERROR((1+G352)*(1+J351)-1,"")</f>
        <v/>
      </c>
      <c r="K352" s="42">
        <f>IFERROR(B352/$B$36*100,"")</f>
        <v/>
      </c>
      <c r="L352" s="42">
        <f>IFERROR(C352/$C$36*100,"")</f>
        <v/>
      </c>
      <c r="M352" s="42">
        <f>IFERROR(D352/$D$36*100,"")</f>
        <v/>
      </c>
      <c r="N352" s="41">
        <f>IFERROR((1+H352)/(1+I352)-1,"")</f>
        <v/>
      </c>
      <c r="O352" s="41">
        <f>IFERROR((1+H352)/(1+J352)-1,"")</f>
        <v/>
      </c>
      <c r="P352" s="39">
        <f>IFERROR(B352*0.0099502487562189+P351*(1-0.0099502487562189),"")</f>
        <v/>
      </c>
      <c r="Q352" s="42">
        <f>Q351*(1+E352)</f>
        <v/>
      </c>
      <c r="R352" s="42">
        <f>MAX(R351,Q352)</f>
        <v/>
      </c>
      <c r="S352" s="41">
        <f>IFERROR(Q352/R352-1,"")</f>
        <v/>
      </c>
      <c r="T352" s="41">
        <f>IFERROR(_xlfn.STDEV.S(E293:E352)*SQRT($D$7),"")</f>
        <v/>
      </c>
      <c r="U352" s="41">
        <f>IFERROR(MIN(E352-$D$6,0),"")</f>
        <v/>
      </c>
      <c r="V352" s="41">
        <f>IFERROR(E352-F352,"")</f>
        <v/>
      </c>
      <c r="W352" s="39">
        <f>B352</f>
        <v/>
      </c>
      <c r="X352" s="21" t="n"/>
    </row>
    <row r="353">
      <c r="A353" s="38" t="n">
        <v>45450</v>
      </c>
      <c r="B353" s="39" t="n">
        <v>247.59</v>
      </c>
      <c r="C353" s="39" t="n">
        <v>534.01</v>
      </c>
      <c r="D353" s="39" t="n">
        <v>44.895</v>
      </c>
      <c r="E353" s="41">
        <f>IFERROR(B353/B352-1,"")</f>
        <v/>
      </c>
      <c r="F353" s="41">
        <f>IFERROR(C353/C352-1,"")</f>
        <v/>
      </c>
      <c r="G353" s="41">
        <f>IFERROR(D353/D352-1,"")</f>
        <v/>
      </c>
      <c r="H353" s="41">
        <f>IFERROR((1+E353)*(1+H352)-1,"")</f>
        <v/>
      </c>
      <c r="I353" s="41">
        <f>IFERROR((1+F353)*(1+I352)-1,"")</f>
        <v/>
      </c>
      <c r="J353" s="41">
        <f>IFERROR((1+G353)*(1+J352)-1,"")</f>
        <v/>
      </c>
      <c r="K353" s="42">
        <f>IFERROR(B353/$B$36*100,"")</f>
        <v/>
      </c>
      <c r="L353" s="42">
        <f>IFERROR(C353/$C$36*100,"")</f>
        <v/>
      </c>
      <c r="M353" s="42">
        <f>IFERROR(D353/$D$36*100,"")</f>
        <v/>
      </c>
      <c r="N353" s="41">
        <f>IFERROR((1+H353)/(1+I353)-1,"")</f>
        <v/>
      </c>
      <c r="O353" s="41">
        <f>IFERROR((1+H353)/(1+J353)-1,"")</f>
        <v/>
      </c>
      <c r="P353" s="39">
        <f>IFERROR(B353*0.0099502487562189+P352*(1-0.0099502487562189),"")</f>
        <v/>
      </c>
      <c r="Q353" s="42">
        <f>Q352*(1+E353)</f>
        <v/>
      </c>
      <c r="R353" s="42">
        <f>MAX(R352,Q353)</f>
        <v/>
      </c>
      <c r="S353" s="41">
        <f>IFERROR(Q353/R353-1,"")</f>
        <v/>
      </c>
      <c r="T353" s="41">
        <f>IFERROR(_xlfn.STDEV.S(E294:E353)*SQRT($D$7),"")</f>
        <v/>
      </c>
      <c r="U353" s="41">
        <f>IFERROR(MIN(E353-$D$6,0),"")</f>
        <v/>
      </c>
      <c r="V353" s="41">
        <f>IFERROR(E353-F353,"")</f>
        <v/>
      </c>
      <c r="W353" s="39">
        <f>B353</f>
        <v/>
      </c>
      <c r="X353" s="21" t="n"/>
    </row>
    <row r="354">
      <c r="A354" s="38" t="n">
        <v>45453</v>
      </c>
      <c r="B354" s="39" t="n">
        <v>247.81</v>
      </c>
      <c r="C354" s="39" t="n">
        <v>535.66</v>
      </c>
      <c r="D354" s="39" t="n">
        <v>44.85</v>
      </c>
      <c r="E354" s="41">
        <f>IFERROR(B354/B353-1,"")</f>
        <v/>
      </c>
      <c r="F354" s="41">
        <f>IFERROR(C354/C353-1,"")</f>
        <v/>
      </c>
      <c r="G354" s="41">
        <f>IFERROR(D354/D353-1,"")</f>
        <v/>
      </c>
      <c r="H354" s="41">
        <f>IFERROR((1+E354)*(1+H353)-1,"")</f>
        <v/>
      </c>
      <c r="I354" s="41">
        <f>IFERROR((1+F354)*(1+I353)-1,"")</f>
        <v/>
      </c>
      <c r="J354" s="41">
        <f>IFERROR((1+G354)*(1+J353)-1,"")</f>
        <v/>
      </c>
      <c r="K354" s="42">
        <f>IFERROR(B354/$B$36*100,"")</f>
        <v/>
      </c>
      <c r="L354" s="42">
        <f>IFERROR(C354/$C$36*100,"")</f>
        <v/>
      </c>
      <c r="M354" s="42">
        <f>IFERROR(D354/$D$36*100,"")</f>
        <v/>
      </c>
      <c r="N354" s="41">
        <f>IFERROR((1+H354)/(1+I354)-1,"")</f>
        <v/>
      </c>
      <c r="O354" s="41">
        <f>IFERROR((1+H354)/(1+J354)-1,"")</f>
        <v/>
      </c>
      <c r="P354" s="39">
        <f>IFERROR(B354*0.0099502487562189+P353*(1-0.0099502487562189),"")</f>
        <v/>
      </c>
      <c r="Q354" s="42">
        <f>Q353*(1+E354)</f>
        <v/>
      </c>
      <c r="R354" s="42">
        <f>MAX(R353,Q354)</f>
        <v/>
      </c>
      <c r="S354" s="41">
        <f>IFERROR(Q354/R354-1,"")</f>
        <v/>
      </c>
      <c r="T354" s="41">
        <f>IFERROR(_xlfn.STDEV.S(E295:E354)*SQRT($D$7),"")</f>
        <v/>
      </c>
      <c r="U354" s="41">
        <f>IFERROR(MIN(E354-$D$6,0),"")</f>
        <v/>
      </c>
      <c r="V354" s="41">
        <f>IFERROR(E354-F354,"")</f>
        <v/>
      </c>
      <c r="W354" s="39">
        <f>B354</f>
        <v/>
      </c>
      <c r="X354" s="21" t="n"/>
    </row>
    <row r="355">
      <c r="A355" s="38" t="n">
        <v>45454</v>
      </c>
      <c r="B355" s="39" t="n">
        <v>244.64</v>
      </c>
      <c r="C355" s="39" t="n">
        <v>536.95</v>
      </c>
      <c r="D355" s="39" t="n">
        <v>44.835</v>
      </c>
      <c r="E355" s="41">
        <f>IFERROR(B355/B354-1,"")</f>
        <v/>
      </c>
      <c r="F355" s="41">
        <f>IFERROR(C355/C354-1,"")</f>
        <v/>
      </c>
      <c r="G355" s="41">
        <f>IFERROR(D355/D354-1,"")</f>
        <v/>
      </c>
      <c r="H355" s="41">
        <f>IFERROR((1+E355)*(1+H354)-1,"")</f>
        <v/>
      </c>
      <c r="I355" s="41">
        <f>IFERROR((1+F355)*(1+I354)-1,"")</f>
        <v/>
      </c>
      <c r="J355" s="41">
        <f>IFERROR((1+G355)*(1+J354)-1,"")</f>
        <v/>
      </c>
      <c r="K355" s="42">
        <f>IFERROR(B355/$B$36*100,"")</f>
        <v/>
      </c>
      <c r="L355" s="42">
        <f>IFERROR(C355/$C$36*100,"")</f>
        <v/>
      </c>
      <c r="M355" s="42">
        <f>IFERROR(D355/$D$36*100,"")</f>
        <v/>
      </c>
      <c r="N355" s="41">
        <f>IFERROR((1+H355)/(1+I355)-1,"")</f>
        <v/>
      </c>
      <c r="O355" s="41">
        <f>IFERROR((1+H355)/(1+J355)-1,"")</f>
        <v/>
      </c>
      <c r="P355" s="39">
        <f>IFERROR(B355*0.0099502487562189+P354*(1-0.0099502487562189),"")</f>
        <v/>
      </c>
      <c r="Q355" s="42">
        <f>Q354*(1+E355)</f>
        <v/>
      </c>
      <c r="R355" s="42">
        <f>MAX(R354,Q355)</f>
        <v/>
      </c>
      <c r="S355" s="41">
        <f>IFERROR(Q355/R355-1,"")</f>
        <v/>
      </c>
      <c r="T355" s="41">
        <f>IFERROR(_xlfn.STDEV.S(E296:E355)*SQRT($D$7),"")</f>
        <v/>
      </c>
      <c r="U355" s="41">
        <f>IFERROR(MIN(E355-$D$6,0),"")</f>
        <v/>
      </c>
      <c r="V355" s="41">
        <f>IFERROR(E355-F355,"")</f>
        <v/>
      </c>
      <c r="W355" s="39">
        <f>B355</f>
        <v/>
      </c>
      <c r="X355" s="21" t="n"/>
    </row>
    <row r="356">
      <c r="A356" s="38" t="n">
        <v>45455</v>
      </c>
      <c r="B356" s="39" t="n">
        <v>249.12</v>
      </c>
      <c r="C356" s="39" t="n">
        <v>541.36</v>
      </c>
      <c r="D356" s="39" t="n">
        <v>44.92</v>
      </c>
      <c r="E356" s="41">
        <f>IFERROR(B356/B355-1,"")</f>
        <v/>
      </c>
      <c r="F356" s="41">
        <f>IFERROR(C356/C355-1,"")</f>
        <v/>
      </c>
      <c r="G356" s="41">
        <f>IFERROR(D356/D355-1,"")</f>
        <v/>
      </c>
      <c r="H356" s="41">
        <f>IFERROR((1+E356)*(1+H355)-1,"")</f>
        <v/>
      </c>
      <c r="I356" s="41">
        <f>IFERROR((1+F356)*(1+I355)-1,"")</f>
        <v/>
      </c>
      <c r="J356" s="41">
        <f>IFERROR((1+G356)*(1+J355)-1,"")</f>
        <v/>
      </c>
      <c r="K356" s="42">
        <f>IFERROR(B356/$B$36*100,"")</f>
        <v/>
      </c>
      <c r="L356" s="42">
        <f>IFERROR(C356/$C$36*100,"")</f>
        <v/>
      </c>
      <c r="M356" s="42">
        <f>IFERROR(D356/$D$36*100,"")</f>
        <v/>
      </c>
      <c r="N356" s="41">
        <f>IFERROR((1+H356)/(1+I356)-1,"")</f>
        <v/>
      </c>
      <c r="O356" s="41">
        <f>IFERROR((1+H356)/(1+J356)-1,"")</f>
        <v/>
      </c>
      <c r="P356" s="39">
        <f>IFERROR(B356*0.0099502487562189+P355*(1-0.0099502487562189),"")</f>
        <v/>
      </c>
      <c r="Q356" s="42">
        <f>Q355*(1+E356)</f>
        <v/>
      </c>
      <c r="R356" s="42">
        <f>MAX(R355,Q356)</f>
        <v/>
      </c>
      <c r="S356" s="41">
        <f>IFERROR(Q356/R356-1,"")</f>
        <v/>
      </c>
      <c r="T356" s="41">
        <f>IFERROR(_xlfn.STDEV.S(E297:E356)*SQRT($D$7),"")</f>
        <v/>
      </c>
      <c r="U356" s="41">
        <f>IFERROR(MIN(E356-$D$6,0),"")</f>
        <v/>
      </c>
      <c r="V356" s="41">
        <f>IFERROR(E356-F356,"")</f>
        <v/>
      </c>
      <c r="W356" s="39">
        <f>B356</f>
        <v/>
      </c>
      <c r="X356" s="21" t="n"/>
    </row>
    <row r="357">
      <c r="A357" s="38" t="n">
        <v>45456</v>
      </c>
      <c r="B357" s="39" t="n">
        <v>253.95</v>
      </c>
      <c r="C357" s="39" t="n">
        <v>542.45</v>
      </c>
      <c r="D357" s="39" t="n">
        <v>44.905</v>
      </c>
      <c r="E357" s="41">
        <f>IFERROR(B357/B356-1,"")</f>
        <v/>
      </c>
      <c r="F357" s="41">
        <f>IFERROR(C357/C356-1,"")</f>
        <v/>
      </c>
      <c r="G357" s="41">
        <f>IFERROR(D357/D356-1,"")</f>
        <v/>
      </c>
      <c r="H357" s="41">
        <f>IFERROR((1+E357)*(1+H356)-1,"")</f>
        <v/>
      </c>
      <c r="I357" s="41">
        <f>IFERROR((1+F357)*(1+I356)-1,"")</f>
        <v/>
      </c>
      <c r="J357" s="41">
        <f>IFERROR((1+G357)*(1+J356)-1,"")</f>
        <v/>
      </c>
      <c r="K357" s="42">
        <f>IFERROR(B357/$B$36*100,"")</f>
        <v/>
      </c>
      <c r="L357" s="42">
        <f>IFERROR(C357/$C$36*100,"")</f>
        <v/>
      </c>
      <c r="M357" s="42">
        <f>IFERROR(D357/$D$36*100,"")</f>
        <v/>
      </c>
      <c r="N357" s="41">
        <f>IFERROR((1+H357)/(1+I357)-1,"")</f>
        <v/>
      </c>
      <c r="O357" s="41">
        <f>IFERROR((1+H357)/(1+J357)-1,"")</f>
        <v/>
      </c>
      <c r="P357" s="39">
        <f>IFERROR(B357*0.0099502487562189+P356*(1-0.0099502487562189),"")</f>
        <v/>
      </c>
      <c r="Q357" s="42">
        <f>Q356*(1+E357)</f>
        <v/>
      </c>
      <c r="R357" s="42">
        <f>MAX(R356,Q357)</f>
        <v/>
      </c>
      <c r="S357" s="41">
        <f>IFERROR(Q357/R357-1,"")</f>
        <v/>
      </c>
      <c r="T357" s="41">
        <f>IFERROR(_xlfn.STDEV.S(E298:E357)*SQRT($D$7),"")</f>
        <v/>
      </c>
      <c r="U357" s="41">
        <f>IFERROR(MIN(E357-$D$6,0),"")</f>
        <v/>
      </c>
      <c r="V357" s="41">
        <f>IFERROR(E357-F357,"")</f>
        <v/>
      </c>
      <c r="W357" s="39">
        <f>B357</f>
        <v/>
      </c>
      <c r="X357" s="21" t="n"/>
    </row>
    <row r="358">
      <c r="A358" s="38" t="n">
        <v>45457</v>
      </c>
      <c r="B358" s="39" t="n">
        <v>252.64</v>
      </c>
      <c r="C358" s="39" t="n">
        <v>542.78</v>
      </c>
      <c r="D358" s="39" t="n">
        <v>44.49</v>
      </c>
      <c r="E358" s="41">
        <f>IFERROR(B358/B357-1,"")</f>
        <v/>
      </c>
      <c r="F358" s="41">
        <f>IFERROR(C358/C357-1,"")</f>
        <v/>
      </c>
      <c r="G358" s="41">
        <f>IFERROR(D358/D357-1,"")</f>
        <v/>
      </c>
      <c r="H358" s="41">
        <f>IFERROR((1+E358)*(1+H357)-1,"")</f>
        <v/>
      </c>
      <c r="I358" s="41">
        <f>IFERROR((1+F358)*(1+I357)-1,"")</f>
        <v/>
      </c>
      <c r="J358" s="41">
        <f>IFERROR((1+G358)*(1+J357)-1,"")</f>
        <v/>
      </c>
      <c r="K358" s="42">
        <f>IFERROR(B358/$B$36*100,"")</f>
        <v/>
      </c>
      <c r="L358" s="42">
        <f>IFERROR(C358/$C$36*100,"")</f>
        <v/>
      </c>
      <c r="M358" s="42">
        <f>IFERROR(D358/$D$36*100,"")</f>
        <v/>
      </c>
      <c r="N358" s="41">
        <f>IFERROR((1+H358)/(1+I358)-1,"")</f>
        <v/>
      </c>
      <c r="O358" s="41">
        <f>IFERROR((1+H358)/(1+J358)-1,"")</f>
        <v/>
      </c>
      <c r="P358" s="39">
        <f>IFERROR(B358*0.0099502487562189+P357*(1-0.0099502487562189),"")</f>
        <v/>
      </c>
      <c r="Q358" s="42">
        <f>Q357*(1+E358)</f>
        <v/>
      </c>
      <c r="R358" s="42">
        <f>MAX(R357,Q358)</f>
        <v/>
      </c>
      <c r="S358" s="41">
        <f>IFERROR(Q358/R358-1,"")</f>
        <v/>
      </c>
      <c r="T358" s="41">
        <f>IFERROR(_xlfn.STDEV.S(E299:E358)*SQRT($D$7),"")</f>
        <v/>
      </c>
      <c r="U358" s="41">
        <f>IFERROR(MIN(E358-$D$6,0),"")</f>
        <v/>
      </c>
      <c r="V358" s="41">
        <f>IFERROR(E358-F358,"")</f>
        <v/>
      </c>
      <c r="W358" s="39">
        <f>B358</f>
        <v/>
      </c>
      <c r="X358" s="21" t="n"/>
    </row>
    <row r="359">
      <c r="A359" s="38" t="n">
        <v>45460</v>
      </c>
      <c r="B359" s="39" t="n">
        <v>256.35</v>
      </c>
      <c r="C359" s="39" t="n">
        <v>547.1</v>
      </c>
      <c r="D359" s="39" t="n">
        <v>44.82</v>
      </c>
      <c r="E359" s="41">
        <f>IFERROR(B359/B358-1,"")</f>
        <v/>
      </c>
      <c r="F359" s="41">
        <f>IFERROR(C359/C358-1,"")</f>
        <v/>
      </c>
      <c r="G359" s="41">
        <f>IFERROR(D359/D358-1,"")</f>
        <v/>
      </c>
      <c r="H359" s="41">
        <f>IFERROR((1+E359)*(1+H358)-1,"")</f>
        <v/>
      </c>
      <c r="I359" s="41">
        <f>IFERROR((1+F359)*(1+I358)-1,"")</f>
        <v/>
      </c>
      <c r="J359" s="41">
        <f>IFERROR((1+G359)*(1+J358)-1,"")</f>
        <v/>
      </c>
      <c r="K359" s="42">
        <f>IFERROR(B359/$B$36*100,"")</f>
        <v/>
      </c>
      <c r="L359" s="42">
        <f>IFERROR(C359/$C$36*100,"")</f>
        <v/>
      </c>
      <c r="M359" s="42">
        <f>IFERROR(D359/$D$36*100,"")</f>
        <v/>
      </c>
      <c r="N359" s="41">
        <f>IFERROR((1+H359)/(1+I359)-1,"")</f>
        <v/>
      </c>
      <c r="O359" s="41">
        <f>IFERROR((1+H359)/(1+J359)-1,"")</f>
        <v/>
      </c>
      <c r="P359" s="39">
        <f>IFERROR(B359*0.0099502487562189+P358*(1-0.0099502487562189),"")</f>
        <v/>
      </c>
      <c r="Q359" s="42">
        <f>Q358*(1+E359)</f>
        <v/>
      </c>
      <c r="R359" s="42">
        <f>MAX(R358,Q359)</f>
        <v/>
      </c>
      <c r="S359" s="41">
        <f>IFERROR(Q359/R359-1,"")</f>
        <v/>
      </c>
      <c r="T359" s="41">
        <f>IFERROR(_xlfn.STDEV.S(E300:E359)*SQRT($D$7),"")</f>
        <v/>
      </c>
      <c r="U359" s="41">
        <f>IFERROR(MIN(E359-$D$6,0),"")</f>
        <v/>
      </c>
      <c r="V359" s="41">
        <f>IFERROR(E359-F359,"")</f>
        <v/>
      </c>
      <c r="W359" s="39">
        <f>B359</f>
        <v/>
      </c>
      <c r="X359" s="21" t="n"/>
    </row>
    <row r="360">
      <c r="A360" s="38" t="n">
        <v>45461</v>
      </c>
      <c r="B360" s="39" t="n">
        <v>255.61</v>
      </c>
      <c r="C360" s="39" t="n">
        <v>548.49</v>
      </c>
      <c r="D360" s="39" t="n">
        <v>44.77</v>
      </c>
      <c r="E360" s="41">
        <f>IFERROR(B360/B359-1,"")</f>
        <v/>
      </c>
      <c r="F360" s="41">
        <f>IFERROR(C360/C359-1,"")</f>
        <v/>
      </c>
      <c r="G360" s="41">
        <f>IFERROR(D360/D359-1,"")</f>
        <v/>
      </c>
      <c r="H360" s="41">
        <f>IFERROR((1+E360)*(1+H359)-1,"")</f>
        <v/>
      </c>
      <c r="I360" s="41">
        <f>IFERROR((1+F360)*(1+I359)-1,"")</f>
        <v/>
      </c>
      <c r="J360" s="41">
        <f>IFERROR((1+G360)*(1+J359)-1,"")</f>
        <v/>
      </c>
      <c r="K360" s="42">
        <f>IFERROR(B360/$B$36*100,"")</f>
        <v/>
      </c>
      <c r="L360" s="42">
        <f>IFERROR(C360/$C$36*100,"")</f>
        <v/>
      </c>
      <c r="M360" s="42">
        <f>IFERROR(D360/$D$36*100,"")</f>
        <v/>
      </c>
      <c r="N360" s="41">
        <f>IFERROR((1+H360)/(1+I360)-1,"")</f>
        <v/>
      </c>
      <c r="O360" s="41">
        <f>IFERROR((1+H360)/(1+J360)-1,"")</f>
        <v/>
      </c>
      <c r="P360" s="39">
        <f>IFERROR(B360*0.0099502487562189+P359*(1-0.0099502487562189),"")</f>
        <v/>
      </c>
      <c r="Q360" s="42">
        <f>Q359*(1+E360)</f>
        <v/>
      </c>
      <c r="R360" s="42">
        <f>MAX(R359,Q360)</f>
        <v/>
      </c>
      <c r="S360" s="41">
        <f>IFERROR(Q360/R360-1,"")</f>
        <v/>
      </c>
      <c r="T360" s="41">
        <f>IFERROR(_xlfn.STDEV.S(E301:E360)*SQRT($D$7),"")</f>
        <v/>
      </c>
      <c r="U360" s="41">
        <f>IFERROR(MIN(E360-$D$6,0),"")</f>
        <v/>
      </c>
      <c r="V360" s="41">
        <f>IFERROR(E360-F360,"")</f>
        <v/>
      </c>
      <c r="W360" s="39">
        <f>B360</f>
        <v/>
      </c>
      <c r="X360" s="21" t="n"/>
    </row>
    <row r="361">
      <c r="A361" s="38" t="n">
        <v>45463</v>
      </c>
      <c r="B361" s="39" t="n">
        <v>246.46</v>
      </c>
      <c r="C361" s="39" t="n">
        <v>547</v>
      </c>
      <c r="D361" s="39" t="n">
        <v>44.815</v>
      </c>
      <c r="E361" s="41">
        <f>IFERROR(B361/B360-1,"")</f>
        <v/>
      </c>
      <c r="F361" s="41">
        <f>IFERROR(C361/C360-1,"")</f>
        <v/>
      </c>
      <c r="G361" s="41">
        <f>IFERROR(D361/D360-1,"")</f>
        <v/>
      </c>
      <c r="H361" s="41">
        <f>IFERROR((1+E361)*(1+H360)-1,"")</f>
        <v/>
      </c>
      <c r="I361" s="41">
        <f>IFERROR((1+F361)*(1+I360)-1,"")</f>
        <v/>
      </c>
      <c r="J361" s="41">
        <f>IFERROR((1+G361)*(1+J360)-1,"")</f>
        <v/>
      </c>
      <c r="K361" s="42">
        <f>IFERROR(B361/$B$36*100,"")</f>
        <v/>
      </c>
      <c r="L361" s="42">
        <f>IFERROR(C361/$C$36*100,"")</f>
        <v/>
      </c>
      <c r="M361" s="42">
        <f>IFERROR(D361/$D$36*100,"")</f>
        <v/>
      </c>
      <c r="N361" s="41">
        <f>IFERROR((1+H361)/(1+I361)-1,"")</f>
        <v/>
      </c>
      <c r="O361" s="41">
        <f>IFERROR((1+H361)/(1+J361)-1,"")</f>
        <v/>
      </c>
      <c r="P361" s="39">
        <f>IFERROR(B361*0.0099502487562189+P360*(1-0.0099502487562189),"")</f>
        <v/>
      </c>
      <c r="Q361" s="42">
        <f>Q360*(1+E361)</f>
        <v/>
      </c>
      <c r="R361" s="42">
        <f>MAX(R360,Q361)</f>
        <v/>
      </c>
      <c r="S361" s="41">
        <f>IFERROR(Q361/R361-1,"")</f>
        <v/>
      </c>
      <c r="T361" s="41">
        <f>IFERROR(_xlfn.STDEV.S(E302:E361)*SQRT($D$7),"")</f>
        <v/>
      </c>
      <c r="U361" s="41">
        <f>IFERROR(MIN(E361-$D$6,0),"")</f>
        <v/>
      </c>
      <c r="V361" s="41">
        <f>IFERROR(E361-F361,"")</f>
        <v/>
      </c>
      <c r="W361" s="39">
        <f>B361</f>
        <v/>
      </c>
      <c r="X361" s="21" t="n"/>
    </row>
    <row r="362">
      <c r="A362" s="38" t="n">
        <v>45464</v>
      </c>
      <c r="B362" s="39" t="n">
        <v>247.81</v>
      </c>
      <c r="C362" s="39" t="n">
        <v>544.51</v>
      </c>
      <c r="D362" s="39" t="n">
        <v>44.82</v>
      </c>
      <c r="E362" s="41">
        <f>IFERROR(B362/B361-1,"")</f>
        <v/>
      </c>
      <c r="F362" s="41">
        <f>IFERROR(C362/C361-1,"")</f>
        <v/>
      </c>
      <c r="G362" s="41">
        <f>IFERROR(D362/D361-1,"")</f>
        <v/>
      </c>
      <c r="H362" s="41">
        <f>IFERROR((1+E362)*(1+H361)-1,"")</f>
        <v/>
      </c>
      <c r="I362" s="41">
        <f>IFERROR((1+F362)*(1+I361)-1,"")</f>
        <v/>
      </c>
      <c r="J362" s="41">
        <f>IFERROR((1+G362)*(1+J361)-1,"")</f>
        <v/>
      </c>
      <c r="K362" s="42">
        <f>IFERROR(B362/$B$36*100,"")</f>
        <v/>
      </c>
      <c r="L362" s="42">
        <f>IFERROR(C362/$C$36*100,"")</f>
        <v/>
      </c>
      <c r="M362" s="42">
        <f>IFERROR(D362/$D$36*100,"")</f>
        <v/>
      </c>
      <c r="N362" s="41">
        <f>IFERROR((1+H362)/(1+I362)-1,"")</f>
        <v/>
      </c>
      <c r="O362" s="41">
        <f>IFERROR((1+H362)/(1+J362)-1,"")</f>
        <v/>
      </c>
      <c r="P362" s="39">
        <f>IFERROR(B362*0.0099502487562189+P361*(1-0.0099502487562189),"")</f>
        <v/>
      </c>
      <c r="Q362" s="42">
        <f>Q361*(1+E362)</f>
        <v/>
      </c>
      <c r="R362" s="42">
        <f>MAX(R361,Q362)</f>
        <v/>
      </c>
      <c r="S362" s="41">
        <f>IFERROR(Q362/R362-1,"")</f>
        <v/>
      </c>
      <c r="T362" s="41">
        <f>IFERROR(_xlfn.STDEV.S(E303:E362)*SQRT($D$7),"")</f>
        <v/>
      </c>
      <c r="U362" s="41">
        <f>IFERROR(MIN(E362-$D$6,0),"")</f>
        <v/>
      </c>
      <c r="V362" s="41">
        <f>IFERROR(E362-F362,"")</f>
        <v/>
      </c>
      <c r="W362" s="39">
        <f>B362</f>
        <v/>
      </c>
      <c r="X362" s="21" t="n"/>
    </row>
    <row r="363">
      <c r="A363" s="38" t="n">
        <v>45467</v>
      </c>
      <c r="B363" s="39" t="n">
        <v>247.58</v>
      </c>
      <c r="C363" s="39" t="n">
        <v>542.74</v>
      </c>
      <c r="D363" s="39" t="n">
        <v>44.895</v>
      </c>
      <c r="E363" s="41">
        <f>IFERROR(B363/B362-1,"")</f>
        <v/>
      </c>
      <c r="F363" s="41">
        <f>IFERROR(C363/C362-1,"")</f>
        <v/>
      </c>
      <c r="G363" s="41">
        <f>IFERROR(D363/D362-1,"")</f>
        <v/>
      </c>
      <c r="H363" s="41">
        <f>IFERROR((1+E363)*(1+H362)-1,"")</f>
        <v/>
      </c>
      <c r="I363" s="41">
        <f>IFERROR((1+F363)*(1+I362)-1,"")</f>
        <v/>
      </c>
      <c r="J363" s="41">
        <f>IFERROR((1+G363)*(1+J362)-1,"")</f>
        <v/>
      </c>
      <c r="K363" s="42">
        <f>IFERROR(B363/$B$36*100,"")</f>
        <v/>
      </c>
      <c r="L363" s="42">
        <f>IFERROR(C363/$C$36*100,"")</f>
        <v/>
      </c>
      <c r="M363" s="42">
        <f>IFERROR(D363/$D$36*100,"")</f>
        <v/>
      </c>
      <c r="N363" s="41">
        <f>IFERROR((1+H363)/(1+I363)-1,"")</f>
        <v/>
      </c>
      <c r="O363" s="41">
        <f>IFERROR((1+H363)/(1+J363)-1,"")</f>
        <v/>
      </c>
      <c r="P363" s="39">
        <f>IFERROR(B363*0.0099502487562189+P362*(1-0.0099502487562189),"")</f>
        <v/>
      </c>
      <c r="Q363" s="42">
        <f>Q362*(1+E363)</f>
        <v/>
      </c>
      <c r="R363" s="42">
        <f>MAX(R362,Q363)</f>
        <v/>
      </c>
      <c r="S363" s="41">
        <f>IFERROR(Q363/R363-1,"")</f>
        <v/>
      </c>
      <c r="T363" s="41">
        <f>IFERROR(_xlfn.STDEV.S(E304:E363)*SQRT($D$7),"")</f>
        <v/>
      </c>
      <c r="U363" s="41">
        <f>IFERROR(MIN(E363-$D$6,0),"")</f>
        <v/>
      </c>
      <c r="V363" s="41">
        <f>IFERROR(E363-F363,"")</f>
        <v/>
      </c>
      <c r="W363" s="39">
        <f>B363</f>
        <v/>
      </c>
      <c r="X363" s="21" t="n"/>
    </row>
    <row r="364">
      <c r="A364" s="38" t="n">
        <v>45468</v>
      </c>
      <c r="B364" s="39" t="n">
        <v>246.15</v>
      </c>
      <c r="C364" s="39" t="n">
        <v>544.83</v>
      </c>
      <c r="D364" s="39" t="n">
        <v>44.325</v>
      </c>
      <c r="E364" s="41">
        <f>IFERROR(B364/B363-1,"")</f>
        <v/>
      </c>
      <c r="F364" s="41">
        <f>IFERROR(C364/C363-1,"")</f>
        <v/>
      </c>
      <c r="G364" s="41">
        <f>IFERROR(D364/D363-1,"")</f>
        <v/>
      </c>
      <c r="H364" s="41">
        <f>IFERROR((1+E364)*(1+H363)-1,"")</f>
        <v/>
      </c>
      <c r="I364" s="41">
        <f>IFERROR((1+F364)*(1+I363)-1,"")</f>
        <v/>
      </c>
      <c r="J364" s="41">
        <f>IFERROR((1+G364)*(1+J363)-1,"")</f>
        <v/>
      </c>
      <c r="K364" s="42">
        <f>IFERROR(B364/$B$36*100,"")</f>
        <v/>
      </c>
      <c r="L364" s="42">
        <f>IFERROR(C364/$C$36*100,"")</f>
        <v/>
      </c>
      <c r="M364" s="42">
        <f>IFERROR(D364/$D$36*100,"")</f>
        <v/>
      </c>
      <c r="N364" s="41">
        <f>IFERROR((1+H364)/(1+I364)-1,"")</f>
        <v/>
      </c>
      <c r="O364" s="41">
        <f>IFERROR((1+H364)/(1+J364)-1,"")</f>
        <v/>
      </c>
      <c r="P364" s="39">
        <f>IFERROR(B364*0.0099502487562189+P363*(1-0.0099502487562189),"")</f>
        <v/>
      </c>
      <c r="Q364" s="42">
        <f>Q363*(1+E364)</f>
        <v/>
      </c>
      <c r="R364" s="42">
        <f>MAX(R363,Q364)</f>
        <v/>
      </c>
      <c r="S364" s="41">
        <f>IFERROR(Q364/R364-1,"")</f>
        <v/>
      </c>
      <c r="T364" s="41">
        <f>IFERROR(_xlfn.STDEV.S(E305:E364)*SQRT($D$7),"")</f>
        <v/>
      </c>
      <c r="U364" s="41">
        <f>IFERROR(MIN(E364-$D$6,0),"")</f>
        <v/>
      </c>
      <c r="V364" s="41">
        <f>IFERROR(E364-F364,"")</f>
        <v/>
      </c>
      <c r="W364" s="39">
        <f>B364</f>
        <v/>
      </c>
      <c r="X364" s="21" t="n"/>
    </row>
    <row r="365">
      <c r="A365" s="38" t="n">
        <v>45469</v>
      </c>
      <c r="B365" s="39" t="n">
        <v>245.88</v>
      </c>
      <c r="C365" s="39" t="n">
        <v>545.51</v>
      </c>
      <c r="D365" s="39" t="n">
        <v>44.295</v>
      </c>
      <c r="E365" s="41">
        <f>IFERROR(B365/B364-1,"")</f>
        <v/>
      </c>
      <c r="F365" s="41">
        <f>IFERROR(C365/C364-1,"")</f>
        <v/>
      </c>
      <c r="G365" s="41">
        <f>IFERROR(D365/D364-1,"")</f>
        <v/>
      </c>
      <c r="H365" s="41">
        <f>IFERROR((1+E365)*(1+H364)-1,"")</f>
        <v/>
      </c>
      <c r="I365" s="41">
        <f>IFERROR((1+F365)*(1+I364)-1,"")</f>
        <v/>
      </c>
      <c r="J365" s="41">
        <f>IFERROR((1+G365)*(1+J364)-1,"")</f>
        <v/>
      </c>
      <c r="K365" s="42">
        <f>IFERROR(B365/$B$36*100,"")</f>
        <v/>
      </c>
      <c r="L365" s="42">
        <f>IFERROR(C365/$C$36*100,"")</f>
        <v/>
      </c>
      <c r="M365" s="42">
        <f>IFERROR(D365/$D$36*100,"")</f>
        <v/>
      </c>
      <c r="N365" s="41">
        <f>IFERROR((1+H365)/(1+I365)-1,"")</f>
        <v/>
      </c>
      <c r="O365" s="41">
        <f>IFERROR((1+H365)/(1+J365)-1,"")</f>
        <v/>
      </c>
      <c r="P365" s="39">
        <f>IFERROR(B365*0.0099502487562189+P364*(1-0.0099502487562189),"")</f>
        <v/>
      </c>
      <c r="Q365" s="42">
        <f>Q364*(1+E365)</f>
        <v/>
      </c>
      <c r="R365" s="42">
        <f>MAX(R364,Q365)</f>
        <v/>
      </c>
      <c r="S365" s="41">
        <f>IFERROR(Q365/R365-1,"")</f>
        <v/>
      </c>
      <c r="T365" s="41">
        <f>IFERROR(_xlfn.STDEV.S(E306:E365)*SQRT($D$7),"")</f>
        <v/>
      </c>
      <c r="U365" s="41">
        <f>IFERROR(MIN(E365-$D$6,0),"")</f>
        <v/>
      </c>
      <c r="V365" s="41">
        <f>IFERROR(E365-F365,"")</f>
        <v/>
      </c>
      <c r="W365" s="39">
        <f>B365</f>
        <v/>
      </c>
      <c r="X365" s="21" t="n"/>
    </row>
    <row r="366">
      <c r="A366" s="38" t="n">
        <v>45470</v>
      </c>
      <c r="B366" s="39" t="n">
        <v>247.76</v>
      </c>
      <c r="C366" s="39" t="n">
        <v>546.37</v>
      </c>
      <c r="D366" s="39" t="n">
        <v>44.17</v>
      </c>
      <c r="E366" s="41">
        <f>IFERROR(B366/B365-1,"")</f>
        <v/>
      </c>
      <c r="F366" s="41">
        <f>IFERROR(C366/C365-1,"")</f>
        <v/>
      </c>
      <c r="G366" s="41">
        <f>IFERROR(D366/D365-1,"")</f>
        <v/>
      </c>
      <c r="H366" s="41">
        <f>IFERROR((1+E366)*(1+H365)-1,"")</f>
        <v/>
      </c>
      <c r="I366" s="41">
        <f>IFERROR((1+F366)*(1+I365)-1,"")</f>
        <v/>
      </c>
      <c r="J366" s="41">
        <f>IFERROR((1+G366)*(1+J365)-1,"")</f>
        <v/>
      </c>
      <c r="K366" s="42">
        <f>IFERROR(B366/$B$36*100,"")</f>
        <v/>
      </c>
      <c r="L366" s="42">
        <f>IFERROR(C366/$C$36*100,"")</f>
        <v/>
      </c>
      <c r="M366" s="42">
        <f>IFERROR(D366/$D$36*100,"")</f>
        <v/>
      </c>
      <c r="N366" s="41">
        <f>IFERROR((1+H366)/(1+I366)-1,"")</f>
        <v/>
      </c>
      <c r="O366" s="41">
        <f>IFERROR((1+H366)/(1+J366)-1,"")</f>
        <v/>
      </c>
      <c r="P366" s="39">
        <f>IFERROR(B366*0.0099502487562189+P365*(1-0.0099502487562189),"")</f>
        <v/>
      </c>
      <c r="Q366" s="42">
        <f>Q365*(1+E366)</f>
        <v/>
      </c>
      <c r="R366" s="42">
        <f>MAX(R365,Q366)</f>
        <v/>
      </c>
      <c r="S366" s="41">
        <f>IFERROR(Q366/R366-1,"")</f>
        <v/>
      </c>
      <c r="T366" s="41">
        <f>IFERROR(_xlfn.STDEV.S(E307:E366)*SQRT($D$7),"")</f>
        <v/>
      </c>
      <c r="U366" s="41">
        <f>IFERROR(MIN(E366-$D$6,0),"")</f>
        <v/>
      </c>
      <c r="V366" s="41">
        <f>IFERROR(E366-F366,"")</f>
        <v/>
      </c>
      <c r="W366" s="39">
        <f>B366</f>
        <v/>
      </c>
      <c r="X366" s="21" t="n"/>
    </row>
    <row r="367">
      <c r="A367" s="38" t="n">
        <v>45471</v>
      </c>
      <c r="B367" s="39" t="n">
        <v>248.68</v>
      </c>
      <c r="C367" s="39" t="n">
        <v>544.22</v>
      </c>
      <c r="D367" s="39" t="n">
        <v>44.155</v>
      </c>
      <c r="E367" s="41">
        <f>IFERROR(B367/B366-1,"")</f>
        <v/>
      </c>
      <c r="F367" s="41">
        <f>IFERROR(C367/C366-1,"")</f>
        <v/>
      </c>
      <c r="G367" s="41">
        <f>IFERROR(D367/D366-1,"")</f>
        <v/>
      </c>
      <c r="H367" s="41">
        <f>IFERROR((1+E367)*(1+H366)-1,"")</f>
        <v/>
      </c>
      <c r="I367" s="41">
        <f>IFERROR((1+F367)*(1+I366)-1,"")</f>
        <v/>
      </c>
      <c r="J367" s="41">
        <f>IFERROR((1+G367)*(1+J366)-1,"")</f>
        <v/>
      </c>
      <c r="K367" s="42">
        <f>IFERROR(B367/$B$36*100,"")</f>
        <v/>
      </c>
      <c r="L367" s="42">
        <f>IFERROR(C367/$C$36*100,"")</f>
        <v/>
      </c>
      <c r="M367" s="42">
        <f>IFERROR(D367/$D$36*100,"")</f>
        <v/>
      </c>
      <c r="N367" s="41">
        <f>IFERROR((1+H367)/(1+I367)-1,"")</f>
        <v/>
      </c>
      <c r="O367" s="41">
        <f>IFERROR((1+H367)/(1+J367)-1,"")</f>
        <v/>
      </c>
      <c r="P367" s="39">
        <f>IFERROR(B367*0.0099502487562189+P366*(1-0.0099502487562189),"")</f>
        <v/>
      </c>
      <c r="Q367" s="42">
        <f>Q366*(1+E367)</f>
        <v/>
      </c>
      <c r="R367" s="42">
        <f>MAX(R366,Q367)</f>
        <v/>
      </c>
      <c r="S367" s="41">
        <f>IFERROR(Q367/R367-1,"")</f>
        <v/>
      </c>
      <c r="T367" s="41">
        <f>IFERROR(_xlfn.STDEV.S(E308:E367)*SQRT($D$7),"")</f>
        <v/>
      </c>
      <c r="U367" s="41">
        <f>IFERROR(MIN(E367-$D$6,0),"")</f>
        <v/>
      </c>
      <c r="V367" s="41">
        <f>IFERROR(E367-F367,"")</f>
        <v/>
      </c>
      <c r="W367" s="39">
        <f>B367</f>
        <v/>
      </c>
      <c r="X367" s="21" t="n"/>
    </row>
    <row r="368">
      <c r="A368" s="38" t="n">
        <v>45474</v>
      </c>
      <c r="B368" s="39" t="n">
        <v>243.72</v>
      </c>
      <c r="C368" s="39" t="n">
        <v>545.34</v>
      </c>
      <c r="D368" s="39" t="n">
        <v>43.475</v>
      </c>
      <c r="E368" s="41">
        <f>IFERROR(B368/B367-1,"")</f>
        <v/>
      </c>
      <c r="F368" s="41">
        <f>IFERROR(C368/C367-1,"")</f>
        <v/>
      </c>
      <c r="G368" s="41">
        <f>IFERROR(D368/D367-1,"")</f>
        <v/>
      </c>
      <c r="H368" s="41">
        <f>IFERROR((1+E368)*(1+H367)-1,"")</f>
        <v/>
      </c>
      <c r="I368" s="41">
        <f>IFERROR((1+F368)*(1+I367)-1,"")</f>
        <v/>
      </c>
      <c r="J368" s="41">
        <f>IFERROR((1+G368)*(1+J367)-1,"")</f>
        <v/>
      </c>
      <c r="K368" s="42">
        <f>IFERROR(B368/$B$36*100,"")</f>
        <v/>
      </c>
      <c r="L368" s="42">
        <f>IFERROR(C368/$C$36*100,"")</f>
        <v/>
      </c>
      <c r="M368" s="42">
        <f>IFERROR(D368/$D$36*100,"")</f>
        <v/>
      </c>
      <c r="N368" s="41">
        <f>IFERROR((1+H368)/(1+I368)-1,"")</f>
        <v/>
      </c>
      <c r="O368" s="41">
        <f>IFERROR((1+H368)/(1+J368)-1,"")</f>
        <v/>
      </c>
      <c r="P368" s="39">
        <f>IFERROR(B368*0.0099502487562189+P367*(1-0.0099502487562189),"")</f>
        <v/>
      </c>
      <c r="Q368" s="42">
        <f>Q367*(1+E368)</f>
        <v/>
      </c>
      <c r="R368" s="42">
        <f>MAX(R367,Q368)</f>
        <v/>
      </c>
      <c r="S368" s="41">
        <f>IFERROR(Q368/R368-1,"")</f>
        <v/>
      </c>
      <c r="T368" s="41">
        <f>IFERROR(_xlfn.STDEV.S(E309:E368)*SQRT($D$7),"")</f>
        <v/>
      </c>
      <c r="U368" s="41">
        <f>IFERROR(MIN(E368-$D$6,0),"")</f>
        <v/>
      </c>
      <c r="V368" s="41">
        <f>IFERROR(E368-F368,"")</f>
        <v/>
      </c>
      <c r="W368" s="39">
        <f>B368</f>
        <v/>
      </c>
      <c r="X368" s="21" t="n"/>
    </row>
    <row r="369">
      <c r="A369" s="38" t="n">
        <v>45475</v>
      </c>
      <c r="B369" s="39" t="n">
        <v>245.07</v>
      </c>
      <c r="C369" s="39" t="n">
        <v>549.01</v>
      </c>
      <c r="D369" s="39" t="n">
        <v>43.555</v>
      </c>
      <c r="E369" s="41">
        <f>IFERROR(B369/B368-1,"")</f>
        <v/>
      </c>
      <c r="F369" s="41">
        <f>IFERROR(C369/C368-1,"")</f>
        <v/>
      </c>
      <c r="G369" s="41">
        <f>IFERROR(D369/D368-1,"")</f>
        <v/>
      </c>
      <c r="H369" s="41">
        <f>IFERROR((1+E369)*(1+H368)-1,"")</f>
        <v/>
      </c>
      <c r="I369" s="41">
        <f>IFERROR((1+F369)*(1+I368)-1,"")</f>
        <v/>
      </c>
      <c r="J369" s="41">
        <f>IFERROR((1+G369)*(1+J368)-1,"")</f>
        <v/>
      </c>
      <c r="K369" s="42">
        <f>IFERROR(B369/$B$36*100,"")</f>
        <v/>
      </c>
      <c r="L369" s="42">
        <f>IFERROR(C369/$C$36*100,"")</f>
        <v/>
      </c>
      <c r="M369" s="42">
        <f>IFERROR(D369/$D$36*100,"")</f>
        <v/>
      </c>
      <c r="N369" s="41">
        <f>IFERROR((1+H369)/(1+I369)-1,"")</f>
        <v/>
      </c>
      <c r="O369" s="41">
        <f>IFERROR((1+H369)/(1+J369)-1,"")</f>
        <v/>
      </c>
      <c r="P369" s="39">
        <f>IFERROR(B369*0.0099502487562189+P368*(1-0.0099502487562189),"")</f>
        <v/>
      </c>
      <c r="Q369" s="42">
        <f>Q368*(1+E369)</f>
        <v/>
      </c>
      <c r="R369" s="42">
        <f>MAX(R368,Q369)</f>
        <v/>
      </c>
      <c r="S369" s="41">
        <f>IFERROR(Q369/R369-1,"")</f>
        <v/>
      </c>
      <c r="T369" s="41">
        <f>IFERROR(_xlfn.STDEV.S(E310:E369)*SQRT($D$7),"")</f>
        <v/>
      </c>
      <c r="U369" s="41">
        <f>IFERROR(MIN(E369-$D$6,0),"")</f>
        <v/>
      </c>
      <c r="V369" s="41">
        <f>IFERROR(E369-F369,"")</f>
        <v/>
      </c>
      <c r="W369" s="39">
        <f>B369</f>
        <v/>
      </c>
      <c r="X369" s="21" t="n"/>
    </row>
    <row r="370">
      <c r="A370" s="38" t="n">
        <v>45476</v>
      </c>
      <c r="B370" s="39" t="n">
        <v>243.92</v>
      </c>
      <c r="C370" s="39" t="n">
        <v>551.46</v>
      </c>
      <c r="D370" s="39" t="n">
        <v>43.88</v>
      </c>
      <c r="E370" s="41">
        <f>IFERROR(B370/B369-1,"")</f>
        <v/>
      </c>
      <c r="F370" s="41">
        <f>IFERROR(C370/C369-1,"")</f>
        <v/>
      </c>
      <c r="G370" s="41">
        <f>IFERROR(D370/D369-1,"")</f>
        <v/>
      </c>
      <c r="H370" s="41">
        <f>IFERROR((1+E370)*(1+H369)-1,"")</f>
        <v/>
      </c>
      <c r="I370" s="41">
        <f>IFERROR((1+F370)*(1+I369)-1,"")</f>
        <v/>
      </c>
      <c r="J370" s="41">
        <f>IFERROR((1+G370)*(1+J369)-1,"")</f>
        <v/>
      </c>
      <c r="K370" s="42">
        <f>IFERROR(B370/$B$36*100,"")</f>
        <v/>
      </c>
      <c r="L370" s="42">
        <f>IFERROR(C370/$C$36*100,"")</f>
        <v/>
      </c>
      <c r="M370" s="42">
        <f>IFERROR(D370/$D$36*100,"")</f>
        <v/>
      </c>
      <c r="N370" s="41">
        <f>IFERROR((1+H370)/(1+I370)-1,"")</f>
        <v/>
      </c>
      <c r="O370" s="41">
        <f>IFERROR((1+H370)/(1+J370)-1,"")</f>
        <v/>
      </c>
      <c r="P370" s="39">
        <f>IFERROR(B370*0.0099502487562189+P369*(1-0.0099502487562189),"")</f>
        <v/>
      </c>
      <c r="Q370" s="42">
        <f>Q369*(1+E370)</f>
        <v/>
      </c>
      <c r="R370" s="42">
        <f>MAX(R369,Q370)</f>
        <v/>
      </c>
      <c r="S370" s="41">
        <f>IFERROR(Q370/R370-1,"")</f>
        <v/>
      </c>
      <c r="T370" s="41">
        <f>IFERROR(_xlfn.STDEV.S(E311:E370)*SQRT($D$7),"")</f>
        <v/>
      </c>
      <c r="U370" s="41">
        <f>IFERROR(MIN(E370-$D$6,0),"")</f>
        <v/>
      </c>
      <c r="V370" s="41">
        <f>IFERROR(E370-F370,"")</f>
        <v/>
      </c>
      <c r="W370" s="39">
        <f>B370</f>
        <v/>
      </c>
      <c r="X370" s="21" t="n"/>
    </row>
    <row r="371">
      <c r="A371" s="38" t="n">
        <v>45478</v>
      </c>
      <c r="B371" s="39" t="n">
        <v>244.21</v>
      </c>
      <c r="C371" s="39" t="n">
        <v>554.64</v>
      </c>
      <c r="D371" s="39" t="n">
        <v>43.95</v>
      </c>
      <c r="E371" s="41">
        <f>IFERROR(B371/B370-1,"")</f>
        <v/>
      </c>
      <c r="F371" s="41">
        <f>IFERROR(C371/C370-1,"")</f>
        <v/>
      </c>
      <c r="G371" s="41">
        <f>IFERROR(D371/D370-1,"")</f>
        <v/>
      </c>
      <c r="H371" s="41">
        <f>IFERROR((1+E371)*(1+H370)-1,"")</f>
        <v/>
      </c>
      <c r="I371" s="41">
        <f>IFERROR((1+F371)*(1+I370)-1,"")</f>
        <v/>
      </c>
      <c r="J371" s="41">
        <f>IFERROR((1+G371)*(1+J370)-1,"")</f>
        <v/>
      </c>
      <c r="K371" s="42">
        <f>IFERROR(B371/$B$36*100,"")</f>
        <v/>
      </c>
      <c r="L371" s="42">
        <f>IFERROR(C371/$C$36*100,"")</f>
        <v/>
      </c>
      <c r="M371" s="42">
        <f>IFERROR(D371/$D$36*100,"")</f>
        <v/>
      </c>
      <c r="N371" s="41">
        <f>IFERROR((1+H371)/(1+I371)-1,"")</f>
        <v/>
      </c>
      <c r="O371" s="41">
        <f>IFERROR((1+H371)/(1+J371)-1,"")</f>
        <v/>
      </c>
      <c r="P371" s="39">
        <f>IFERROR(B371*0.0099502487562189+P370*(1-0.0099502487562189),"")</f>
        <v/>
      </c>
      <c r="Q371" s="42">
        <f>Q370*(1+E371)</f>
        <v/>
      </c>
      <c r="R371" s="42">
        <f>MAX(R370,Q371)</f>
        <v/>
      </c>
      <c r="S371" s="41">
        <f>IFERROR(Q371/R371-1,"")</f>
        <v/>
      </c>
      <c r="T371" s="41">
        <f>IFERROR(_xlfn.STDEV.S(E312:E371)*SQRT($D$7),"")</f>
        <v/>
      </c>
      <c r="U371" s="41">
        <f>IFERROR(MIN(E371-$D$6,0),"")</f>
        <v/>
      </c>
      <c r="V371" s="41">
        <f>IFERROR(E371-F371,"")</f>
        <v/>
      </c>
      <c r="W371" s="39">
        <f>B371</f>
        <v/>
      </c>
      <c r="X371" s="21" t="n"/>
    </row>
    <row r="372">
      <c r="A372" s="38" t="n">
        <v>45481</v>
      </c>
      <c r="B372" s="39" t="n">
        <v>241.97</v>
      </c>
      <c r="C372" s="39" t="n">
        <v>555.28</v>
      </c>
      <c r="D372" s="39" t="n">
        <v>44.08</v>
      </c>
      <c r="E372" s="41">
        <f>IFERROR(B372/B371-1,"")</f>
        <v/>
      </c>
      <c r="F372" s="41">
        <f>IFERROR(C372/C371-1,"")</f>
        <v/>
      </c>
      <c r="G372" s="41">
        <f>IFERROR(D372/D371-1,"")</f>
        <v/>
      </c>
      <c r="H372" s="41">
        <f>IFERROR((1+E372)*(1+H371)-1,"")</f>
        <v/>
      </c>
      <c r="I372" s="41">
        <f>IFERROR((1+F372)*(1+I371)-1,"")</f>
        <v/>
      </c>
      <c r="J372" s="41">
        <f>IFERROR((1+G372)*(1+J371)-1,"")</f>
        <v/>
      </c>
      <c r="K372" s="42">
        <f>IFERROR(B372/$B$36*100,"")</f>
        <v/>
      </c>
      <c r="L372" s="42">
        <f>IFERROR(C372/$C$36*100,"")</f>
        <v/>
      </c>
      <c r="M372" s="42">
        <f>IFERROR(D372/$D$36*100,"")</f>
        <v/>
      </c>
      <c r="N372" s="41">
        <f>IFERROR((1+H372)/(1+I372)-1,"")</f>
        <v/>
      </c>
      <c r="O372" s="41">
        <f>IFERROR((1+H372)/(1+J372)-1,"")</f>
        <v/>
      </c>
      <c r="P372" s="39">
        <f>IFERROR(B372*0.0099502487562189+P371*(1-0.0099502487562189),"")</f>
        <v/>
      </c>
      <c r="Q372" s="42">
        <f>Q371*(1+E372)</f>
        <v/>
      </c>
      <c r="R372" s="42">
        <f>MAX(R371,Q372)</f>
        <v/>
      </c>
      <c r="S372" s="41">
        <f>IFERROR(Q372/R372-1,"")</f>
        <v/>
      </c>
      <c r="T372" s="41">
        <f>IFERROR(_xlfn.STDEV.S(E313:E372)*SQRT($D$7),"")</f>
        <v/>
      </c>
      <c r="U372" s="41">
        <f>IFERROR(MIN(E372-$D$6,0),"")</f>
        <v/>
      </c>
      <c r="V372" s="41">
        <f>IFERROR(E372-F372,"")</f>
        <v/>
      </c>
      <c r="W372" s="39">
        <f>B372</f>
        <v/>
      </c>
      <c r="X372" s="21" t="n"/>
    </row>
    <row r="373">
      <c r="A373" s="38" t="n">
        <v>45482</v>
      </c>
      <c r="B373" s="39" t="n">
        <v>242.25</v>
      </c>
      <c r="C373" s="39" t="n">
        <v>555.8200000000001</v>
      </c>
      <c r="D373" s="39" t="n">
        <v>43.63</v>
      </c>
      <c r="E373" s="41">
        <f>IFERROR(B373/B372-1,"")</f>
        <v/>
      </c>
      <c r="F373" s="41">
        <f>IFERROR(C373/C372-1,"")</f>
        <v/>
      </c>
      <c r="G373" s="41">
        <f>IFERROR(D373/D372-1,"")</f>
        <v/>
      </c>
      <c r="H373" s="41">
        <f>IFERROR((1+E373)*(1+H372)-1,"")</f>
        <v/>
      </c>
      <c r="I373" s="41">
        <f>IFERROR((1+F373)*(1+I372)-1,"")</f>
        <v/>
      </c>
      <c r="J373" s="41">
        <f>IFERROR((1+G373)*(1+J372)-1,"")</f>
        <v/>
      </c>
      <c r="K373" s="42">
        <f>IFERROR(B373/$B$36*100,"")</f>
        <v/>
      </c>
      <c r="L373" s="42">
        <f>IFERROR(C373/$C$36*100,"")</f>
        <v/>
      </c>
      <c r="M373" s="42">
        <f>IFERROR(D373/$D$36*100,"")</f>
        <v/>
      </c>
      <c r="N373" s="41">
        <f>IFERROR((1+H373)/(1+I373)-1,"")</f>
        <v/>
      </c>
      <c r="O373" s="41">
        <f>IFERROR((1+H373)/(1+J373)-1,"")</f>
        <v/>
      </c>
      <c r="P373" s="39">
        <f>IFERROR(B373*0.0099502487562189+P372*(1-0.0099502487562189),"")</f>
        <v/>
      </c>
      <c r="Q373" s="42">
        <f>Q372*(1+E373)</f>
        <v/>
      </c>
      <c r="R373" s="42">
        <f>MAX(R372,Q373)</f>
        <v/>
      </c>
      <c r="S373" s="41">
        <f>IFERROR(Q373/R373-1,"")</f>
        <v/>
      </c>
      <c r="T373" s="41">
        <f>IFERROR(_xlfn.STDEV.S(E314:E373)*SQRT($D$7),"")</f>
        <v/>
      </c>
      <c r="U373" s="41">
        <f>IFERROR(MIN(E373-$D$6,0),"")</f>
        <v/>
      </c>
      <c r="V373" s="41">
        <f>IFERROR(E373-F373,"")</f>
        <v/>
      </c>
      <c r="W373" s="39">
        <f>B373</f>
        <v/>
      </c>
      <c r="X373" s="21" t="n"/>
    </row>
    <row r="374">
      <c r="A374" s="38" t="n">
        <v>45483</v>
      </c>
      <c r="B374" s="39" t="n">
        <v>247.72</v>
      </c>
      <c r="C374" s="39" t="n">
        <v>561.3200000000001</v>
      </c>
      <c r="D374" s="39" t="n">
        <v>44.215</v>
      </c>
      <c r="E374" s="41">
        <f>IFERROR(B374/B373-1,"")</f>
        <v/>
      </c>
      <c r="F374" s="41">
        <f>IFERROR(C374/C373-1,"")</f>
        <v/>
      </c>
      <c r="G374" s="41">
        <f>IFERROR(D374/D373-1,"")</f>
        <v/>
      </c>
      <c r="H374" s="41">
        <f>IFERROR((1+E374)*(1+H373)-1,"")</f>
        <v/>
      </c>
      <c r="I374" s="41">
        <f>IFERROR((1+F374)*(1+I373)-1,"")</f>
        <v/>
      </c>
      <c r="J374" s="41">
        <f>IFERROR((1+G374)*(1+J373)-1,"")</f>
        <v/>
      </c>
      <c r="K374" s="42">
        <f>IFERROR(B374/$B$36*100,"")</f>
        <v/>
      </c>
      <c r="L374" s="42">
        <f>IFERROR(C374/$C$36*100,"")</f>
        <v/>
      </c>
      <c r="M374" s="42">
        <f>IFERROR(D374/$D$36*100,"")</f>
        <v/>
      </c>
      <c r="N374" s="41">
        <f>IFERROR((1+H374)/(1+I374)-1,"")</f>
        <v/>
      </c>
      <c r="O374" s="41">
        <f>IFERROR((1+H374)/(1+J374)-1,"")</f>
        <v/>
      </c>
      <c r="P374" s="39">
        <f>IFERROR(B374*0.0099502487562189+P373*(1-0.0099502487562189),"")</f>
        <v/>
      </c>
      <c r="Q374" s="42">
        <f>Q373*(1+E374)</f>
        <v/>
      </c>
      <c r="R374" s="42">
        <f>MAX(R373,Q374)</f>
        <v/>
      </c>
      <c r="S374" s="41">
        <f>IFERROR(Q374/R374-1,"")</f>
        <v/>
      </c>
      <c r="T374" s="41">
        <f>IFERROR(_xlfn.STDEV.S(E315:E374)*SQRT($D$7),"")</f>
        <v/>
      </c>
      <c r="U374" s="41">
        <f>IFERROR(MIN(E374-$D$6,0),"")</f>
        <v/>
      </c>
      <c r="V374" s="41">
        <f>IFERROR(E374-F374,"")</f>
        <v/>
      </c>
      <c r="W374" s="39">
        <f>B374</f>
        <v/>
      </c>
      <c r="X374" s="21" t="n"/>
    </row>
    <row r="375">
      <c r="A375" s="38" t="n">
        <v>45484</v>
      </c>
      <c r="B375" s="39" t="n">
        <v>254.69</v>
      </c>
      <c r="C375" s="39" t="n">
        <v>556.48</v>
      </c>
      <c r="D375" s="39" t="n">
        <v>44.82</v>
      </c>
      <c r="E375" s="41">
        <f>IFERROR(B375/B374-1,"")</f>
        <v/>
      </c>
      <c r="F375" s="41">
        <f>IFERROR(C375/C374-1,"")</f>
        <v/>
      </c>
      <c r="G375" s="41">
        <f>IFERROR(D375/D374-1,"")</f>
        <v/>
      </c>
      <c r="H375" s="41">
        <f>IFERROR((1+E375)*(1+H374)-1,"")</f>
        <v/>
      </c>
      <c r="I375" s="41">
        <f>IFERROR((1+F375)*(1+I374)-1,"")</f>
        <v/>
      </c>
      <c r="J375" s="41">
        <f>IFERROR((1+G375)*(1+J374)-1,"")</f>
        <v/>
      </c>
      <c r="K375" s="42">
        <f>IFERROR(B375/$B$36*100,"")</f>
        <v/>
      </c>
      <c r="L375" s="42">
        <f>IFERROR(C375/$C$36*100,"")</f>
        <v/>
      </c>
      <c r="M375" s="42">
        <f>IFERROR(D375/$D$36*100,"")</f>
        <v/>
      </c>
      <c r="N375" s="41">
        <f>IFERROR((1+H375)/(1+I375)-1,"")</f>
        <v/>
      </c>
      <c r="O375" s="41">
        <f>IFERROR((1+H375)/(1+J375)-1,"")</f>
        <v/>
      </c>
      <c r="P375" s="39">
        <f>IFERROR(B375*0.0099502487562189+P374*(1-0.0099502487562189),"")</f>
        <v/>
      </c>
      <c r="Q375" s="42">
        <f>Q374*(1+E375)</f>
        <v/>
      </c>
      <c r="R375" s="42">
        <f>MAX(R374,Q375)</f>
        <v/>
      </c>
      <c r="S375" s="41">
        <f>IFERROR(Q375/R375-1,"")</f>
        <v/>
      </c>
      <c r="T375" s="41">
        <f>IFERROR(_xlfn.STDEV.S(E316:E375)*SQRT($D$7),"")</f>
        <v/>
      </c>
      <c r="U375" s="41">
        <f>IFERROR(MIN(E375-$D$6,0),"")</f>
        <v/>
      </c>
      <c r="V375" s="41">
        <f>IFERROR(E375-F375,"")</f>
        <v/>
      </c>
      <c r="W375" s="39">
        <f>B375</f>
        <v/>
      </c>
      <c r="X375" s="21" t="n"/>
    </row>
    <row r="376">
      <c r="A376" s="38" t="n">
        <v>45485</v>
      </c>
      <c r="B376" s="39" t="n">
        <v>252.51</v>
      </c>
      <c r="C376" s="39" t="n">
        <v>559.99</v>
      </c>
      <c r="D376" s="39" t="n">
        <v>45.25</v>
      </c>
      <c r="E376" s="41">
        <f>IFERROR(B376/B375-1,"")</f>
        <v/>
      </c>
      <c r="F376" s="41">
        <f>IFERROR(C376/C375-1,"")</f>
        <v/>
      </c>
      <c r="G376" s="41">
        <f>IFERROR(D376/D375-1,"")</f>
        <v/>
      </c>
      <c r="H376" s="41">
        <f>IFERROR((1+E376)*(1+H375)-1,"")</f>
        <v/>
      </c>
      <c r="I376" s="41">
        <f>IFERROR((1+F376)*(1+I375)-1,"")</f>
        <v/>
      </c>
      <c r="J376" s="41">
        <f>IFERROR((1+G376)*(1+J375)-1,"")</f>
        <v/>
      </c>
      <c r="K376" s="42">
        <f>IFERROR(B376/$B$36*100,"")</f>
        <v/>
      </c>
      <c r="L376" s="42">
        <f>IFERROR(C376/$C$36*100,"")</f>
        <v/>
      </c>
      <c r="M376" s="42">
        <f>IFERROR(D376/$D$36*100,"")</f>
        <v/>
      </c>
      <c r="N376" s="41">
        <f>IFERROR((1+H376)/(1+I376)-1,"")</f>
        <v/>
      </c>
      <c r="O376" s="41">
        <f>IFERROR((1+H376)/(1+J376)-1,"")</f>
        <v/>
      </c>
      <c r="P376" s="39">
        <f>IFERROR(B376*0.0099502487562189+P375*(1-0.0099502487562189),"")</f>
        <v/>
      </c>
      <c r="Q376" s="42">
        <f>Q375*(1+E376)</f>
        <v/>
      </c>
      <c r="R376" s="42">
        <f>MAX(R375,Q376)</f>
        <v/>
      </c>
      <c r="S376" s="41">
        <f>IFERROR(Q376/R376-1,"")</f>
        <v/>
      </c>
      <c r="T376" s="41">
        <f>IFERROR(_xlfn.STDEV.S(E317:E376)*SQRT($D$7),"")</f>
        <v/>
      </c>
      <c r="U376" s="41">
        <f>IFERROR(MIN(E376-$D$6,0),"")</f>
        <v/>
      </c>
      <c r="V376" s="41">
        <f>IFERROR(E376-F376,"")</f>
        <v/>
      </c>
      <c r="W376" s="39">
        <f>B376</f>
        <v/>
      </c>
      <c r="X376" s="21" t="n"/>
    </row>
    <row r="377">
      <c r="A377" s="38" t="n">
        <v>45488</v>
      </c>
      <c r="B377" s="39" t="n">
        <v>253.9</v>
      </c>
      <c r="C377" s="39" t="n">
        <v>561.53</v>
      </c>
      <c r="D377" s="39" t="n">
        <v>45.135</v>
      </c>
      <c r="E377" s="41">
        <f>IFERROR(B377/B376-1,"")</f>
        <v/>
      </c>
      <c r="F377" s="41">
        <f>IFERROR(C377/C376-1,"")</f>
        <v/>
      </c>
      <c r="G377" s="41">
        <f>IFERROR(D377/D376-1,"")</f>
        <v/>
      </c>
      <c r="H377" s="41">
        <f>IFERROR((1+E377)*(1+H376)-1,"")</f>
        <v/>
      </c>
      <c r="I377" s="41">
        <f>IFERROR((1+F377)*(1+I376)-1,"")</f>
        <v/>
      </c>
      <c r="J377" s="41">
        <f>IFERROR((1+G377)*(1+J376)-1,"")</f>
        <v/>
      </c>
      <c r="K377" s="42">
        <f>IFERROR(B377/$B$36*100,"")</f>
        <v/>
      </c>
      <c r="L377" s="42">
        <f>IFERROR(C377/$C$36*100,"")</f>
        <v/>
      </c>
      <c r="M377" s="42">
        <f>IFERROR(D377/$D$36*100,"")</f>
        <v/>
      </c>
      <c r="N377" s="41">
        <f>IFERROR((1+H377)/(1+I377)-1,"")</f>
        <v/>
      </c>
      <c r="O377" s="41">
        <f>IFERROR((1+H377)/(1+J377)-1,"")</f>
        <v/>
      </c>
      <c r="P377" s="39">
        <f>IFERROR(B377*0.0099502487562189+P376*(1-0.0099502487562189),"")</f>
        <v/>
      </c>
      <c r="Q377" s="42">
        <f>Q376*(1+E377)</f>
        <v/>
      </c>
      <c r="R377" s="42">
        <f>MAX(R376,Q377)</f>
        <v/>
      </c>
      <c r="S377" s="41">
        <f>IFERROR(Q377/R377-1,"")</f>
        <v/>
      </c>
      <c r="T377" s="41">
        <f>IFERROR(_xlfn.STDEV.S(E318:E377)*SQRT($D$7),"")</f>
        <v/>
      </c>
      <c r="U377" s="41">
        <f>IFERROR(MIN(E377-$D$6,0),"")</f>
        <v/>
      </c>
      <c r="V377" s="41">
        <f>IFERROR(E377-F377,"")</f>
        <v/>
      </c>
      <c r="W377" s="39">
        <f>B377</f>
        <v/>
      </c>
      <c r="X377" s="21" t="n"/>
    </row>
    <row r="378">
      <c r="A378" s="38" t="n">
        <v>45489</v>
      </c>
      <c r="B378" s="39" t="n">
        <v>262.81</v>
      </c>
      <c r="C378" s="39" t="n">
        <v>564.86</v>
      </c>
      <c r="D378" s="39" t="n">
        <v>46.01</v>
      </c>
      <c r="E378" s="41">
        <f>IFERROR(B378/B377-1,"")</f>
        <v/>
      </c>
      <c r="F378" s="41">
        <f>IFERROR(C378/C377-1,"")</f>
        <v/>
      </c>
      <c r="G378" s="41">
        <f>IFERROR(D378/D377-1,"")</f>
        <v/>
      </c>
      <c r="H378" s="41">
        <f>IFERROR((1+E378)*(1+H377)-1,"")</f>
        <v/>
      </c>
      <c r="I378" s="41">
        <f>IFERROR((1+F378)*(1+I377)-1,"")</f>
        <v/>
      </c>
      <c r="J378" s="41">
        <f>IFERROR((1+G378)*(1+J377)-1,"")</f>
        <v/>
      </c>
      <c r="K378" s="42">
        <f>IFERROR(B378/$B$36*100,"")</f>
        <v/>
      </c>
      <c r="L378" s="42">
        <f>IFERROR(C378/$C$36*100,"")</f>
        <v/>
      </c>
      <c r="M378" s="42">
        <f>IFERROR(D378/$D$36*100,"")</f>
        <v/>
      </c>
      <c r="N378" s="41">
        <f>IFERROR((1+H378)/(1+I378)-1,"")</f>
        <v/>
      </c>
      <c r="O378" s="41">
        <f>IFERROR((1+H378)/(1+J378)-1,"")</f>
        <v/>
      </c>
      <c r="P378" s="39">
        <f>IFERROR(B378*0.0099502487562189+P377*(1-0.0099502487562189),"")</f>
        <v/>
      </c>
      <c r="Q378" s="42">
        <f>Q377*(1+E378)</f>
        <v/>
      </c>
      <c r="R378" s="42">
        <f>MAX(R377,Q378)</f>
        <v/>
      </c>
      <c r="S378" s="41">
        <f>IFERROR(Q378/R378-1,"")</f>
        <v/>
      </c>
      <c r="T378" s="41">
        <f>IFERROR(_xlfn.STDEV.S(E319:E378)*SQRT($D$7),"")</f>
        <v/>
      </c>
      <c r="U378" s="41">
        <f>IFERROR(MIN(E378-$D$6,0),"")</f>
        <v/>
      </c>
      <c r="V378" s="41">
        <f>IFERROR(E378-F378,"")</f>
        <v/>
      </c>
      <c r="W378" s="39">
        <f>B378</f>
        <v/>
      </c>
      <c r="X378" s="21" t="n"/>
    </row>
    <row r="379">
      <c r="A379" s="38" t="n">
        <v>45490</v>
      </c>
      <c r="B379" s="39" t="n">
        <v>255.8</v>
      </c>
      <c r="C379" s="39" t="n">
        <v>556.9400000000001</v>
      </c>
      <c r="D379" s="39" t="n">
        <v>45.915</v>
      </c>
      <c r="E379" s="41">
        <f>IFERROR(B379/B378-1,"")</f>
        <v/>
      </c>
      <c r="F379" s="41">
        <f>IFERROR(C379/C378-1,"")</f>
        <v/>
      </c>
      <c r="G379" s="41">
        <f>IFERROR(D379/D378-1,"")</f>
        <v/>
      </c>
      <c r="H379" s="41">
        <f>IFERROR((1+E379)*(1+H378)-1,"")</f>
        <v/>
      </c>
      <c r="I379" s="41">
        <f>IFERROR((1+F379)*(1+I378)-1,"")</f>
        <v/>
      </c>
      <c r="J379" s="41">
        <f>IFERROR((1+G379)*(1+J378)-1,"")</f>
        <v/>
      </c>
      <c r="K379" s="42">
        <f>IFERROR(B379/$B$36*100,"")</f>
        <v/>
      </c>
      <c r="L379" s="42">
        <f>IFERROR(C379/$C$36*100,"")</f>
        <v/>
      </c>
      <c r="M379" s="42">
        <f>IFERROR(D379/$D$36*100,"")</f>
        <v/>
      </c>
      <c r="N379" s="41">
        <f>IFERROR((1+H379)/(1+I379)-1,"")</f>
        <v/>
      </c>
      <c r="O379" s="41">
        <f>IFERROR((1+H379)/(1+J379)-1,"")</f>
        <v/>
      </c>
      <c r="P379" s="39">
        <f>IFERROR(B379*0.0099502487562189+P378*(1-0.0099502487562189),"")</f>
        <v/>
      </c>
      <c r="Q379" s="42">
        <f>Q378*(1+E379)</f>
        <v/>
      </c>
      <c r="R379" s="42">
        <f>MAX(R378,Q379)</f>
        <v/>
      </c>
      <c r="S379" s="41">
        <f>IFERROR(Q379/R379-1,"")</f>
        <v/>
      </c>
      <c r="T379" s="41">
        <f>IFERROR(_xlfn.STDEV.S(E320:E379)*SQRT($D$7),"")</f>
        <v/>
      </c>
      <c r="U379" s="41">
        <f>IFERROR(MIN(E379-$D$6,0),"")</f>
        <v/>
      </c>
      <c r="V379" s="41">
        <f>IFERROR(E379-F379,"")</f>
        <v/>
      </c>
      <c r="W379" s="39">
        <f>B379</f>
        <v/>
      </c>
      <c r="X379" s="21" t="n"/>
    </row>
    <row r="380">
      <c r="A380" s="38" t="n">
        <v>45491</v>
      </c>
      <c r="B380" s="39" t="n">
        <v>256.09</v>
      </c>
      <c r="C380" s="39" t="n">
        <v>552.66</v>
      </c>
      <c r="D380" s="39" t="n">
        <v>45.46</v>
      </c>
      <c r="E380" s="41">
        <f>IFERROR(B380/B379-1,"")</f>
        <v/>
      </c>
      <c r="F380" s="41">
        <f>IFERROR(C380/C379-1,"")</f>
        <v/>
      </c>
      <c r="G380" s="41">
        <f>IFERROR(D380/D379-1,"")</f>
        <v/>
      </c>
      <c r="H380" s="41">
        <f>IFERROR((1+E380)*(1+H379)-1,"")</f>
        <v/>
      </c>
      <c r="I380" s="41">
        <f>IFERROR((1+F380)*(1+I379)-1,"")</f>
        <v/>
      </c>
      <c r="J380" s="41">
        <f>IFERROR((1+G380)*(1+J379)-1,"")</f>
        <v/>
      </c>
      <c r="K380" s="42">
        <f>IFERROR(B380/$B$36*100,"")</f>
        <v/>
      </c>
      <c r="L380" s="42">
        <f>IFERROR(C380/$C$36*100,"")</f>
        <v/>
      </c>
      <c r="M380" s="42">
        <f>IFERROR(D380/$D$36*100,"")</f>
        <v/>
      </c>
      <c r="N380" s="41">
        <f>IFERROR((1+H380)/(1+I380)-1,"")</f>
        <v/>
      </c>
      <c r="O380" s="41">
        <f>IFERROR((1+H380)/(1+J380)-1,"")</f>
        <v/>
      </c>
      <c r="P380" s="39">
        <f>IFERROR(B380*0.0099502487562189+P379*(1-0.0099502487562189),"")</f>
        <v/>
      </c>
      <c r="Q380" s="42">
        <f>Q379*(1+E380)</f>
        <v/>
      </c>
      <c r="R380" s="42">
        <f>MAX(R379,Q380)</f>
        <v/>
      </c>
      <c r="S380" s="41">
        <f>IFERROR(Q380/R380-1,"")</f>
        <v/>
      </c>
      <c r="T380" s="41">
        <f>IFERROR(_xlfn.STDEV.S(E321:E380)*SQRT($D$7),"")</f>
        <v/>
      </c>
      <c r="U380" s="41">
        <f>IFERROR(MIN(E380-$D$6,0),"")</f>
        <v/>
      </c>
      <c r="V380" s="41">
        <f>IFERROR(E380-F380,"")</f>
        <v/>
      </c>
      <c r="W380" s="39">
        <f>B380</f>
        <v/>
      </c>
      <c r="X380" s="21" t="n"/>
    </row>
    <row r="381">
      <c r="A381" s="38" t="n">
        <v>45492</v>
      </c>
      <c r="B381" s="39" t="n">
        <v>256.14</v>
      </c>
      <c r="C381" s="39" t="n">
        <v>548.99</v>
      </c>
      <c r="D381" s="39" t="n">
        <v>45.055</v>
      </c>
      <c r="E381" s="41">
        <f>IFERROR(B381/B380-1,"")</f>
        <v/>
      </c>
      <c r="F381" s="41">
        <f>IFERROR(C381/C380-1,"")</f>
        <v/>
      </c>
      <c r="G381" s="41">
        <f>IFERROR(D381/D380-1,"")</f>
        <v/>
      </c>
      <c r="H381" s="41">
        <f>IFERROR((1+E381)*(1+H380)-1,"")</f>
        <v/>
      </c>
      <c r="I381" s="41">
        <f>IFERROR((1+F381)*(1+I380)-1,"")</f>
        <v/>
      </c>
      <c r="J381" s="41">
        <f>IFERROR((1+G381)*(1+J380)-1,"")</f>
        <v/>
      </c>
      <c r="K381" s="42">
        <f>IFERROR(B381/$B$36*100,"")</f>
        <v/>
      </c>
      <c r="L381" s="42">
        <f>IFERROR(C381/$C$36*100,"")</f>
        <v/>
      </c>
      <c r="M381" s="42">
        <f>IFERROR(D381/$D$36*100,"")</f>
        <v/>
      </c>
      <c r="N381" s="41">
        <f>IFERROR((1+H381)/(1+I381)-1,"")</f>
        <v/>
      </c>
      <c r="O381" s="41">
        <f>IFERROR((1+H381)/(1+J381)-1,"")</f>
        <v/>
      </c>
      <c r="P381" s="39">
        <f>IFERROR(B381*0.0099502487562189+P380*(1-0.0099502487562189),"")</f>
        <v/>
      </c>
      <c r="Q381" s="42">
        <f>Q380*(1+E381)</f>
        <v/>
      </c>
      <c r="R381" s="42">
        <f>MAX(R380,Q381)</f>
        <v/>
      </c>
      <c r="S381" s="41">
        <f>IFERROR(Q381/R381-1,"")</f>
        <v/>
      </c>
      <c r="T381" s="41">
        <f>IFERROR(_xlfn.STDEV.S(E322:E381)*SQRT($D$7),"")</f>
        <v/>
      </c>
      <c r="U381" s="41">
        <f>IFERROR(MIN(E381-$D$6,0),"")</f>
        <v/>
      </c>
      <c r="V381" s="41">
        <f>IFERROR(E381-F381,"")</f>
        <v/>
      </c>
      <c r="W381" s="39">
        <f>B381</f>
        <v/>
      </c>
      <c r="X381" s="21" t="n"/>
    </row>
    <row r="382">
      <c r="A382" s="38" t="n">
        <v>45495</v>
      </c>
      <c r="B382" s="39" t="n">
        <v>260.61</v>
      </c>
      <c r="C382" s="39" t="n">
        <v>554.65</v>
      </c>
      <c r="D382" s="39" t="n">
        <v>45.205</v>
      </c>
      <c r="E382" s="41">
        <f>IFERROR(B382/B381-1,"")</f>
        <v/>
      </c>
      <c r="F382" s="41">
        <f>IFERROR(C382/C381-1,"")</f>
        <v/>
      </c>
      <c r="G382" s="41">
        <f>IFERROR(D382/D381-1,"")</f>
        <v/>
      </c>
      <c r="H382" s="41">
        <f>IFERROR((1+E382)*(1+H381)-1,"")</f>
        <v/>
      </c>
      <c r="I382" s="41">
        <f>IFERROR((1+F382)*(1+I381)-1,"")</f>
        <v/>
      </c>
      <c r="J382" s="41">
        <f>IFERROR((1+G382)*(1+J381)-1,"")</f>
        <v/>
      </c>
      <c r="K382" s="42">
        <f>IFERROR(B382/$B$36*100,"")</f>
        <v/>
      </c>
      <c r="L382" s="42">
        <f>IFERROR(C382/$C$36*100,"")</f>
        <v/>
      </c>
      <c r="M382" s="42">
        <f>IFERROR(D382/$D$36*100,"")</f>
        <v/>
      </c>
      <c r="N382" s="41">
        <f>IFERROR((1+H382)/(1+I382)-1,"")</f>
        <v/>
      </c>
      <c r="O382" s="41">
        <f>IFERROR((1+H382)/(1+J382)-1,"")</f>
        <v/>
      </c>
      <c r="P382" s="39">
        <f>IFERROR(B382*0.0099502487562189+P381*(1-0.0099502487562189),"")</f>
        <v/>
      </c>
      <c r="Q382" s="42">
        <f>Q381*(1+E382)</f>
        <v/>
      </c>
      <c r="R382" s="42">
        <f>MAX(R381,Q382)</f>
        <v/>
      </c>
      <c r="S382" s="41">
        <f>IFERROR(Q382/R382-1,"")</f>
        <v/>
      </c>
      <c r="T382" s="41">
        <f>IFERROR(_xlfn.STDEV.S(E323:E382)*SQRT($D$7),"")</f>
        <v/>
      </c>
      <c r="U382" s="41">
        <f>IFERROR(MIN(E382-$D$6,0),"")</f>
        <v/>
      </c>
      <c r="V382" s="41">
        <f>IFERROR(E382-F382,"")</f>
        <v/>
      </c>
      <c r="W382" s="39">
        <f>B382</f>
        <v/>
      </c>
      <c r="X382" s="21" t="n"/>
    </row>
    <row r="383">
      <c r="A383" s="38" t="n">
        <v>45496</v>
      </c>
      <c r="B383" s="39" t="n">
        <v>260.15</v>
      </c>
      <c r="C383" s="39" t="n">
        <v>553.78</v>
      </c>
      <c r="D383" s="39" t="n">
        <v>45.385</v>
      </c>
      <c r="E383" s="41">
        <f>IFERROR(B383/B382-1,"")</f>
        <v/>
      </c>
      <c r="F383" s="41">
        <f>IFERROR(C383/C382-1,"")</f>
        <v/>
      </c>
      <c r="G383" s="41">
        <f>IFERROR(D383/D382-1,"")</f>
        <v/>
      </c>
      <c r="H383" s="41">
        <f>IFERROR((1+E383)*(1+H382)-1,"")</f>
        <v/>
      </c>
      <c r="I383" s="41">
        <f>IFERROR((1+F383)*(1+I382)-1,"")</f>
        <v/>
      </c>
      <c r="J383" s="41">
        <f>IFERROR((1+G383)*(1+J382)-1,"")</f>
        <v/>
      </c>
      <c r="K383" s="42">
        <f>IFERROR(B383/$B$36*100,"")</f>
        <v/>
      </c>
      <c r="L383" s="42">
        <f>IFERROR(C383/$C$36*100,"")</f>
        <v/>
      </c>
      <c r="M383" s="42">
        <f>IFERROR(D383/$D$36*100,"")</f>
        <v/>
      </c>
      <c r="N383" s="41">
        <f>IFERROR((1+H383)/(1+I383)-1,"")</f>
        <v/>
      </c>
      <c r="O383" s="41">
        <f>IFERROR((1+H383)/(1+J383)-1,"")</f>
        <v/>
      </c>
      <c r="P383" s="39">
        <f>IFERROR(B383*0.0099502487562189+P382*(1-0.0099502487562189),"")</f>
        <v/>
      </c>
      <c r="Q383" s="42">
        <f>Q382*(1+E383)</f>
        <v/>
      </c>
      <c r="R383" s="42">
        <f>MAX(R382,Q383)</f>
        <v/>
      </c>
      <c r="S383" s="41">
        <f>IFERROR(Q383/R383-1,"")</f>
        <v/>
      </c>
      <c r="T383" s="41">
        <f>IFERROR(_xlfn.STDEV.S(E324:E383)*SQRT($D$7),"")</f>
        <v/>
      </c>
      <c r="U383" s="41">
        <f>IFERROR(MIN(E383-$D$6,0),"")</f>
        <v/>
      </c>
      <c r="V383" s="41">
        <f>IFERROR(E383-F383,"")</f>
        <v/>
      </c>
      <c r="W383" s="39">
        <f>B383</f>
        <v/>
      </c>
      <c r="X383" s="21" t="n"/>
    </row>
    <row r="384">
      <c r="A384" s="38" t="n">
        <v>45497</v>
      </c>
      <c r="B384" s="39" t="n">
        <v>250.51</v>
      </c>
      <c r="C384" s="39" t="n">
        <v>541.23</v>
      </c>
      <c r="D384" s="39" t="n">
        <v>44.805</v>
      </c>
      <c r="E384" s="41">
        <f>IFERROR(B384/B383-1,"")</f>
        <v/>
      </c>
      <c r="F384" s="41">
        <f>IFERROR(C384/C383-1,"")</f>
        <v/>
      </c>
      <c r="G384" s="41">
        <f>IFERROR(D384/D383-1,"")</f>
        <v/>
      </c>
      <c r="H384" s="41">
        <f>IFERROR((1+E384)*(1+H383)-1,"")</f>
        <v/>
      </c>
      <c r="I384" s="41">
        <f>IFERROR((1+F384)*(1+I383)-1,"")</f>
        <v/>
      </c>
      <c r="J384" s="41">
        <f>IFERROR((1+G384)*(1+J383)-1,"")</f>
        <v/>
      </c>
      <c r="K384" s="42">
        <f>IFERROR(B384/$B$36*100,"")</f>
        <v/>
      </c>
      <c r="L384" s="42">
        <f>IFERROR(C384/$C$36*100,"")</f>
        <v/>
      </c>
      <c r="M384" s="42">
        <f>IFERROR(D384/$D$36*100,"")</f>
        <v/>
      </c>
      <c r="N384" s="41">
        <f>IFERROR((1+H384)/(1+I384)-1,"")</f>
        <v/>
      </c>
      <c r="O384" s="41">
        <f>IFERROR((1+H384)/(1+J384)-1,"")</f>
        <v/>
      </c>
      <c r="P384" s="39">
        <f>IFERROR(B384*0.0099502487562189+P383*(1-0.0099502487562189),"")</f>
        <v/>
      </c>
      <c r="Q384" s="42">
        <f>Q383*(1+E384)</f>
        <v/>
      </c>
      <c r="R384" s="42">
        <f>MAX(R383,Q384)</f>
        <v/>
      </c>
      <c r="S384" s="41">
        <f>IFERROR(Q384/R384-1,"")</f>
        <v/>
      </c>
      <c r="T384" s="41">
        <f>IFERROR(_xlfn.STDEV.S(E325:E384)*SQRT($D$7),"")</f>
        <v/>
      </c>
      <c r="U384" s="41">
        <f>IFERROR(MIN(E384-$D$6,0),"")</f>
        <v/>
      </c>
      <c r="V384" s="41">
        <f>IFERROR(E384-F384,"")</f>
        <v/>
      </c>
      <c r="W384" s="39">
        <f>B384</f>
        <v/>
      </c>
      <c r="X384" s="21" t="n"/>
    </row>
    <row r="385">
      <c r="A385" s="38" t="n">
        <v>45498</v>
      </c>
      <c r="B385" s="39" t="n">
        <v>253.77</v>
      </c>
      <c r="C385" s="39" t="n">
        <v>538.41</v>
      </c>
      <c r="D385" s="39" t="n">
        <v>44.93</v>
      </c>
      <c r="E385" s="41">
        <f>IFERROR(B385/B384-1,"")</f>
        <v/>
      </c>
      <c r="F385" s="41">
        <f>IFERROR(C385/C384-1,"")</f>
        <v/>
      </c>
      <c r="G385" s="41">
        <f>IFERROR(D385/D384-1,"")</f>
        <v/>
      </c>
      <c r="H385" s="41">
        <f>IFERROR((1+E385)*(1+H384)-1,"")</f>
        <v/>
      </c>
      <c r="I385" s="41">
        <f>IFERROR((1+F385)*(1+I384)-1,"")</f>
        <v/>
      </c>
      <c r="J385" s="41">
        <f>IFERROR((1+G385)*(1+J384)-1,"")</f>
        <v/>
      </c>
      <c r="K385" s="42">
        <f>IFERROR(B385/$B$36*100,"")</f>
        <v/>
      </c>
      <c r="L385" s="42">
        <f>IFERROR(C385/$C$36*100,"")</f>
        <v/>
      </c>
      <c r="M385" s="42">
        <f>IFERROR(D385/$D$36*100,"")</f>
        <v/>
      </c>
      <c r="N385" s="41">
        <f>IFERROR((1+H385)/(1+I385)-1,"")</f>
        <v/>
      </c>
      <c r="O385" s="41">
        <f>IFERROR((1+H385)/(1+J385)-1,"")</f>
        <v/>
      </c>
      <c r="P385" s="39">
        <f>IFERROR(B385*0.0099502487562189+P384*(1-0.0099502487562189),"")</f>
        <v/>
      </c>
      <c r="Q385" s="42">
        <f>Q384*(1+E385)</f>
        <v/>
      </c>
      <c r="R385" s="42">
        <f>MAX(R384,Q385)</f>
        <v/>
      </c>
      <c r="S385" s="41">
        <f>IFERROR(Q385/R385-1,"")</f>
        <v/>
      </c>
      <c r="T385" s="41">
        <f>IFERROR(_xlfn.STDEV.S(E326:E385)*SQRT($D$7),"")</f>
        <v/>
      </c>
      <c r="U385" s="41">
        <f>IFERROR(MIN(E385-$D$6,0),"")</f>
        <v/>
      </c>
      <c r="V385" s="41">
        <f>IFERROR(E385-F385,"")</f>
        <v/>
      </c>
      <c r="W385" s="39">
        <f>B385</f>
        <v/>
      </c>
      <c r="X385" s="21" t="n"/>
    </row>
    <row r="386">
      <c r="A386" s="38" t="n">
        <v>45499</v>
      </c>
      <c r="B386" s="39" t="n">
        <v>261.71</v>
      </c>
      <c r="C386" s="39" t="n">
        <v>544.4400000000001</v>
      </c>
      <c r="D386" s="39" t="n">
        <v>45.665</v>
      </c>
      <c r="E386" s="41">
        <f>IFERROR(B386/B385-1,"")</f>
        <v/>
      </c>
      <c r="F386" s="41">
        <f>IFERROR(C386/C385-1,"")</f>
        <v/>
      </c>
      <c r="G386" s="41">
        <f>IFERROR(D386/D385-1,"")</f>
        <v/>
      </c>
      <c r="H386" s="41">
        <f>IFERROR((1+E386)*(1+H385)-1,"")</f>
        <v/>
      </c>
      <c r="I386" s="41">
        <f>IFERROR((1+F386)*(1+I385)-1,"")</f>
        <v/>
      </c>
      <c r="J386" s="41">
        <f>IFERROR((1+G386)*(1+J385)-1,"")</f>
        <v/>
      </c>
      <c r="K386" s="42">
        <f>IFERROR(B386/$B$36*100,"")</f>
        <v/>
      </c>
      <c r="L386" s="42">
        <f>IFERROR(C386/$C$36*100,"")</f>
        <v/>
      </c>
      <c r="M386" s="42">
        <f>IFERROR(D386/$D$36*100,"")</f>
        <v/>
      </c>
      <c r="N386" s="41">
        <f>IFERROR((1+H386)/(1+I386)-1,"")</f>
        <v/>
      </c>
      <c r="O386" s="41">
        <f>IFERROR((1+H386)/(1+J386)-1,"")</f>
        <v/>
      </c>
      <c r="P386" s="39">
        <f>IFERROR(B386*0.0099502487562189+P385*(1-0.0099502487562189),"")</f>
        <v/>
      </c>
      <c r="Q386" s="42">
        <f>Q385*(1+E386)</f>
        <v/>
      </c>
      <c r="R386" s="42">
        <f>MAX(R385,Q386)</f>
        <v/>
      </c>
      <c r="S386" s="41">
        <f>IFERROR(Q386/R386-1,"")</f>
        <v/>
      </c>
      <c r="T386" s="41">
        <f>IFERROR(_xlfn.STDEV.S(E327:E386)*SQRT($D$7),"")</f>
        <v/>
      </c>
      <c r="U386" s="41">
        <f>IFERROR(MIN(E386-$D$6,0),"")</f>
        <v/>
      </c>
      <c r="V386" s="41">
        <f>IFERROR(E386-F386,"")</f>
        <v/>
      </c>
      <c r="W386" s="39">
        <f>B386</f>
        <v/>
      </c>
      <c r="X386" s="21" t="n"/>
    </row>
    <row r="387">
      <c r="A387" s="38" t="n">
        <v>45502</v>
      </c>
      <c r="B387" s="39" t="n">
        <v>264.53</v>
      </c>
      <c r="C387" s="39" t="n">
        <v>544.76</v>
      </c>
      <c r="D387" s="39" t="n">
        <v>45.745</v>
      </c>
      <c r="E387" s="41">
        <f>IFERROR(B387/B386-1,"")</f>
        <v/>
      </c>
      <c r="F387" s="41">
        <f>IFERROR(C387/C386-1,"")</f>
        <v/>
      </c>
      <c r="G387" s="41">
        <f>IFERROR(D387/D386-1,"")</f>
        <v/>
      </c>
      <c r="H387" s="41">
        <f>IFERROR((1+E387)*(1+H386)-1,"")</f>
        <v/>
      </c>
      <c r="I387" s="41">
        <f>IFERROR((1+F387)*(1+I386)-1,"")</f>
        <v/>
      </c>
      <c r="J387" s="41">
        <f>IFERROR((1+G387)*(1+J386)-1,"")</f>
        <v/>
      </c>
      <c r="K387" s="42">
        <f>IFERROR(B387/$B$36*100,"")</f>
        <v/>
      </c>
      <c r="L387" s="42">
        <f>IFERROR(C387/$C$36*100,"")</f>
        <v/>
      </c>
      <c r="M387" s="42">
        <f>IFERROR(D387/$D$36*100,"")</f>
        <v/>
      </c>
      <c r="N387" s="41">
        <f>IFERROR((1+H387)/(1+I387)-1,"")</f>
        <v/>
      </c>
      <c r="O387" s="41">
        <f>IFERROR((1+H387)/(1+J387)-1,"")</f>
        <v/>
      </c>
      <c r="P387" s="39">
        <f>IFERROR(B387*0.0099502487562189+P386*(1-0.0099502487562189),"")</f>
        <v/>
      </c>
      <c r="Q387" s="42">
        <f>Q386*(1+E387)</f>
        <v/>
      </c>
      <c r="R387" s="42">
        <f>MAX(R386,Q387)</f>
        <v/>
      </c>
      <c r="S387" s="41">
        <f>IFERROR(Q387/R387-1,"")</f>
        <v/>
      </c>
      <c r="T387" s="41">
        <f>IFERROR(_xlfn.STDEV.S(E328:E387)*SQRT($D$7),"")</f>
        <v/>
      </c>
      <c r="U387" s="41">
        <f>IFERROR(MIN(E387-$D$6,0),"")</f>
        <v/>
      </c>
      <c r="V387" s="41">
        <f>IFERROR(E387-F387,"")</f>
        <v/>
      </c>
      <c r="W387" s="39">
        <f>B387</f>
        <v/>
      </c>
      <c r="X387" s="21" t="n"/>
    </row>
    <row r="388">
      <c r="A388" s="38" t="n">
        <v>45503</v>
      </c>
      <c r="B388" s="39" t="n">
        <v>270</v>
      </c>
      <c r="C388" s="39" t="n">
        <v>542</v>
      </c>
      <c r="D388" s="39" t="n">
        <v>45.595</v>
      </c>
      <c r="E388" s="41">
        <f>IFERROR(B388/B387-1,"")</f>
        <v/>
      </c>
      <c r="F388" s="41">
        <f>IFERROR(C388/C387-1,"")</f>
        <v/>
      </c>
      <c r="G388" s="41">
        <f>IFERROR(D388/D387-1,"")</f>
        <v/>
      </c>
      <c r="H388" s="41">
        <f>IFERROR((1+E388)*(1+H387)-1,"")</f>
        <v/>
      </c>
      <c r="I388" s="41">
        <f>IFERROR((1+F388)*(1+I387)-1,"")</f>
        <v/>
      </c>
      <c r="J388" s="41">
        <f>IFERROR((1+G388)*(1+J387)-1,"")</f>
        <v/>
      </c>
      <c r="K388" s="42">
        <f>IFERROR(B388/$B$36*100,"")</f>
        <v/>
      </c>
      <c r="L388" s="42">
        <f>IFERROR(C388/$C$36*100,"")</f>
        <v/>
      </c>
      <c r="M388" s="42">
        <f>IFERROR(D388/$D$36*100,"")</f>
        <v/>
      </c>
      <c r="N388" s="41">
        <f>IFERROR((1+H388)/(1+I388)-1,"")</f>
        <v/>
      </c>
      <c r="O388" s="41">
        <f>IFERROR((1+H388)/(1+J388)-1,"")</f>
        <v/>
      </c>
      <c r="P388" s="39">
        <f>IFERROR(B388*0.0099502487562189+P387*(1-0.0099502487562189),"")</f>
        <v/>
      </c>
      <c r="Q388" s="42">
        <f>Q387*(1+E388)</f>
        <v/>
      </c>
      <c r="R388" s="42">
        <f>MAX(R387,Q388)</f>
        <v/>
      </c>
      <c r="S388" s="41">
        <f>IFERROR(Q388/R388-1,"")</f>
        <v/>
      </c>
      <c r="T388" s="41">
        <f>IFERROR(_xlfn.STDEV.S(E329:E388)*SQRT($D$7),"")</f>
        <v/>
      </c>
      <c r="U388" s="41">
        <f>IFERROR(MIN(E388-$D$6,0),"")</f>
        <v/>
      </c>
      <c r="V388" s="41">
        <f>IFERROR(E388-F388,"")</f>
        <v/>
      </c>
      <c r="W388" s="39">
        <f>B388</f>
        <v/>
      </c>
      <c r="X388" s="21" t="n"/>
    </row>
    <row r="389">
      <c r="A389" s="38" t="n">
        <v>45504</v>
      </c>
      <c r="B389" s="39" t="n">
        <v>274.51</v>
      </c>
      <c r="C389" s="39" t="n">
        <v>550.8099999999999</v>
      </c>
      <c r="D389" s="39" t="n">
        <v>46.07</v>
      </c>
      <c r="E389" s="41">
        <f>IFERROR(B389/B388-1,"")</f>
        <v/>
      </c>
      <c r="F389" s="41">
        <f>IFERROR(C389/C388-1,"")</f>
        <v/>
      </c>
      <c r="G389" s="41">
        <f>IFERROR(D389/D388-1,"")</f>
        <v/>
      </c>
      <c r="H389" s="41">
        <f>IFERROR((1+E389)*(1+H388)-1,"")</f>
        <v/>
      </c>
      <c r="I389" s="41">
        <f>IFERROR((1+F389)*(1+I388)-1,"")</f>
        <v/>
      </c>
      <c r="J389" s="41">
        <f>IFERROR((1+G389)*(1+J388)-1,"")</f>
        <v/>
      </c>
      <c r="K389" s="42">
        <f>IFERROR(B389/$B$36*100,"")</f>
        <v/>
      </c>
      <c r="L389" s="42">
        <f>IFERROR(C389/$C$36*100,"")</f>
        <v/>
      </c>
      <c r="M389" s="42">
        <f>IFERROR(D389/$D$36*100,"")</f>
        <v/>
      </c>
      <c r="N389" s="41">
        <f>IFERROR((1+H389)/(1+I389)-1,"")</f>
        <v/>
      </c>
      <c r="O389" s="41">
        <f>IFERROR((1+H389)/(1+J389)-1,"")</f>
        <v/>
      </c>
      <c r="P389" s="39">
        <f>IFERROR(B389*0.0099502487562189+P388*(1-0.0099502487562189),"")</f>
        <v/>
      </c>
      <c r="Q389" s="42">
        <f>Q388*(1+E389)</f>
        <v/>
      </c>
      <c r="R389" s="42">
        <f>MAX(R388,Q389)</f>
        <v/>
      </c>
      <c r="S389" s="41">
        <f>IFERROR(Q389/R389-1,"")</f>
        <v/>
      </c>
      <c r="T389" s="41">
        <f>IFERROR(_xlfn.STDEV.S(E330:E389)*SQRT($D$7),"")</f>
        <v/>
      </c>
      <c r="U389" s="41">
        <f>IFERROR(MIN(E389-$D$6,0),"")</f>
        <v/>
      </c>
      <c r="V389" s="41">
        <f>IFERROR(E389-F389,"")</f>
        <v/>
      </c>
      <c r="W389" s="39">
        <f>B389</f>
        <v/>
      </c>
      <c r="X389" s="21" t="n"/>
    </row>
    <row r="390">
      <c r="A390" s="38" t="n">
        <v>45505</v>
      </c>
      <c r="B390" s="39" t="n">
        <v>271.13</v>
      </c>
      <c r="C390" s="39" t="n">
        <v>543.01</v>
      </c>
      <c r="D390" s="39" t="n">
        <v>45.885</v>
      </c>
      <c r="E390" s="41">
        <f>IFERROR(B390/B389-1,"")</f>
        <v/>
      </c>
      <c r="F390" s="41">
        <f>IFERROR(C390/C389-1,"")</f>
        <v/>
      </c>
      <c r="G390" s="41">
        <f>IFERROR(D390/D389-1,"")</f>
        <v/>
      </c>
      <c r="H390" s="41">
        <f>IFERROR((1+E390)*(1+H389)-1,"")</f>
        <v/>
      </c>
      <c r="I390" s="41">
        <f>IFERROR((1+F390)*(1+I389)-1,"")</f>
        <v/>
      </c>
      <c r="J390" s="41">
        <f>IFERROR((1+G390)*(1+J389)-1,"")</f>
        <v/>
      </c>
      <c r="K390" s="42">
        <f>IFERROR(B390/$B$36*100,"")</f>
        <v/>
      </c>
      <c r="L390" s="42">
        <f>IFERROR(C390/$C$36*100,"")</f>
        <v/>
      </c>
      <c r="M390" s="42">
        <f>IFERROR(D390/$D$36*100,"")</f>
        <v/>
      </c>
      <c r="N390" s="41">
        <f>IFERROR((1+H390)/(1+I390)-1,"")</f>
        <v/>
      </c>
      <c r="O390" s="41">
        <f>IFERROR((1+H390)/(1+J390)-1,"")</f>
        <v/>
      </c>
      <c r="P390" s="39">
        <f>IFERROR(B390*0.0099502487562189+P389*(1-0.0099502487562189),"")</f>
        <v/>
      </c>
      <c r="Q390" s="42">
        <f>Q389*(1+E390)</f>
        <v/>
      </c>
      <c r="R390" s="42">
        <f>MAX(R389,Q390)</f>
        <v/>
      </c>
      <c r="S390" s="41">
        <f>IFERROR(Q390/R390-1,"")</f>
        <v/>
      </c>
      <c r="T390" s="41">
        <f>IFERROR(_xlfn.STDEV.S(E331:E390)*SQRT($D$7),"")</f>
        <v/>
      </c>
      <c r="U390" s="41">
        <f>IFERROR(MIN(E390-$D$6,0),"")</f>
        <v/>
      </c>
      <c r="V390" s="41">
        <f>IFERROR(E390-F390,"")</f>
        <v/>
      </c>
      <c r="W390" s="39">
        <f>B390</f>
        <v/>
      </c>
      <c r="X390" s="21" t="n"/>
    </row>
    <row r="391">
      <c r="A391" s="38" t="n">
        <v>45506</v>
      </c>
      <c r="B391" s="39" t="n">
        <v>266.34</v>
      </c>
      <c r="C391" s="39" t="n">
        <v>532.9</v>
      </c>
      <c r="D391" s="39" t="n">
        <v>45.02</v>
      </c>
      <c r="E391" s="41">
        <f>IFERROR(B391/B390-1,"")</f>
        <v/>
      </c>
      <c r="F391" s="41">
        <f>IFERROR(C391/C390-1,"")</f>
        <v/>
      </c>
      <c r="G391" s="41">
        <f>IFERROR(D391/D390-1,"")</f>
        <v/>
      </c>
      <c r="H391" s="41">
        <f>IFERROR((1+E391)*(1+H390)-1,"")</f>
        <v/>
      </c>
      <c r="I391" s="41">
        <f>IFERROR((1+F391)*(1+I390)-1,"")</f>
        <v/>
      </c>
      <c r="J391" s="41">
        <f>IFERROR((1+G391)*(1+J390)-1,"")</f>
        <v/>
      </c>
      <c r="K391" s="42">
        <f>IFERROR(B391/$B$36*100,"")</f>
        <v/>
      </c>
      <c r="L391" s="42">
        <f>IFERROR(C391/$C$36*100,"")</f>
        <v/>
      </c>
      <c r="M391" s="42">
        <f>IFERROR(D391/$D$36*100,"")</f>
        <v/>
      </c>
      <c r="N391" s="41">
        <f>IFERROR((1+H391)/(1+I391)-1,"")</f>
        <v/>
      </c>
      <c r="O391" s="41">
        <f>IFERROR((1+H391)/(1+J391)-1,"")</f>
        <v/>
      </c>
      <c r="P391" s="39">
        <f>IFERROR(B391*0.0099502487562189+P390*(1-0.0099502487562189),"")</f>
        <v/>
      </c>
      <c r="Q391" s="42">
        <f>Q390*(1+E391)</f>
        <v/>
      </c>
      <c r="R391" s="42">
        <f>MAX(R390,Q391)</f>
        <v/>
      </c>
      <c r="S391" s="41">
        <f>IFERROR(Q391/R391-1,"")</f>
        <v/>
      </c>
      <c r="T391" s="41">
        <f>IFERROR(_xlfn.STDEV.S(E332:E391)*SQRT($D$7),"")</f>
        <v/>
      </c>
      <c r="U391" s="41">
        <f>IFERROR(MIN(E391-$D$6,0),"")</f>
        <v/>
      </c>
      <c r="V391" s="41">
        <f>IFERROR(E391-F391,"")</f>
        <v/>
      </c>
      <c r="W391" s="39">
        <f>B391</f>
        <v/>
      </c>
      <c r="X391" s="21" t="n"/>
    </row>
    <row r="392">
      <c r="A392" s="38" t="n">
        <v>45509</v>
      </c>
      <c r="B392" s="39" t="n">
        <v>257.43</v>
      </c>
      <c r="C392" s="39" t="n">
        <v>517.38</v>
      </c>
      <c r="D392" s="39" t="n">
        <v>44.015</v>
      </c>
      <c r="E392" s="41">
        <f>IFERROR(B392/B391-1,"")</f>
        <v/>
      </c>
      <c r="F392" s="41">
        <f>IFERROR(C392/C391-1,"")</f>
        <v/>
      </c>
      <c r="G392" s="41">
        <f>IFERROR(D392/D391-1,"")</f>
        <v/>
      </c>
      <c r="H392" s="41">
        <f>IFERROR((1+E392)*(1+H391)-1,"")</f>
        <v/>
      </c>
      <c r="I392" s="41">
        <f>IFERROR((1+F392)*(1+I391)-1,"")</f>
        <v/>
      </c>
      <c r="J392" s="41">
        <f>IFERROR((1+G392)*(1+J391)-1,"")</f>
        <v/>
      </c>
      <c r="K392" s="42">
        <f>IFERROR(B392/$B$36*100,"")</f>
        <v/>
      </c>
      <c r="L392" s="42">
        <f>IFERROR(C392/$C$36*100,"")</f>
        <v/>
      </c>
      <c r="M392" s="42">
        <f>IFERROR(D392/$D$36*100,"")</f>
        <v/>
      </c>
      <c r="N392" s="41">
        <f>IFERROR((1+H392)/(1+I392)-1,"")</f>
        <v/>
      </c>
      <c r="O392" s="41">
        <f>IFERROR((1+H392)/(1+J392)-1,"")</f>
        <v/>
      </c>
      <c r="P392" s="39">
        <f>IFERROR(B392*0.0099502487562189+P391*(1-0.0099502487562189),"")</f>
        <v/>
      </c>
      <c r="Q392" s="42">
        <f>Q391*(1+E392)</f>
        <v/>
      </c>
      <c r="R392" s="42">
        <f>MAX(R391,Q392)</f>
        <v/>
      </c>
      <c r="S392" s="41">
        <f>IFERROR(Q392/R392-1,"")</f>
        <v/>
      </c>
      <c r="T392" s="41">
        <f>IFERROR(_xlfn.STDEV.S(E333:E392)*SQRT($D$7),"")</f>
        <v/>
      </c>
      <c r="U392" s="41">
        <f>IFERROR(MIN(E392-$D$6,0),"")</f>
        <v/>
      </c>
      <c r="V392" s="41">
        <f>IFERROR(E392-F392,"")</f>
        <v/>
      </c>
      <c r="W392" s="39">
        <f>B392</f>
        <v/>
      </c>
      <c r="X392" s="21" t="n"/>
    </row>
    <row r="393">
      <c r="A393" s="38" t="n">
        <v>45510</v>
      </c>
      <c r="B393" s="39" t="n">
        <v>246.14</v>
      </c>
      <c r="C393" s="39" t="n">
        <v>522.15</v>
      </c>
      <c r="D393" s="39" t="n">
        <v>44.24</v>
      </c>
      <c r="E393" s="41">
        <f>IFERROR(B393/B392-1,"")</f>
        <v/>
      </c>
      <c r="F393" s="41">
        <f>IFERROR(C393/C392-1,"")</f>
        <v/>
      </c>
      <c r="G393" s="41">
        <f>IFERROR(D393/D392-1,"")</f>
        <v/>
      </c>
      <c r="H393" s="41">
        <f>IFERROR((1+E393)*(1+H392)-1,"")</f>
        <v/>
      </c>
      <c r="I393" s="41">
        <f>IFERROR((1+F393)*(1+I392)-1,"")</f>
        <v/>
      </c>
      <c r="J393" s="41">
        <f>IFERROR((1+G393)*(1+J392)-1,"")</f>
        <v/>
      </c>
      <c r="K393" s="42">
        <f>IFERROR(B393/$B$36*100,"")</f>
        <v/>
      </c>
      <c r="L393" s="42">
        <f>IFERROR(C393/$C$36*100,"")</f>
        <v/>
      </c>
      <c r="M393" s="42">
        <f>IFERROR(D393/$D$36*100,"")</f>
        <v/>
      </c>
      <c r="N393" s="41">
        <f>IFERROR((1+H393)/(1+I393)-1,"")</f>
        <v/>
      </c>
      <c r="O393" s="41">
        <f>IFERROR((1+H393)/(1+J393)-1,"")</f>
        <v/>
      </c>
      <c r="P393" s="39">
        <f>IFERROR(B393*0.0099502487562189+P392*(1-0.0099502487562189),"")</f>
        <v/>
      </c>
      <c r="Q393" s="42">
        <f>Q392*(1+E393)</f>
        <v/>
      </c>
      <c r="R393" s="42">
        <f>MAX(R392,Q393)</f>
        <v/>
      </c>
      <c r="S393" s="41">
        <f>IFERROR(Q393/R393-1,"")</f>
        <v/>
      </c>
      <c r="T393" s="41">
        <f>IFERROR(_xlfn.STDEV.S(E334:E393)*SQRT($D$7),"")</f>
        <v/>
      </c>
      <c r="U393" s="41">
        <f>IFERROR(MIN(E393-$D$6,0),"")</f>
        <v/>
      </c>
      <c r="V393" s="41">
        <f>IFERROR(E393-F393,"")</f>
        <v/>
      </c>
      <c r="W393" s="39">
        <f>B393</f>
        <v/>
      </c>
      <c r="X393" s="21" t="n"/>
    </row>
    <row r="394">
      <c r="A394" s="38" t="n">
        <v>45511</v>
      </c>
      <c r="B394" s="39" t="n">
        <v>241.22</v>
      </c>
      <c r="C394" s="39" t="n">
        <v>518.66</v>
      </c>
      <c r="D394" s="39" t="n">
        <v>43.64</v>
      </c>
      <c r="E394" s="41">
        <f>IFERROR(B394/B393-1,"")</f>
        <v/>
      </c>
      <c r="F394" s="41">
        <f>IFERROR(C394/C393-1,"")</f>
        <v/>
      </c>
      <c r="G394" s="41">
        <f>IFERROR(D394/D393-1,"")</f>
        <v/>
      </c>
      <c r="H394" s="41">
        <f>IFERROR((1+E394)*(1+H393)-1,"")</f>
        <v/>
      </c>
      <c r="I394" s="41">
        <f>IFERROR((1+F394)*(1+I393)-1,"")</f>
        <v/>
      </c>
      <c r="J394" s="41">
        <f>IFERROR((1+G394)*(1+J393)-1,"")</f>
        <v/>
      </c>
      <c r="K394" s="42">
        <f>IFERROR(B394/$B$36*100,"")</f>
        <v/>
      </c>
      <c r="L394" s="42">
        <f>IFERROR(C394/$C$36*100,"")</f>
        <v/>
      </c>
      <c r="M394" s="42">
        <f>IFERROR(D394/$D$36*100,"")</f>
        <v/>
      </c>
      <c r="N394" s="41">
        <f>IFERROR((1+H394)/(1+I394)-1,"")</f>
        <v/>
      </c>
      <c r="O394" s="41">
        <f>IFERROR((1+H394)/(1+J394)-1,"")</f>
        <v/>
      </c>
      <c r="P394" s="39">
        <f>IFERROR(B394*0.0099502487562189+P393*(1-0.0099502487562189),"")</f>
        <v/>
      </c>
      <c r="Q394" s="42">
        <f>Q393*(1+E394)</f>
        <v/>
      </c>
      <c r="R394" s="42">
        <f>MAX(R393,Q394)</f>
        <v/>
      </c>
      <c r="S394" s="41">
        <f>IFERROR(Q394/R394-1,"")</f>
        <v/>
      </c>
      <c r="T394" s="41">
        <f>IFERROR(_xlfn.STDEV.S(E335:E394)*SQRT($D$7),"")</f>
        <v/>
      </c>
      <c r="U394" s="41">
        <f>IFERROR(MIN(E394-$D$6,0),"")</f>
        <v/>
      </c>
      <c r="V394" s="41">
        <f>IFERROR(E394-F394,"")</f>
        <v/>
      </c>
      <c r="W394" s="39">
        <f>B394</f>
        <v/>
      </c>
      <c r="X394" s="21" t="n"/>
    </row>
    <row r="395">
      <c r="A395" s="38" t="n">
        <v>45512</v>
      </c>
      <c r="B395" s="39" t="n">
        <v>246.33</v>
      </c>
      <c r="C395" s="39" t="n">
        <v>530.65</v>
      </c>
      <c r="D395" s="39" t="n">
        <v>44.315</v>
      </c>
      <c r="E395" s="41">
        <f>IFERROR(B395/B394-1,"")</f>
        <v/>
      </c>
      <c r="F395" s="41">
        <f>IFERROR(C395/C394-1,"")</f>
        <v/>
      </c>
      <c r="G395" s="41">
        <f>IFERROR(D395/D394-1,"")</f>
        <v/>
      </c>
      <c r="H395" s="41">
        <f>IFERROR((1+E395)*(1+H394)-1,"")</f>
        <v/>
      </c>
      <c r="I395" s="41">
        <f>IFERROR((1+F395)*(1+I394)-1,"")</f>
        <v/>
      </c>
      <c r="J395" s="41">
        <f>IFERROR((1+G395)*(1+J394)-1,"")</f>
        <v/>
      </c>
      <c r="K395" s="42">
        <f>IFERROR(B395/$B$36*100,"")</f>
        <v/>
      </c>
      <c r="L395" s="42">
        <f>IFERROR(C395/$C$36*100,"")</f>
        <v/>
      </c>
      <c r="M395" s="42">
        <f>IFERROR(D395/$D$36*100,"")</f>
        <v/>
      </c>
      <c r="N395" s="41">
        <f>IFERROR((1+H395)/(1+I395)-1,"")</f>
        <v/>
      </c>
      <c r="O395" s="41">
        <f>IFERROR((1+H395)/(1+J395)-1,"")</f>
        <v/>
      </c>
      <c r="P395" s="39">
        <f>IFERROR(B395*0.0099502487562189+P394*(1-0.0099502487562189),"")</f>
        <v/>
      </c>
      <c r="Q395" s="42">
        <f>Q394*(1+E395)</f>
        <v/>
      </c>
      <c r="R395" s="42">
        <f>MAX(R394,Q395)</f>
        <v/>
      </c>
      <c r="S395" s="41">
        <f>IFERROR(Q395/R395-1,"")</f>
        <v/>
      </c>
      <c r="T395" s="41">
        <f>IFERROR(_xlfn.STDEV.S(E336:E395)*SQRT($D$7),"")</f>
        <v/>
      </c>
      <c r="U395" s="41">
        <f>IFERROR(MIN(E395-$D$6,0),"")</f>
        <v/>
      </c>
      <c r="V395" s="41">
        <f>IFERROR(E395-F395,"")</f>
        <v/>
      </c>
      <c r="W395" s="39">
        <f>B395</f>
        <v/>
      </c>
      <c r="X395" s="21" t="n"/>
    </row>
    <row r="396">
      <c r="A396" s="38" t="n">
        <v>45513</v>
      </c>
      <c r="B396" s="39" t="n">
        <v>244.34</v>
      </c>
      <c r="C396" s="39" t="n">
        <v>532.99</v>
      </c>
      <c r="D396" s="39" t="n">
        <v>44.28</v>
      </c>
      <c r="E396" s="41">
        <f>IFERROR(B396/B395-1,"")</f>
        <v/>
      </c>
      <c r="F396" s="41">
        <f>IFERROR(C396/C395-1,"")</f>
        <v/>
      </c>
      <c r="G396" s="41">
        <f>IFERROR(D396/D395-1,"")</f>
        <v/>
      </c>
      <c r="H396" s="41">
        <f>IFERROR((1+E396)*(1+H395)-1,"")</f>
        <v/>
      </c>
      <c r="I396" s="41">
        <f>IFERROR((1+F396)*(1+I395)-1,"")</f>
        <v/>
      </c>
      <c r="J396" s="41">
        <f>IFERROR((1+G396)*(1+J395)-1,"")</f>
        <v/>
      </c>
      <c r="K396" s="42">
        <f>IFERROR(B396/$B$36*100,"")</f>
        <v/>
      </c>
      <c r="L396" s="42">
        <f>IFERROR(C396/$C$36*100,"")</f>
        <v/>
      </c>
      <c r="M396" s="42">
        <f>IFERROR(D396/$D$36*100,"")</f>
        <v/>
      </c>
      <c r="N396" s="41">
        <f>IFERROR((1+H396)/(1+I396)-1,"")</f>
        <v/>
      </c>
      <c r="O396" s="41">
        <f>IFERROR((1+H396)/(1+J396)-1,"")</f>
        <v/>
      </c>
      <c r="P396" s="39">
        <f>IFERROR(B396*0.0099502487562189+P395*(1-0.0099502487562189),"")</f>
        <v/>
      </c>
      <c r="Q396" s="42">
        <f>Q395*(1+E396)</f>
        <v/>
      </c>
      <c r="R396" s="42">
        <f>MAX(R395,Q396)</f>
        <v/>
      </c>
      <c r="S396" s="41">
        <f>IFERROR(Q396/R396-1,"")</f>
        <v/>
      </c>
      <c r="T396" s="41">
        <f>IFERROR(_xlfn.STDEV.S(E337:E396)*SQRT($D$7),"")</f>
        <v/>
      </c>
      <c r="U396" s="41">
        <f>IFERROR(MIN(E396-$D$6,0),"")</f>
        <v/>
      </c>
      <c r="V396" s="41">
        <f>IFERROR(E396-F396,"")</f>
        <v/>
      </c>
      <c r="W396" s="39">
        <f>B396</f>
        <v/>
      </c>
      <c r="X396" s="21" t="n"/>
    </row>
    <row r="397">
      <c r="A397" s="38" t="n">
        <v>45516</v>
      </c>
      <c r="B397" s="39" t="n">
        <v>241.9</v>
      </c>
      <c r="C397" s="39" t="n">
        <v>533.27</v>
      </c>
      <c r="D397" s="39" t="n">
        <v>44.085</v>
      </c>
      <c r="E397" s="41">
        <f>IFERROR(B397/B396-1,"")</f>
        <v/>
      </c>
      <c r="F397" s="41">
        <f>IFERROR(C397/C396-1,"")</f>
        <v/>
      </c>
      <c r="G397" s="41">
        <f>IFERROR(D397/D396-1,"")</f>
        <v/>
      </c>
      <c r="H397" s="41">
        <f>IFERROR((1+E397)*(1+H396)-1,"")</f>
        <v/>
      </c>
      <c r="I397" s="41">
        <f>IFERROR((1+F397)*(1+I396)-1,"")</f>
        <v/>
      </c>
      <c r="J397" s="41">
        <f>IFERROR((1+G397)*(1+J396)-1,"")</f>
        <v/>
      </c>
      <c r="K397" s="42">
        <f>IFERROR(B397/$B$36*100,"")</f>
        <v/>
      </c>
      <c r="L397" s="42">
        <f>IFERROR(C397/$C$36*100,"")</f>
        <v/>
      </c>
      <c r="M397" s="42">
        <f>IFERROR(D397/$D$36*100,"")</f>
        <v/>
      </c>
      <c r="N397" s="41">
        <f>IFERROR((1+H397)/(1+I397)-1,"")</f>
        <v/>
      </c>
      <c r="O397" s="41">
        <f>IFERROR((1+H397)/(1+J397)-1,"")</f>
        <v/>
      </c>
      <c r="P397" s="39">
        <f>IFERROR(B397*0.0099502487562189+P396*(1-0.0099502487562189),"")</f>
        <v/>
      </c>
      <c r="Q397" s="42">
        <f>Q396*(1+E397)</f>
        <v/>
      </c>
      <c r="R397" s="42">
        <f>MAX(R396,Q397)</f>
        <v/>
      </c>
      <c r="S397" s="41">
        <f>IFERROR(Q397/R397-1,"")</f>
        <v/>
      </c>
      <c r="T397" s="41">
        <f>IFERROR(_xlfn.STDEV.S(E338:E397)*SQRT($D$7),"")</f>
        <v/>
      </c>
      <c r="U397" s="41">
        <f>IFERROR(MIN(E397-$D$6,0),"")</f>
        <v/>
      </c>
      <c r="V397" s="41">
        <f>IFERROR(E397-F397,"")</f>
        <v/>
      </c>
      <c r="W397" s="39">
        <f>B397</f>
        <v/>
      </c>
      <c r="X397" s="21" t="n"/>
    </row>
    <row r="398">
      <c r="A398" s="38" t="n">
        <v>45517</v>
      </c>
      <c r="B398" s="39" t="n">
        <v>243.84</v>
      </c>
      <c r="C398" s="39" t="n">
        <v>542.04</v>
      </c>
      <c r="D398" s="39" t="n">
        <v>44.525</v>
      </c>
      <c r="E398" s="41">
        <f>IFERROR(B398/B397-1,"")</f>
        <v/>
      </c>
      <c r="F398" s="41">
        <f>IFERROR(C398/C397-1,"")</f>
        <v/>
      </c>
      <c r="G398" s="41">
        <f>IFERROR(D398/D397-1,"")</f>
        <v/>
      </c>
      <c r="H398" s="41">
        <f>IFERROR((1+E398)*(1+H397)-1,"")</f>
        <v/>
      </c>
      <c r="I398" s="41">
        <f>IFERROR((1+F398)*(1+I397)-1,"")</f>
        <v/>
      </c>
      <c r="J398" s="41">
        <f>IFERROR((1+G398)*(1+J397)-1,"")</f>
        <v/>
      </c>
      <c r="K398" s="42">
        <f>IFERROR(B398/$B$36*100,"")</f>
        <v/>
      </c>
      <c r="L398" s="42">
        <f>IFERROR(C398/$C$36*100,"")</f>
        <v/>
      </c>
      <c r="M398" s="42">
        <f>IFERROR(D398/$D$36*100,"")</f>
        <v/>
      </c>
      <c r="N398" s="41">
        <f>IFERROR((1+H398)/(1+I398)-1,"")</f>
        <v/>
      </c>
      <c r="O398" s="41">
        <f>IFERROR((1+H398)/(1+J398)-1,"")</f>
        <v/>
      </c>
      <c r="P398" s="39">
        <f>IFERROR(B398*0.0099502487562189+P397*(1-0.0099502487562189),"")</f>
        <v/>
      </c>
      <c r="Q398" s="42">
        <f>Q397*(1+E398)</f>
        <v/>
      </c>
      <c r="R398" s="42">
        <f>MAX(R397,Q398)</f>
        <v/>
      </c>
      <c r="S398" s="41">
        <f>IFERROR(Q398/R398-1,"")</f>
        <v/>
      </c>
      <c r="T398" s="41">
        <f>IFERROR(_xlfn.STDEV.S(E339:E398)*SQRT($D$7),"")</f>
        <v/>
      </c>
      <c r="U398" s="41">
        <f>IFERROR(MIN(E398-$D$6,0),"")</f>
        <v/>
      </c>
      <c r="V398" s="41">
        <f>IFERROR(E398-F398,"")</f>
        <v/>
      </c>
      <c r="W398" s="39">
        <f>B398</f>
        <v/>
      </c>
      <c r="X398" s="21" t="n"/>
    </row>
    <row r="399">
      <c r="A399" s="38" t="n">
        <v>45518</v>
      </c>
      <c r="B399" s="39" t="n">
        <v>242.5</v>
      </c>
      <c r="C399" s="39" t="n">
        <v>543.75</v>
      </c>
      <c r="D399" s="39" t="n">
        <v>44.525</v>
      </c>
      <c r="E399" s="41">
        <f>IFERROR(B399/B398-1,"")</f>
        <v/>
      </c>
      <c r="F399" s="41">
        <f>IFERROR(C399/C398-1,"")</f>
        <v/>
      </c>
      <c r="G399" s="41">
        <f>IFERROR(D399/D398-1,"")</f>
        <v/>
      </c>
      <c r="H399" s="41">
        <f>IFERROR((1+E399)*(1+H398)-1,"")</f>
        <v/>
      </c>
      <c r="I399" s="41">
        <f>IFERROR((1+F399)*(1+I398)-1,"")</f>
        <v/>
      </c>
      <c r="J399" s="41">
        <f>IFERROR((1+G399)*(1+J398)-1,"")</f>
        <v/>
      </c>
      <c r="K399" s="42">
        <f>IFERROR(B399/$B$36*100,"")</f>
        <v/>
      </c>
      <c r="L399" s="42">
        <f>IFERROR(C399/$C$36*100,"")</f>
        <v/>
      </c>
      <c r="M399" s="42">
        <f>IFERROR(D399/$D$36*100,"")</f>
        <v/>
      </c>
      <c r="N399" s="41">
        <f>IFERROR((1+H399)/(1+I399)-1,"")</f>
        <v/>
      </c>
      <c r="O399" s="41">
        <f>IFERROR((1+H399)/(1+J399)-1,"")</f>
        <v/>
      </c>
      <c r="P399" s="39">
        <f>IFERROR(B399*0.0099502487562189+P398*(1-0.0099502487562189),"")</f>
        <v/>
      </c>
      <c r="Q399" s="42">
        <f>Q398*(1+E399)</f>
        <v/>
      </c>
      <c r="R399" s="42">
        <f>MAX(R398,Q399)</f>
        <v/>
      </c>
      <c r="S399" s="41">
        <f>IFERROR(Q399/R399-1,"")</f>
        <v/>
      </c>
      <c r="T399" s="41">
        <f>IFERROR(_xlfn.STDEV.S(E340:E399)*SQRT($D$7),"")</f>
        <v/>
      </c>
      <c r="U399" s="41">
        <f>IFERROR(MIN(E399-$D$6,0),"")</f>
        <v/>
      </c>
      <c r="V399" s="41">
        <f>IFERROR(E399-F399,"")</f>
        <v/>
      </c>
      <c r="W399" s="39">
        <f>B399</f>
        <v/>
      </c>
      <c r="X399" s="21" t="n"/>
    </row>
    <row r="400">
      <c r="A400" s="38" t="n">
        <v>45519</v>
      </c>
      <c r="B400" s="39" t="n">
        <v>246.57</v>
      </c>
      <c r="C400" s="39" t="n">
        <v>553.0700000000001</v>
      </c>
      <c r="D400" s="39" t="n">
        <v>45.23</v>
      </c>
      <c r="E400" s="41">
        <f>IFERROR(B400/B399-1,"")</f>
        <v/>
      </c>
      <c r="F400" s="41">
        <f>IFERROR(C400/C399-1,"")</f>
        <v/>
      </c>
      <c r="G400" s="41">
        <f>IFERROR(D400/D399-1,"")</f>
        <v/>
      </c>
      <c r="H400" s="41">
        <f>IFERROR((1+E400)*(1+H399)-1,"")</f>
        <v/>
      </c>
      <c r="I400" s="41">
        <f>IFERROR((1+F400)*(1+I399)-1,"")</f>
        <v/>
      </c>
      <c r="J400" s="41">
        <f>IFERROR((1+G400)*(1+J399)-1,"")</f>
        <v/>
      </c>
      <c r="K400" s="42">
        <f>IFERROR(B400/$B$36*100,"")</f>
        <v/>
      </c>
      <c r="L400" s="42">
        <f>IFERROR(C400/$C$36*100,"")</f>
        <v/>
      </c>
      <c r="M400" s="42">
        <f>IFERROR(D400/$D$36*100,"")</f>
        <v/>
      </c>
      <c r="N400" s="41">
        <f>IFERROR((1+H400)/(1+I400)-1,"")</f>
        <v/>
      </c>
      <c r="O400" s="41">
        <f>IFERROR((1+H400)/(1+J400)-1,"")</f>
        <v/>
      </c>
      <c r="P400" s="39">
        <f>IFERROR(B400*0.0099502487562189+P399*(1-0.0099502487562189),"")</f>
        <v/>
      </c>
      <c r="Q400" s="42">
        <f>Q399*(1+E400)</f>
        <v/>
      </c>
      <c r="R400" s="42">
        <f>MAX(R399,Q400)</f>
        <v/>
      </c>
      <c r="S400" s="41">
        <f>IFERROR(Q400/R400-1,"")</f>
        <v/>
      </c>
      <c r="T400" s="41">
        <f>IFERROR(_xlfn.STDEV.S(E341:E400)*SQRT($D$7),"")</f>
        <v/>
      </c>
      <c r="U400" s="41">
        <f>IFERROR(MIN(E400-$D$6,0),"")</f>
        <v/>
      </c>
      <c r="V400" s="41">
        <f>IFERROR(E400-F400,"")</f>
        <v/>
      </c>
      <c r="W400" s="39">
        <f>B400</f>
        <v/>
      </c>
      <c r="X400" s="21" t="n"/>
    </row>
    <row r="401">
      <c r="A401" s="38" t="n">
        <v>45520</v>
      </c>
      <c r="B401" s="39" t="n">
        <v>244.43</v>
      </c>
      <c r="C401" s="39" t="n">
        <v>554.3099999999999</v>
      </c>
      <c r="D401" s="39" t="n">
        <v>45.285</v>
      </c>
      <c r="E401" s="41">
        <f>IFERROR(B401/B400-1,"")</f>
        <v/>
      </c>
      <c r="F401" s="41">
        <f>IFERROR(C401/C400-1,"")</f>
        <v/>
      </c>
      <c r="G401" s="41">
        <f>IFERROR(D401/D400-1,"")</f>
        <v/>
      </c>
      <c r="H401" s="41">
        <f>IFERROR((1+E401)*(1+H400)-1,"")</f>
        <v/>
      </c>
      <c r="I401" s="41">
        <f>IFERROR((1+F401)*(1+I400)-1,"")</f>
        <v/>
      </c>
      <c r="J401" s="41">
        <f>IFERROR((1+G401)*(1+J400)-1,"")</f>
        <v/>
      </c>
      <c r="K401" s="42">
        <f>IFERROR(B401/$B$36*100,"")</f>
        <v/>
      </c>
      <c r="L401" s="42">
        <f>IFERROR(C401/$C$36*100,"")</f>
        <v/>
      </c>
      <c r="M401" s="42">
        <f>IFERROR(D401/$D$36*100,"")</f>
        <v/>
      </c>
      <c r="N401" s="41">
        <f>IFERROR((1+H401)/(1+I401)-1,"")</f>
        <v/>
      </c>
      <c r="O401" s="41">
        <f>IFERROR((1+H401)/(1+J401)-1,"")</f>
        <v/>
      </c>
      <c r="P401" s="39">
        <f>IFERROR(B401*0.0099502487562189+P400*(1-0.0099502487562189),"")</f>
        <v/>
      </c>
      <c r="Q401" s="42">
        <f>Q400*(1+E401)</f>
        <v/>
      </c>
      <c r="R401" s="42">
        <f>MAX(R400,Q401)</f>
        <v/>
      </c>
      <c r="S401" s="41">
        <f>IFERROR(Q401/R401-1,"")</f>
        <v/>
      </c>
      <c r="T401" s="41">
        <f>IFERROR(_xlfn.STDEV.S(E342:E401)*SQRT($D$7),"")</f>
        <v/>
      </c>
      <c r="U401" s="41">
        <f>IFERROR(MIN(E401-$D$6,0),"")</f>
        <v/>
      </c>
      <c r="V401" s="41">
        <f>IFERROR(E401-F401,"")</f>
        <v/>
      </c>
      <c r="W401" s="39">
        <f>B401</f>
        <v/>
      </c>
      <c r="X401" s="21" t="n"/>
    </row>
    <row r="402">
      <c r="A402" s="38" t="n">
        <v>45523</v>
      </c>
      <c r="B402" s="39" t="n">
        <v>244.29</v>
      </c>
      <c r="C402" s="39" t="n">
        <v>559.61</v>
      </c>
      <c r="D402" s="39" t="n">
        <v>45.5</v>
      </c>
      <c r="E402" s="41">
        <f>IFERROR(B402/B401-1,"")</f>
        <v/>
      </c>
      <c r="F402" s="41">
        <f>IFERROR(C402/C401-1,"")</f>
        <v/>
      </c>
      <c r="G402" s="41">
        <f>IFERROR(D402/D401-1,"")</f>
        <v/>
      </c>
      <c r="H402" s="41">
        <f>IFERROR((1+E402)*(1+H401)-1,"")</f>
        <v/>
      </c>
      <c r="I402" s="41">
        <f>IFERROR((1+F402)*(1+I401)-1,"")</f>
        <v/>
      </c>
      <c r="J402" s="41">
        <f>IFERROR((1+G402)*(1+J401)-1,"")</f>
        <v/>
      </c>
      <c r="K402" s="42">
        <f>IFERROR(B402/$B$36*100,"")</f>
        <v/>
      </c>
      <c r="L402" s="42">
        <f>IFERROR(C402/$C$36*100,"")</f>
        <v/>
      </c>
      <c r="M402" s="42">
        <f>IFERROR(D402/$D$36*100,"")</f>
        <v/>
      </c>
      <c r="N402" s="41">
        <f>IFERROR((1+H402)/(1+I402)-1,"")</f>
        <v/>
      </c>
      <c r="O402" s="41">
        <f>IFERROR((1+H402)/(1+J402)-1,"")</f>
        <v/>
      </c>
      <c r="P402" s="39">
        <f>IFERROR(B402*0.0099502487562189+P401*(1-0.0099502487562189),"")</f>
        <v/>
      </c>
      <c r="Q402" s="42">
        <f>Q401*(1+E402)</f>
        <v/>
      </c>
      <c r="R402" s="42">
        <f>MAX(R401,Q402)</f>
        <v/>
      </c>
      <c r="S402" s="41">
        <f>IFERROR(Q402/R402-1,"")</f>
        <v/>
      </c>
      <c r="T402" s="41">
        <f>IFERROR(_xlfn.STDEV.S(E343:E402)*SQRT($D$7),"")</f>
        <v/>
      </c>
      <c r="U402" s="41">
        <f>IFERROR(MIN(E402-$D$6,0),"")</f>
        <v/>
      </c>
      <c r="V402" s="41">
        <f>IFERROR(E402-F402,"")</f>
        <v/>
      </c>
      <c r="W402" s="39">
        <f>B402</f>
        <v/>
      </c>
      <c r="X402" s="21" t="n"/>
    </row>
    <row r="403">
      <c r="A403" s="38" t="n">
        <v>45524</v>
      </c>
      <c r="B403" s="39" t="n">
        <v>245.6</v>
      </c>
      <c r="C403" s="39" t="n">
        <v>558.7</v>
      </c>
      <c r="D403" s="39" t="n">
        <v>45.335</v>
      </c>
      <c r="E403" s="41">
        <f>IFERROR(B403/B402-1,"")</f>
        <v/>
      </c>
      <c r="F403" s="41">
        <f>IFERROR(C403/C402-1,"")</f>
        <v/>
      </c>
      <c r="G403" s="41">
        <f>IFERROR(D403/D402-1,"")</f>
        <v/>
      </c>
      <c r="H403" s="41">
        <f>IFERROR((1+E403)*(1+H402)-1,"")</f>
        <v/>
      </c>
      <c r="I403" s="41">
        <f>IFERROR((1+F403)*(1+I402)-1,"")</f>
        <v/>
      </c>
      <c r="J403" s="41">
        <f>IFERROR((1+G403)*(1+J402)-1,"")</f>
        <v/>
      </c>
      <c r="K403" s="42">
        <f>IFERROR(B403/$B$36*100,"")</f>
        <v/>
      </c>
      <c r="L403" s="42">
        <f>IFERROR(C403/$C$36*100,"")</f>
        <v/>
      </c>
      <c r="M403" s="42">
        <f>IFERROR(D403/$D$36*100,"")</f>
        <v/>
      </c>
      <c r="N403" s="41">
        <f>IFERROR((1+H403)/(1+I403)-1,"")</f>
        <v/>
      </c>
      <c r="O403" s="41">
        <f>IFERROR((1+H403)/(1+J403)-1,"")</f>
        <v/>
      </c>
      <c r="P403" s="39">
        <f>IFERROR(B403*0.0099502487562189+P402*(1-0.0099502487562189),"")</f>
        <v/>
      </c>
      <c r="Q403" s="42">
        <f>Q402*(1+E403)</f>
        <v/>
      </c>
      <c r="R403" s="42">
        <f>MAX(R402,Q403)</f>
        <v/>
      </c>
      <c r="S403" s="41">
        <f>IFERROR(Q403/R403-1,"")</f>
        <v/>
      </c>
      <c r="T403" s="41">
        <f>IFERROR(_xlfn.STDEV.S(E344:E403)*SQRT($D$7),"")</f>
        <v/>
      </c>
      <c r="U403" s="41">
        <f>IFERROR(MIN(E403-$D$6,0),"")</f>
        <v/>
      </c>
      <c r="V403" s="41">
        <f>IFERROR(E403-F403,"")</f>
        <v/>
      </c>
      <c r="W403" s="39">
        <f>B403</f>
        <v/>
      </c>
      <c r="X403" s="21" t="n"/>
    </row>
    <row r="404">
      <c r="A404" s="38" t="n">
        <v>45525</v>
      </c>
      <c r="B404" s="39" t="n">
        <v>247.84</v>
      </c>
      <c r="C404" s="39" t="n">
        <v>560.62</v>
      </c>
      <c r="D404" s="39" t="n">
        <v>45.855</v>
      </c>
      <c r="E404" s="41">
        <f>IFERROR(B404/B403-1,"")</f>
        <v/>
      </c>
      <c r="F404" s="41">
        <f>IFERROR(C404/C403-1,"")</f>
        <v/>
      </c>
      <c r="G404" s="41">
        <f>IFERROR(D404/D403-1,"")</f>
        <v/>
      </c>
      <c r="H404" s="41">
        <f>IFERROR((1+E404)*(1+H403)-1,"")</f>
        <v/>
      </c>
      <c r="I404" s="41">
        <f>IFERROR((1+F404)*(1+I403)-1,"")</f>
        <v/>
      </c>
      <c r="J404" s="41">
        <f>IFERROR((1+G404)*(1+J403)-1,"")</f>
        <v/>
      </c>
      <c r="K404" s="42">
        <f>IFERROR(B404/$B$36*100,"")</f>
        <v/>
      </c>
      <c r="L404" s="42">
        <f>IFERROR(C404/$C$36*100,"")</f>
        <v/>
      </c>
      <c r="M404" s="42">
        <f>IFERROR(D404/$D$36*100,"")</f>
        <v/>
      </c>
      <c r="N404" s="41">
        <f>IFERROR((1+H404)/(1+I404)-1,"")</f>
        <v/>
      </c>
      <c r="O404" s="41">
        <f>IFERROR((1+H404)/(1+J404)-1,"")</f>
        <v/>
      </c>
      <c r="P404" s="39">
        <f>IFERROR(B404*0.0099502487562189+P403*(1-0.0099502487562189),"")</f>
        <v/>
      </c>
      <c r="Q404" s="42">
        <f>Q403*(1+E404)</f>
        <v/>
      </c>
      <c r="R404" s="42">
        <f>MAX(R403,Q404)</f>
        <v/>
      </c>
      <c r="S404" s="41">
        <f>IFERROR(Q404/R404-1,"")</f>
        <v/>
      </c>
      <c r="T404" s="41">
        <f>IFERROR(_xlfn.STDEV.S(E345:E404)*SQRT($D$7),"")</f>
        <v/>
      </c>
      <c r="U404" s="41">
        <f>IFERROR(MIN(E404-$D$6,0),"")</f>
        <v/>
      </c>
      <c r="V404" s="41">
        <f>IFERROR(E404-F404,"")</f>
        <v/>
      </c>
      <c r="W404" s="39">
        <f>B404</f>
        <v/>
      </c>
      <c r="X404" s="21" t="n"/>
    </row>
    <row r="405">
      <c r="A405" s="38" t="n">
        <v>45526</v>
      </c>
      <c r="B405" s="39" t="n">
        <v>247.98</v>
      </c>
      <c r="C405" s="39" t="n">
        <v>556.22</v>
      </c>
      <c r="D405" s="39" t="n">
        <v>45.76</v>
      </c>
      <c r="E405" s="41">
        <f>IFERROR(B405/B404-1,"")</f>
        <v/>
      </c>
      <c r="F405" s="41">
        <f>IFERROR(C405/C404-1,"")</f>
        <v/>
      </c>
      <c r="G405" s="41">
        <f>IFERROR(D405/D404-1,"")</f>
        <v/>
      </c>
      <c r="H405" s="41">
        <f>IFERROR((1+E405)*(1+H404)-1,"")</f>
        <v/>
      </c>
      <c r="I405" s="41">
        <f>IFERROR((1+F405)*(1+I404)-1,"")</f>
        <v/>
      </c>
      <c r="J405" s="41">
        <f>IFERROR((1+G405)*(1+J404)-1,"")</f>
        <v/>
      </c>
      <c r="K405" s="42">
        <f>IFERROR(B405/$B$36*100,"")</f>
        <v/>
      </c>
      <c r="L405" s="42">
        <f>IFERROR(C405/$C$36*100,"")</f>
        <v/>
      </c>
      <c r="M405" s="42">
        <f>IFERROR(D405/$D$36*100,"")</f>
        <v/>
      </c>
      <c r="N405" s="41">
        <f>IFERROR((1+H405)/(1+I405)-1,"")</f>
        <v/>
      </c>
      <c r="O405" s="41">
        <f>IFERROR((1+H405)/(1+J405)-1,"")</f>
        <v/>
      </c>
      <c r="P405" s="39">
        <f>IFERROR(B405*0.0099502487562189+P404*(1-0.0099502487562189),"")</f>
        <v/>
      </c>
      <c r="Q405" s="42">
        <f>Q404*(1+E405)</f>
        <v/>
      </c>
      <c r="R405" s="42">
        <f>MAX(R404,Q405)</f>
        <v/>
      </c>
      <c r="S405" s="41">
        <f>IFERROR(Q405/R405-1,"")</f>
        <v/>
      </c>
      <c r="T405" s="41">
        <f>IFERROR(_xlfn.STDEV.S(E346:E405)*SQRT($D$7),"")</f>
        <v/>
      </c>
      <c r="U405" s="41">
        <f>IFERROR(MIN(E405-$D$6,0),"")</f>
        <v/>
      </c>
      <c r="V405" s="41">
        <f>IFERROR(E405-F405,"")</f>
        <v/>
      </c>
      <c r="W405" s="39">
        <f>B405</f>
        <v/>
      </c>
      <c r="X405" s="21" t="n"/>
    </row>
    <row r="406">
      <c r="A406" s="38" t="n">
        <v>45527</v>
      </c>
      <c r="B406" s="39" t="n">
        <v>254.89</v>
      </c>
      <c r="C406" s="39" t="n">
        <v>562.13</v>
      </c>
      <c r="D406" s="39" t="n">
        <v>46.365</v>
      </c>
      <c r="E406" s="41">
        <f>IFERROR(B406/B405-1,"")</f>
        <v/>
      </c>
      <c r="F406" s="41">
        <f>IFERROR(C406/C405-1,"")</f>
        <v/>
      </c>
      <c r="G406" s="41">
        <f>IFERROR(D406/D405-1,"")</f>
        <v/>
      </c>
      <c r="H406" s="41">
        <f>IFERROR((1+E406)*(1+H405)-1,"")</f>
        <v/>
      </c>
      <c r="I406" s="41">
        <f>IFERROR((1+F406)*(1+I405)-1,"")</f>
        <v/>
      </c>
      <c r="J406" s="41">
        <f>IFERROR((1+G406)*(1+J405)-1,"")</f>
        <v/>
      </c>
      <c r="K406" s="42">
        <f>IFERROR(B406/$B$36*100,"")</f>
        <v/>
      </c>
      <c r="L406" s="42">
        <f>IFERROR(C406/$C$36*100,"")</f>
        <v/>
      </c>
      <c r="M406" s="42">
        <f>IFERROR(D406/$D$36*100,"")</f>
        <v/>
      </c>
      <c r="N406" s="41">
        <f>IFERROR((1+H406)/(1+I406)-1,"")</f>
        <v/>
      </c>
      <c r="O406" s="41">
        <f>IFERROR((1+H406)/(1+J406)-1,"")</f>
        <v/>
      </c>
      <c r="P406" s="39">
        <f>IFERROR(B406*0.0099502487562189+P405*(1-0.0099502487562189),"")</f>
        <v/>
      </c>
      <c r="Q406" s="42">
        <f>Q405*(1+E406)</f>
        <v/>
      </c>
      <c r="R406" s="42">
        <f>MAX(R405,Q406)</f>
        <v/>
      </c>
      <c r="S406" s="41">
        <f>IFERROR(Q406/R406-1,"")</f>
        <v/>
      </c>
      <c r="T406" s="41">
        <f>IFERROR(_xlfn.STDEV.S(E347:E406)*SQRT($D$7),"")</f>
        <v/>
      </c>
      <c r="U406" s="41">
        <f>IFERROR(MIN(E406-$D$6,0),"")</f>
        <v/>
      </c>
      <c r="V406" s="41">
        <f>IFERROR(E406-F406,"")</f>
        <v/>
      </c>
      <c r="W406" s="39">
        <f>B406</f>
        <v/>
      </c>
      <c r="X406" s="21" t="n"/>
    </row>
    <row r="407">
      <c r="A407" s="38" t="n">
        <v>45530</v>
      </c>
      <c r="B407" s="39" t="n">
        <v>250.68</v>
      </c>
      <c r="C407" s="39" t="n">
        <v>560.79</v>
      </c>
      <c r="D407" s="39" t="n">
        <v>46.57</v>
      </c>
      <c r="E407" s="41">
        <f>IFERROR(B407/B406-1,"")</f>
        <v/>
      </c>
      <c r="F407" s="41">
        <f>IFERROR(C407/C406-1,"")</f>
        <v/>
      </c>
      <c r="G407" s="41">
        <f>IFERROR(D407/D406-1,"")</f>
        <v/>
      </c>
      <c r="H407" s="41">
        <f>IFERROR((1+E407)*(1+H406)-1,"")</f>
        <v/>
      </c>
      <c r="I407" s="41">
        <f>IFERROR((1+F407)*(1+I406)-1,"")</f>
        <v/>
      </c>
      <c r="J407" s="41">
        <f>IFERROR((1+G407)*(1+J406)-1,"")</f>
        <v/>
      </c>
      <c r="K407" s="42">
        <f>IFERROR(B407/$B$36*100,"")</f>
        <v/>
      </c>
      <c r="L407" s="42">
        <f>IFERROR(C407/$C$36*100,"")</f>
        <v/>
      </c>
      <c r="M407" s="42">
        <f>IFERROR(D407/$D$36*100,"")</f>
        <v/>
      </c>
      <c r="N407" s="41">
        <f>IFERROR((1+H407)/(1+I407)-1,"")</f>
        <v/>
      </c>
      <c r="O407" s="41">
        <f>IFERROR((1+H407)/(1+J407)-1,"")</f>
        <v/>
      </c>
      <c r="P407" s="39">
        <f>IFERROR(B407*0.0099502487562189+P406*(1-0.0099502487562189),"")</f>
        <v/>
      </c>
      <c r="Q407" s="42">
        <f>Q406*(1+E407)</f>
        <v/>
      </c>
      <c r="R407" s="42">
        <f>MAX(R406,Q407)</f>
        <v/>
      </c>
      <c r="S407" s="41">
        <f>IFERROR(Q407/R407-1,"")</f>
        <v/>
      </c>
      <c r="T407" s="41">
        <f>IFERROR(_xlfn.STDEV.S(E348:E407)*SQRT($D$7),"")</f>
        <v/>
      </c>
      <c r="U407" s="41">
        <f>IFERROR(MIN(E407-$D$6,0),"")</f>
        <v/>
      </c>
      <c r="V407" s="41">
        <f>IFERROR(E407-F407,"")</f>
        <v/>
      </c>
      <c r="W407" s="39">
        <f>B407</f>
        <v/>
      </c>
      <c r="X407" s="21" t="n"/>
    </row>
    <row r="408">
      <c r="A408" s="38" t="n">
        <v>45531</v>
      </c>
      <c r="B408" s="39" t="n">
        <v>240.41</v>
      </c>
      <c r="C408" s="39" t="n">
        <v>561.5599999999999</v>
      </c>
      <c r="D408" s="39" t="n">
        <v>46.575</v>
      </c>
      <c r="E408" s="41">
        <f>IFERROR(B408/B407-1,"")</f>
        <v/>
      </c>
      <c r="F408" s="41">
        <f>IFERROR(C408/C407-1,"")</f>
        <v/>
      </c>
      <c r="G408" s="41">
        <f>IFERROR(D408/D407-1,"")</f>
        <v/>
      </c>
      <c r="H408" s="41">
        <f>IFERROR((1+E408)*(1+H407)-1,"")</f>
        <v/>
      </c>
      <c r="I408" s="41">
        <f>IFERROR((1+F408)*(1+I407)-1,"")</f>
        <v/>
      </c>
      <c r="J408" s="41">
        <f>IFERROR((1+G408)*(1+J407)-1,"")</f>
        <v/>
      </c>
      <c r="K408" s="42">
        <f>IFERROR(B408/$B$36*100,"")</f>
        <v/>
      </c>
      <c r="L408" s="42">
        <f>IFERROR(C408/$C$36*100,"")</f>
        <v/>
      </c>
      <c r="M408" s="42">
        <f>IFERROR(D408/$D$36*100,"")</f>
        <v/>
      </c>
      <c r="N408" s="41">
        <f>IFERROR((1+H408)/(1+I408)-1,"")</f>
        <v/>
      </c>
      <c r="O408" s="41">
        <f>IFERROR((1+H408)/(1+J408)-1,"")</f>
        <v/>
      </c>
      <c r="P408" s="39">
        <f>IFERROR(B408*0.0099502487562189+P407*(1-0.0099502487562189),"")</f>
        <v/>
      </c>
      <c r="Q408" s="42">
        <f>Q407*(1+E408)</f>
        <v/>
      </c>
      <c r="R408" s="42">
        <f>MAX(R407,Q408)</f>
        <v/>
      </c>
      <c r="S408" s="41">
        <f>IFERROR(Q408/R408-1,"")</f>
        <v/>
      </c>
      <c r="T408" s="41">
        <f>IFERROR(_xlfn.STDEV.S(E349:E408)*SQRT($D$7),"")</f>
        <v/>
      </c>
      <c r="U408" s="41">
        <f>IFERROR(MIN(E408-$D$6,0),"")</f>
        <v/>
      </c>
      <c r="V408" s="41">
        <f>IFERROR(E408-F408,"")</f>
        <v/>
      </c>
      <c r="W408" s="39">
        <f>B408</f>
        <v/>
      </c>
      <c r="X408" s="21" t="n"/>
    </row>
    <row r="409">
      <c r="A409" s="38" t="n">
        <v>45532</v>
      </c>
      <c r="B409" s="39" t="n">
        <v>235.77</v>
      </c>
      <c r="C409" s="39" t="n">
        <v>558.3</v>
      </c>
      <c r="D409" s="39" t="n">
        <v>46.375</v>
      </c>
      <c r="E409" s="41">
        <f>IFERROR(B409/B408-1,"")</f>
        <v/>
      </c>
      <c r="F409" s="41">
        <f>IFERROR(C409/C408-1,"")</f>
        <v/>
      </c>
      <c r="G409" s="41">
        <f>IFERROR(D409/D408-1,"")</f>
        <v/>
      </c>
      <c r="H409" s="41">
        <f>IFERROR((1+E409)*(1+H408)-1,"")</f>
        <v/>
      </c>
      <c r="I409" s="41">
        <f>IFERROR((1+F409)*(1+I408)-1,"")</f>
        <v/>
      </c>
      <c r="J409" s="41">
        <f>IFERROR((1+G409)*(1+J408)-1,"")</f>
        <v/>
      </c>
      <c r="K409" s="42">
        <f>IFERROR(B409/$B$36*100,"")</f>
        <v/>
      </c>
      <c r="L409" s="42">
        <f>IFERROR(C409/$C$36*100,"")</f>
        <v/>
      </c>
      <c r="M409" s="42">
        <f>IFERROR(D409/$D$36*100,"")</f>
        <v/>
      </c>
      <c r="N409" s="41">
        <f>IFERROR((1+H409)/(1+I409)-1,"")</f>
        <v/>
      </c>
      <c r="O409" s="41">
        <f>IFERROR((1+H409)/(1+J409)-1,"")</f>
        <v/>
      </c>
      <c r="P409" s="39">
        <f>IFERROR(B409*0.0099502487562189+P408*(1-0.0099502487562189),"")</f>
        <v/>
      </c>
      <c r="Q409" s="42">
        <f>Q408*(1+E409)</f>
        <v/>
      </c>
      <c r="R409" s="42">
        <f>MAX(R408,Q409)</f>
        <v/>
      </c>
      <c r="S409" s="41">
        <f>IFERROR(Q409/R409-1,"")</f>
        <v/>
      </c>
      <c r="T409" s="41">
        <f>IFERROR(_xlfn.STDEV.S(E350:E409)*SQRT($D$7),"")</f>
        <v/>
      </c>
      <c r="U409" s="41">
        <f>IFERROR(MIN(E409-$D$6,0),"")</f>
        <v/>
      </c>
      <c r="V409" s="41">
        <f>IFERROR(E409-F409,"")</f>
        <v/>
      </c>
      <c r="W409" s="39">
        <f>B409</f>
        <v/>
      </c>
      <c r="X409" s="21" t="n"/>
    </row>
    <row r="410">
      <c r="A410" s="38" t="n">
        <v>45533</v>
      </c>
      <c r="B410" s="39" t="n">
        <v>241.28</v>
      </c>
      <c r="C410" s="39" t="n">
        <v>558.35</v>
      </c>
      <c r="D410" s="39" t="n">
        <v>46.63</v>
      </c>
      <c r="E410" s="41">
        <f>IFERROR(B410/B409-1,"")</f>
        <v/>
      </c>
      <c r="F410" s="41">
        <f>IFERROR(C410/C409-1,"")</f>
        <v/>
      </c>
      <c r="G410" s="41">
        <f>IFERROR(D410/D409-1,"")</f>
        <v/>
      </c>
      <c r="H410" s="41">
        <f>IFERROR((1+E410)*(1+H409)-1,"")</f>
        <v/>
      </c>
      <c r="I410" s="41">
        <f>IFERROR((1+F410)*(1+I409)-1,"")</f>
        <v/>
      </c>
      <c r="J410" s="41">
        <f>IFERROR((1+G410)*(1+J409)-1,"")</f>
        <v/>
      </c>
      <c r="K410" s="42">
        <f>IFERROR(B410/$B$36*100,"")</f>
        <v/>
      </c>
      <c r="L410" s="42">
        <f>IFERROR(C410/$C$36*100,"")</f>
        <v/>
      </c>
      <c r="M410" s="42">
        <f>IFERROR(D410/$D$36*100,"")</f>
        <v/>
      </c>
      <c r="N410" s="41">
        <f>IFERROR((1+H410)/(1+I410)-1,"")</f>
        <v/>
      </c>
      <c r="O410" s="41">
        <f>IFERROR((1+H410)/(1+J410)-1,"")</f>
        <v/>
      </c>
      <c r="P410" s="39">
        <f>IFERROR(B410*0.0099502487562189+P409*(1-0.0099502487562189),"")</f>
        <v/>
      </c>
      <c r="Q410" s="42">
        <f>Q409*(1+E410)</f>
        <v/>
      </c>
      <c r="R410" s="42">
        <f>MAX(R409,Q410)</f>
        <v/>
      </c>
      <c r="S410" s="41">
        <f>IFERROR(Q410/R410-1,"")</f>
        <v/>
      </c>
      <c r="T410" s="41">
        <f>IFERROR(_xlfn.STDEV.S(E351:E410)*SQRT($D$7),"")</f>
        <v/>
      </c>
      <c r="U410" s="41">
        <f>IFERROR(MIN(E410-$D$6,0),"")</f>
        <v/>
      </c>
      <c r="V410" s="41">
        <f>IFERROR(E410-F410,"")</f>
        <v/>
      </c>
      <c r="W410" s="39">
        <f>B410</f>
        <v/>
      </c>
      <c r="X410" s="21" t="n"/>
    </row>
    <row r="411">
      <c r="A411" s="38" t="n">
        <v>45534</v>
      </c>
      <c r="B411" s="39" t="n">
        <v>245.21</v>
      </c>
      <c r="C411" s="39" t="n">
        <v>563.6799999999999</v>
      </c>
      <c r="D411" s="39" t="n">
        <v>47.14</v>
      </c>
      <c r="E411" s="41">
        <f>IFERROR(B411/B410-1,"")</f>
        <v/>
      </c>
      <c r="F411" s="41">
        <f>IFERROR(C411/C410-1,"")</f>
        <v/>
      </c>
      <c r="G411" s="41">
        <f>IFERROR(D411/D410-1,"")</f>
        <v/>
      </c>
      <c r="H411" s="41">
        <f>IFERROR((1+E411)*(1+H410)-1,"")</f>
        <v/>
      </c>
      <c r="I411" s="41">
        <f>IFERROR((1+F411)*(1+I410)-1,"")</f>
        <v/>
      </c>
      <c r="J411" s="41">
        <f>IFERROR((1+G411)*(1+J410)-1,"")</f>
        <v/>
      </c>
      <c r="K411" s="42">
        <f>IFERROR(B411/$B$36*100,"")</f>
        <v/>
      </c>
      <c r="L411" s="42">
        <f>IFERROR(C411/$C$36*100,"")</f>
        <v/>
      </c>
      <c r="M411" s="42">
        <f>IFERROR(D411/$D$36*100,"")</f>
        <v/>
      </c>
      <c r="N411" s="41">
        <f>IFERROR((1+H411)/(1+I411)-1,"")</f>
        <v/>
      </c>
      <c r="O411" s="41">
        <f>IFERROR((1+H411)/(1+J411)-1,"")</f>
        <v/>
      </c>
      <c r="P411" s="39">
        <f>IFERROR(B411*0.0099502487562189+P410*(1-0.0099502487562189),"")</f>
        <v/>
      </c>
      <c r="Q411" s="42">
        <f>Q410*(1+E411)</f>
        <v/>
      </c>
      <c r="R411" s="42">
        <f>MAX(R410,Q411)</f>
        <v/>
      </c>
      <c r="S411" s="41">
        <f>IFERROR(Q411/R411-1,"")</f>
        <v/>
      </c>
      <c r="T411" s="41">
        <f>IFERROR(_xlfn.STDEV.S(E352:E411)*SQRT($D$7),"")</f>
        <v/>
      </c>
      <c r="U411" s="41">
        <f>IFERROR(MIN(E411-$D$6,0),"")</f>
        <v/>
      </c>
      <c r="V411" s="41">
        <f>IFERROR(E411-F411,"")</f>
        <v/>
      </c>
      <c r="W411" s="39">
        <f>B411</f>
        <v/>
      </c>
      <c r="X411" s="21" t="n"/>
    </row>
    <row r="412">
      <c r="A412" s="38" t="n">
        <v>45538</v>
      </c>
      <c r="B412" s="39" t="n">
        <v>239.02</v>
      </c>
      <c r="C412" s="39" t="n">
        <v>552.08</v>
      </c>
      <c r="D412" s="39" t="n">
        <v>46.07</v>
      </c>
      <c r="E412" s="41">
        <f>IFERROR(B412/B411-1,"")</f>
        <v/>
      </c>
      <c r="F412" s="41">
        <f>IFERROR(C412/C411-1,"")</f>
        <v/>
      </c>
      <c r="G412" s="41">
        <f>IFERROR(D412/D411-1,"")</f>
        <v/>
      </c>
      <c r="H412" s="41">
        <f>IFERROR((1+E412)*(1+H411)-1,"")</f>
        <v/>
      </c>
      <c r="I412" s="41">
        <f>IFERROR((1+F412)*(1+I411)-1,"")</f>
        <v/>
      </c>
      <c r="J412" s="41">
        <f>IFERROR((1+G412)*(1+J411)-1,"")</f>
        <v/>
      </c>
      <c r="K412" s="42">
        <f>IFERROR(B412/$B$36*100,"")</f>
        <v/>
      </c>
      <c r="L412" s="42">
        <f>IFERROR(C412/$C$36*100,"")</f>
        <v/>
      </c>
      <c r="M412" s="42">
        <f>IFERROR(D412/$D$36*100,"")</f>
        <v/>
      </c>
      <c r="N412" s="41">
        <f>IFERROR((1+H412)/(1+I412)-1,"")</f>
        <v/>
      </c>
      <c r="O412" s="41">
        <f>IFERROR((1+H412)/(1+J412)-1,"")</f>
        <v/>
      </c>
      <c r="P412" s="39">
        <f>IFERROR(B412*0.0099502487562189+P411*(1-0.0099502487562189),"")</f>
        <v/>
      </c>
      <c r="Q412" s="42">
        <f>Q411*(1+E412)</f>
        <v/>
      </c>
      <c r="R412" s="42">
        <f>MAX(R411,Q412)</f>
        <v/>
      </c>
      <c r="S412" s="41">
        <f>IFERROR(Q412/R412-1,"")</f>
        <v/>
      </c>
      <c r="T412" s="41">
        <f>IFERROR(_xlfn.STDEV.S(E353:E412)*SQRT($D$7),"")</f>
        <v/>
      </c>
      <c r="U412" s="41">
        <f>IFERROR(MIN(E412-$D$6,0),"")</f>
        <v/>
      </c>
      <c r="V412" s="41">
        <f>IFERROR(E412-F412,"")</f>
        <v/>
      </c>
      <c r="W412" s="39">
        <f>B412</f>
        <v/>
      </c>
      <c r="X412" s="21" t="n"/>
    </row>
    <row r="413">
      <c r="A413" s="38" t="n">
        <v>45539</v>
      </c>
      <c r="B413" s="39" t="n">
        <v>234.83</v>
      </c>
      <c r="C413" s="39" t="n">
        <v>550.95</v>
      </c>
      <c r="D413" s="39" t="n">
        <v>45.88</v>
      </c>
      <c r="E413" s="41">
        <f>IFERROR(B413/B412-1,"")</f>
        <v/>
      </c>
      <c r="F413" s="41">
        <f>IFERROR(C413/C412-1,"")</f>
        <v/>
      </c>
      <c r="G413" s="41">
        <f>IFERROR(D413/D412-1,"")</f>
        <v/>
      </c>
      <c r="H413" s="41">
        <f>IFERROR((1+E413)*(1+H412)-1,"")</f>
        <v/>
      </c>
      <c r="I413" s="41">
        <f>IFERROR((1+F413)*(1+I412)-1,"")</f>
        <v/>
      </c>
      <c r="J413" s="41">
        <f>IFERROR((1+G413)*(1+J412)-1,"")</f>
        <v/>
      </c>
      <c r="K413" s="42">
        <f>IFERROR(B413/$B$36*100,"")</f>
        <v/>
      </c>
      <c r="L413" s="42">
        <f>IFERROR(C413/$C$36*100,"")</f>
        <v/>
      </c>
      <c r="M413" s="42">
        <f>IFERROR(D413/$D$36*100,"")</f>
        <v/>
      </c>
      <c r="N413" s="41">
        <f>IFERROR((1+H413)/(1+I413)-1,"")</f>
        <v/>
      </c>
      <c r="O413" s="41">
        <f>IFERROR((1+H413)/(1+J413)-1,"")</f>
        <v/>
      </c>
      <c r="P413" s="39">
        <f>IFERROR(B413*0.0099502487562189+P412*(1-0.0099502487562189),"")</f>
        <v/>
      </c>
      <c r="Q413" s="42">
        <f>Q412*(1+E413)</f>
        <v/>
      </c>
      <c r="R413" s="42">
        <f>MAX(R412,Q413)</f>
        <v/>
      </c>
      <c r="S413" s="41">
        <f>IFERROR(Q413/R413-1,"")</f>
        <v/>
      </c>
      <c r="T413" s="41">
        <f>IFERROR(_xlfn.STDEV.S(E354:E413)*SQRT($D$7),"")</f>
        <v/>
      </c>
      <c r="U413" s="41">
        <f>IFERROR(MIN(E413-$D$6,0),"")</f>
        <v/>
      </c>
      <c r="V413" s="41">
        <f>IFERROR(E413-F413,"")</f>
        <v/>
      </c>
      <c r="W413" s="39">
        <f>B413</f>
        <v/>
      </c>
      <c r="X413" s="21" t="n"/>
    </row>
    <row r="414">
      <c r="A414" s="38" t="n">
        <v>45540</v>
      </c>
      <c r="B414" s="39" t="n">
        <v>232.16</v>
      </c>
      <c r="C414" s="39" t="n">
        <v>549.61</v>
      </c>
      <c r="D414" s="39" t="n">
        <v>45.52</v>
      </c>
      <c r="E414" s="41">
        <f>IFERROR(B414/B413-1,"")</f>
        <v/>
      </c>
      <c r="F414" s="41">
        <f>IFERROR(C414/C413-1,"")</f>
        <v/>
      </c>
      <c r="G414" s="41">
        <f>IFERROR(D414/D413-1,"")</f>
        <v/>
      </c>
      <c r="H414" s="41">
        <f>IFERROR((1+E414)*(1+H413)-1,"")</f>
        <v/>
      </c>
      <c r="I414" s="41">
        <f>IFERROR((1+F414)*(1+I413)-1,"")</f>
        <v/>
      </c>
      <c r="J414" s="41">
        <f>IFERROR((1+G414)*(1+J413)-1,"")</f>
        <v/>
      </c>
      <c r="K414" s="42">
        <f>IFERROR(B414/$B$36*100,"")</f>
        <v/>
      </c>
      <c r="L414" s="42">
        <f>IFERROR(C414/$C$36*100,"")</f>
        <v/>
      </c>
      <c r="M414" s="42">
        <f>IFERROR(D414/$D$36*100,"")</f>
        <v/>
      </c>
      <c r="N414" s="41">
        <f>IFERROR((1+H414)/(1+I414)-1,"")</f>
        <v/>
      </c>
      <c r="O414" s="41">
        <f>IFERROR((1+H414)/(1+J414)-1,"")</f>
        <v/>
      </c>
      <c r="P414" s="39">
        <f>IFERROR(B414*0.0099502487562189+P413*(1-0.0099502487562189),"")</f>
        <v/>
      </c>
      <c r="Q414" s="42">
        <f>Q413*(1+E414)</f>
        <v/>
      </c>
      <c r="R414" s="42">
        <f>MAX(R413,Q414)</f>
        <v/>
      </c>
      <c r="S414" s="41">
        <f>IFERROR(Q414/R414-1,"")</f>
        <v/>
      </c>
      <c r="T414" s="41">
        <f>IFERROR(_xlfn.STDEV.S(E355:E414)*SQRT($D$7),"")</f>
        <v/>
      </c>
      <c r="U414" s="41">
        <f>IFERROR(MIN(E414-$D$6,0),"")</f>
        <v/>
      </c>
      <c r="V414" s="41">
        <f>IFERROR(E414-F414,"")</f>
        <v/>
      </c>
      <c r="W414" s="39">
        <f>B414</f>
        <v/>
      </c>
      <c r="X414" s="21" t="n"/>
    </row>
    <row r="415">
      <c r="A415" s="38" t="n">
        <v>45541</v>
      </c>
      <c r="B415" s="39" t="n">
        <v>231.97</v>
      </c>
      <c r="C415" s="39" t="n">
        <v>540.36</v>
      </c>
      <c r="D415" s="39" t="n">
        <v>44.945</v>
      </c>
      <c r="E415" s="41">
        <f>IFERROR(B415/B414-1,"")</f>
        <v/>
      </c>
      <c r="F415" s="41">
        <f>IFERROR(C415/C414-1,"")</f>
        <v/>
      </c>
      <c r="G415" s="41">
        <f>IFERROR(D415/D414-1,"")</f>
        <v/>
      </c>
      <c r="H415" s="41">
        <f>IFERROR((1+E415)*(1+H414)-1,"")</f>
        <v/>
      </c>
      <c r="I415" s="41">
        <f>IFERROR((1+F415)*(1+I414)-1,"")</f>
        <v/>
      </c>
      <c r="J415" s="41">
        <f>IFERROR((1+G415)*(1+J414)-1,"")</f>
        <v/>
      </c>
      <c r="K415" s="42">
        <f>IFERROR(B415/$B$36*100,"")</f>
        <v/>
      </c>
      <c r="L415" s="42">
        <f>IFERROR(C415/$C$36*100,"")</f>
        <v/>
      </c>
      <c r="M415" s="42">
        <f>IFERROR(D415/$D$36*100,"")</f>
        <v/>
      </c>
      <c r="N415" s="41">
        <f>IFERROR((1+H415)/(1+I415)-1,"")</f>
        <v/>
      </c>
      <c r="O415" s="41">
        <f>IFERROR((1+H415)/(1+J415)-1,"")</f>
        <v/>
      </c>
      <c r="P415" s="39">
        <f>IFERROR(B415*0.0099502487562189+P414*(1-0.0099502487562189),"")</f>
        <v/>
      </c>
      <c r="Q415" s="42">
        <f>Q414*(1+E415)</f>
        <v/>
      </c>
      <c r="R415" s="42">
        <f>MAX(R414,Q415)</f>
        <v/>
      </c>
      <c r="S415" s="41">
        <f>IFERROR(Q415/R415-1,"")</f>
        <v/>
      </c>
      <c r="T415" s="41">
        <f>IFERROR(_xlfn.STDEV.S(E356:E415)*SQRT($D$7),"")</f>
        <v/>
      </c>
      <c r="U415" s="41">
        <f>IFERROR(MIN(E415-$D$6,0),"")</f>
        <v/>
      </c>
      <c r="V415" s="41">
        <f>IFERROR(E415-F415,"")</f>
        <v/>
      </c>
      <c r="W415" s="39">
        <f>B415</f>
        <v/>
      </c>
      <c r="X415" s="21" t="n"/>
    </row>
    <row r="416">
      <c r="A416" s="38" t="n">
        <v>45544</v>
      </c>
      <c r="B416" s="39" t="n">
        <v>231.83</v>
      </c>
      <c r="C416" s="39" t="n">
        <v>546.41</v>
      </c>
      <c r="D416" s="39" t="n">
        <v>45.38</v>
      </c>
      <c r="E416" s="41">
        <f>IFERROR(B416/B415-1,"")</f>
        <v/>
      </c>
      <c r="F416" s="41">
        <f>IFERROR(C416/C415-1,"")</f>
        <v/>
      </c>
      <c r="G416" s="41">
        <f>IFERROR(D416/D415-1,"")</f>
        <v/>
      </c>
      <c r="H416" s="41">
        <f>IFERROR((1+E416)*(1+H415)-1,"")</f>
        <v/>
      </c>
      <c r="I416" s="41">
        <f>IFERROR((1+F416)*(1+I415)-1,"")</f>
        <v/>
      </c>
      <c r="J416" s="41">
        <f>IFERROR((1+G416)*(1+J415)-1,"")</f>
        <v/>
      </c>
      <c r="K416" s="42">
        <f>IFERROR(B416/$B$36*100,"")</f>
        <v/>
      </c>
      <c r="L416" s="42">
        <f>IFERROR(C416/$C$36*100,"")</f>
        <v/>
      </c>
      <c r="M416" s="42">
        <f>IFERROR(D416/$D$36*100,"")</f>
        <v/>
      </c>
      <c r="N416" s="41">
        <f>IFERROR((1+H416)/(1+I416)-1,"")</f>
        <v/>
      </c>
      <c r="O416" s="41">
        <f>IFERROR((1+H416)/(1+J416)-1,"")</f>
        <v/>
      </c>
      <c r="P416" s="39">
        <f>IFERROR(B416*0.0099502487562189+P415*(1-0.0099502487562189),"")</f>
        <v/>
      </c>
      <c r="Q416" s="42">
        <f>Q415*(1+E416)</f>
        <v/>
      </c>
      <c r="R416" s="42">
        <f>MAX(R415,Q416)</f>
        <v/>
      </c>
      <c r="S416" s="41">
        <f>IFERROR(Q416/R416-1,"")</f>
        <v/>
      </c>
      <c r="T416" s="41">
        <f>IFERROR(_xlfn.STDEV.S(E357:E416)*SQRT($D$7),"")</f>
        <v/>
      </c>
      <c r="U416" s="41">
        <f>IFERROR(MIN(E416-$D$6,0),"")</f>
        <v/>
      </c>
      <c r="V416" s="41">
        <f>IFERROR(E416-F416,"")</f>
        <v/>
      </c>
      <c r="W416" s="39">
        <f>B416</f>
        <v/>
      </c>
      <c r="X416" s="21" t="n"/>
    </row>
    <row r="417">
      <c r="A417" s="38" t="n">
        <v>45545</v>
      </c>
      <c r="B417" s="39" t="n">
        <v>232.95</v>
      </c>
      <c r="C417" s="39" t="n">
        <v>548.79</v>
      </c>
      <c r="D417" s="39" t="n">
        <v>45.4</v>
      </c>
      <c r="E417" s="41">
        <f>IFERROR(B417/B416-1,"")</f>
        <v/>
      </c>
      <c r="F417" s="41">
        <f>IFERROR(C417/C416-1,"")</f>
        <v/>
      </c>
      <c r="G417" s="41">
        <f>IFERROR(D417/D416-1,"")</f>
        <v/>
      </c>
      <c r="H417" s="41">
        <f>IFERROR((1+E417)*(1+H416)-1,"")</f>
        <v/>
      </c>
      <c r="I417" s="41">
        <f>IFERROR((1+F417)*(1+I416)-1,"")</f>
        <v/>
      </c>
      <c r="J417" s="41">
        <f>IFERROR((1+G417)*(1+J416)-1,"")</f>
        <v/>
      </c>
      <c r="K417" s="42">
        <f>IFERROR(B417/$B$36*100,"")</f>
        <v/>
      </c>
      <c r="L417" s="42">
        <f>IFERROR(C417/$C$36*100,"")</f>
        <v/>
      </c>
      <c r="M417" s="42">
        <f>IFERROR(D417/$D$36*100,"")</f>
        <v/>
      </c>
      <c r="N417" s="41">
        <f>IFERROR((1+H417)/(1+I417)-1,"")</f>
        <v/>
      </c>
      <c r="O417" s="41">
        <f>IFERROR((1+H417)/(1+J417)-1,"")</f>
        <v/>
      </c>
      <c r="P417" s="39">
        <f>IFERROR(B417*0.0099502487562189+P416*(1-0.0099502487562189),"")</f>
        <v/>
      </c>
      <c r="Q417" s="42">
        <f>Q416*(1+E417)</f>
        <v/>
      </c>
      <c r="R417" s="42">
        <f>MAX(R416,Q417)</f>
        <v/>
      </c>
      <c r="S417" s="41">
        <f>IFERROR(Q417/R417-1,"")</f>
        <v/>
      </c>
      <c r="T417" s="41">
        <f>IFERROR(_xlfn.STDEV.S(E358:E417)*SQRT($D$7),"")</f>
        <v/>
      </c>
      <c r="U417" s="41">
        <f>IFERROR(MIN(E417-$D$6,0),"")</f>
        <v/>
      </c>
      <c r="V417" s="41">
        <f>IFERROR(E417-F417,"")</f>
        <v/>
      </c>
      <c r="W417" s="39">
        <f>B417</f>
        <v/>
      </c>
      <c r="X417" s="21" t="n"/>
    </row>
    <row r="418">
      <c r="A418" s="38" t="n">
        <v>45546</v>
      </c>
      <c r="B418" s="39" t="n">
        <v>232.95</v>
      </c>
      <c r="C418" s="39" t="n">
        <v>554.42</v>
      </c>
      <c r="D418" s="39" t="n">
        <v>45.51</v>
      </c>
      <c r="E418" s="41">
        <f>IFERROR(B418/B417-1,"")</f>
        <v/>
      </c>
      <c r="F418" s="41">
        <f>IFERROR(C418/C417-1,"")</f>
        <v/>
      </c>
      <c r="G418" s="41">
        <f>IFERROR(D418/D417-1,"")</f>
        <v/>
      </c>
      <c r="H418" s="41">
        <f>IFERROR((1+E418)*(1+H417)-1,"")</f>
        <v/>
      </c>
      <c r="I418" s="41">
        <f>IFERROR((1+F418)*(1+I417)-1,"")</f>
        <v/>
      </c>
      <c r="J418" s="41">
        <f>IFERROR((1+G418)*(1+J417)-1,"")</f>
        <v/>
      </c>
      <c r="K418" s="42">
        <f>IFERROR(B418/$B$36*100,"")</f>
        <v/>
      </c>
      <c r="L418" s="42">
        <f>IFERROR(C418/$C$36*100,"")</f>
        <v/>
      </c>
      <c r="M418" s="42">
        <f>IFERROR(D418/$D$36*100,"")</f>
        <v/>
      </c>
      <c r="N418" s="41">
        <f>IFERROR((1+H418)/(1+I418)-1,"")</f>
        <v/>
      </c>
      <c r="O418" s="41">
        <f>IFERROR((1+H418)/(1+J418)-1,"")</f>
        <v/>
      </c>
      <c r="P418" s="39">
        <f>IFERROR(B418*0.0099502487562189+P417*(1-0.0099502487562189),"")</f>
        <v/>
      </c>
      <c r="Q418" s="42">
        <f>Q417*(1+E418)</f>
        <v/>
      </c>
      <c r="R418" s="42">
        <f>MAX(R417,Q418)</f>
        <v/>
      </c>
      <c r="S418" s="41">
        <f>IFERROR(Q418/R418-1,"")</f>
        <v/>
      </c>
      <c r="T418" s="41">
        <f>IFERROR(_xlfn.STDEV.S(E359:E418)*SQRT($D$7),"")</f>
        <v/>
      </c>
      <c r="U418" s="41">
        <f>IFERROR(MIN(E418-$D$6,0),"")</f>
        <v/>
      </c>
      <c r="V418" s="41">
        <f>IFERROR(E418-F418,"")</f>
        <v/>
      </c>
      <c r="W418" s="39">
        <f>B418</f>
        <v/>
      </c>
      <c r="X418" s="21" t="n"/>
    </row>
    <row r="419">
      <c r="A419" s="38" t="n">
        <v>45547</v>
      </c>
      <c r="B419" s="39" t="n">
        <v>236.27</v>
      </c>
      <c r="C419" s="39" t="n">
        <v>559.09</v>
      </c>
      <c r="D419" s="39" t="n">
        <v>45.93</v>
      </c>
      <c r="E419" s="41">
        <f>IFERROR(B419/B418-1,"")</f>
        <v/>
      </c>
      <c r="F419" s="41">
        <f>IFERROR(C419/C418-1,"")</f>
        <v/>
      </c>
      <c r="G419" s="41">
        <f>IFERROR(D419/D418-1,"")</f>
        <v/>
      </c>
      <c r="H419" s="41">
        <f>IFERROR((1+E419)*(1+H418)-1,"")</f>
        <v/>
      </c>
      <c r="I419" s="41">
        <f>IFERROR((1+F419)*(1+I418)-1,"")</f>
        <v/>
      </c>
      <c r="J419" s="41">
        <f>IFERROR((1+G419)*(1+J418)-1,"")</f>
        <v/>
      </c>
      <c r="K419" s="42">
        <f>IFERROR(B419/$B$36*100,"")</f>
        <v/>
      </c>
      <c r="L419" s="42">
        <f>IFERROR(C419/$C$36*100,"")</f>
        <v/>
      </c>
      <c r="M419" s="42">
        <f>IFERROR(D419/$D$36*100,"")</f>
        <v/>
      </c>
      <c r="N419" s="41">
        <f>IFERROR((1+H419)/(1+I419)-1,"")</f>
        <v/>
      </c>
      <c r="O419" s="41">
        <f>IFERROR((1+H419)/(1+J419)-1,"")</f>
        <v/>
      </c>
      <c r="P419" s="39">
        <f>IFERROR(B419*0.0099502487562189+P418*(1-0.0099502487562189),"")</f>
        <v/>
      </c>
      <c r="Q419" s="42">
        <f>Q418*(1+E419)</f>
        <v/>
      </c>
      <c r="R419" s="42">
        <f>MAX(R418,Q419)</f>
        <v/>
      </c>
      <c r="S419" s="41">
        <f>IFERROR(Q419/R419-1,"")</f>
        <v/>
      </c>
      <c r="T419" s="41">
        <f>IFERROR(_xlfn.STDEV.S(E360:E419)*SQRT($D$7),"")</f>
        <v/>
      </c>
      <c r="U419" s="41">
        <f>IFERROR(MIN(E419-$D$6,0),"")</f>
        <v/>
      </c>
      <c r="V419" s="41">
        <f>IFERROR(E419-F419,"")</f>
        <v/>
      </c>
      <c r="W419" s="39">
        <f>B419</f>
        <v/>
      </c>
      <c r="X419" s="21" t="n"/>
    </row>
    <row r="420">
      <c r="A420" s="38" t="n">
        <v>45548</v>
      </c>
      <c r="B420" s="39" t="n">
        <v>237.47</v>
      </c>
      <c r="C420" s="39" t="n">
        <v>562.01</v>
      </c>
      <c r="D420" s="39" t="n">
        <v>46.345</v>
      </c>
      <c r="E420" s="41">
        <f>IFERROR(B420/B419-1,"")</f>
        <v/>
      </c>
      <c r="F420" s="41">
        <f>IFERROR(C420/C419-1,"")</f>
        <v/>
      </c>
      <c r="G420" s="41">
        <f>IFERROR(D420/D419-1,"")</f>
        <v/>
      </c>
      <c r="H420" s="41">
        <f>IFERROR((1+E420)*(1+H419)-1,"")</f>
        <v/>
      </c>
      <c r="I420" s="41">
        <f>IFERROR((1+F420)*(1+I419)-1,"")</f>
        <v/>
      </c>
      <c r="J420" s="41">
        <f>IFERROR((1+G420)*(1+J419)-1,"")</f>
        <v/>
      </c>
      <c r="K420" s="42">
        <f>IFERROR(B420/$B$36*100,"")</f>
        <v/>
      </c>
      <c r="L420" s="42">
        <f>IFERROR(C420/$C$36*100,"")</f>
        <v/>
      </c>
      <c r="M420" s="42">
        <f>IFERROR(D420/$D$36*100,"")</f>
        <v/>
      </c>
      <c r="N420" s="41">
        <f>IFERROR((1+H420)/(1+I420)-1,"")</f>
        <v/>
      </c>
      <c r="O420" s="41">
        <f>IFERROR((1+H420)/(1+J420)-1,"")</f>
        <v/>
      </c>
      <c r="P420" s="39">
        <f>IFERROR(B420*0.0099502487562189+P419*(1-0.0099502487562189),"")</f>
        <v/>
      </c>
      <c r="Q420" s="42">
        <f>Q419*(1+E420)</f>
        <v/>
      </c>
      <c r="R420" s="42">
        <f>MAX(R419,Q420)</f>
        <v/>
      </c>
      <c r="S420" s="41">
        <f>IFERROR(Q420/R420-1,"")</f>
        <v/>
      </c>
      <c r="T420" s="41">
        <f>IFERROR(_xlfn.STDEV.S(E361:E420)*SQRT($D$7),"")</f>
        <v/>
      </c>
      <c r="U420" s="41">
        <f>IFERROR(MIN(E420-$D$6,0),"")</f>
        <v/>
      </c>
      <c r="V420" s="41">
        <f>IFERROR(E420-F420,"")</f>
        <v/>
      </c>
      <c r="W420" s="39">
        <f>B420</f>
        <v/>
      </c>
      <c r="X420" s="21" t="n"/>
    </row>
    <row r="421">
      <c r="A421" s="38" t="n">
        <v>45551</v>
      </c>
      <c r="B421" s="39" t="n">
        <v>242.87</v>
      </c>
      <c r="C421" s="39" t="n">
        <v>562.84</v>
      </c>
      <c r="D421" s="39" t="n">
        <v>46.775</v>
      </c>
      <c r="E421" s="41">
        <f>IFERROR(B421/B420-1,"")</f>
        <v/>
      </c>
      <c r="F421" s="41">
        <f>IFERROR(C421/C420-1,"")</f>
        <v/>
      </c>
      <c r="G421" s="41">
        <f>IFERROR(D421/D420-1,"")</f>
        <v/>
      </c>
      <c r="H421" s="41">
        <f>IFERROR((1+E421)*(1+H420)-1,"")</f>
        <v/>
      </c>
      <c r="I421" s="41">
        <f>IFERROR((1+F421)*(1+I420)-1,"")</f>
        <v/>
      </c>
      <c r="J421" s="41">
        <f>IFERROR((1+G421)*(1+J420)-1,"")</f>
        <v/>
      </c>
      <c r="K421" s="42">
        <f>IFERROR(B421/$B$36*100,"")</f>
        <v/>
      </c>
      <c r="L421" s="42">
        <f>IFERROR(C421/$C$36*100,"")</f>
        <v/>
      </c>
      <c r="M421" s="42">
        <f>IFERROR(D421/$D$36*100,"")</f>
        <v/>
      </c>
      <c r="N421" s="41">
        <f>IFERROR((1+H421)/(1+I421)-1,"")</f>
        <v/>
      </c>
      <c r="O421" s="41">
        <f>IFERROR((1+H421)/(1+J421)-1,"")</f>
        <v/>
      </c>
      <c r="P421" s="39">
        <f>IFERROR(B421*0.0099502487562189+P420*(1-0.0099502487562189),"")</f>
        <v/>
      </c>
      <c r="Q421" s="42">
        <f>Q420*(1+E421)</f>
        <v/>
      </c>
      <c r="R421" s="42">
        <f>MAX(R420,Q421)</f>
        <v/>
      </c>
      <c r="S421" s="41">
        <f>IFERROR(Q421/R421-1,"")</f>
        <v/>
      </c>
      <c r="T421" s="41">
        <f>IFERROR(_xlfn.STDEV.S(E362:E421)*SQRT($D$7),"")</f>
        <v/>
      </c>
      <c r="U421" s="41">
        <f>IFERROR(MIN(E421-$D$6,0),"")</f>
        <v/>
      </c>
      <c r="V421" s="41">
        <f>IFERROR(E421-F421,"")</f>
        <v/>
      </c>
      <c r="W421" s="39">
        <f>B421</f>
        <v/>
      </c>
      <c r="X421" s="21" t="n"/>
    </row>
    <row r="422">
      <c r="A422" s="38" t="n">
        <v>45552</v>
      </c>
      <c r="B422" s="39" t="n">
        <v>245.12</v>
      </c>
      <c r="C422" s="39" t="n">
        <v>563.0700000000001</v>
      </c>
      <c r="D422" s="39" t="n">
        <v>46.865</v>
      </c>
      <c r="E422" s="41">
        <f>IFERROR(B422/B421-1,"")</f>
        <v/>
      </c>
      <c r="F422" s="41">
        <f>IFERROR(C422/C421-1,"")</f>
        <v/>
      </c>
      <c r="G422" s="41">
        <f>IFERROR(D422/D421-1,"")</f>
        <v/>
      </c>
      <c r="H422" s="41">
        <f>IFERROR((1+E422)*(1+H421)-1,"")</f>
        <v/>
      </c>
      <c r="I422" s="41">
        <f>IFERROR((1+F422)*(1+I421)-1,"")</f>
        <v/>
      </c>
      <c r="J422" s="41">
        <f>IFERROR((1+G422)*(1+J421)-1,"")</f>
        <v/>
      </c>
      <c r="K422" s="42">
        <f>IFERROR(B422/$B$36*100,"")</f>
        <v/>
      </c>
      <c r="L422" s="42">
        <f>IFERROR(C422/$C$36*100,"")</f>
        <v/>
      </c>
      <c r="M422" s="42">
        <f>IFERROR(D422/$D$36*100,"")</f>
        <v/>
      </c>
      <c r="N422" s="41">
        <f>IFERROR((1+H422)/(1+I422)-1,"")</f>
        <v/>
      </c>
      <c r="O422" s="41">
        <f>IFERROR((1+H422)/(1+J422)-1,"")</f>
        <v/>
      </c>
      <c r="P422" s="39">
        <f>IFERROR(B422*0.0099502487562189+P421*(1-0.0099502487562189),"")</f>
        <v/>
      </c>
      <c r="Q422" s="42">
        <f>Q421*(1+E422)</f>
        <v/>
      </c>
      <c r="R422" s="42">
        <f>MAX(R421,Q422)</f>
        <v/>
      </c>
      <c r="S422" s="41">
        <f>IFERROR(Q422/R422-1,"")</f>
        <v/>
      </c>
      <c r="T422" s="41">
        <f>IFERROR(_xlfn.STDEV.S(E363:E422)*SQRT($D$7),"")</f>
        <v/>
      </c>
      <c r="U422" s="41">
        <f>IFERROR(MIN(E422-$D$6,0),"")</f>
        <v/>
      </c>
      <c r="V422" s="41">
        <f>IFERROR(E422-F422,"")</f>
        <v/>
      </c>
      <c r="W422" s="39">
        <f>B422</f>
        <v/>
      </c>
      <c r="X422" s="21" t="n"/>
    </row>
    <row r="423">
      <c r="A423" s="38" t="n">
        <v>45553</v>
      </c>
      <c r="B423" s="39" t="n">
        <v>244.4</v>
      </c>
      <c r="C423" s="39" t="n">
        <v>561.4</v>
      </c>
      <c r="D423" s="39" t="n">
        <v>46.665</v>
      </c>
      <c r="E423" s="41">
        <f>IFERROR(B423/B422-1,"")</f>
        <v/>
      </c>
      <c r="F423" s="41">
        <f>IFERROR(C423/C422-1,"")</f>
        <v/>
      </c>
      <c r="G423" s="41">
        <f>IFERROR(D423/D422-1,"")</f>
        <v/>
      </c>
      <c r="H423" s="41">
        <f>IFERROR((1+E423)*(1+H422)-1,"")</f>
        <v/>
      </c>
      <c r="I423" s="41">
        <f>IFERROR((1+F423)*(1+I422)-1,"")</f>
        <v/>
      </c>
      <c r="J423" s="41">
        <f>IFERROR((1+G423)*(1+J422)-1,"")</f>
        <v/>
      </c>
      <c r="K423" s="42">
        <f>IFERROR(B423/$B$36*100,"")</f>
        <v/>
      </c>
      <c r="L423" s="42">
        <f>IFERROR(C423/$C$36*100,"")</f>
        <v/>
      </c>
      <c r="M423" s="42">
        <f>IFERROR(D423/$D$36*100,"")</f>
        <v/>
      </c>
      <c r="N423" s="41">
        <f>IFERROR((1+H423)/(1+I423)-1,"")</f>
        <v/>
      </c>
      <c r="O423" s="41">
        <f>IFERROR((1+H423)/(1+J423)-1,"")</f>
        <v/>
      </c>
      <c r="P423" s="39">
        <f>IFERROR(B423*0.0099502487562189+P422*(1-0.0099502487562189),"")</f>
        <v/>
      </c>
      <c r="Q423" s="42">
        <f>Q422*(1+E423)</f>
        <v/>
      </c>
      <c r="R423" s="42">
        <f>MAX(R422,Q423)</f>
        <v/>
      </c>
      <c r="S423" s="41">
        <f>IFERROR(Q423/R423-1,"")</f>
        <v/>
      </c>
      <c r="T423" s="41">
        <f>IFERROR(_xlfn.STDEV.S(E364:E423)*SQRT($D$7),"")</f>
        <v/>
      </c>
      <c r="U423" s="41">
        <f>IFERROR(MIN(E423-$D$6,0),"")</f>
        <v/>
      </c>
      <c r="V423" s="41">
        <f>IFERROR(E423-F423,"")</f>
        <v/>
      </c>
      <c r="W423" s="39">
        <f>B423</f>
        <v/>
      </c>
      <c r="X423" s="21" t="n"/>
    </row>
    <row r="424">
      <c r="A424" s="38" t="n">
        <v>45554</v>
      </c>
      <c r="B424" s="39" t="n">
        <v>253.67</v>
      </c>
      <c r="C424" s="39" t="n">
        <v>570.98</v>
      </c>
      <c r="D424" s="39" t="n">
        <v>47.37</v>
      </c>
      <c r="E424" s="41">
        <f>IFERROR(B424/B423-1,"")</f>
        <v/>
      </c>
      <c r="F424" s="41">
        <f>IFERROR(C424/C423-1,"")</f>
        <v/>
      </c>
      <c r="G424" s="41">
        <f>IFERROR(D424/D423-1,"")</f>
        <v/>
      </c>
      <c r="H424" s="41">
        <f>IFERROR((1+E424)*(1+H423)-1,"")</f>
        <v/>
      </c>
      <c r="I424" s="41">
        <f>IFERROR((1+F424)*(1+I423)-1,"")</f>
        <v/>
      </c>
      <c r="J424" s="41">
        <f>IFERROR((1+G424)*(1+J423)-1,"")</f>
        <v/>
      </c>
      <c r="K424" s="42">
        <f>IFERROR(B424/$B$36*100,"")</f>
        <v/>
      </c>
      <c r="L424" s="42">
        <f>IFERROR(C424/$C$36*100,"")</f>
        <v/>
      </c>
      <c r="M424" s="42">
        <f>IFERROR(D424/$D$36*100,"")</f>
        <v/>
      </c>
      <c r="N424" s="41">
        <f>IFERROR((1+H424)/(1+I424)-1,"")</f>
        <v/>
      </c>
      <c r="O424" s="41">
        <f>IFERROR((1+H424)/(1+J424)-1,"")</f>
        <v/>
      </c>
      <c r="P424" s="39">
        <f>IFERROR(B424*0.0099502487562189+P423*(1-0.0099502487562189),"")</f>
        <v/>
      </c>
      <c r="Q424" s="42">
        <f>Q423*(1+E424)</f>
        <v/>
      </c>
      <c r="R424" s="42">
        <f>MAX(R423,Q424)</f>
        <v/>
      </c>
      <c r="S424" s="41">
        <f>IFERROR(Q424/R424-1,"")</f>
        <v/>
      </c>
      <c r="T424" s="41">
        <f>IFERROR(_xlfn.STDEV.S(E365:E424)*SQRT($D$7),"")</f>
        <v/>
      </c>
      <c r="U424" s="41">
        <f>IFERROR(MIN(E424-$D$6,0),"")</f>
        <v/>
      </c>
      <c r="V424" s="41">
        <f>IFERROR(E424-F424,"")</f>
        <v/>
      </c>
      <c r="W424" s="39">
        <f>B424</f>
        <v/>
      </c>
      <c r="X424" s="21" t="n"/>
    </row>
    <row r="425">
      <c r="A425" s="38" t="n">
        <v>45555</v>
      </c>
      <c r="B425" s="39" t="n">
        <v>252.05</v>
      </c>
      <c r="C425" s="39" t="n">
        <v>568.25</v>
      </c>
      <c r="D425" s="39" t="n">
        <v>47.035</v>
      </c>
      <c r="E425" s="41">
        <f>IFERROR(B425/B424-1,"")</f>
        <v/>
      </c>
      <c r="F425" s="41">
        <f>IFERROR(C425/C424-1,"")</f>
        <v/>
      </c>
      <c r="G425" s="41">
        <f>IFERROR(D425/D424-1,"")</f>
        <v/>
      </c>
      <c r="H425" s="41">
        <f>IFERROR((1+E425)*(1+H424)-1,"")</f>
        <v/>
      </c>
      <c r="I425" s="41">
        <f>IFERROR((1+F425)*(1+I424)-1,"")</f>
        <v/>
      </c>
      <c r="J425" s="41">
        <f>IFERROR((1+G425)*(1+J424)-1,"")</f>
        <v/>
      </c>
      <c r="K425" s="42">
        <f>IFERROR(B425/$B$36*100,"")</f>
        <v/>
      </c>
      <c r="L425" s="42">
        <f>IFERROR(C425/$C$36*100,"")</f>
        <v/>
      </c>
      <c r="M425" s="42">
        <f>IFERROR(D425/$D$36*100,"")</f>
        <v/>
      </c>
      <c r="N425" s="41">
        <f>IFERROR((1+H425)/(1+I425)-1,"")</f>
        <v/>
      </c>
      <c r="O425" s="41">
        <f>IFERROR((1+H425)/(1+J425)-1,"")</f>
        <v/>
      </c>
      <c r="P425" s="39">
        <f>IFERROR(B425*0.0099502487562189+P424*(1-0.0099502487562189),"")</f>
        <v/>
      </c>
      <c r="Q425" s="42">
        <f>Q424*(1+E425)</f>
        <v/>
      </c>
      <c r="R425" s="42">
        <f>MAX(R424,Q425)</f>
        <v/>
      </c>
      <c r="S425" s="41">
        <f>IFERROR(Q425/R425-1,"")</f>
        <v/>
      </c>
      <c r="T425" s="41">
        <f>IFERROR(_xlfn.STDEV.S(E366:E425)*SQRT($D$7),"")</f>
        <v/>
      </c>
      <c r="U425" s="41">
        <f>IFERROR(MIN(E425-$D$6,0),"")</f>
        <v/>
      </c>
      <c r="V425" s="41">
        <f>IFERROR(E425-F425,"")</f>
        <v/>
      </c>
      <c r="W425" s="39">
        <f>B425</f>
        <v/>
      </c>
      <c r="X425" s="21" t="n"/>
    </row>
    <row r="426">
      <c r="A426" s="38" t="n">
        <v>45558</v>
      </c>
      <c r="B426" s="39" t="n">
        <v>252.33</v>
      </c>
      <c r="C426" s="39" t="n">
        <v>569.67</v>
      </c>
      <c r="D426" s="39" t="n">
        <v>47.235</v>
      </c>
      <c r="E426" s="41">
        <f>IFERROR(B426/B425-1,"")</f>
        <v/>
      </c>
      <c r="F426" s="41">
        <f>IFERROR(C426/C425-1,"")</f>
        <v/>
      </c>
      <c r="G426" s="41">
        <f>IFERROR(D426/D425-1,"")</f>
        <v/>
      </c>
      <c r="H426" s="41">
        <f>IFERROR((1+E426)*(1+H425)-1,"")</f>
        <v/>
      </c>
      <c r="I426" s="41">
        <f>IFERROR((1+F426)*(1+I425)-1,"")</f>
        <v/>
      </c>
      <c r="J426" s="41">
        <f>IFERROR((1+G426)*(1+J425)-1,"")</f>
        <v/>
      </c>
      <c r="K426" s="42">
        <f>IFERROR(B426/$B$36*100,"")</f>
        <v/>
      </c>
      <c r="L426" s="42">
        <f>IFERROR(C426/$C$36*100,"")</f>
        <v/>
      </c>
      <c r="M426" s="42">
        <f>IFERROR(D426/$D$36*100,"")</f>
        <v/>
      </c>
      <c r="N426" s="41">
        <f>IFERROR((1+H426)/(1+I426)-1,"")</f>
        <v/>
      </c>
      <c r="O426" s="41">
        <f>IFERROR((1+H426)/(1+J426)-1,"")</f>
        <v/>
      </c>
      <c r="P426" s="39">
        <f>IFERROR(B426*0.0099502487562189+P425*(1-0.0099502487562189),"")</f>
        <v/>
      </c>
      <c r="Q426" s="42">
        <f>Q425*(1+E426)</f>
        <v/>
      </c>
      <c r="R426" s="42">
        <f>MAX(R425,Q426)</f>
        <v/>
      </c>
      <c r="S426" s="41">
        <f>IFERROR(Q426/R426-1,"")</f>
        <v/>
      </c>
      <c r="T426" s="41">
        <f>IFERROR(_xlfn.STDEV.S(E367:E426)*SQRT($D$7),"")</f>
        <v/>
      </c>
      <c r="U426" s="41">
        <f>IFERROR(MIN(E426-$D$6,0),"")</f>
        <v/>
      </c>
      <c r="V426" s="41">
        <f>IFERROR(E426-F426,"")</f>
        <v/>
      </c>
      <c r="W426" s="39">
        <f>B426</f>
        <v/>
      </c>
      <c r="X426" s="21" t="n"/>
    </row>
    <row r="427">
      <c r="A427" s="38" t="n">
        <v>45559</v>
      </c>
      <c r="B427" s="39" t="n">
        <v>249.87</v>
      </c>
      <c r="C427" s="39" t="n">
        <v>571.3</v>
      </c>
      <c r="D427" s="39" t="n">
        <v>47.88</v>
      </c>
      <c r="E427" s="41">
        <f>IFERROR(B427/B426-1,"")</f>
        <v/>
      </c>
      <c r="F427" s="41">
        <f>IFERROR(C427/C426-1,"")</f>
        <v/>
      </c>
      <c r="G427" s="41">
        <f>IFERROR(D427/D426-1,"")</f>
        <v/>
      </c>
      <c r="H427" s="41">
        <f>IFERROR((1+E427)*(1+H426)-1,"")</f>
        <v/>
      </c>
      <c r="I427" s="41">
        <f>IFERROR((1+F427)*(1+I426)-1,"")</f>
        <v/>
      </c>
      <c r="J427" s="41">
        <f>IFERROR((1+G427)*(1+J426)-1,"")</f>
        <v/>
      </c>
      <c r="K427" s="42">
        <f>IFERROR(B427/$B$36*100,"")</f>
        <v/>
      </c>
      <c r="L427" s="42">
        <f>IFERROR(C427/$C$36*100,"")</f>
        <v/>
      </c>
      <c r="M427" s="42">
        <f>IFERROR(D427/$D$36*100,"")</f>
        <v/>
      </c>
      <c r="N427" s="41">
        <f>IFERROR((1+H427)/(1+I427)-1,"")</f>
        <v/>
      </c>
      <c r="O427" s="41">
        <f>IFERROR((1+H427)/(1+J427)-1,"")</f>
        <v/>
      </c>
      <c r="P427" s="39">
        <f>IFERROR(B427*0.0099502487562189+P426*(1-0.0099502487562189),"")</f>
        <v/>
      </c>
      <c r="Q427" s="42">
        <f>Q426*(1+E427)</f>
        <v/>
      </c>
      <c r="R427" s="42">
        <f>MAX(R426,Q427)</f>
        <v/>
      </c>
      <c r="S427" s="41">
        <f>IFERROR(Q427/R427-1,"")</f>
        <v/>
      </c>
      <c r="T427" s="41">
        <f>IFERROR(_xlfn.STDEV.S(E368:E427)*SQRT($D$7),"")</f>
        <v/>
      </c>
      <c r="U427" s="41">
        <f>IFERROR(MIN(E427-$D$6,0),"")</f>
        <v/>
      </c>
      <c r="V427" s="41">
        <f>IFERROR(E427-F427,"")</f>
        <v/>
      </c>
      <c r="W427" s="39">
        <f>B427</f>
        <v/>
      </c>
      <c r="X427" s="21" t="n"/>
    </row>
    <row r="428">
      <c r="A428" s="38" t="n">
        <v>45560</v>
      </c>
      <c r="B428" s="39" t="n">
        <v>249.63</v>
      </c>
      <c r="C428" s="39" t="n">
        <v>570.04</v>
      </c>
      <c r="D428" s="39" t="n">
        <v>47.56</v>
      </c>
      <c r="E428" s="41">
        <f>IFERROR(B428/B427-1,"")</f>
        <v/>
      </c>
      <c r="F428" s="41">
        <f>IFERROR(C428/C427-1,"")</f>
        <v/>
      </c>
      <c r="G428" s="41">
        <f>IFERROR(D428/D427-1,"")</f>
        <v/>
      </c>
      <c r="H428" s="41">
        <f>IFERROR((1+E428)*(1+H427)-1,"")</f>
        <v/>
      </c>
      <c r="I428" s="41">
        <f>IFERROR((1+F428)*(1+I427)-1,"")</f>
        <v/>
      </c>
      <c r="J428" s="41">
        <f>IFERROR((1+G428)*(1+J427)-1,"")</f>
        <v/>
      </c>
      <c r="K428" s="42">
        <f>IFERROR(B428/$B$36*100,"")</f>
        <v/>
      </c>
      <c r="L428" s="42">
        <f>IFERROR(C428/$C$36*100,"")</f>
        <v/>
      </c>
      <c r="M428" s="42">
        <f>IFERROR(D428/$D$36*100,"")</f>
        <v/>
      </c>
      <c r="N428" s="41">
        <f>IFERROR((1+H428)/(1+I428)-1,"")</f>
        <v/>
      </c>
      <c r="O428" s="41">
        <f>IFERROR((1+H428)/(1+J428)-1,"")</f>
        <v/>
      </c>
      <c r="P428" s="39">
        <f>IFERROR(B428*0.0099502487562189+P427*(1-0.0099502487562189),"")</f>
        <v/>
      </c>
      <c r="Q428" s="42">
        <f>Q427*(1+E428)</f>
        <v/>
      </c>
      <c r="R428" s="42">
        <f>MAX(R427,Q428)</f>
        <v/>
      </c>
      <c r="S428" s="41">
        <f>IFERROR(Q428/R428-1,"")</f>
        <v/>
      </c>
      <c r="T428" s="41">
        <f>IFERROR(_xlfn.STDEV.S(E369:E428)*SQRT($D$7),"")</f>
        <v/>
      </c>
      <c r="U428" s="41">
        <f>IFERROR(MIN(E428-$D$6,0),"")</f>
        <v/>
      </c>
      <c r="V428" s="41">
        <f>IFERROR(E428-F428,"")</f>
        <v/>
      </c>
      <c r="W428" s="39">
        <f>B428</f>
        <v/>
      </c>
      <c r="X428" s="21" t="n"/>
    </row>
    <row r="429">
      <c r="A429" s="38" t="n">
        <v>45561</v>
      </c>
      <c r="B429" s="39" t="n">
        <v>250.58</v>
      </c>
      <c r="C429" s="39" t="n">
        <v>572.3</v>
      </c>
      <c r="D429" s="39" t="n">
        <v>48.545</v>
      </c>
      <c r="E429" s="41">
        <f>IFERROR(B429/B428-1,"")</f>
        <v/>
      </c>
      <c r="F429" s="41">
        <f>IFERROR(C429/C428-1,"")</f>
        <v/>
      </c>
      <c r="G429" s="41">
        <f>IFERROR(D429/D428-1,"")</f>
        <v/>
      </c>
      <c r="H429" s="41">
        <f>IFERROR((1+E429)*(1+H428)-1,"")</f>
        <v/>
      </c>
      <c r="I429" s="41">
        <f>IFERROR((1+F429)*(1+I428)-1,"")</f>
        <v/>
      </c>
      <c r="J429" s="41">
        <f>IFERROR((1+G429)*(1+J428)-1,"")</f>
        <v/>
      </c>
      <c r="K429" s="42">
        <f>IFERROR(B429/$B$36*100,"")</f>
        <v/>
      </c>
      <c r="L429" s="42">
        <f>IFERROR(C429/$C$36*100,"")</f>
        <v/>
      </c>
      <c r="M429" s="42">
        <f>IFERROR(D429/$D$36*100,"")</f>
        <v/>
      </c>
      <c r="N429" s="41">
        <f>IFERROR((1+H429)/(1+I429)-1,"")</f>
        <v/>
      </c>
      <c r="O429" s="41">
        <f>IFERROR((1+H429)/(1+J429)-1,"")</f>
        <v/>
      </c>
      <c r="P429" s="39">
        <f>IFERROR(B429*0.0099502487562189+P428*(1-0.0099502487562189),"")</f>
        <v/>
      </c>
      <c r="Q429" s="42">
        <f>Q428*(1+E429)</f>
        <v/>
      </c>
      <c r="R429" s="42">
        <f>MAX(R428,Q429)</f>
        <v/>
      </c>
      <c r="S429" s="41">
        <f>IFERROR(Q429/R429-1,"")</f>
        <v/>
      </c>
      <c r="T429" s="41">
        <f>IFERROR(_xlfn.STDEV.S(E370:E429)*SQRT($D$7),"")</f>
        <v/>
      </c>
      <c r="U429" s="41">
        <f>IFERROR(MIN(E429-$D$6,0),"")</f>
        <v/>
      </c>
      <c r="V429" s="41">
        <f>IFERROR(E429-F429,"")</f>
        <v/>
      </c>
      <c r="W429" s="39">
        <f>B429</f>
        <v/>
      </c>
      <c r="X429" s="21" t="n"/>
    </row>
    <row r="430">
      <c r="A430" s="38" t="n">
        <v>45562</v>
      </c>
      <c r="B430" s="39" t="n">
        <v>250.24</v>
      </c>
      <c r="C430" s="39" t="n">
        <v>571.47</v>
      </c>
      <c r="D430" s="39" t="n">
        <v>48.46</v>
      </c>
      <c r="E430" s="41">
        <f>IFERROR(B430/B429-1,"")</f>
        <v/>
      </c>
      <c r="F430" s="41">
        <f>IFERROR(C430/C429-1,"")</f>
        <v/>
      </c>
      <c r="G430" s="41">
        <f>IFERROR(D430/D429-1,"")</f>
        <v/>
      </c>
      <c r="H430" s="41">
        <f>IFERROR((1+E430)*(1+H429)-1,"")</f>
        <v/>
      </c>
      <c r="I430" s="41">
        <f>IFERROR((1+F430)*(1+I429)-1,"")</f>
        <v/>
      </c>
      <c r="J430" s="41">
        <f>IFERROR((1+G430)*(1+J429)-1,"")</f>
        <v/>
      </c>
      <c r="K430" s="42">
        <f>IFERROR(B430/$B$36*100,"")</f>
        <v/>
      </c>
      <c r="L430" s="42">
        <f>IFERROR(C430/$C$36*100,"")</f>
        <v/>
      </c>
      <c r="M430" s="42">
        <f>IFERROR(D430/$D$36*100,"")</f>
        <v/>
      </c>
      <c r="N430" s="41">
        <f>IFERROR((1+H430)/(1+I430)-1,"")</f>
        <v/>
      </c>
      <c r="O430" s="41">
        <f>IFERROR((1+H430)/(1+J430)-1,"")</f>
        <v/>
      </c>
      <c r="P430" s="39">
        <f>IFERROR(B430*0.0099502487562189+P429*(1-0.0099502487562189),"")</f>
        <v/>
      </c>
      <c r="Q430" s="42">
        <f>Q429*(1+E430)</f>
        <v/>
      </c>
      <c r="R430" s="42">
        <f>MAX(R429,Q430)</f>
        <v/>
      </c>
      <c r="S430" s="41">
        <f>IFERROR(Q430/R430-1,"")</f>
        <v/>
      </c>
      <c r="T430" s="41">
        <f>IFERROR(_xlfn.STDEV.S(E371:E430)*SQRT($D$7),"")</f>
        <v/>
      </c>
      <c r="U430" s="41">
        <f>IFERROR(MIN(E430-$D$6,0),"")</f>
        <v/>
      </c>
      <c r="V430" s="41">
        <f>IFERROR(E430-F430,"")</f>
        <v/>
      </c>
      <c r="W430" s="39">
        <f>B430</f>
        <v/>
      </c>
      <c r="X430" s="21" t="n"/>
    </row>
    <row r="431">
      <c r="A431" s="38" t="n">
        <v>45565</v>
      </c>
      <c r="B431" s="39" t="n">
        <v>250.43</v>
      </c>
      <c r="C431" s="39" t="n">
        <v>573.76</v>
      </c>
      <c r="D431" s="39" t="n">
        <v>48.19</v>
      </c>
      <c r="E431" s="41">
        <f>IFERROR(B431/B430-1,"")</f>
        <v/>
      </c>
      <c r="F431" s="41">
        <f>IFERROR(C431/C430-1,"")</f>
        <v/>
      </c>
      <c r="G431" s="41">
        <f>IFERROR(D431/D430-1,"")</f>
        <v/>
      </c>
      <c r="H431" s="41">
        <f>IFERROR((1+E431)*(1+H430)-1,"")</f>
        <v/>
      </c>
      <c r="I431" s="41">
        <f>IFERROR((1+F431)*(1+I430)-1,"")</f>
        <v/>
      </c>
      <c r="J431" s="41">
        <f>IFERROR((1+G431)*(1+J430)-1,"")</f>
        <v/>
      </c>
      <c r="K431" s="42">
        <f>IFERROR(B431/$B$36*100,"")</f>
        <v/>
      </c>
      <c r="L431" s="42">
        <f>IFERROR(C431/$C$36*100,"")</f>
        <v/>
      </c>
      <c r="M431" s="42">
        <f>IFERROR(D431/$D$36*100,"")</f>
        <v/>
      </c>
      <c r="N431" s="41">
        <f>IFERROR((1+H431)/(1+I431)-1,"")</f>
        <v/>
      </c>
      <c r="O431" s="41">
        <f>IFERROR((1+H431)/(1+J431)-1,"")</f>
        <v/>
      </c>
      <c r="P431" s="39">
        <f>IFERROR(B431*0.0099502487562189+P430*(1-0.0099502487562189),"")</f>
        <v/>
      </c>
      <c r="Q431" s="42">
        <f>Q430*(1+E431)</f>
        <v/>
      </c>
      <c r="R431" s="42">
        <f>MAX(R430,Q431)</f>
        <v/>
      </c>
      <c r="S431" s="41">
        <f>IFERROR(Q431/R431-1,"")</f>
        <v/>
      </c>
      <c r="T431" s="41">
        <f>IFERROR(_xlfn.STDEV.S(E372:E431)*SQRT($D$7),"")</f>
        <v/>
      </c>
      <c r="U431" s="41">
        <f>IFERROR(MIN(E431-$D$6,0),"")</f>
        <v/>
      </c>
      <c r="V431" s="41">
        <f>IFERROR(E431-F431,"")</f>
        <v/>
      </c>
      <c r="W431" s="39">
        <f>B431</f>
        <v/>
      </c>
      <c r="X431" s="21" t="n"/>
    </row>
    <row r="432">
      <c r="A432" s="38" t="n">
        <v>45566</v>
      </c>
      <c r="B432" s="39" t="n">
        <v>247.49</v>
      </c>
      <c r="C432" s="39" t="n">
        <v>568.62</v>
      </c>
      <c r="D432" s="39" t="n">
        <v>48.07</v>
      </c>
      <c r="E432" s="41">
        <f>IFERROR(B432/B431-1,"")</f>
        <v/>
      </c>
      <c r="F432" s="41">
        <f>IFERROR(C432/C431-1,"")</f>
        <v/>
      </c>
      <c r="G432" s="41">
        <f>IFERROR(D432/D431-1,"")</f>
        <v/>
      </c>
      <c r="H432" s="41">
        <f>IFERROR((1+E432)*(1+H431)-1,"")</f>
        <v/>
      </c>
      <c r="I432" s="41">
        <f>IFERROR((1+F432)*(1+I431)-1,"")</f>
        <v/>
      </c>
      <c r="J432" s="41">
        <f>IFERROR((1+G432)*(1+J431)-1,"")</f>
        <v/>
      </c>
      <c r="K432" s="42">
        <f>IFERROR(B432/$B$36*100,"")</f>
        <v/>
      </c>
      <c r="L432" s="42">
        <f>IFERROR(C432/$C$36*100,"")</f>
        <v/>
      </c>
      <c r="M432" s="42">
        <f>IFERROR(D432/$D$36*100,"")</f>
        <v/>
      </c>
      <c r="N432" s="41">
        <f>IFERROR((1+H432)/(1+I432)-1,"")</f>
        <v/>
      </c>
      <c r="O432" s="41">
        <f>IFERROR((1+H432)/(1+J432)-1,"")</f>
        <v/>
      </c>
      <c r="P432" s="39">
        <f>IFERROR(B432*0.0099502487562189+P431*(1-0.0099502487562189),"")</f>
        <v/>
      </c>
      <c r="Q432" s="42">
        <f>Q431*(1+E432)</f>
        <v/>
      </c>
      <c r="R432" s="42">
        <f>MAX(R431,Q432)</f>
        <v/>
      </c>
      <c r="S432" s="41">
        <f>IFERROR(Q432/R432-1,"")</f>
        <v/>
      </c>
      <c r="T432" s="41">
        <f>IFERROR(_xlfn.STDEV.S(E373:E432)*SQRT($D$7),"")</f>
        <v/>
      </c>
      <c r="U432" s="41">
        <f>IFERROR(MIN(E432-$D$6,0),"")</f>
        <v/>
      </c>
      <c r="V432" s="41">
        <f>IFERROR(E432-F432,"")</f>
        <v/>
      </c>
      <c r="W432" s="39">
        <f>B432</f>
        <v/>
      </c>
      <c r="X432" s="21" t="n"/>
    </row>
    <row r="433">
      <c r="A433" s="38" t="n">
        <v>45567</v>
      </c>
      <c r="B433" s="39" t="n">
        <v>240.46</v>
      </c>
      <c r="C433" s="39" t="n">
        <v>568.86</v>
      </c>
      <c r="D433" s="39" t="n">
        <v>47.885</v>
      </c>
      <c r="E433" s="41">
        <f>IFERROR(B433/B432-1,"")</f>
        <v/>
      </c>
      <c r="F433" s="41">
        <f>IFERROR(C433/C432-1,"")</f>
        <v/>
      </c>
      <c r="G433" s="41">
        <f>IFERROR(D433/D432-1,"")</f>
        <v/>
      </c>
      <c r="H433" s="41">
        <f>IFERROR((1+E433)*(1+H432)-1,"")</f>
        <v/>
      </c>
      <c r="I433" s="41">
        <f>IFERROR((1+F433)*(1+I432)-1,"")</f>
        <v/>
      </c>
      <c r="J433" s="41">
        <f>IFERROR((1+G433)*(1+J432)-1,"")</f>
        <v/>
      </c>
      <c r="K433" s="42">
        <f>IFERROR(B433/$B$36*100,"")</f>
        <v/>
      </c>
      <c r="L433" s="42">
        <f>IFERROR(C433/$C$36*100,"")</f>
        <v/>
      </c>
      <c r="M433" s="42">
        <f>IFERROR(D433/$D$36*100,"")</f>
        <v/>
      </c>
      <c r="N433" s="41">
        <f>IFERROR((1+H433)/(1+I433)-1,"")</f>
        <v/>
      </c>
      <c r="O433" s="41">
        <f>IFERROR((1+H433)/(1+J433)-1,"")</f>
        <v/>
      </c>
      <c r="P433" s="39">
        <f>IFERROR(B433*0.0099502487562189+P432*(1-0.0099502487562189),"")</f>
        <v/>
      </c>
      <c r="Q433" s="42">
        <f>Q432*(1+E433)</f>
        <v/>
      </c>
      <c r="R433" s="42">
        <f>MAX(R432,Q433)</f>
        <v/>
      </c>
      <c r="S433" s="41">
        <f>IFERROR(Q433/R433-1,"")</f>
        <v/>
      </c>
      <c r="T433" s="41">
        <f>IFERROR(_xlfn.STDEV.S(E374:E433)*SQRT($D$7),"")</f>
        <v/>
      </c>
      <c r="U433" s="41">
        <f>IFERROR(MIN(E433-$D$6,0),"")</f>
        <v/>
      </c>
      <c r="V433" s="41">
        <f>IFERROR(E433-F433,"")</f>
        <v/>
      </c>
      <c r="W433" s="39">
        <f>B433</f>
        <v/>
      </c>
      <c r="X433" s="21" t="n"/>
    </row>
    <row r="434">
      <c r="A434" s="38" t="n">
        <v>45568</v>
      </c>
      <c r="B434" s="39" t="n">
        <v>241.1</v>
      </c>
      <c r="C434" s="39" t="n">
        <v>567.8200000000001</v>
      </c>
      <c r="D434" s="39" t="n">
        <v>47.355</v>
      </c>
      <c r="E434" s="41">
        <f>IFERROR(B434/B433-1,"")</f>
        <v/>
      </c>
      <c r="F434" s="41">
        <f>IFERROR(C434/C433-1,"")</f>
        <v/>
      </c>
      <c r="G434" s="41">
        <f>IFERROR(D434/D433-1,"")</f>
        <v/>
      </c>
      <c r="H434" s="41">
        <f>IFERROR((1+E434)*(1+H433)-1,"")</f>
        <v/>
      </c>
      <c r="I434" s="41">
        <f>IFERROR((1+F434)*(1+I433)-1,"")</f>
        <v/>
      </c>
      <c r="J434" s="41">
        <f>IFERROR((1+G434)*(1+J433)-1,"")</f>
        <v/>
      </c>
      <c r="K434" s="42">
        <f>IFERROR(B434/$B$36*100,"")</f>
        <v/>
      </c>
      <c r="L434" s="42">
        <f>IFERROR(C434/$C$36*100,"")</f>
        <v/>
      </c>
      <c r="M434" s="42">
        <f>IFERROR(D434/$D$36*100,"")</f>
        <v/>
      </c>
      <c r="N434" s="41">
        <f>IFERROR((1+H434)/(1+I434)-1,"")</f>
        <v/>
      </c>
      <c r="O434" s="41">
        <f>IFERROR((1+H434)/(1+J434)-1,"")</f>
        <v/>
      </c>
      <c r="P434" s="39">
        <f>IFERROR(B434*0.0099502487562189+P433*(1-0.0099502487562189),"")</f>
        <v/>
      </c>
      <c r="Q434" s="42">
        <f>Q433*(1+E434)</f>
        <v/>
      </c>
      <c r="R434" s="42">
        <f>MAX(R433,Q434)</f>
        <v/>
      </c>
      <c r="S434" s="41">
        <f>IFERROR(Q434/R434-1,"")</f>
        <v/>
      </c>
      <c r="T434" s="41">
        <f>IFERROR(_xlfn.STDEV.S(E375:E434)*SQRT($D$7),"")</f>
        <v/>
      </c>
      <c r="U434" s="41">
        <f>IFERROR(MIN(E434-$D$6,0),"")</f>
        <v/>
      </c>
      <c r="V434" s="41">
        <f>IFERROR(E434-F434,"")</f>
        <v/>
      </c>
      <c r="W434" s="39">
        <f>B434</f>
        <v/>
      </c>
      <c r="X434" s="21" t="n"/>
    </row>
    <row r="435">
      <c r="A435" s="38" t="n">
        <v>45569</v>
      </c>
      <c r="B435" s="39" t="n">
        <v>241.43</v>
      </c>
      <c r="C435" s="39" t="n">
        <v>572.98</v>
      </c>
      <c r="D435" s="39" t="n">
        <v>47.585</v>
      </c>
      <c r="E435" s="41">
        <f>IFERROR(B435/B434-1,"")</f>
        <v/>
      </c>
      <c r="F435" s="41">
        <f>IFERROR(C435/C434-1,"")</f>
        <v/>
      </c>
      <c r="G435" s="41">
        <f>IFERROR(D435/D434-1,"")</f>
        <v/>
      </c>
      <c r="H435" s="41">
        <f>IFERROR((1+E435)*(1+H434)-1,"")</f>
        <v/>
      </c>
      <c r="I435" s="41">
        <f>IFERROR((1+F435)*(1+I434)-1,"")</f>
        <v/>
      </c>
      <c r="J435" s="41">
        <f>IFERROR((1+G435)*(1+J434)-1,"")</f>
        <v/>
      </c>
      <c r="K435" s="42">
        <f>IFERROR(B435/$B$36*100,"")</f>
        <v/>
      </c>
      <c r="L435" s="42">
        <f>IFERROR(C435/$C$36*100,"")</f>
        <v/>
      </c>
      <c r="M435" s="42">
        <f>IFERROR(D435/$D$36*100,"")</f>
        <v/>
      </c>
      <c r="N435" s="41">
        <f>IFERROR((1+H435)/(1+I435)-1,"")</f>
        <v/>
      </c>
      <c r="O435" s="41">
        <f>IFERROR((1+H435)/(1+J435)-1,"")</f>
        <v/>
      </c>
      <c r="P435" s="39">
        <f>IFERROR(B435*0.0099502487562189+P434*(1-0.0099502487562189),"")</f>
        <v/>
      </c>
      <c r="Q435" s="42">
        <f>Q434*(1+E435)</f>
        <v/>
      </c>
      <c r="R435" s="42">
        <f>MAX(R434,Q435)</f>
        <v/>
      </c>
      <c r="S435" s="41">
        <f>IFERROR(Q435/R435-1,"")</f>
        <v/>
      </c>
      <c r="T435" s="41">
        <f>IFERROR(_xlfn.STDEV.S(E376:E435)*SQRT($D$7),"")</f>
        <v/>
      </c>
      <c r="U435" s="41">
        <f>IFERROR(MIN(E435-$D$6,0),"")</f>
        <v/>
      </c>
      <c r="V435" s="41">
        <f>IFERROR(E435-F435,"")</f>
        <v/>
      </c>
      <c r="W435" s="39">
        <f>B435</f>
        <v/>
      </c>
      <c r="X435" s="21" t="n"/>
    </row>
    <row r="436">
      <c r="A436" s="38" t="n">
        <v>45572</v>
      </c>
      <c r="B436" s="39" t="n">
        <v>238.03</v>
      </c>
      <c r="C436" s="39" t="n">
        <v>567.8</v>
      </c>
      <c r="D436" s="39" t="n">
        <v>47.445</v>
      </c>
      <c r="E436" s="41">
        <f>IFERROR(B436/B435-1,"")</f>
        <v/>
      </c>
      <c r="F436" s="41">
        <f>IFERROR(C436/C435-1,"")</f>
        <v/>
      </c>
      <c r="G436" s="41">
        <f>IFERROR(D436/D435-1,"")</f>
        <v/>
      </c>
      <c r="H436" s="41">
        <f>IFERROR((1+E436)*(1+H435)-1,"")</f>
        <v/>
      </c>
      <c r="I436" s="41">
        <f>IFERROR((1+F436)*(1+I435)-1,"")</f>
        <v/>
      </c>
      <c r="J436" s="41">
        <f>IFERROR((1+G436)*(1+J435)-1,"")</f>
        <v/>
      </c>
      <c r="K436" s="42">
        <f>IFERROR(B436/$B$36*100,"")</f>
        <v/>
      </c>
      <c r="L436" s="42">
        <f>IFERROR(C436/$C$36*100,"")</f>
        <v/>
      </c>
      <c r="M436" s="42">
        <f>IFERROR(D436/$D$36*100,"")</f>
        <v/>
      </c>
      <c r="N436" s="41">
        <f>IFERROR((1+H436)/(1+I436)-1,"")</f>
        <v/>
      </c>
      <c r="O436" s="41">
        <f>IFERROR((1+H436)/(1+J436)-1,"")</f>
        <v/>
      </c>
      <c r="P436" s="39">
        <f>IFERROR(B436*0.0099502487562189+P435*(1-0.0099502487562189),"")</f>
        <v/>
      </c>
      <c r="Q436" s="42">
        <f>Q435*(1+E436)</f>
        <v/>
      </c>
      <c r="R436" s="42">
        <f>MAX(R435,Q436)</f>
        <v/>
      </c>
      <c r="S436" s="41">
        <f>IFERROR(Q436/R436-1,"")</f>
        <v/>
      </c>
      <c r="T436" s="41">
        <f>IFERROR(_xlfn.STDEV.S(E377:E436)*SQRT($D$7),"")</f>
        <v/>
      </c>
      <c r="U436" s="41">
        <f>IFERROR(MIN(E436-$D$6,0),"")</f>
        <v/>
      </c>
      <c r="V436" s="41">
        <f>IFERROR(E436-F436,"")</f>
        <v/>
      </c>
      <c r="W436" s="39">
        <f>B436</f>
        <v/>
      </c>
      <c r="X436" s="21" t="n"/>
    </row>
    <row r="437">
      <c r="A437" s="38" t="n">
        <v>45573</v>
      </c>
      <c r="B437" s="39" t="n">
        <v>238.19</v>
      </c>
      <c r="C437" s="39" t="n">
        <v>573.17</v>
      </c>
      <c r="D437" s="39" t="n">
        <v>47.225</v>
      </c>
      <c r="E437" s="41">
        <f>IFERROR(B437/B436-1,"")</f>
        <v/>
      </c>
      <c r="F437" s="41">
        <f>IFERROR(C437/C436-1,"")</f>
        <v/>
      </c>
      <c r="G437" s="41">
        <f>IFERROR(D437/D436-1,"")</f>
        <v/>
      </c>
      <c r="H437" s="41">
        <f>IFERROR((1+E437)*(1+H436)-1,"")</f>
        <v/>
      </c>
      <c r="I437" s="41">
        <f>IFERROR((1+F437)*(1+I436)-1,"")</f>
        <v/>
      </c>
      <c r="J437" s="41">
        <f>IFERROR((1+G437)*(1+J436)-1,"")</f>
        <v/>
      </c>
      <c r="K437" s="42">
        <f>IFERROR(B437/$B$36*100,"")</f>
        <v/>
      </c>
      <c r="L437" s="42">
        <f>IFERROR(C437/$C$36*100,"")</f>
        <v/>
      </c>
      <c r="M437" s="42">
        <f>IFERROR(D437/$D$36*100,"")</f>
        <v/>
      </c>
      <c r="N437" s="41">
        <f>IFERROR((1+H437)/(1+I437)-1,"")</f>
        <v/>
      </c>
      <c r="O437" s="41">
        <f>IFERROR((1+H437)/(1+J437)-1,"")</f>
        <v/>
      </c>
      <c r="P437" s="39">
        <f>IFERROR(B437*0.0099502487562189+P436*(1-0.0099502487562189),"")</f>
        <v/>
      </c>
      <c r="Q437" s="42">
        <f>Q436*(1+E437)</f>
        <v/>
      </c>
      <c r="R437" s="42">
        <f>MAX(R436,Q437)</f>
        <v/>
      </c>
      <c r="S437" s="41">
        <f>IFERROR(Q437/R437-1,"")</f>
        <v/>
      </c>
      <c r="T437" s="41">
        <f>IFERROR(_xlfn.STDEV.S(E378:E437)*SQRT($D$7),"")</f>
        <v/>
      </c>
      <c r="U437" s="41">
        <f>IFERROR(MIN(E437-$D$6,0),"")</f>
        <v/>
      </c>
      <c r="V437" s="41">
        <f>IFERROR(E437-F437,"")</f>
        <v/>
      </c>
      <c r="W437" s="39">
        <f>B437</f>
        <v/>
      </c>
      <c r="X437" s="21" t="n"/>
    </row>
    <row r="438">
      <c r="A438" s="38" t="n">
        <v>45574</v>
      </c>
      <c r="B438" s="39" t="n">
        <v>241.64</v>
      </c>
      <c r="C438" s="39" t="n">
        <v>577.14</v>
      </c>
      <c r="D438" s="39" t="n">
        <v>47.525</v>
      </c>
      <c r="E438" s="41">
        <f>IFERROR(B438/B437-1,"")</f>
        <v/>
      </c>
      <c r="F438" s="41">
        <f>IFERROR(C438/C437-1,"")</f>
        <v/>
      </c>
      <c r="G438" s="41">
        <f>IFERROR(D438/D437-1,"")</f>
        <v/>
      </c>
      <c r="H438" s="41">
        <f>IFERROR((1+E438)*(1+H437)-1,"")</f>
        <v/>
      </c>
      <c r="I438" s="41">
        <f>IFERROR((1+F438)*(1+I437)-1,"")</f>
        <v/>
      </c>
      <c r="J438" s="41">
        <f>IFERROR((1+G438)*(1+J437)-1,"")</f>
        <v/>
      </c>
      <c r="K438" s="42">
        <f>IFERROR(B438/$B$36*100,"")</f>
        <v/>
      </c>
      <c r="L438" s="42">
        <f>IFERROR(C438/$C$36*100,"")</f>
        <v/>
      </c>
      <c r="M438" s="42">
        <f>IFERROR(D438/$D$36*100,"")</f>
        <v/>
      </c>
      <c r="N438" s="41">
        <f>IFERROR((1+H438)/(1+I438)-1,"")</f>
        <v/>
      </c>
      <c r="O438" s="41">
        <f>IFERROR((1+H438)/(1+J438)-1,"")</f>
        <v/>
      </c>
      <c r="P438" s="39">
        <f>IFERROR(B438*0.0099502487562189+P437*(1-0.0099502487562189),"")</f>
        <v/>
      </c>
      <c r="Q438" s="42">
        <f>Q437*(1+E438)</f>
        <v/>
      </c>
      <c r="R438" s="42">
        <f>MAX(R437,Q438)</f>
        <v/>
      </c>
      <c r="S438" s="41">
        <f>IFERROR(Q438/R438-1,"")</f>
        <v/>
      </c>
      <c r="T438" s="41">
        <f>IFERROR(_xlfn.STDEV.S(E379:E438)*SQRT($D$7),"")</f>
        <v/>
      </c>
      <c r="U438" s="41">
        <f>IFERROR(MIN(E438-$D$6,0),"")</f>
        <v/>
      </c>
      <c r="V438" s="41">
        <f>IFERROR(E438-F438,"")</f>
        <v/>
      </c>
      <c r="W438" s="39">
        <f>B438</f>
        <v/>
      </c>
      <c r="X438" s="21" t="n"/>
    </row>
    <row r="439">
      <c r="A439" s="38" t="n">
        <v>45575</v>
      </c>
      <c r="B439" s="39" t="n">
        <v>243.9</v>
      </c>
      <c r="C439" s="39" t="n">
        <v>576.13</v>
      </c>
      <c r="D439" s="39" t="n">
        <v>47.635</v>
      </c>
      <c r="E439" s="41">
        <f>IFERROR(B439/B438-1,"")</f>
        <v/>
      </c>
      <c r="F439" s="41">
        <f>IFERROR(C439/C438-1,"")</f>
        <v/>
      </c>
      <c r="G439" s="41">
        <f>IFERROR(D439/D438-1,"")</f>
        <v/>
      </c>
      <c r="H439" s="41">
        <f>IFERROR((1+E439)*(1+H438)-1,"")</f>
        <v/>
      </c>
      <c r="I439" s="41">
        <f>IFERROR((1+F439)*(1+I438)-1,"")</f>
        <v/>
      </c>
      <c r="J439" s="41">
        <f>IFERROR((1+G439)*(1+J438)-1,"")</f>
        <v/>
      </c>
      <c r="K439" s="42">
        <f>IFERROR(B439/$B$36*100,"")</f>
        <v/>
      </c>
      <c r="L439" s="42">
        <f>IFERROR(C439/$C$36*100,"")</f>
        <v/>
      </c>
      <c r="M439" s="42">
        <f>IFERROR(D439/$D$36*100,"")</f>
        <v/>
      </c>
      <c r="N439" s="41">
        <f>IFERROR((1+H439)/(1+I439)-1,"")</f>
        <v/>
      </c>
      <c r="O439" s="41">
        <f>IFERROR((1+H439)/(1+J439)-1,"")</f>
        <v/>
      </c>
      <c r="P439" s="39">
        <f>IFERROR(B439*0.0099502487562189+P438*(1-0.0099502487562189),"")</f>
        <v/>
      </c>
      <c r="Q439" s="42">
        <f>Q438*(1+E439)</f>
        <v/>
      </c>
      <c r="R439" s="42">
        <f>MAX(R438,Q439)</f>
        <v/>
      </c>
      <c r="S439" s="41">
        <f>IFERROR(Q439/R439-1,"")</f>
        <v/>
      </c>
      <c r="T439" s="41">
        <f>IFERROR(_xlfn.STDEV.S(E380:E439)*SQRT($D$7),"")</f>
        <v/>
      </c>
      <c r="U439" s="41">
        <f>IFERROR(MIN(E439-$D$6,0),"")</f>
        <v/>
      </c>
      <c r="V439" s="41">
        <f>IFERROR(E439-F439,"")</f>
        <v/>
      </c>
      <c r="W439" s="39">
        <f>B439</f>
        <v/>
      </c>
      <c r="X439" s="21" t="n"/>
    </row>
    <row r="440">
      <c r="A440" s="38" t="n">
        <v>45576</v>
      </c>
      <c r="B440" s="39" t="n">
        <v>247.51</v>
      </c>
      <c r="C440" s="39" t="n">
        <v>579.58</v>
      </c>
      <c r="D440" s="39" t="n">
        <v>47.945</v>
      </c>
      <c r="E440" s="41">
        <f>IFERROR(B440/B439-1,"")</f>
        <v/>
      </c>
      <c r="F440" s="41">
        <f>IFERROR(C440/C439-1,"")</f>
        <v/>
      </c>
      <c r="G440" s="41">
        <f>IFERROR(D440/D439-1,"")</f>
        <v/>
      </c>
      <c r="H440" s="41">
        <f>IFERROR((1+E440)*(1+H439)-1,"")</f>
        <v/>
      </c>
      <c r="I440" s="41">
        <f>IFERROR((1+F440)*(1+I439)-1,"")</f>
        <v/>
      </c>
      <c r="J440" s="41">
        <f>IFERROR((1+G440)*(1+J439)-1,"")</f>
        <v/>
      </c>
      <c r="K440" s="42">
        <f>IFERROR(B440/$B$36*100,"")</f>
        <v/>
      </c>
      <c r="L440" s="42">
        <f>IFERROR(C440/$C$36*100,"")</f>
        <v/>
      </c>
      <c r="M440" s="42">
        <f>IFERROR(D440/$D$36*100,"")</f>
        <v/>
      </c>
      <c r="N440" s="41">
        <f>IFERROR((1+H440)/(1+I440)-1,"")</f>
        <v/>
      </c>
      <c r="O440" s="41">
        <f>IFERROR((1+H440)/(1+J440)-1,"")</f>
        <v/>
      </c>
      <c r="P440" s="39">
        <f>IFERROR(B440*0.0099502487562189+P439*(1-0.0099502487562189),"")</f>
        <v/>
      </c>
      <c r="Q440" s="42">
        <f>Q439*(1+E440)</f>
        <v/>
      </c>
      <c r="R440" s="42">
        <f>MAX(R439,Q440)</f>
        <v/>
      </c>
      <c r="S440" s="41">
        <f>IFERROR(Q440/R440-1,"")</f>
        <v/>
      </c>
      <c r="T440" s="41">
        <f>IFERROR(_xlfn.STDEV.S(E381:E440)*SQRT($D$7),"")</f>
        <v/>
      </c>
      <c r="U440" s="41">
        <f>IFERROR(MIN(E440-$D$6,0),"")</f>
        <v/>
      </c>
      <c r="V440" s="41">
        <f>IFERROR(E440-F440,"")</f>
        <v/>
      </c>
      <c r="W440" s="39">
        <f>B440</f>
        <v/>
      </c>
      <c r="X440" s="21" t="n"/>
    </row>
    <row r="441">
      <c r="A441" s="38" t="n">
        <v>45579</v>
      </c>
      <c r="B441" s="39" t="n">
        <v>248.7</v>
      </c>
      <c r="C441" s="39" t="n">
        <v>584.3200000000001</v>
      </c>
      <c r="D441" s="39" t="n">
        <v>48.22</v>
      </c>
      <c r="E441" s="41">
        <f>IFERROR(B441/B440-1,"")</f>
        <v/>
      </c>
      <c r="F441" s="41">
        <f>IFERROR(C441/C440-1,"")</f>
        <v/>
      </c>
      <c r="G441" s="41">
        <f>IFERROR(D441/D440-1,"")</f>
        <v/>
      </c>
      <c r="H441" s="41">
        <f>IFERROR((1+E441)*(1+H440)-1,"")</f>
        <v/>
      </c>
      <c r="I441" s="41">
        <f>IFERROR((1+F441)*(1+I440)-1,"")</f>
        <v/>
      </c>
      <c r="J441" s="41">
        <f>IFERROR((1+G441)*(1+J440)-1,"")</f>
        <v/>
      </c>
      <c r="K441" s="42">
        <f>IFERROR(B441/$B$36*100,"")</f>
        <v/>
      </c>
      <c r="L441" s="42">
        <f>IFERROR(C441/$C$36*100,"")</f>
        <v/>
      </c>
      <c r="M441" s="42">
        <f>IFERROR(D441/$D$36*100,"")</f>
        <v/>
      </c>
      <c r="N441" s="41">
        <f>IFERROR((1+H441)/(1+I441)-1,"")</f>
        <v/>
      </c>
      <c r="O441" s="41">
        <f>IFERROR((1+H441)/(1+J441)-1,"")</f>
        <v/>
      </c>
      <c r="P441" s="39">
        <f>IFERROR(B441*0.0099502487562189+P440*(1-0.0099502487562189),"")</f>
        <v/>
      </c>
      <c r="Q441" s="42">
        <f>Q440*(1+E441)</f>
        <v/>
      </c>
      <c r="R441" s="42">
        <f>MAX(R440,Q441)</f>
        <v/>
      </c>
      <c r="S441" s="41">
        <f>IFERROR(Q441/R441-1,"")</f>
        <v/>
      </c>
      <c r="T441" s="41">
        <f>IFERROR(_xlfn.STDEV.S(E382:E441)*SQRT($D$7),"")</f>
        <v/>
      </c>
      <c r="U441" s="41">
        <f>IFERROR(MIN(E441-$D$6,0),"")</f>
        <v/>
      </c>
      <c r="V441" s="41">
        <f>IFERROR(E441-F441,"")</f>
        <v/>
      </c>
      <c r="W441" s="39">
        <f>B441</f>
        <v/>
      </c>
      <c r="X441" s="21" t="n"/>
    </row>
    <row r="442">
      <c r="A442" s="38" t="n">
        <v>45580</v>
      </c>
      <c r="B442" s="39" t="n">
        <v>252.79</v>
      </c>
      <c r="C442" s="39" t="n">
        <v>579.78</v>
      </c>
      <c r="D442" s="39" t="n">
        <v>48.17</v>
      </c>
      <c r="E442" s="41">
        <f>IFERROR(B442/B441-1,"")</f>
        <v/>
      </c>
      <c r="F442" s="41">
        <f>IFERROR(C442/C441-1,"")</f>
        <v/>
      </c>
      <c r="G442" s="41">
        <f>IFERROR(D442/D441-1,"")</f>
        <v/>
      </c>
      <c r="H442" s="41">
        <f>IFERROR((1+E442)*(1+H441)-1,"")</f>
        <v/>
      </c>
      <c r="I442" s="41">
        <f>IFERROR((1+F442)*(1+I441)-1,"")</f>
        <v/>
      </c>
      <c r="J442" s="41">
        <f>IFERROR((1+G442)*(1+J441)-1,"")</f>
        <v/>
      </c>
      <c r="K442" s="42">
        <f>IFERROR(B442/$B$36*100,"")</f>
        <v/>
      </c>
      <c r="L442" s="42">
        <f>IFERROR(C442/$C$36*100,"")</f>
        <v/>
      </c>
      <c r="M442" s="42">
        <f>IFERROR(D442/$D$36*100,"")</f>
        <v/>
      </c>
      <c r="N442" s="41">
        <f>IFERROR((1+H442)/(1+I442)-1,"")</f>
        <v/>
      </c>
      <c r="O442" s="41">
        <f>IFERROR((1+H442)/(1+J442)-1,"")</f>
        <v/>
      </c>
      <c r="P442" s="39">
        <f>IFERROR(B442*0.0099502487562189+P441*(1-0.0099502487562189),"")</f>
        <v/>
      </c>
      <c r="Q442" s="42">
        <f>Q441*(1+E442)</f>
        <v/>
      </c>
      <c r="R442" s="42">
        <f>MAX(R441,Q442)</f>
        <v/>
      </c>
      <c r="S442" s="41">
        <f>IFERROR(Q442/R442-1,"")</f>
        <v/>
      </c>
      <c r="T442" s="41">
        <f>IFERROR(_xlfn.STDEV.S(E383:E442)*SQRT($D$7),"")</f>
        <v/>
      </c>
      <c r="U442" s="41">
        <f>IFERROR(MIN(E442-$D$6,0),"")</f>
        <v/>
      </c>
      <c r="V442" s="41">
        <f>IFERROR(E442-F442,"")</f>
        <v/>
      </c>
      <c r="W442" s="39">
        <f>B442</f>
        <v/>
      </c>
      <c r="X442" s="21" t="n"/>
    </row>
    <row r="443">
      <c r="A443" s="38" t="n">
        <v>45581</v>
      </c>
      <c r="B443" s="39" t="n">
        <v>256.48</v>
      </c>
      <c r="C443" s="39" t="n">
        <v>582.3</v>
      </c>
      <c r="D443" s="39" t="n">
        <v>48.545</v>
      </c>
      <c r="E443" s="41">
        <f>IFERROR(B443/B442-1,"")</f>
        <v/>
      </c>
      <c r="F443" s="41">
        <f>IFERROR(C443/C442-1,"")</f>
        <v/>
      </c>
      <c r="G443" s="41">
        <f>IFERROR(D443/D442-1,"")</f>
        <v/>
      </c>
      <c r="H443" s="41">
        <f>IFERROR((1+E443)*(1+H442)-1,"")</f>
        <v/>
      </c>
      <c r="I443" s="41">
        <f>IFERROR((1+F443)*(1+I442)-1,"")</f>
        <v/>
      </c>
      <c r="J443" s="41">
        <f>IFERROR((1+G443)*(1+J442)-1,"")</f>
        <v/>
      </c>
      <c r="K443" s="42">
        <f>IFERROR(B443/$B$36*100,"")</f>
        <v/>
      </c>
      <c r="L443" s="42">
        <f>IFERROR(C443/$C$36*100,"")</f>
        <v/>
      </c>
      <c r="M443" s="42">
        <f>IFERROR(D443/$D$36*100,"")</f>
        <v/>
      </c>
      <c r="N443" s="41">
        <f>IFERROR((1+H443)/(1+I443)-1,"")</f>
        <v/>
      </c>
      <c r="O443" s="41">
        <f>IFERROR((1+H443)/(1+J443)-1,"")</f>
        <v/>
      </c>
      <c r="P443" s="39">
        <f>IFERROR(B443*0.0099502487562189+P442*(1-0.0099502487562189),"")</f>
        <v/>
      </c>
      <c r="Q443" s="42">
        <f>Q442*(1+E443)</f>
        <v/>
      </c>
      <c r="R443" s="42">
        <f>MAX(R442,Q443)</f>
        <v/>
      </c>
      <c r="S443" s="41">
        <f>IFERROR(Q443/R443-1,"")</f>
        <v/>
      </c>
      <c r="T443" s="41">
        <f>IFERROR(_xlfn.STDEV.S(E384:E443)*SQRT($D$7),"")</f>
        <v/>
      </c>
      <c r="U443" s="41">
        <f>IFERROR(MIN(E443-$D$6,0),"")</f>
        <v/>
      </c>
      <c r="V443" s="41">
        <f>IFERROR(E443-F443,"")</f>
        <v/>
      </c>
      <c r="W443" s="39">
        <f>B443</f>
        <v/>
      </c>
      <c r="X443" s="21" t="n"/>
    </row>
    <row r="444">
      <c r="A444" s="38" t="n">
        <v>45582</v>
      </c>
      <c r="B444" s="39" t="n">
        <v>258.64</v>
      </c>
      <c r="C444" s="39" t="n">
        <v>582.35</v>
      </c>
      <c r="D444" s="39" t="n">
        <v>48.62</v>
      </c>
      <c r="E444" s="41">
        <f>IFERROR(B444/B443-1,"")</f>
        <v/>
      </c>
      <c r="F444" s="41">
        <f>IFERROR(C444/C443-1,"")</f>
        <v/>
      </c>
      <c r="G444" s="41">
        <f>IFERROR(D444/D443-1,"")</f>
        <v/>
      </c>
      <c r="H444" s="41">
        <f>IFERROR((1+E444)*(1+H443)-1,"")</f>
        <v/>
      </c>
      <c r="I444" s="41">
        <f>IFERROR((1+F444)*(1+I443)-1,"")</f>
        <v/>
      </c>
      <c r="J444" s="41">
        <f>IFERROR((1+G444)*(1+J443)-1,"")</f>
        <v/>
      </c>
      <c r="K444" s="42">
        <f>IFERROR(B444/$B$36*100,"")</f>
        <v/>
      </c>
      <c r="L444" s="42">
        <f>IFERROR(C444/$C$36*100,"")</f>
        <v/>
      </c>
      <c r="M444" s="42">
        <f>IFERROR(D444/$D$36*100,"")</f>
        <v/>
      </c>
      <c r="N444" s="41">
        <f>IFERROR((1+H444)/(1+I444)-1,"")</f>
        <v/>
      </c>
      <c r="O444" s="41">
        <f>IFERROR((1+H444)/(1+J444)-1,"")</f>
        <v/>
      </c>
      <c r="P444" s="39">
        <f>IFERROR(B444*0.0099502487562189+P443*(1-0.0099502487562189),"")</f>
        <v/>
      </c>
      <c r="Q444" s="42">
        <f>Q443*(1+E444)</f>
        <v/>
      </c>
      <c r="R444" s="42">
        <f>MAX(R443,Q444)</f>
        <v/>
      </c>
      <c r="S444" s="41">
        <f>IFERROR(Q444/R444-1,"")</f>
        <v/>
      </c>
      <c r="T444" s="41">
        <f>IFERROR(_xlfn.STDEV.S(E385:E444)*SQRT($D$7),"")</f>
        <v/>
      </c>
      <c r="U444" s="41">
        <f>IFERROR(MIN(E444-$D$6,0),"")</f>
        <v/>
      </c>
      <c r="V444" s="41">
        <f>IFERROR(E444-F444,"")</f>
        <v/>
      </c>
      <c r="W444" s="39">
        <f>B444</f>
        <v/>
      </c>
      <c r="X444" s="21" t="n"/>
    </row>
    <row r="445">
      <c r="A445" s="38" t="n">
        <v>45583</v>
      </c>
      <c r="B445" s="39" t="n">
        <v>261.72</v>
      </c>
      <c r="C445" s="39" t="n">
        <v>584.59</v>
      </c>
      <c r="D445" s="39" t="n">
        <v>48.815</v>
      </c>
      <c r="E445" s="41">
        <f>IFERROR(B445/B444-1,"")</f>
        <v/>
      </c>
      <c r="F445" s="41">
        <f>IFERROR(C445/C444-1,"")</f>
        <v/>
      </c>
      <c r="G445" s="41">
        <f>IFERROR(D445/D444-1,"")</f>
        <v/>
      </c>
      <c r="H445" s="41">
        <f>IFERROR((1+E445)*(1+H444)-1,"")</f>
        <v/>
      </c>
      <c r="I445" s="41">
        <f>IFERROR((1+F445)*(1+I444)-1,"")</f>
        <v/>
      </c>
      <c r="J445" s="41">
        <f>IFERROR((1+G445)*(1+J444)-1,"")</f>
        <v/>
      </c>
      <c r="K445" s="42">
        <f>IFERROR(B445/$B$36*100,"")</f>
        <v/>
      </c>
      <c r="L445" s="42">
        <f>IFERROR(C445/$C$36*100,"")</f>
        <v/>
      </c>
      <c r="M445" s="42">
        <f>IFERROR(D445/$D$36*100,"")</f>
        <v/>
      </c>
      <c r="N445" s="41">
        <f>IFERROR((1+H445)/(1+I445)-1,"")</f>
        <v/>
      </c>
      <c r="O445" s="41">
        <f>IFERROR((1+H445)/(1+J445)-1,"")</f>
        <v/>
      </c>
      <c r="P445" s="39">
        <f>IFERROR(B445*0.0099502487562189+P444*(1-0.0099502487562189),"")</f>
        <v/>
      </c>
      <c r="Q445" s="42">
        <f>Q444*(1+E445)</f>
        <v/>
      </c>
      <c r="R445" s="42">
        <f>MAX(R444,Q445)</f>
        <v/>
      </c>
      <c r="S445" s="41">
        <f>IFERROR(Q445/R445-1,"")</f>
        <v/>
      </c>
      <c r="T445" s="41">
        <f>IFERROR(_xlfn.STDEV.S(E386:E445)*SQRT($D$7),"")</f>
        <v/>
      </c>
      <c r="U445" s="41">
        <f>IFERROR(MIN(E445-$D$6,0),"")</f>
        <v/>
      </c>
      <c r="V445" s="41">
        <f>IFERROR(E445-F445,"")</f>
        <v/>
      </c>
      <c r="W445" s="39">
        <f>B445</f>
        <v/>
      </c>
      <c r="X445" s="21" t="n"/>
    </row>
    <row r="446">
      <c r="A446" s="38" t="n">
        <v>45586</v>
      </c>
      <c r="B446" s="39" t="n">
        <v>259.94</v>
      </c>
      <c r="C446" s="39" t="n">
        <v>583.63</v>
      </c>
      <c r="D446" s="39" t="n">
        <v>48.44</v>
      </c>
      <c r="E446" s="41">
        <f>IFERROR(B446/B445-1,"")</f>
        <v/>
      </c>
      <c r="F446" s="41">
        <f>IFERROR(C446/C445-1,"")</f>
        <v/>
      </c>
      <c r="G446" s="41">
        <f>IFERROR(D446/D445-1,"")</f>
        <v/>
      </c>
      <c r="H446" s="41">
        <f>IFERROR((1+E446)*(1+H445)-1,"")</f>
        <v/>
      </c>
      <c r="I446" s="41">
        <f>IFERROR((1+F446)*(1+I445)-1,"")</f>
        <v/>
      </c>
      <c r="J446" s="41">
        <f>IFERROR((1+G446)*(1+J445)-1,"")</f>
        <v/>
      </c>
      <c r="K446" s="42">
        <f>IFERROR(B446/$B$36*100,"")</f>
        <v/>
      </c>
      <c r="L446" s="42">
        <f>IFERROR(C446/$C$36*100,"")</f>
        <v/>
      </c>
      <c r="M446" s="42">
        <f>IFERROR(D446/$D$36*100,"")</f>
        <v/>
      </c>
      <c r="N446" s="41">
        <f>IFERROR((1+H446)/(1+I446)-1,"")</f>
        <v/>
      </c>
      <c r="O446" s="41">
        <f>IFERROR((1+H446)/(1+J446)-1,"")</f>
        <v/>
      </c>
      <c r="P446" s="39">
        <f>IFERROR(B446*0.0099502487562189+P445*(1-0.0099502487562189),"")</f>
        <v/>
      </c>
      <c r="Q446" s="42">
        <f>Q445*(1+E446)</f>
        <v/>
      </c>
      <c r="R446" s="42">
        <f>MAX(R445,Q446)</f>
        <v/>
      </c>
      <c r="S446" s="41">
        <f>IFERROR(Q446/R446-1,"")</f>
        <v/>
      </c>
      <c r="T446" s="41">
        <f>IFERROR(_xlfn.STDEV.S(E387:E446)*SQRT($D$7),"")</f>
        <v/>
      </c>
      <c r="U446" s="41">
        <f>IFERROR(MIN(E446-$D$6,0),"")</f>
        <v/>
      </c>
      <c r="V446" s="41">
        <f>IFERROR(E446-F446,"")</f>
        <v/>
      </c>
      <c r="W446" s="39">
        <f>B446</f>
        <v/>
      </c>
      <c r="X446" s="21" t="n"/>
    </row>
    <row r="447">
      <c r="A447" s="38" t="n">
        <v>45587</v>
      </c>
      <c r="B447" s="39" t="n">
        <v>253.72</v>
      </c>
      <c r="C447" s="39" t="n">
        <v>583.3200000000001</v>
      </c>
      <c r="D447" s="39" t="n">
        <v>47.995</v>
      </c>
      <c r="E447" s="41">
        <f>IFERROR(B447/B446-1,"")</f>
        <v/>
      </c>
      <c r="F447" s="41">
        <f>IFERROR(C447/C446-1,"")</f>
        <v/>
      </c>
      <c r="G447" s="41">
        <f>IFERROR(D447/D446-1,"")</f>
        <v/>
      </c>
      <c r="H447" s="41">
        <f>IFERROR((1+E447)*(1+H446)-1,"")</f>
        <v/>
      </c>
      <c r="I447" s="41">
        <f>IFERROR((1+F447)*(1+I446)-1,"")</f>
        <v/>
      </c>
      <c r="J447" s="41">
        <f>IFERROR((1+G447)*(1+J446)-1,"")</f>
        <v/>
      </c>
      <c r="K447" s="42">
        <f>IFERROR(B447/$B$36*100,"")</f>
        <v/>
      </c>
      <c r="L447" s="42">
        <f>IFERROR(C447/$C$36*100,"")</f>
        <v/>
      </c>
      <c r="M447" s="42">
        <f>IFERROR(D447/$D$36*100,"")</f>
        <v/>
      </c>
      <c r="N447" s="41">
        <f>IFERROR((1+H447)/(1+I447)-1,"")</f>
        <v/>
      </c>
      <c r="O447" s="41">
        <f>IFERROR((1+H447)/(1+J447)-1,"")</f>
        <v/>
      </c>
      <c r="P447" s="39">
        <f>IFERROR(B447*0.0099502487562189+P446*(1-0.0099502487562189),"")</f>
        <v/>
      </c>
      <c r="Q447" s="42">
        <f>Q446*(1+E447)</f>
        <v/>
      </c>
      <c r="R447" s="42">
        <f>MAX(R446,Q447)</f>
        <v/>
      </c>
      <c r="S447" s="41">
        <f>IFERROR(Q447/R447-1,"")</f>
        <v/>
      </c>
      <c r="T447" s="41">
        <f>IFERROR(_xlfn.STDEV.S(E388:E447)*SQRT($D$7),"")</f>
        <v/>
      </c>
      <c r="U447" s="41">
        <f>IFERROR(MIN(E447-$D$6,0),"")</f>
        <v/>
      </c>
      <c r="V447" s="41">
        <f>IFERROR(E447-F447,"")</f>
        <v/>
      </c>
      <c r="W447" s="39">
        <f>B447</f>
        <v/>
      </c>
      <c r="X447" s="21" t="n"/>
    </row>
    <row r="448">
      <c r="A448" s="38" t="n">
        <v>45588</v>
      </c>
      <c r="B448" s="39" t="n">
        <v>253.57</v>
      </c>
      <c r="C448" s="39" t="n">
        <v>577.99</v>
      </c>
      <c r="D448" s="39" t="n">
        <v>47.865</v>
      </c>
      <c r="E448" s="41">
        <f>IFERROR(B448/B447-1,"")</f>
        <v/>
      </c>
      <c r="F448" s="41">
        <f>IFERROR(C448/C447-1,"")</f>
        <v/>
      </c>
      <c r="G448" s="41">
        <f>IFERROR(D448/D447-1,"")</f>
        <v/>
      </c>
      <c r="H448" s="41">
        <f>IFERROR((1+E448)*(1+H447)-1,"")</f>
        <v/>
      </c>
      <c r="I448" s="41">
        <f>IFERROR((1+F448)*(1+I447)-1,"")</f>
        <v/>
      </c>
      <c r="J448" s="41">
        <f>IFERROR((1+G448)*(1+J447)-1,"")</f>
        <v/>
      </c>
      <c r="K448" s="42">
        <f>IFERROR(B448/$B$36*100,"")</f>
        <v/>
      </c>
      <c r="L448" s="42">
        <f>IFERROR(C448/$C$36*100,"")</f>
        <v/>
      </c>
      <c r="M448" s="42">
        <f>IFERROR(D448/$D$36*100,"")</f>
        <v/>
      </c>
      <c r="N448" s="41">
        <f>IFERROR((1+H448)/(1+I448)-1,"")</f>
        <v/>
      </c>
      <c r="O448" s="41">
        <f>IFERROR((1+H448)/(1+J448)-1,"")</f>
        <v/>
      </c>
      <c r="P448" s="39">
        <f>IFERROR(B448*0.0099502487562189+P447*(1-0.0099502487562189),"")</f>
        <v/>
      </c>
      <c r="Q448" s="42">
        <f>Q447*(1+E448)</f>
        <v/>
      </c>
      <c r="R448" s="42">
        <f>MAX(R447,Q448)</f>
        <v/>
      </c>
      <c r="S448" s="41">
        <f>IFERROR(Q448/R448-1,"")</f>
        <v/>
      </c>
      <c r="T448" s="41">
        <f>IFERROR(_xlfn.STDEV.S(E389:E448)*SQRT($D$7),"")</f>
        <v/>
      </c>
      <c r="U448" s="41">
        <f>IFERROR(MIN(E448-$D$6,0),"")</f>
        <v/>
      </c>
      <c r="V448" s="41">
        <f>IFERROR(E448-F448,"")</f>
        <v/>
      </c>
      <c r="W448" s="39">
        <f>B448</f>
        <v/>
      </c>
      <c r="X448" s="21" t="n"/>
    </row>
    <row r="449">
      <c r="A449" s="38" t="n">
        <v>45589</v>
      </c>
      <c r="B449" s="39" t="n">
        <v>256.14</v>
      </c>
      <c r="C449" s="39" t="n">
        <v>579.24</v>
      </c>
      <c r="D449" s="39" t="n">
        <v>47.28</v>
      </c>
      <c r="E449" s="41">
        <f>IFERROR(B449/B448-1,"")</f>
        <v/>
      </c>
      <c r="F449" s="41">
        <f>IFERROR(C449/C448-1,"")</f>
        <v/>
      </c>
      <c r="G449" s="41">
        <f>IFERROR(D449/D448-1,"")</f>
        <v/>
      </c>
      <c r="H449" s="41">
        <f>IFERROR((1+E449)*(1+H448)-1,"")</f>
        <v/>
      </c>
      <c r="I449" s="41">
        <f>IFERROR((1+F449)*(1+I448)-1,"")</f>
        <v/>
      </c>
      <c r="J449" s="41">
        <f>IFERROR((1+G449)*(1+J448)-1,"")</f>
        <v/>
      </c>
      <c r="K449" s="42">
        <f>IFERROR(B449/$B$36*100,"")</f>
        <v/>
      </c>
      <c r="L449" s="42">
        <f>IFERROR(C449/$C$36*100,"")</f>
        <v/>
      </c>
      <c r="M449" s="42">
        <f>IFERROR(D449/$D$36*100,"")</f>
        <v/>
      </c>
      <c r="N449" s="41">
        <f>IFERROR((1+H449)/(1+I449)-1,"")</f>
        <v/>
      </c>
      <c r="O449" s="41">
        <f>IFERROR((1+H449)/(1+J449)-1,"")</f>
        <v/>
      </c>
      <c r="P449" s="39">
        <f>IFERROR(B449*0.0099502487562189+P448*(1-0.0099502487562189),"")</f>
        <v/>
      </c>
      <c r="Q449" s="42">
        <f>Q448*(1+E449)</f>
        <v/>
      </c>
      <c r="R449" s="42">
        <f>MAX(R448,Q449)</f>
        <v/>
      </c>
      <c r="S449" s="41">
        <f>IFERROR(Q449/R449-1,"")</f>
        <v/>
      </c>
      <c r="T449" s="41">
        <f>IFERROR(_xlfn.STDEV.S(E390:E449)*SQRT($D$7),"")</f>
        <v/>
      </c>
      <c r="U449" s="41">
        <f>IFERROR(MIN(E449-$D$6,0),"")</f>
        <v/>
      </c>
      <c r="V449" s="41">
        <f>IFERROR(E449-F449,"")</f>
        <v/>
      </c>
      <c r="W449" s="39">
        <f>B449</f>
        <v/>
      </c>
      <c r="X449" s="21" t="n"/>
    </row>
    <row r="450">
      <c r="A450" s="38" t="n">
        <v>45590</v>
      </c>
      <c r="B450" s="39" t="n">
        <v>256.54</v>
      </c>
      <c r="C450" s="39" t="n">
        <v>579.04</v>
      </c>
      <c r="D450" s="39" t="n">
        <v>46.98</v>
      </c>
      <c r="E450" s="41">
        <f>IFERROR(B450/B449-1,"")</f>
        <v/>
      </c>
      <c r="F450" s="41">
        <f>IFERROR(C450/C449-1,"")</f>
        <v/>
      </c>
      <c r="G450" s="41">
        <f>IFERROR(D450/D449-1,"")</f>
        <v/>
      </c>
      <c r="H450" s="41">
        <f>IFERROR((1+E450)*(1+H449)-1,"")</f>
        <v/>
      </c>
      <c r="I450" s="41">
        <f>IFERROR((1+F450)*(1+I449)-1,"")</f>
        <v/>
      </c>
      <c r="J450" s="41">
        <f>IFERROR((1+G450)*(1+J449)-1,"")</f>
        <v/>
      </c>
      <c r="K450" s="42">
        <f>IFERROR(B450/$B$36*100,"")</f>
        <v/>
      </c>
      <c r="L450" s="42">
        <f>IFERROR(C450/$C$36*100,"")</f>
        <v/>
      </c>
      <c r="M450" s="42">
        <f>IFERROR(D450/$D$36*100,"")</f>
        <v/>
      </c>
      <c r="N450" s="41">
        <f>IFERROR((1+H450)/(1+I450)-1,"")</f>
        <v/>
      </c>
      <c r="O450" s="41">
        <f>IFERROR((1+H450)/(1+J450)-1,"")</f>
        <v/>
      </c>
      <c r="P450" s="39">
        <f>IFERROR(B450*0.0099502487562189+P449*(1-0.0099502487562189),"")</f>
        <v/>
      </c>
      <c r="Q450" s="42">
        <f>Q449*(1+E450)</f>
        <v/>
      </c>
      <c r="R450" s="42">
        <f>MAX(R449,Q450)</f>
        <v/>
      </c>
      <c r="S450" s="41">
        <f>IFERROR(Q450/R450-1,"")</f>
        <v/>
      </c>
      <c r="T450" s="41">
        <f>IFERROR(_xlfn.STDEV.S(E391:E450)*SQRT($D$7),"")</f>
        <v/>
      </c>
      <c r="U450" s="41">
        <f>IFERROR(MIN(E450-$D$6,0),"")</f>
        <v/>
      </c>
      <c r="V450" s="41">
        <f>IFERROR(E450-F450,"")</f>
        <v/>
      </c>
      <c r="W450" s="39">
        <f>B450</f>
        <v/>
      </c>
      <c r="X450" s="21" t="n"/>
    </row>
    <row r="451">
      <c r="A451" s="38" t="n">
        <v>45593</v>
      </c>
      <c r="B451" s="39" t="n">
        <v>258.5</v>
      </c>
      <c r="C451" s="39" t="n">
        <v>580.83</v>
      </c>
      <c r="D451" s="39" t="n">
        <v>47.37</v>
      </c>
      <c r="E451" s="41">
        <f>IFERROR(B451/B450-1,"")</f>
        <v/>
      </c>
      <c r="F451" s="41">
        <f>IFERROR(C451/C450-1,"")</f>
        <v/>
      </c>
      <c r="G451" s="41">
        <f>IFERROR(D451/D450-1,"")</f>
        <v/>
      </c>
      <c r="H451" s="41">
        <f>IFERROR((1+E451)*(1+H450)-1,"")</f>
        <v/>
      </c>
      <c r="I451" s="41">
        <f>IFERROR((1+F451)*(1+I450)-1,"")</f>
        <v/>
      </c>
      <c r="J451" s="41">
        <f>IFERROR((1+G451)*(1+J450)-1,"")</f>
        <v/>
      </c>
      <c r="K451" s="42">
        <f>IFERROR(B451/$B$36*100,"")</f>
        <v/>
      </c>
      <c r="L451" s="42">
        <f>IFERROR(C451/$C$36*100,"")</f>
        <v/>
      </c>
      <c r="M451" s="42">
        <f>IFERROR(D451/$D$36*100,"")</f>
        <v/>
      </c>
      <c r="N451" s="41">
        <f>IFERROR((1+H451)/(1+I451)-1,"")</f>
        <v/>
      </c>
      <c r="O451" s="41">
        <f>IFERROR((1+H451)/(1+J451)-1,"")</f>
        <v/>
      </c>
      <c r="P451" s="39">
        <f>IFERROR(B451*0.0099502487562189+P450*(1-0.0099502487562189),"")</f>
        <v/>
      </c>
      <c r="Q451" s="42">
        <f>Q450*(1+E451)</f>
        <v/>
      </c>
      <c r="R451" s="42">
        <f>MAX(R450,Q451)</f>
        <v/>
      </c>
      <c r="S451" s="41">
        <f>IFERROR(Q451/R451-1,"")</f>
        <v/>
      </c>
      <c r="T451" s="41">
        <f>IFERROR(_xlfn.STDEV.S(E392:E451)*SQRT($D$7),"")</f>
        <v/>
      </c>
      <c r="U451" s="41">
        <f>IFERROR(MIN(E451-$D$6,0),"")</f>
        <v/>
      </c>
      <c r="V451" s="41">
        <f>IFERROR(E451-F451,"")</f>
        <v/>
      </c>
      <c r="W451" s="39">
        <f>B451</f>
        <v/>
      </c>
      <c r="X451" s="21" t="n"/>
    </row>
    <row r="452">
      <c r="A452" s="38" t="n">
        <v>45594</v>
      </c>
      <c r="B452" s="39" t="n">
        <v>259.55</v>
      </c>
      <c r="C452" s="39" t="n">
        <v>581.77</v>
      </c>
      <c r="D452" s="39" t="n">
        <v>47.065</v>
      </c>
      <c r="E452" s="41">
        <f>IFERROR(B452/B451-1,"")</f>
        <v/>
      </c>
      <c r="F452" s="41">
        <f>IFERROR(C452/C451-1,"")</f>
        <v/>
      </c>
      <c r="G452" s="41">
        <f>IFERROR(D452/D451-1,"")</f>
        <v/>
      </c>
      <c r="H452" s="41">
        <f>IFERROR((1+E452)*(1+H451)-1,"")</f>
        <v/>
      </c>
      <c r="I452" s="41">
        <f>IFERROR((1+F452)*(1+I451)-1,"")</f>
        <v/>
      </c>
      <c r="J452" s="41">
        <f>IFERROR((1+G452)*(1+J451)-1,"")</f>
        <v/>
      </c>
      <c r="K452" s="42">
        <f>IFERROR(B452/$B$36*100,"")</f>
        <v/>
      </c>
      <c r="L452" s="42">
        <f>IFERROR(C452/$C$36*100,"")</f>
        <v/>
      </c>
      <c r="M452" s="42">
        <f>IFERROR(D452/$D$36*100,"")</f>
        <v/>
      </c>
      <c r="N452" s="41">
        <f>IFERROR((1+H452)/(1+I452)-1,"")</f>
        <v/>
      </c>
      <c r="O452" s="41">
        <f>IFERROR((1+H452)/(1+J452)-1,"")</f>
        <v/>
      </c>
      <c r="P452" s="39">
        <f>IFERROR(B452*0.0099502487562189+P451*(1-0.0099502487562189),"")</f>
        <v/>
      </c>
      <c r="Q452" s="42">
        <f>Q451*(1+E452)</f>
        <v/>
      </c>
      <c r="R452" s="42">
        <f>MAX(R451,Q452)</f>
        <v/>
      </c>
      <c r="S452" s="41">
        <f>IFERROR(Q452/R452-1,"")</f>
        <v/>
      </c>
      <c r="T452" s="41">
        <f>IFERROR(_xlfn.STDEV.S(E393:E452)*SQRT($D$7),"")</f>
        <v/>
      </c>
      <c r="U452" s="41">
        <f>IFERROR(MIN(E452-$D$6,0),"")</f>
        <v/>
      </c>
      <c r="V452" s="41">
        <f>IFERROR(E452-F452,"")</f>
        <v/>
      </c>
      <c r="W452" s="39">
        <f>B452</f>
        <v/>
      </c>
      <c r="X452" s="21" t="n"/>
    </row>
    <row r="453">
      <c r="A453" s="38" t="n">
        <v>45595</v>
      </c>
      <c r="B453" s="39" t="n">
        <v>276.23</v>
      </c>
      <c r="C453" s="39" t="n">
        <v>580.01</v>
      </c>
      <c r="D453" s="39" t="n">
        <v>47.32</v>
      </c>
      <c r="E453" s="41">
        <f>IFERROR(B453/B452-1,"")</f>
        <v/>
      </c>
      <c r="F453" s="41">
        <f>IFERROR(C453/C452-1,"")</f>
        <v/>
      </c>
      <c r="G453" s="41">
        <f>IFERROR(D453/D452-1,"")</f>
        <v/>
      </c>
      <c r="H453" s="41">
        <f>IFERROR((1+E453)*(1+H452)-1,"")</f>
        <v/>
      </c>
      <c r="I453" s="41">
        <f>IFERROR((1+F453)*(1+I452)-1,"")</f>
        <v/>
      </c>
      <c r="J453" s="41">
        <f>IFERROR((1+G453)*(1+J452)-1,"")</f>
        <v/>
      </c>
      <c r="K453" s="42">
        <f>IFERROR(B453/$B$36*100,"")</f>
        <v/>
      </c>
      <c r="L453" s="42">
        <f>IFERROR(C453/$C$36*100,"")</f>
        <v/>
      </c>
      <c r="M453" s="42">
        <f>IFERROR(D453/$D$36*100,"")</f>
        <v/>
      </c>
      <c r="N453" s="41">
        <f>IFERROR((1+H453)/(1+I453)-1,"")</f>
        <v/>
      </c>
      <c r="O453" s="41">
        <f>IFERROR((1+H453)/(1+J453)-1,"")</f>
        <v/>
      </c>
      <c r="P453" s="39">
        <f>IFERROR(B453*0.0099502487562189+P452*(1-0.0099502487562189),"")</f>
        <v/>
      </c>
      <c r="Q453" s="42">
        <f>Q452*(1+E453)</f>
        <v/>
      </c>
      <c r="R453" s="42">
        <f>MAX(R452,Q453)</f>
        <v/>
      </c>
      <c r="S453" s="41">
        <f>IFERROR(Q453/R453-1,"")</f>
        <v/>
      </c>
      <c r="T453" s="41">
        <f>IFERROR(_xlfn.STDEV.S(E394:E453)*SQRT($D$7),"")</f>
        <v/>
      </c>
      <c r="U453" s="41">
        <f>IFERROR(MIN(E453-$D$6,0),"")</f>
        <v/>
      </c>
      <c r="V453" s="41">
        <f>IFERROR(E453-F453,"")</f>
        <v/>
      </c>
      <c r="W453" s="39">
        <f>B453</f>
        <v/>
      </c>
      <c r="X453" s="21" t="n"/>
    </row>
    <row r="454">
      <c r="A454" s="38" t="n">
        <v>45596</v>
      </c>
      <c r="B454" s="39" t="n">
        <v>273.93</v>
      </c>
      <c r="C454" s="39" t="n">
        <v>568.64</v>
      </c>
      <c r="D454" s="39" t="n">
        <v>46.695</v>
      </c>
      <c r="E454" s="41">
        <f>IFERROR(B454/B453-1,"")</f>
        <v/>
      </c>
      <c r="F454" s="41">
        <f>IFERROR(C454/C453-1,"")</f>
        <v/>
      </c>
      <c r="G454" s="41">
        <f>IFERROR(D454/D453-1,"")</f>
        <v/>
      </c>
      <c r="H454" s="41">
        <f>IFERROR((1+E454)*(1+H453)-1,"")</f>
        <v/>
      </c>
      <c r="I454" s="41">
        <f>IFERROR((1+F454)*(1+I453)-1,"")</f>
        <v/>
      </c>
      <c r="J454" s="41">
        <f>IFERROR((1+G454)*(1+J453)-1,"")</f>
        <v/>
      </c>
      <c r="K454" s="42">
        <f>IFERROR(B454/$B$36*100,"")</f>
        <v/>
      </c>
      <c r="L454" s="42">
        <f>IFERROR(C454/$C$36*100,"")</f>
        <v/>
      </c>
      <c r="M454" s="42">
        <f>IFERROR(D454/$D$36*100,"")</f>
        <v/>
      </c>
      <c r="N454" s="41">
        <f>IFERROR((1+H454)/(1+I454)-1,"")</f>
        <v/>
      </c>
      <c r="O454" s="41">
        <f>IFERROR((1+H454)/(1+J454)-1,"")</f>
        <v/>
      </c>
      <c r="P454" s="39">
        <f>IFERROR(B454*0.0099502487562189+P453*(1-0.0099502487562189),"")</f>
        <v/>
      </c>
      <c r="Q454" s="42">
        <f>Q453*(1+E454)</f>
        <v/>
      </c>
      <c r="R454" s="42">
        <f>MAX(R453,Q454)</f>
        <v/>
      </c>
      <c r="S454" s="41">
        <f>IFERROR(Q454/R454-1,"")</f>
        <v/>
      </c>
      <c r="T454" s="41">
        <f>IFERROR(_xlfn.STDEV.S(E395:E454)*SQRT($D$7),"")</f>
        <v/>
      </c>
      <c r="U454" s="41">
        <f>IFERROR(MIN(E454-$D$6,0),"")</f>
        <v/>
      </c>
      <c r="V454" s="41">
        <f>IFERROR(E454-F454,"")</f>
        <v/>
      </c>
      <c r="W454" s="39">
        <f>B454</f>
        <v/>
      </c>
      <c r="X454" s="21" t="n"/>
    </row>
    <row r="455">
      <c r="A455" s="38" t="n">
        <v>45597</v>
      </c>
      <c r="B455" s="39" t="n">
        <v>270.39</v>
      </c>
      <c r="C455" s="39" t="n">
        <v>571.04</v>
      </c>
      <c r="D455" s="39" t="n">
        <v>46.565</v>
      </c>
      <c r="E455" s="41">
        <f>IFERROR(B455/B454-1,"")</f>
        <v/>
      </c>
      <c r="F455" s="41">
        <f>IFERROR(C455/C454-1,"")</f>
        <v/>
      </c>
      <c r="G455" s="41">
        <f>IFERROR(D455/D454-1,"")</f>
        <v/>
      </c>
      <c r="H455" s="41">
        <f>IFERROR((1+E455)*(1+H454)-1,"")</f>
        <v/>
      </c>
      <c r="I455" s="41">
        <f>IFERROR((1+F455)*(1+I454)-1,"")</f>
        <v/>
      </c>
      <c r="J455" s="41">
        <f>IFERROR((1+G455)*(1+J454)-1,"")</f>
        <v/>
      </c>
      <c r="K455" s="42">
        <f>IFERROR(B455/$B$36*100,"")</f>
        <v/>
      </c>
      <c r="L455" s="42">
        <f>IFERROR(C455/$C$36*100,"")</f>
        <v/>
      </c>
      <c r="M455" s="42">
        <f>IFERROR(D455/$D$36*100,"")</f>
        <v/>
      </c>
      <c r="N455" s="41">
        <f>IFERROR((1+H455)/(1+I455)-1,"")</f>
        <v/>
      </c>
      <c r="O455" s="41">
        <f>IFERROR((1+H455)/(1+J455)-1,"")</f>
        <v/>
      </c>
      <c r="P455" s="39">
        <f>IFERROR(B455*0.0099502487562189+P454*(1-0.0099502487562189),"")</f>
        <v/>
      </c>
      <c r="Q455" s="42">
        <f>Q454*(1+E455)</f>
        <v/>
      </c>
      <c r="R455" s="42">
        <f>MAX(R454,Q455)</f>
        <v/>
      </c>
      <c r="S455" s="41">
        <f>IFERROR(Q455/R455-1,"")</f>
        <v/>
      </c>
      <c r="T455" s="41">
        <f>IFERROR(_xlfn.STDEV.S(E396:E455)*SQRT($D$7),"")</f>
        <v/>
      </c>
      <c r="U455" s="41">
        <f>IFERROR(MIN(E455-$D$6,0),"")</f>
        <v/>
      </c>
      <c r="V455" s="41">
        <f>IFERROR(E455-F455,"")</f>
        <v/>
      </c>
      <c r="W455" s="39">
        <f>B455</f>
        <v/>
      </c>
      <c r="X455" s="21" t="n"/>
    </row>
    <row r="456">
      <c r="A456" s="38" t="n">
        <v>45600</v>
      </c>
      <c r="B456" s="39" t="n">
        <v>268.86</v>
      </c>
      <c r="C456" s="39" t="n">
        <v>569.8099999999999</v>
      </c>
      <c r="D456" s="39" t="n">
        <v>46.77</v>
      </c>
      <c r="E456" s="41">
        <f>IFERROR(B456/B455-1,"")</f>
        <v/>
      </c>
      <c r="F456" s="41">
        <f>IFERROR(C456/C455-1,"")</f>
        <v/>
      </c>
      <c r="G456" s="41">
        <f>IFERROR(D456/D455-1,"")</f>
        <v/>
      </c>
      <c r="H456" s="41">
        <f>IFERROR((1+E456)*(1+H455)-1,"")</f>
        <v/>
      </c>
      <c r="I456" s="41">
        <f>IFERROR((1+F456)*(1+I455)-1,"")</f>
        <v/>
      </c>
      <c r="J456" s="41">
        <f>IFERROR((1+G456)*(1+J455)-1,"")</f>
        <v/>
      </c>
      <c r="K456" s="42">
        <f>IFERROR(B456/$B$36*100,"")</f>
        <v/>
      </c>
      <c r="L456" s="42">
        <f>IFERROR(C456/$C$36*100,"")</f>
        <v/>
      </c>
      <c r="M456" s="42">
        <f>IFERROR(D456/$D$36*100,"")</f>
        <v/>
      </c>
      <c r="N456" s="41">
        <f>IFERROR((1+H456)/(1+I456)-1,"")</f>
        <v/>
      </c>
      <c r="O456" s="41">
        <f>IFERROR((1+H456)/(1+J456)-1,"")</f>
        <v/>
      </c>
      <c r="P456" s="39">
        <f>IFERROR(B456*0.0099502487562189+P455*(1-0.0099502487562189),"")</f>
        <v/>
      </c>
      <c r="Q456" s="42">
        <f>Q455*(1+E456)</f>
        <v/>
      </c>
      <c r="R456" s="42">
        <f>MAX(R455,Q456)</f>
        <v/>
      </c>
      <c r="S456" s="41">
        <f>IFERROR(Q456/R456-1,"")</f>
        <v/>
      </c>
      <c r="T456" s="41">
        <f>IFERROR(_xlfn.STDEV.S(E397:E456)*SQRT($D$7),"")</f>
        <v/>
      </c>
      <c r="U456" s="41">
        <f>IFERROR(MIN(E456-$D$6,0),"")</f>
        <v/>
      </c>
      <c r="V456" s="41">
        <f>IFERROR(E456-F456,"")</f>
        <v/>
      </c>
      <c r="W456" s="39">
        <f>B456</f>
        <v/>
      </c>
      <c r="X456" s="21" t="n"/>
    </row>
    <row r="457">
      <c r="A457" s="38" t="n">
        <v>45601</v>
      </c>
      <c r="B457" s="39" t="n">
        <v>272.67</v>
      </c>
      <c r="C457" s="39" t="n">
        <v>576.7</v>
      </c>
      <c r="D457" s="39" t="n">
        <v>46.84</v>
      </c>
      <c r="E457" s="41">
        <f>IFERROR(B457/B456-1,"")</f>
        <v/>
      </c>
      <c r="F457" s="41">
        <f>IFERROR(C457/C456-1,"")</f>
        <v/>
      </c>
      <c r="G457" s="41">
        <f>IFERROR(D457/D456-1,"")</f>
        <v/>
      </c>
      <c r="H457" s="41">
        <f>IFERROR((1+E457)*(1+H456)-1,"")</f>
        <v/>
      </c>
      <c r="I457" s="41">
        <f>IFERROR((1+F457)*(1+I456)-1,"")</f>
        <v/>
      </c>
      <c r="J457" s="41">
        <f>IFERROR((1+G457)*(1+J456)-1,"")</f>
        <v/>
      </c>
      <c r="K457" s="42">
        <f>IFERROR(B457/$B$36*100,"")</f>
        <v/>
      </c>
      <c r="L457" s="42">
        <f>IFERROR(C457/$C$36*100,"")</f>
        <v/>
      </c>
      <c r="M457" s="42">
        <f>IFERROR(D457/$D$36*100,"")</f>
        <v/>
      </c>
      <c r="N457" s="41">
        <f>IFERROR((1+H457)/(1+I457)-1,"")</f>
        <v/>
      </c>
      <c r="O457" s="41">
        <f>IFERROR((1+H457)/(1+J457)-1,"")</f>
        <v/>
      </c>
      <c r="P457" s="39">
        <f>IFERROR(B457*0.0099502487562189+P456*(1-0.0099502487562189),"")</f>
        <v/>
      </c>
      <c r="Q457" s="42">
        <f>Q456*(1+E457)</f>
        <v/>
      </c>
      <c r="R457" s="42">
        <f>MAX(R456,Q457)</f>
        <v/>
      </c>
      <c r="S457" s="41">
        <f>IFERROR(Q457/R457-1,"")</f>
        <v/>
      </c>
      <c r="T457" s="41">
        <f>IFERROR(_xlfn.STDEV.S(E398:E457)*SQRT($D$7),"")</f>
        <v/>
      </c>
      <c r="U457" s="41">
        <f>IFERROR(MIN(E457-$D$6,0),"")</f>
        <v/>
      </c>
      <c r="V457" s="41">
        <f>IFERROR(E457-F457,"")</f>
        <v/>
      </c>
      <c r="W457" s="39">
        <f>B457</f>
        <v/>
      </c>
      <c r="X457" s="21" t="n"/>
    </row>
    <row r="458">
      <c r="A458" s="38" t="n">
        <v>45602</v>
      </c>
      <c r="B458" s="39" t="n">
        <v>290.45</v>
      </c>
      <c r="C458" s="39" t="n">
        <v>591.04</v>
      </c>
      <c r="D458" s="39" t="n">
        <v>47.485</v>
      </c>
      <c r="E458" s="41">
        <f>IFERROR(B458/B457-1,"")</f>
        <v/>
      </c>
      <c r="F458" s="41">
        <f>IFERROR(C458/C457-1,"")</f>
        <v/>
      </c>
      <c r="G458" s="41">
        <f>IFERROR(D458/D457-1,"")</f>
        <v/>
      </c>
      <c r="H458" s="41">
        <f>IFERROR((1+E458)*(1+H457)-1,"")</f>
        <v/>
      </c>
      <c r="I458" s="41">
        <f>IFERROR((1+F458)*(1+I457)-1,"")</f>
        <v/>
      </c>
      <c r="J458" s="41">
        <f>IFERROR((1+G458)*(1+J457)-1,"")</f>
        <v/>
      </c>
      <c r="K458" s="42">
        <f>IFERROR(B458/$B$36*100,"")</f>
        <v/>
      </c>
      <c r="L458" s="42">
        <f>IFERROR(C458/$C$36*100,"")</f>
        <v/>
      </c>
      <c r="M458" s="42">
        <f>IFERROR(D458/$D$36*100,"")</f>
        <v/>
      </c>
      <c r="N458" s="41">
        <f>IFERROR((1+H458)/(1+I458)-1,"")</f>
        <v/>
      </c>
      <c r="O458" s="41">
        <f>IFERROR((1+H458)/(1+J458)-1,"")</f>
        <v/>
      </c>
      <c r="P458" s="39">
        <f>IFERROR(B458*0.0099502487562189+P457*(1-0.0099502487562189),"")</f>
        <v/>
      </c>
      <c r="Q458" s="42">
        <f>Q457*(1+E458)</f>
        <v/>
      </c>
      <c r="R458" s="42">
        <f>MAX(R457,Q458)</f>
        <v/>
      </c>
      <c r="S458" s="41">
        <f>IFERROR(Q458/R458-1,"")</f>
        <v/>
      </c>
      <c r="T458" s="41">
        <f>IFERROR(_xlfn.STDEV.S(E399:E458)*SQRT($D$7),"")</f>
        <v/>
      </c>
      <c r="U458" s="41">
        <f>IFERROR(MIN(E458-$D$6,0),"")</f>
        <v/>
      </c>
      <c r="V458" s="41">
        <f>IFERROR(E458-F458,"")</f>
        <v/>
      </c>
      <c r="W458" s="39">
        <f>B458</f>
        <v/>
      </c>
      <c r="X458" s="21" t="n"/>
    </row>
    <row r="459">
      <c r="A459" s="38" t="n">
        <v>45603</v>
      </c>
      <c r="B459" s="39" t="n">
        <v>290.59</v>
      </c>
      <c r="C459" s="39" t="n">
        <v>595.61</v>
      </c>
      <c r="D459" s="39" t="n">
        <v>47.67</v>
      </c>
      <c r="E459" s="41">
        <f>IFERROR(B459/B458-1,"")</f>
        <v/>
      </c>
      <c r="F459" s="41">
        <f>IFERROR(C459/C458-1,"")</f>
        <v/>
      </c>
      <c r="G459" s="41">
        <f>IFERROR(D459/D458-1,"")</f>
        <v/>
      </c>
      <c r="H459" s="41">
        <f>IFERROR((1+E459)*(1+H458)-1,"")</f>
        <v/>
      </c>
      <c r="I459" s="41">
        <f>IFERROR((1+F459)*(1+I458)-1,"")</f>
        <v/>
      </c>
      <c r="J459" s="41">
        <f>IFERROR((1+G459)*(1+J458)-1,"")</f>
        <v/>
      </c>
      <c r="K459" s="42">
        <f>IFERROR(B459/$B$36*100,"")</f>
        <v/>
      </c>
      <c r="L459" s="42">
        <f>IFERROR(C459/$C$36*100,"")</f>
        <v/>
      </c>
      <c r="M459" s="42">
        <f>IFERROR(D459/$D$36*100,"")</f>
        <v/>
      </c>
      <c r="N459" s="41">
        <f>IFERROR((1+H459)/(1+I459)-1,"")</f>
        <v/>
      </c>
      <c r="O459" s="41">
        <f>IFERROR((1+H459)/(1+J459)-1,"")</f>
        <v/>
      </c>
      <c r="P459" s="39">
        <f>IFERROR(B459*0.0099502487562189+P458*(1-0.0099502487562189),"")</f>
        <v/>
      </c>
      <c r="Q459" s="42">
        <f>Q458*(1+E459)</f>
        <v/>
      </c>
      <c r="R459" s="42">
        <f>MAX(R458,Q459)</f>
        <v/>
      </c>
      <c r="S459" s="41">
        <f>IFERROR(Q459/R459-1,"")</f>
        <v/>
      </c>
      <c r="T459" s="41">
        <f>IFERROR(_xlfn.STDEV.S(E400:E459)*SQRT($D$7),"")</f>
        <v/>
      </c>
      <c r="U459" s="41">
        <f>IFERROR(MIN(E459-$D$6,0),"")</f>
        <v/>
      </c>
      <c r="V459" s="41">
        <f>IFERROR(E459-F459,"")</f>
        <v/>
      </c>
      <c r="W459" s="39">
        <f>B459</f>
        <v/>
      </c>
      <c r="X459" s="21" t="n"/>
    </row>
    <row r="460">
      <c r="A460" s="38" t="n">
        <v>45604</v>
      </c>
      <c r="B460" s="39" t="n">
        <v>292.31</v>
      </c>
      <c r="C460" s="39" t="n">
        <v>598.1900000000001</v>
      </c>
      <c r="D460" s="39" t="n">
        <v>47.235</v>
      </c>
      <c r="E460" s="41">
        <f>IFERROR(B460/B459-1,"")</f>
        <v/>
      </c>
      <c r="F460" s="41">
        <f>IFERROR(C460/C459-1,"")</f>
        <v/>
      </c>
      <c r="G460" s="41">
        <f>IFERROR(D460/D459-1,"")</f>
        <v/>
      </c>
      <c r="H460" s="41">
        <f>IFERROR((1+E460)*(1+H459)-1,"")</f>
        <v/>
      </c>
      <c r="I460" s="41">
        <f>IFERROR((1+F460)*(1+I459)-1,"")</f>
        <v/>
      </c>
      <c r="J460" s="41">
        <f>IFERROR((1+G460)*(1+J459)-1,"")</f>
        <v/>
      </c>
      <c r="K460" s="42">
        <f>IFERROR(B460/$B$36*100,"")</f>
        <v/>
      </c>
      <c r="L460" s="42">
        <f>IFERROR(C460/$C$36*100,"")</f>
        <v/>
      </c>
      <c r="M460" s="42">
        <f>IFERROR(D460/$D$36*100,"")</f>
        <v/>
      </c>
      <c r="N460" s="41">
        <f>IFERROR((1+H460)/(1+I460)-1,"")</f>
        <v/>
      </c>
      <c r="O460" s="41">
        <f>IFERROR((1+H460)/(1+J460)-1,"")</f>
        <v/>
      </c>
      <c r="P460" s="39">
        <f>IFERROR(B460*0.0099502487562189+P459*(1-0.0099502487562189),"")</f>
        <v/>
      </c>
      <c r="Q460" s="42">
        <f>Q459*(1+E460)</f>
        <v/>
      </c>
      <c r="R460" s="42">
        <f>MAX(R459,Q460)</f>
        <v/>
      </c>
      <c r="S460" s="41">
        <f>IFERROR(Q460/R460-1,"")</f>
        <v/>
      </c>
      <c r="T460" s="41">
        <f>IFERROR(_xlfn.STDEV.S(E401:E460)*SQRT($D$7),"")</f>
        <v/>
      </c>
      <c r="U460" s="41">
        <f>IFERROR(MIN(E460-$D$6,0),"")</f>
        <v/>
      </c>
      <c r="V460" s="41">
        <f>IFERROR(E460-F460,"")</f>
        <v/>
      </c>
      <c r="W460" s="39">
        <f>B460</f>
        <v/>
      </c>
      <c r="X460" s="21" t="n"/>
    </row>
    <row r="461">
      <c r="A461" s="38" t="n">
        <v>45607</v>
      </c>
      <c r="B461" s="39" t="n">
        <v>292.04</v>
      </c>
      <c r="C461" s="39" t="n">
        <v>598.76</v>
      </c>
      <c r="D461" s="39" t="n">
        <v>47.03</v>
      </c>
      <c r="E461" s="41">
        <f>IFERROR(B461/B460-1,"")</f>
        <v/>
      </c>
      <c r="F461" s="41">
        <f>IFERROR(C461/C460-1,"")</f>
        <v/>
      </c>
      <c r="G461" s="41">
        <f>IFERROR(D461/D460-1,"")</f>
        <v/>
      </c>
      <c r="H461" s="41">
        <f>IFERROR((1+E461)*(1+H460)-1,"")</f>
        <v/>
      </c>
      <c r="I461" s="41">
        <f>IFERROR((1+F461)*(1+I460)-1,"")</f>
        <v/>
      </c>
      <c r="J461" s="41">
        <f>IFERROR((1+G461)*(1+J460)-1,"")</f>
        <v/>
      </c>
      <c r="K461" s="42">
        <f>IFERROR(B461/$B$36*100,"")</f>
        <v/>
      </c>
      <c r="L461" s="42">
        <f>IFERROR(C461/$C$36*100,"")</f>
        <v/>
      </c>
      <c r="M461" s="42">
        <f>IFERROR(D461/$D$36*100,"")</f>
        <v/>
      </c>
      <c r="N461" s="41">
        <f>IFERROR((1+H461)/(1+I461)-1,"")</f>
        <v/>
      </c>
      <c r="O461" s="41">
        <f>IFERROR((1+H461)/(1+J461)-1,"")</f>
        <v/>
      </c>
      <c r="P461" s="39">
        <f>IFERROR(B461*0.0099502487562189+P460*(1-0.0099502487562189),"")</f>
        <v/>
      </c>
      <c r="Q461" s="42">
        <f>Q460*(1+E461)</f>
        <v/>
      </c>
      <c r="R461" s="42">
        <f>MAX(R460,Q461)</f>
        <v/>
      </c>
      <c r="S461" s="41">
        <f>IFERROR(Q461/R461-1,"")</f>
        <v/>
      </c>
      <c r="T461" s="41">
        <f>IFERROR(_xlfn.STDEV.S(E402:E461)*SQRT($D$7),"")</f>
        <v/>
      </c>
      <c r="U461" s="41">
        <f>IFERROR(MIN(E461-$D$6,0),"")</f>
        <v/>
      </c>
      <c r="V461" s="41">
        <f>IFERROR(E461-F461,"")</f>
        <v/>
      </c>
      <c r="W461" s="39">
        <f>B461</f>
        <v/>
      </c>
      <c r="X461" s="21" t="n"/>
    </row>
    <row r="462">
      <c r="A462" s="38" t="n">
        <v>45608</v>
      </c>
      <c r="B462" s="39" t="n">
        <v>288.38</v>
      </c>
      <c r="C462" s="39" t="n">
        <v>596.9</v>
      </c>
      <c r="D462" s="39" t="n">
        <v>46.23</v>
      </c>
      <c r="E462" s="41">
        <f>IFERROR(B462/B461-1,"")</f>
        <v/>
      </c>
      <c r="F462" s="41">
        <f>IFERROR(C462/C461-1,"")</f>
        <v/>
      </c>
      <c r="G462" s="41">
        <f>IFERROR(D462/D461-1,"")</f>
        <v/>
      </c>
      <c r="H462" s="41">
        <f>IFERROR((1+E462)*(1+H461)-1,"")</f>
        <v/>
      </c>
      <c r="I462" s="41">
        <f>IFERROR((1+F462)*(1+I461)-1,"")</f>
        <v/>
      </c>
      <c r="J462" s="41">
        <f>IFERROR((1+G462)*(1+J461)-1,"")</f>
        <v/>
      </c>
      <c r="K462" s="42">
        <f>IFERROR(B462/$B$36*100,"")</f>
        <v/>
      </c>
      <c r="L462" s="42">
        <f>IFERROR(C462/$C$36*100,"")</f>
        <v/>
      </c>
      <c r="M462" s="42">
        <f>IFERROR(D462/$D$36*100,"")</f>
        <v/>
      </c>
      <c r="N462" s="41">
        <f>IFERROR((1+H462)/(1+I462)-1,"")</f>
        <v/>
      </c>
      <c r="O462" s="41">
        <f>IFERROR((1+H462)/(1+J462)-1,"")</f>
        <v/>
      </c>
      <c r="P462" s="39">
        <f>IFERROR(B462*0.0099502487562189+P461*(1-0.0099502487562189),"")</f>
        <v/>
      </c>
      <c r="Q462" s="42">
        <f>Q461*(1+E462)</f>
        <v/>
      </c>
      <c r="R462" s="42">
        <f>MAX(R461,Q462)</f>
        <v/>
      </c>
      <c r="S462" s="41">
        <f>IFERROR(Q462/R462-1,"")</f>
        <v/>
      </c>
      <c r="T462" s="41">
        <f>IFERROR(_xlfn.STDEV.S(E403:E462)*SQRT($D$7),"")</f>
        <v/>
      </c>
      <c r="U462" s="41">
        <f>IFERROR(MIN(E462-$D$6,0),"")</f>
        <v/>
      </c>
      <c r="V462" s="41">
        <f>IFERROR(E462-F462,"")</f>
        <v/>
      </c>
      <c r="W462" s="39">
        <f>B462</f>
        <v/>
      </c>
      <c r="X462" s="21" t="n"/>
    </row>
    <row r="463">
      <c r="A463" s="38" t="n">
        <v>45609</v>
      </c>
      <c r="B463" s="39" t="n">
        <v>287.71</v>
      </c>
      <c r="C463" s="39" t="n">
        <v>597.1900000000001</v>
      </c>
      <c r="D463" s="39" t="n">
        <v>46.34</v>
      </c>
      <c r="E463" s="41">
        <f>IFERROR(B463/B462-1,"")</f>
        <v/>
      </c>
      <c r="F463" s="41">
        <f>IFERROR(C463/C462-1,"")</f>
        <v/>
      </c>
      <c r="G463" s="41">
        <f>IFERROR(D463/D462-1,"")</f>
        <v/>
      </c>
      <c r="H463" s="41">
        <f>IFERROR((1+E463)*(1+H462)-1,"")</f>
        <v/>
      </c>
      <c r="I463" s="41">
        <f>IFERROR((1+F463)*(1+I462)-1,"")</f>
        <v/>
      </c>
      <c r="J463" s="41">
        <f>IFERROR((1+G463)*(1+J462)-1,"")</f>
        <v/>
      </c>
      <c r="K463" s="42">
        <f>IFERROR(B463/$B$36*100,"")</f>
        <v/>
      </c>
      <c r="L463" s="42">
        <f>IFERROR(C463/$C$36*100,"")</f>
        <v/>
      </c>
      <c r="M463" s="42">
        <f>IFERROR(D463/$D$36*100,"")</f>
        <v/>
      </c>
      <c r="N463" s="41">
        <f>IFERROR((1+H463)/(1+I463)-1,"")</f>
        <v/>
      </c>
      <c r="O463" s="41">
        <f>IFERROR((1+H463)/(1+J463)-1,"")</f>
        <v/>
      </c>
      <c r="P463" s="39">
        <f>IFERROR(B463*0.0099502487562189+P462*(1-0.0099502487562189),"")</f>
        <v/>
      </c>
      <c r="Q463" s="42">
        <f>Q462*(1+E463)</f>
        <v/>
      </c>
      <c r="R463" s="42">
        <f>MAX(R462,Q463)</f>
        <v/>
      </c>
      <c r="S463" s="41">
        <f>IFERROR(Q463/R463-1,"")</f>
        <v/>
      </c>
      <c r="T463" s="41">
        <f>IFERROR(_xlfn.STDEV.S(E404:E463)*SQRT($D$7),"")</f>
        <v/>
      </c>
      <c r="U463" s="41">
        <f>IFERROR(MIN(E463-$D$6,0),"")</f>
        <v/>
      </c>
      <c r="V463" s="41">
        <f>IFERROR(E463-F463,"")</f>
        <v/>
      </c>
      <c r="W463" s="39">
        <f>B463</f>
        <v/>
      </c>
      <c r="X463" s="21" t="n"/>
    </row>
    <row r="464">
      <c r="A464" s="38" t="n">
        <v>45610</v>
      </c>
      <c r="B464" s="39" t="n">
        <v>282.68</v>
      </c>
      <c r="C464" s="39" t="n">
        <v>593.35</v>
      </c>
      <c r="D464" s="39" t="n">
        <v>45.96</v>
      </c>
      <c r="E464" s="41">
        <f>IFERROR(B464/B463-1,"")</f>
        <v/>
      </c>
      <c r="F464" s="41">
        <f>IFERROR(C464/C463-1,"")</f>
        <v/>
      </c>
      <c r="G464" s="41">
        <f>IFERROR(D464/D463-1,"")</f>
        <v/>
      </c>
      <c r="H464" s="41">
        <f>IFERROR((1+E464)*(1+H463)-1,"")</f>
        <v/>
      </c>
      <c r="I464" s="41">
        <f>IFERROR((1+F464)*(1+I463)-1,"")</f>
        <v/>
      </c>
      <c r="J464" s="41">
        <f>IFERROR((1+G464)*(1+J463)-1,"")</f>
        <v/>
      </c>
      <c r="K464" s="42">
        <f>IFERROR(B464/$B$36*100,"")</f>
        <v/>
      </c>
      <c r="L464" s="42">
        <f>IFERROR(C464/$C$36*100,"")</f>
        <v/>
      </c>
      <c r="M464" s="42">
        <f>IFERROR(D464/$D$36*100,"")</f>
        <v/>
      </c>
      <c r="N464" s="41">
        <f>IFERROR((1+H464)/(1+I464)-1,"")</f>
        <v/>
      </c>
      <c r="O464" s="41">
        <f>IFERROR((1+H464)/(1+J464)-1,"")</f>
        <v/>
      </c>
      <c r="P464" s="39">
        <f>IFERROR(B464*0.0099502487562189+P463*(1-0.0099502487562189),"")</f>
        <v/>
      </c>
      <c r="Q464" s="42">
        <f>Q463*(1+E464)</f>
        <v/>
      </c>
      <c r="R464" s="42">
        <f>MAX(R463,Q464)</f>
        <v/>
      </c>
      <c r="S464" s="41">
        <f>IFERROR(Q464/R464-1,"")</f>
        <v/>
      </c>
      <c r="T464" s="41">
        <f>IFERROR(_xlfn.STDEV.S(E405:E464)*SQRT($D$7),"")</f>
        <v/>
      </c>
      <c r="U464" s="41">
        <f>IFERROR(MIN(E464-$D$6,0),"")</f>
        <v/>
      </c>
      <c r="V464" s="41">
        <f>IFERROR(E464-F464,"")</f>
        <v/>
      </c>
      <c r="W464" s="39">
        <f>B464</f>
        <v/>
      </c>
      <c r="X464" s="21" t="n"/>
    </row>
    <row r="465">
      <c r="A465" s="38" t="n">
        <v>45611</v>
      </c>
      <c r="B465" s="39" t="n">
        <v>279.28</v>
      </c>
      <c r="C465" s="39" t="n">
        <v>585.75</v>
      </c>
      <c r="D465" s="39" t="n">
        <v>45.64</v>
      </c>
      <c r="E465" s="41">
        <f>IFERROR(B465/B464-1,"")</f>
        <v/>
      </c>
      <c r="F465" s="41">
        <f>IFERROR(C465/C464-1,"")</f>
        <v/>
      </c>
      <c r="G465" s="41">
        <f>IFERROR(D465/D464-1,"")</f>
        <v/>
      </c>
      <c r="H465" s="41">
        <f>IFERROR((1+E465)*(1+H464)-1,"")</f>
        <v/>
      </c>
      <c r="I465" s="41">
        <f>IFERROR((1+F465)*(1+I464)-1,"")</f>
        <v/>
      </c>
      <c r="J465" s="41">
        <f>IFERROR((1+G465)*(1+J464)-1,"")</f>
        <v/>
      </c>
      <c r="K465" s="42">
        <f>IFERROR(B465/$B$36*100,"")</f>
        <v/>
      </c>
      <c r="L465" s="42">
        <f>IFERROR(C465/$C$36*100,"")</f>
        <v/>
      </c>
      <c r="M465" s="42">
        <f>IFERROR(D465/$D$36*100,"")</f>
        <v/>
      </c>
      <c r="N465" s="41">
        <f>IFERROR((1+H465)/(1+I465)-1,"")</f>
        <v/>
      </c>
      <c r="O465" s="41">
        <f>IFERROR((1+H465)/(1+J465)-1,"")</f>
        <v/>
      </c>
      <c r="P465" s="39">
        <f>IFERROR(B465*0.0099502487562189+P464*(1-0.0099502487562189),"")</f>
        <v/>
      </c>
      <c r="Q465" s="42">
        <f>Q464*(1+E465)</f>
        <v/>
      </c>
      <c r="R465" s="42">
        <f>MAX(R464,Q465)</f>
        <v/>
      </c>
      <c r="S465" s="41">
        <f>IFERROR(Q465/R465-1,"")</f>
        <v/>
      </c>
      <c r="T465" s="41">
        <f>IFERROR(_xlfn.STDEV.S(E406:E465)*SQRT($D$7),"")</f>
        <v/>
      </c>
      <c r="U465" s="41">
        <f>IFERROR(MIN(E465-$D$6,0),"")</f>
        <v/>
      </c>
      <c r="V465" s="41">
        <f>IFERROR(E465-F465,"")</f>
        <v/>
      </c>
      <c r="W465" s="39">
        <f>B465</f>
        <v/>
      </c>
      <c r="X465" s="21" t="n"/>
    </row>
    <row r="466">
      <c r="A466" s="38" t="n">
        <v>45614</v>
      </c>
      <c r="B466" s="39" t="n">
        <v>278.74</v>
      </c>
      <c r="C466" s="39" t="n">
        <v>588.15</v>
      </c>
      <c r="D466" s="39" t="n">
        <v>45.995</v>
      </c>
      <c r="E466" s="41">
        <f>IFERROR(B466/B465-1,"")</f>
        <v/>
      </c>
      <c r="F466" s="41">
        <f>IFERROR(C466/C465-1,"")</f>
        <v/>
      </c>
      <c r="G466" s="41">
        <f>IFERROR(D466/D465-1,"")</f>
        <v/>
      </c>
      <c r="H466" s="41">
        <f>IFERROR((1+E466)*(1+H465)-1,"")</f>
        <v/>
      </c>
      <c r="I466" s="41">
        <f>IFERROR((1+F466)*(1+I465)-1,"")</f>
        <v/>
      </c>
      <c r="J466" s="41">
        <f>IFERROR((1+G466)*(1+J465)-1,"")</f>
        <v/>
      </c>
      <c r="K466" s="42">
        <f>IFERROR(B466/$B$36*100,"")</f>
        <v/>
      </c>
      <c r="L466" s="42">
        <f>IFERROR(C466/$C$36*100,"")</f>
        <v/>
      </c>
      <c r="M466" s="42">
        <f>IFERROR(D466/$D$36*100,"")</f>
        <v/>
      </c>
      <c r="N466" s="41">
        <f>IFERROR((1+H466)/(1+I466)-1,"")</f>
        <v/>
      </c>
      <c r="O466" s="41">
        <f>IFERROR((1+H466)/(1+J466)-1,"")</f>
        <v/>
      </c>
      <c r="P466" s="39">
        <f>IFERROR(B466*0.0099502487562189+P465*(1-0.0099502487562189),"")</f>
        <v/>
      </c>
      <c r="Q466" s="42">
        <f>Q465*(1+E466)</f>
        <v/>
      </c>
      <c r="R466" s="42">
        <f>MAX(R465,Q466)</f>
        <v/>
      </c>
      <c r="S466" s="41">
        <f>IFERROR(Q466/R466-1,"")</f>
        <v/>
      </c>
      <c r="T466" s="41">
        <f>IFERROR(_xlfn.STDEV.S(E407:E466)*SQRT($D$7),"")</f>
        <v/>
      </c>
      <c r="U466" s="41">
        <f>IFERROR(MIN(E466-$D$6,0),"")</f>
        <v/>
      </c>
      <c r="V466" s="41">
        <f>IFERROR(E466-F466,"")</f>
        <v/>
      </c>
      <c r="W466" s="39">
        <f>B466</f>
        <v/>
      </c>
      <c r="X466" s="21" t="n"/>
    </row>
    <row r="467">
      <c r="A467" s="38" t="n">
        <v>45615</v>
      </c>
      <c r="B467" s="39" t="n">
        <v>278.01</v>
      </c>
      <c r="C467" s="39" t="n">
        <v>590.3</v>
      </c>
      <c r="D467" s="39" t="n">
        <v>45.845</v>
      </c>
      <c r="E467" s="41">
        <f>IFERROR(B467/B466-1,"")</f>
        <v/>
      </c>
      <c r="F467" s="41">
        <f>IFERROR(C467/C466-1,"")</f>
        <v/>
      </c>
      <c r="G467" s="41">
        <f>IFERROR(D467/D466-1,"")</f>
        <v/>
      </c>
      <c r="H467" s="41">
        <f>IFERROR((1+E467)*(1+H466)-1,"")</f>
        <v/>
      </c>
      <c r="I467" s="41">
        <f>IFERROR((1+F467)*(1+I466)-1,"")</f>
        <v/>
      </c>
      <c r="J467" s="41">
        <f>IFERROR((1+G467)*(1+J466)-1,"")</f>
        <v/>
      </c>
      <c r="K467" s="42">
        <f>IFERROR(B467/$B$36*100,"")</f>
        <v/>
      </c>
      <c r="L467" s="42">
        <f>IFERROR(C467/$C$36*100,"")</f>
        <v/>
      </c>
      <c r="M467" s="42">
        <f>IFERROR(D467/$D$36*100,"")</f>
        <v/>
      </c>
      <c r="N467" s="41">
        <f>IFERROR((1+H467)/(1+I467)-1,"")</f>
        <v/>
      </c>
      <c r="O467" s="41">
        <f>IFERROR((1+H467)/(1+J467)-1,"")</f>
        <v/>
      </c>
      <c r="P467" s="39">
        <f>IFERROR(B467*0.0099502487562189+P466*(1-0.0099502487562189),"")</f>
        <v/>
      </c>
      <c r="Q467" s="42">
        <f>Q466*(1+E467)</f>
        <v/>
      </c>
      <c r="R467" s="42">
        <f>MAX(R466,Q467)</f>
        <v/>
      </c>
      <c r="S467" s="41">
        <f>IFERROR(Q467/R467-1,"")</f>
        <v/>
      </c>
      <c r="T467" s="41">
        <f>IFERROR(_xlfn.STDEV.S(E408:E467)*SQRT($D$7),"")</f>
        <v/>
      </c>
      <c r="U467" s="41">
        <f>IFERROR(MIN(E467-$D$6,0),"")</f>
        <v/>
      </c>
      <c r="V467" s="41">
        <f>IFERROR(E467-F467,"")</f>
        <v/>
      </c>
      <c r="W467" s="39">
        <f>B467</f>
        <v/>
      </c>
      <c r="X467" s="21" t="n"/>
    </row>
    <row r="468">
      <c r="A468" s="38" t="n">
        <v>45616</v>
      </c>
      <c r="B468" s="39" t="n">
        <v>277.81</v>
      </c>
      <c r="C468" s="39" t="n">
        <v>590.5</v>
      </c>
      <c r="D468" s="39" t="n">
        <v>46.22</v>
      </c>
      <c r="E468" s="41">
        <f>IFERROR(B468/B467-1,"")</f>
        <v/>
      </c>
      <c r="F468" s="41">
        <f>IFERROR(C468/C467-1,"")</f>
        <v/>
      </c>
      <c r="G468" s="41">
        <f>IFERROR(D468/D467-1,"")</f>
        <v/>
      </c>
      <c r="H468" s="41">
        <f>IFERROR((1+E468)*(1+H467)-1,"")</f>
        <v/>
      </c>
      <c r="I468" s="41">
        <f>IFERROR((1+F468)*(1+I467)-1,"")</f>
        <v/>
      </c>
      <c r="J468" s="41">
        <f>IFERROR((1+G468)*(1+J467)-1,"")</f>
        <v/>
      </c>
      <c r="K468" s="42">
        <f>IFERROR(B468/$B$36*100,"")</f>
        <v/>
      </c>
      <c r="L468" s="42">
        <f>IFERROR(C468/$C$36*100,"")</f>
        <v/>
      </c>
      <c r="M468" s="42">
        <f>IFERROR(D468/$D$36*100,"")</f>
        <v/>
      </c>
      <c r="N468" s="41">
        <f>IFERROR((1+H468)/(1+I468)-1,"")</f>
        <v/>
      </c>
      <c r="O468" s="41">
        <f>IFERROR((1+H468)/(1+J468)-1,"")</f>
        <v/>
      </c>
      <c r="P468" s="39">
        <f>IFERROR(B468*0.0099502487562189+P467*(1-0.0099502487562189),"")</f>
        <v/>
      </c>
      <c r="Q468" s="42">
        <f>Q467*(1+E468)</f>
        <v/>
      </c>
      <c r="R468" s="42">
        <f>MAX(R467,Q468)</f>
        <v/>
      </c>
      <c r="S468" s="41">
        <f>IFERROR(Q468/R468-1,"")</f>
        <v/>
      </c>
      <c r="T468" s="41">
        <f>IFERROR(_xlfn.STDEV.S(E409:E468)*SQRT($D$7),"")</f>
        <v/>
      </c>
      <c r="U468" s="41">
        <f>IFERROR(MIN(E468-$D$6,0),"")</f>
        <v/>
      </c>
      <c r="V468" s="41">
        <f>IFERROR(E468-F468,"")</f>
        <v/>
      </c>
      <c r="W468" s="39">
        <f>B468</f>
        <v/>
      </c>
      <c r="X468" s="21" t="n"/>
    </row>
    <row r="469">
      <c r="A469" s="38" t="n">
        <v>45617</v>
      </c>
      <c r="B469" s="39" t="n">
        <v>281.18</v>
      </c>
      <c r="C469" s="39" t="n">
        <v>593.67</v>
      </c>
      <c r="D469" s="39" t="n">
        <v>46.785</v>
      </c>
      <c r="E469" s="41">
        <f>IFERROR(B469/B468-1,"")</f>
        <v/>
      </c>
      <c r="F469" s="41">
        <f>IFERROR(C469/C468-1,"")</f>
        <v/>
      </c>
      <c r="G469" s="41">
        <f>IFERROR(D469/D468-1,"")</f>
        <v/>
      </c>
      <c r="H469" s="41">
        <f>IFERROR((1+E469)*(1+H468)-1,"")</f>
        <v/>
      </c>
      <c r="I469" s="41">
        <f>IFERROR((1+F469)*(1+I468)-1,"")</f>
        <v/>
      </c>
      <c r="J469" s="41">
        <f>IFERROR((1+G469)*(1+J468)-1,"")</f>
        <v/>
      </c>
      <c r="K469" s="42">
        <f>IFERROR(B469/$B$36*100,"")</f>
        <v/>
      </c>
      <c r="L469" s="42">
        <f>IFERROR(C469/$C$36*100,"")</f>
        <v/>
      </c>
      <c r="M469" s="42">
        <f>IFERROR(D469/$D$36*100,"")</f>
        <v/>
      </c>
      <c r="N469" s="41">
        <f>IFERROR((1+H469)/(1+I469)-1,"")</f>
        <v/>
      </c>
      <c r="O469" s="41">
        <f>IFERROR((1+H469)/(1+J469)-1,"")</f>
        <v/>
      </c>
      <c r="P469" s="39">
        <f>IFERROR(B469*0.0099502487562189+P468*(1-0.0099502487562189),"")</f>
        <v/>
      </c>
      <c r="Q469" s="42">
        <f>Q468*(1+E469)</f>
        <v/>
      </c>
      <c r="R469" s="42">
        <f>MAX(R468,Q469)</f>
        <v/>
      </c>
      <c r="S469" s="41">
        <f>IFERROR(Q469/R469-1,"")</f>
        <v/>
      </c>
      <c r="T469" s="41">
        <f>IFERROR(_xlfn.STDEV.S(E410:E469)*SQRT($D$7),"")</f>
        <v/>
      </c>
      <c r="U469" s="41">
        <f>IFERROR(MIN(E469-$D$6,0),"")</f>
        <v/>
      </c>
      <c r="V469" s="41">
        <f>IFERROR(E469-F469,"")</f>
        <v/>
      </c>
      <c r="W469" s="39">
        <f>B469</f>
        <v/>
      </c>
      <c r="X469" s="21" t="n"/>
    </row>
    <row r="470">
      <c r="A470" s="38" t="n">
        <v>45618</v>
      </c>
      <c r="B470" s="39" t="n">
        <v>284.61</v>
      </c>
      <c r="C470" s="39" t="n">
        <v>595.51</v>
      </c>
      <c r="D470" s="39" t="n">
        <v>47.045</v>
      </c>
      <c r="E470" s="41">
        <f>IFERROR(B470/B469-1,"")</f>
        <v/>
      </c>
      <c r="F470" s="41">
        <f>IFERROR(C470/C469-1,"")</f>
        <v/>
      </c>
      <c r="G470" s="41">
        <f>IFERROR(D470/D469-1,"")</f>
        <v/>
      </c>
      <c r="H470" s="41">
        <f>IFERROR((1+E470)*(1+H469)-1,"")</f>
        <v/>
      </c>
      <c r="I470" s="41">
        <f>IFERROR((1+F470)*(1+I469)-1,"")</f>
        <v/>
      </c>
      <c r="J470" s="41">
        <f>IFERROR((1+G470)*(1+J469)-1,"")</f>
        <v/>
      </c>
      <c r="K470" s="42">
        <f>IFERROR(B470/$B$36*100,"")</f>
        <v/>
      </c>
      <c r="L470" s="42">
        <f>IFERROR(C470/$C$36*100,"")</f>
        <v/>
      </c>
      <c r="M470" s="42">
        <f>IFERROR(D470/$D$36*100,"")</f>
        <v/>
      </c>
      <c r="N470" s="41">
        <f>IFERROR((1+H470)/(1+I470)-1,"")</f>
        <v/>
      </c>
      <c r="O470" s="41">
        <f>IFERROR((1+H470)/(1+J470)-1,"")</f>
        <v/>
      </c>
      <c r="P470" s="39">
        <f>IFERROR(B470*0.0099502487562189+P469*(1-0.0099502487562189),"")</f>
        <v/>
      </c>
      <c r="Q470" s="42">
        <f>Q469*(1+E470)</f>
        <v/>
      </c>
      <c r="R470" s="42">
        <f>MAX(R469,Q470)</f>
        <v/>
      </c>
      <c r="S470" s="41">
        <f>IFERROR(Q470/R470-1,"")</f>
        <v/>
      </c>
      <c r="T470" s="41">
        <f>IFERROR(_xlfn.STDEV.S(E411:E470)*SQRT($D$7),"")</f>
        <v/>
      </c>
      <c r="U470" s="41">
        <f>IFERROR(MIN(E470-$D$6,0),"")</f>
        <v/>
      </c>
      <c r="V470" s="41">
        <f>IFERROR(E470-F470,"")</f>
        <v/>
      </c>
      <c r="W470" s="39">
        <f>B470</f>
        <v/>
      </c>
      <c r="X470" s="21" t="n"/>
    </row>
    <row r="471">
      <c r="A471" s="38" t="n">
        <v>45621</v>
      </c>
      <c r="B471" s="39" t="n">
        <v>290.37</v>
      </c>
      <c r="C471" s="39" t="n">
        <v>597.53</v>
      </c>
      <c r="D471" s="39" t="n">
        <v>47.53</v>
      </c>
      <c r="E471" s="41">
        <f>IFERROR(B471/B470-1,"")</f>
        <v/>
      </c>
      <c r="F471" s="41">
        <f>IFERROR(C471/C470-1,"")</f>
        <v/>
      </c>
      <c r="G471" s="41">
        <f>IFERROR(D471/D470-1,"")</f>
        <v/>
      </c>
      <c r="H471" s="41">
        <f>IFERROR((1+E471)*(1+H470)-1,"")</f>
        <v/>
      </c>
      <c r="I471" s="41">
        <f>IFERROR((1+F471)*(1+I470)-1,"")</f>
        <v/>
      </c>
      <c r="J471" s="41">
        <f>IFERROR((1+G471)*(1+J470)-1,"")</f>
        <v/>
      </c>
      <c r="K471" s="42">
        <f>IFERROR(B471/$B$36*100,"")</f>
        <v/>
      </c>
      <c r="L471" s="42">
        <f>IFERROR(C471/$C$36*100,"")</f>
        <v/>
      </c>
      <c r="M471" s="42">
        <f>IFERROR(D471/$D$36*100,"")</f>
        <v/>
      </c>
      <c r="N471" s="41">
        <f>IFERROR((1+H471)/(1+I471)-1,"")</f>
        <v/>
      </c>
      <c r="O471" s="41">
        <f>IFERROR((1+H471)/(1+J471)-1,"")</f>
        <v/>
      </c>
      <c r="P471" s="39">
        <f>IFERROR(B471*0.0099502487562189+P470*(1-0.0099502487562189),"")</f>
        <v/>
      </c>
      <c r="Q471" s="42">
        <f>Q470*(1+E471)</f>
        <v/>
      </c>
      <c r="R471" s="42">
        <f>MAX(R470,Q471)</f>
        <v/>
      </c>
      <c r="S471" s="41">
        <f>IFERROR(Q471/R471-1,"")</f>
        <v/>
      </c>
      <c r="T471" s="41">
        <f>IFERROR(_xlfn.STDEV.S(E412:E471)*SQRT($D$7),"")</f>
        <v/>
      </c>
      <c r="U471" s="41">
        <f>IFERROR(MIN(E471-$D$6,0),"")</f>
        <v/>
      </c>
      <c r="V471" s="41">
        <f>IFERROR(E471-F471,"")</f>
        <v/>
      </c>
      <c r="W471" s="39">
        <f>B471</f>
        <v/>
      </c>
      <c r="X471" s="21" t="n"/>
    </row>
    <row r="472">
      <c r="A472" s="38" t="n">
        <v>45622</v>
      </c>
      <c r="B472" s="39" t="n">
        <v>288.4</v>
      </c>
      <c r="C472" s="39" t="n">
        <v>600.65</v>
      </c>
      <c r="D472" s="39" t="n">
        <v>47.175</v>
      </c>
      <c r="E472" s="41">
        <f>IFERROR(B472/B471-1,"")</f>
        <v/>
      </c>
      <c r="F472" s="41">
        <f>IFERROR(C472/C471-1,"")</f>
        <v/>
      </c>
      <c r="G472" s="41">
        <f>IFERROR(D472/D471-1,"")</f>
        <v/>
      </c>
      <c r="H472" s="41">
        <f>IFERROR((1+E472)*(1+H471)-1,"")</f>
        <v/>
      </c>
      <c r="I472" s="41">
        <f>IFERROR((1+F472)*(1+I471)-1,"")</f>
        <v/>
      </c>
      <c r="J472" s="41">
        <f>IFERROR((1+G472)*(1+J471)-1,"")</f>
        <v/>
      </c>
      <c r="K472" s="42">
        <f>IFERROR(B472/$B$36*100,"")</f>
        <v/>
      </c>
      <c r="L472" s="42">
        <f>IFERROR(C472/$C$36*100,"")</f>
        <v/>
      </c>
      <c r="M472" s="42">
        <f>IFERROR(D472/$D$36*100,"")</f>
        <v/>
      </c>
      <c r="N472" s="41">
        <f>IFERROR((1+H472)/(1+I472)-1,"")</f>
        <v/>
      </c>
      <c r="O472" s="41">
        <f>IFERROR((1+H472)/(1+J472)-1,"")</f>
        <v/>
      </c>
      <c r="P472" s="39">
        <f>IFERROR(B472*0.0099502487562189+P471*(1-0.0099502487562189),"")</f>
        <v/>
      </c>
      <c r="Q472" s="42">
        <f>Q471*(1+E472)</f>
        <v/>
      </c>
      <c r="R472" s="42">
        <f>MAX(R471,Q472)</f>
        <v/>
      </c>
      <c r="S472" s="41">
        <f>IFERROR(Q472/R472-1,"")</f>
        <v/>
      </c>
      <c r="T472" s="41">
        <f>IFERROR(_xlfn.STDEV.S(E413:E472)*SQRT($D$7),"")</f>
        <v/>
      </c>
      <c r="U472" s="41">
        <f>IFERROR(MIN(E472-$D$6,0),"")</f>
        <v/>
      </c>
      <c r="V472" s="41">
        <f>IFERROR(E472-F472,"")</f>
        <v/>
      </c>
      <c r="W472" s="39">
        <f>B472</f>
        <v/>
      </c>
      <c r="X472" s="21" t="n"/>
    </row>
    <row r="473">
      <c r="A473" s="38" t="n">
        <v>45623</v>
      </c>
      <c r="B473" s="39" t="n">
        <v>286.39</v>
      </c>
      <c r="C473" s="39" t="n">
        <v>598.83</v>
      </c>
      <c r="D473" s="39" t="n">
        <v>47.15</v>
      </c>
      <c r="E473" s="41">
        <f>IFERROR(B473/B472-1,"")</f>
        <v/>
      </c>
      <c r="F473" s="41">
        <f>IFERROR(C473/C472-1,"")</f>
        <v/>
      </c>
      <c r="G473" s="41">
        <f>IFERROR(D473/D472-1,"")</f>
        <v/>
      </c>
      <c r="H473" s="41">
        <f>IFERROR((1+E473)*(1+H472)-1,"")</f>
        <v/>
      </c>
      <c r="I473" s="41">
        <f>IFERROR((1+F473)*(1+I472)-1,"")</f>
        <v/>
      </c>
      <c r="J473" s="41">
        <f>IFERROR((1+G473)*(1+J472)-1,"")</f>
        <v/>
      </c>
      <c r="K473" s="42">
        <f>IFERROR(B473/$B$36*100,"")</f>
        <v/>
      </c>
      <c r="L473" s="42">
        <f>IFERROR(C473/$C$36*100,"")</f>
        <v/>
      </c>
      <c r="M473" s="42">
        <f>IFERROR(D473/$D$36*100,"")</f>
        <v/>
      </c>
      <c r="N473" s="41">
        <f>IFERROR((1+H473)/(1+I473)-1,"")</f>
        <v/>
      </c>
      <c r="O473" s="41">
        <f>IFERROR((1+H473)/(1+J473)-1,"")</f>
        <v/>
      </c>
      <c r="P473" s="39">
        <f>IFERROR(B473*0.0099502487562189+P472*(1-0.0099502487562189),"")</f>
        <v/>
      </c>
      <c r="Q473" s="42">
        <f>Q472*(1+E473)</f>
        <v/>
      </c>
      <c r="R473" s="42">
        <f>MAX(R472,Q473)</f>
        <v/>
      </c>
      <c r="S473" s="41">
        <f>IFERROR(Q473/R473-1,"")</f>
        <v/>
      </c>
      <c r="T473" s="41">
        <f>IFERROR(_xlfn.STDEV.S(E414:E473)*SQRT($D$7),"")</f>
        <v/>
      </c>
      <c r="U473" s="41">
        <f>IFERROR(MIN(E473-$D$6,0),"")</f>
        <v/>
      </c>
      <c r="V473" s="41">
        <f>IFERROR(E473-F473,"")</f>
        <v/>
      </c>
      <c r="W473" s="39">
        <f>B473</f>
        <v/>
      </c>
      <c r="X473" s="21" t="n"/>
    </row>
    <row r="474">
      <c r="A474" s="38" t="n">
        <v>45625</v>
      </c>
      <c r="B474" s="39" t="n">
        <v>288.13</v>
      </c>
      <c r="C474" s="39" t="n">
        <v>602.55</v>
      </c>
      <c r="D474" s="39" t="n">
        <v>47.39</v>
      </c>
      <c r="E474" s="41">
        <f>IFERROR(B474/B473-1,"")</f>
        <v/>
      </c>
      <c r="F474" s="41">
        <f>IFERROR(C474/C473-1,"")</f>
        <v/>
      </c>
      <c r="G474" s="41">
        <f>IFERROR(D474/D473-1,"")</f>
        <v/>
      </c>
      <c r="H474" s="41">
        <f>IFERROR((1+E474)*(1+H473)-1,"")</f>
        <v/>
      </c>
      <c r="I474" s="41">
        <f>IFERROR((1+F474)*(1+I473)-1,"")</f>
        <v/>
      </c>
      <c r="J474" s="41">
        <f>IFERROR((1+G474)*(1+J473)-1,"")</f>
        <v/>
      </c>
      <c r="K474" s="42">
        <f>IFERROR(B474/$B$36*100,"")</f>
        <v/>
      </c>
      <c r="L474" s="42">
        <f>IFERROR(C474/$C$36*100,"")</f>
        <v/>
      </c>
      <c r="M474" s="42">
        <f>IFERROR(D474/$D$36*100,"")</f>
        <v/>
      </c>
      <c r="N474" s="41">
        <f>IFERROR((1+H474)/(1+I474)-1,"")</f>
        <v/>
      </c>
      <c r="O474" s="41">
        <f>IFERROR((1+H474)/(1+J474)-1,"")</f>
        <v/>
      </c>
      <c r="P474" s="39">
        <f>IFERROR(B474*0.0099502487562189+P473*(1-0.0099502487562189),"")</f>
        <v/>
      </c>
      <c r="Q474" s="42">
        <f>Q473*(1+E474)</f>
        <v/>
      </c>
      <c r="R474" s="42">
        <f>MAX(R473,Q474)</f>
        <v/>
      </c>
      <c r="S474" s="41">
        <f>IFERROR(Q474/R474-1,"")</f>
        <v/>
      </c>
      <c r="T474" s="41">
        <f>IFERROR(_xlfn.STDEV.S(E415:E474)*SQRT($D$7),"")</f>
        <v/>
      </c>
      <c r="U474" s="41">
        <f>IFERROR(MIN(E474-$D$6,0),"")</f>
        <v/>
      </c>
      <c r="V474" s="41">
        <f>IFERROR(E474-F474,"")</f>
        <v/>
      </c>
      <c r="W474" s="39">
        <f>B474</f>
        <v/>
      </c>
      <c r="X474" s="21" t="n"/>
    </row>
    <row r="475">
      <c r="A475" s="38" t="n">
        <v>45628</v>
      </c>
      <c r="B475" s="39" t="n">
        <v>287.05</v>
      </c>
      <c r="C475" s="39" t="n">
        <v>603.63</v>
      </c>
      <c r="D475" s="39" t="n">
        <v>47.36</v>
      </c>
      <c r="E475" s="41">
        <f>IFERROR(B475/B474-1,"")</f>
        <v/>
      </c>
      <c r="F475" s="41">
        <f>IFERROR(C475/C474-1,"")</f>
        <v/>
      </c>
      <c r="G475" s="41">
        <f>IFERROR(D475/D474-1,"")</f>
        <v/>
      </c>
      <c r="H475" s="41">
        <f>IFERROR((1+E475)*(1+H474)-1,"")</f>
        <v/>
      </c>
      <c r="I475" s="41">
        <f>IFERROR((1+F475)*(1+I474)-1,"")</f>
        <v/>
      </c>
      <c r="J475" s="41">
        <f>IFERROR((1+G475)*(1+J474)-1,"")</f>
        <v/>
      </c>
      <c r="K475" s="42">
        <f>IFERROR(B475/$B$36*100,"")</f>
        <v/>
      </c>
      <c r="L475" s="42">
        <f>IFERROR(C475/$C$36*100,"")</f>
        <v/>
      </c>
      <c r="M475" s="42">
        <f>IFERROR(D475/$D$36*100,"")</f>
        <v/>
      </c>
      <c r="N475" s="41">
        <f>IFERROR((1+H475)/(1+I475)-1,"")</f>
        <v/>
      </c>
      <c r="O475" s="41">
        <f>IFERROR((1+H475)/(1+J475)-1,"")</f>
        <v/>
      </c>
      <c r="P475" s="39">
        <f>IFERROR(B475*0.0099502487562189+P474*(1-0.0099502487562189),"")</f>
        <v/>
      </c>
      <c r="Q475" s="42">
        <f>Q474*(1+E475)</f>
        <v/>
      </c>
      <c r="R475" s="42">
        <f>MAX(R474,Q475)</f>
        <v/>
      </c>
      <c r="S475" s="41">
        <f>IFERROR(Q475/R475-1,"")</f>
        <v/>
      </c>
      <c r="T475" s="41">
        <f>IFERROR(_xlfn.STDEV.S(E416:E475)*SQRT($D$7),"")</f>
        <v/>
      </c>
      <c r="U475" s="41">
        <f>IFERROR(MIN(E475-$D$6,0),"")</f>
        <v/>
      </c>
      <c r="V475" s="41">
        <f>IFERROR(E475-F475,"")</f>
        <v/>
      </c>
      <c r="W475" s="39">
        <f>B475</f>
        <v/>
      </c>
      <c r="X475" s="21" t="n"/>
    </row>
    <row r="476">
      <c r="A476" s="38" t="n">
        <v>45629</v>
      </c>
      <c r="B476" s="39" t="n">
        <v>286.5</v>
      </c>
      <c r="C476" s="39" t="n">
        <v>603.91</v>
      </c>
      <c r="D476" s="39" t="n">
        <v>47.21</v>
      </c>
      <c r="E476" s="41">
        <f>IFERROR(B476/B475-1,"")</f>
        <v/>
      </c>
      <c r="F476" s="41">
        <f>IFERROR(C476/C475-1,"")</f>
        <v/>
      </c>
      <c r="G476" s="41">
        <f>IFERROR(D476/D475-1,"")</f>
        <v/>
      </c>
      <c r="H476" s="41">
        <f>IFERROR((1+E476)*(1+H475)-1,"")</f>
        <v/>
      </c>
      <c r="I476" s="41">
        <f>IFERROR((1+F476)*(1+I475)-1,"")</f>
        <v/>
      </c>
      <c r="J476" s="41">
        <f>IFERROR((1+G476)*(1+J475)-1,"")</f>
        <v/>
      </c>
      <c r="K476" s="42">
        <f>IFERROR(B476/$B$36*100,"")</f>
        <v/>
      </c>
      <c r="L476" s="42">
        <f>IFERROR(C476/$C$36*100,"")</f>
        <v/>
      </c>
      <c r="M476" s="42">
        <f>IFERROR(D476/$D$36*100,"")</f>
        <v/>
      </c>
      <c r="N476" s="41">
        <f>IFERROR((1+H476)/(1+I476)-1,"")</f>
        <v/>
      </c>
      <c r="O476" s="41">
        <f>IFERROR((1+H476)/(1+J476)-1,"")</f>
        <v/>
      </c>
      <c r="P476" s="39">
        <f>IFERROR(B476*0.0099502487562189+P475*(1-0.0099502487562189),"")</f>
        <v/>
      </c>
      <c r="Q476" s="42">
        <f>Q475*(1+E476)</f>
        <v/>
      </c>
      <c r="R476" s="42">
        <f>MAX(R475,Q476)</f>
        <v/>
      </c>
      <c r="S476" s="41">
        <f>IFERROR(Q476/R476-1,"")</f>
        <v/>
      </c>
      <c r="T476" s="41">
        <f>IFERROR(_xlfn.STDEV.S(E417:E476)*SQRT($D$7),"")</f>
        <v/>
      </c>
      <c r="U476" s="41">
        <f>IFERROR(MIN(E476-$D$6,0),"")</f>
        <v/>
      </c>
      <c r="V476" s="41">
        <f>IFERROR(E476-F476,"")</f>
        <v/>
      </c>
      <c r="W476" s="39">
        <f>B476</f>
        <v/>
      </c>
      <c r="X476" s="21" t="n"/>
    </row>
    <row r="477">
      <c r="A477" s="38" t="n">
        <v>45630</v>
      </c>
      <c r="B477" s="39" t="n">
        <v>285.65</v>
      </c>
      <c r="C477" s="39" t="n">
        <v>607.66</v>
      </c>
      <c r="D477" s="39" t="n">
        <v>46.75</v>
      </c>
      <c r="E477" s="41">
        <f>IFERROR(B477/B476-1,"")</f>
        <v/>
      </c>
      <c r="F477" s="41">
        <f>IFERROR(C477/C476-1,"")</f>
        <v/>
      </c>
      <c r="G477" s="41">
        <f>IFERROR(D477/D476-1,"")</f>
        <v/>
      </c>
      <c r="H477" s="41">
        <f>IFERROR((1+E477)*(1+H476)-1,"")</f>
        <v/>
      </c>
      <c r="I477" s="41">
        <f>IFERROR((1+F477)*(1+I476)-1,"")</f>
        <v/>
      </c>
      <c r="J477" s="41">
        <f>IFERROR((1+G477)*(1+J476)-1,"")</f>
        <v/>
      </c>
      <c r="K477" s="42">
        <f>IFERROR(B477/$B$36*100,"")</f>
        <v/>
      </c>
      <c r="L477" s="42">
        <f>IFERROR(C477/$C$36*100,"")</f>
        <v/>
      </c>
      <c r="M477" s="42">
        <f>IFERROR(D477/$D$36*100,"")</f>
        <v/>
      </c>
      <c r="N477" s="41">
        <f>IFERROR((1+H477)/(1+I477)-1,"")</f>
        <v/>
      </c>
      <c r="O477" s="41">
        <f>IFERROR((1+H477)/(1+J477)-1,"")</f>
        <v/>
      </c>
      <c r="P477" s="39">
        <f>IFERROR(B477*0.0099502487562189+P476*(1-0.0099502487562189),"")</f>
        <v/>
      </c>
      <c r="Q477" s="42">
        <f>Q476*(1+E477)</f>
        <v/>
      </c>
      <c r="R477" s="42">
        <f>MAX(R476,Q477)</f>
        <v/>
      </c>
      <c r="S477" s="41">
        <f>IFERROR(Q477/R477-1,"")</f>
        <v/>
      </c>
      <c r="T477" s="41">
        <f>IFERROR(_xlfn.STDEV.S(E418:E477)*SQRT($D$7),"")</f>
        <v/>
      </c>
      <c r="U477" s="41">
        <f>IFERROR(MIN(E477-$D$6,0),"")</f>
        <v/>
      </c>
      <c r="V477" s="41">
        <f>IFERROR(E477-F477,"")</f>
        <v/>
      </c>
      <c r="W477" s="39">
        <f>B477</f>
        <v/>
      </c>
      <c r="X477" s="21" t="n"/>
    </row>
    <row r="478">
      <c r="A478" s="38" t="n">
        <v>45631</v>
      </c>
      <c r="B478" s="39" t="n">
        <v>287.63</v>
      </c>
      <c r="C478" s="39" t="n">
        <v>606.66</v>
      </c>
      <c r="D478" s="39" t="n">
        <v>46.135</v>
      </c>
      <c r="E478" s="41">
        <f>IFERROR(B478/B477-1,"")</f>
        <v/>
      </c>
      <c r="F478" s="41">
        <f>IFERROR(C478/C477-1,"")</f>
        <v/>
      </c>
      <c r="G478" s="41">
        <f>IFERROR(D478/D477-1,"")</f>
        <v/>
      </c>
      <c r="H478" s="41">
        <f>IFERROR((1+E478)*(1+H477)-1,"")</f>
        <v/>
      </c>
      <c r="I478" s="41">
        <f>IFERROR((1+F478)*(1+I477)-1,"")</f>
        <v/>
      </c>
      <c r="J478" s="41">
        <f>IFERROR((1+G478)*(1+J477)-1,"")</f>
        <v/>
      </c>
      <c r="K478" s="42">
        <f>IFERROR(B478/$B$36*100,"")</f>
        <v/>
      </c>
      <c r="L478" s="42">
        <f>IFERROR(C478/$C$36*100,"")</f>
        <v/>
      </c>
      <c r="M478" s="42">
        <f>IFERROR(D478/$D$36*100,"")</f>
        <v/>
      </c>
      <c r="N478" s="41">
        <f>IFERROR((1+H478)/(1+I478)-1,"")</f>
        <v/>
      </c>
      <c r="O478" s="41">
        <f>IFERROR((1+H478)/(1+J478)-1,"")</f>
        <v/>
      </c>
      <c r="P478" s="39">
        <f>IFERROR(B478*0.0099502487562189+P477*(1-0.0099502487562189),"")</f>
        <v/>
      </c>
      <c r="Q478" s="42">
        <f>Q477*(1+E478)</f>
        <v/>
      </c>
      <c r="R478" s="42">
        <f>MAX(R477,Q478)</f>
        <v/>
      </c>
      <c r="S478" s="41">
        <f>IFERROR(Q478/R478-1,"")</f>
        <v/>
      </c>
      <c r="T478" s="41">
        <f>IFERROR(_xlfn.STDEV.S(E419:E478)*SQRT($D$7),"")</f>
        <v/>
      </c>
      <c r="U478" s="41">
        <f>IFERROR(MIN(E478-$D$6,0),"")</f>
        <v/>
      </c>
      <c r="V478" s="41">
        <f>IFERROR(E478-F478,"")</f>
        <v/>
      </c>
      <c r="W478" s="39">
        <f>B478</f>
        <v/>
      </c>
      <c r="X478" s="21" t="n"/>
    </row>
    <row r="479">
      <c r="A479" s="38" t="n">
        <v>45632</v>
      </c>
      <c r="B479" s="39" t="n">
        <v>286.86</v>
      </c>
      <c r="C479" s="39" t="n">
        <v>607.8099999999999</v>
      </c>
      <c r="D479" s="39" t="n">
        <v>45.955</v>
      </c>
      <c r="E479" s="41">
        <f>IFERROR(B479/B478-1,"")</f>
        <v/>
      </c>
      <c r="F479" s="41">
        <f>IFERROR(C479/C478-1,"")</f>
        <v/>
      </c>
      <c r="G479" s="41">
        <f>IFERROR(D479/D478-1,"")</f>
        <v/>
      </c>
      <c r="H479" s="41">
        <f>IFERROR((1+E479)*(1+H478)-1,"")</f>
        <v/>
      </c>
      <c r="I479" s="41">
        <f>IFERROR((1+F479)*(1+I478)-1,"")</f>
        <v/>
      </c>
      <c r="J479" s="41">
        <f>IFERROR((1+G479)*(1+J478)-1,"")</f>
        <v/>
      </c>
      <c r="K479" s="42">
        <f>IFERROR(B479/$B$36*100,"")</f>
        <v/>
      </c>
      <c r="L479" s="42">
        <f>IFERROR(C479/$C$36*100,"")</f>
        <v/>
      </c>
      <c r="M479" s="42">
        <f>IFERROR(D479/$D$36*100,"")</f>
        <v/>
      </c>
      <c r="N479" s="41">
        <f>IFERROR((1+H479)/(1+I479)-1,"")</f>
        <v/>
      </c>
      <c r="O479" s="41">
        <f>IFERROR((1+H479)/(1+J479)-1,"")</f>
        <v/>
      </c>
      <c r="P479" s="39">
        <f>IFERROR(B479*0.0099502487562189+P478*(1-0.0099502487562189),"")</f>
        <v/>
      </c>
      <c r="Q479" s="42">
        <f>Q478*(1+E479)</f>
        <v/>
      </c>
      <c r="R479" s="42">
        <f>MAX(R478,Q479)</f>
        <v/>
      </c>
      <c r="S479" s="41">
        <f>IFERROR(Q479/R479-1,"")</f>
        <v/>
      </c>
      <c r="T479" s="41">
        <f>IFERROR(_xlfn.STDEV.S(E420:E479)*SQRT($D$7),"")</f>
        <v/>
      </c>
      <c r="U479" s="41">
        <f>IFERROR(MIN(E479-$D$6,0),"")</f>
        <v/>
      </c>
      <c r="V479" s="41">
        <f>IFERROR(E479-F479,"")</f>
        <v/>
      </c>
      <c r="W479" s="39">
        <f>B479</f>
        <v/>
      </c>
      <c r="X479" s="21" t="n"/>
    </row>
    <row r="480">
      <c r="A480" s="38" t="n">
        <v>45635</v>
      </c>
      <c r="B480" s="39" t="n">
        <v>281.23</v>
      </c>
      <c r="C480" s="39" t="n">
        <v>604.6799999999999</v>
      </c>
      <c r="D480" s="39" t="n">
        <v>45.945</v>
      </c>
      <c r="E480" s="41">
        <f>IFERROR(B480/B479-1,"")</f>
        <v/>
      </c>
      <c r="F480" s="41">
        <f>IFERROR(C480/C479-1,"")</f>
        <v/>
      </c>
      <c r="G480" s="41">
        <f>IFERROR(D480/D479-1,"")</f>
        <v/>
      </c>
      <c r="H480" s="41">
        <f>IFERROR((1+E480)*(1+H479)-1,"")</f>
        <v/>
      </c>
      <c r="I480" s="41">
        <f>IFERROR((1+F480)*(1+I479)-1,"")</f>
        <v/>
      </c>
      <c r="J480" s="41">
        <f>IFERROR((1+G480)*(1+J479)-1,"")</f>
        <v/>
      </c>
      <c r="K480" s="42">
        <f>IFERROR(B480/$B$36*100,"")</f>
        <v/>
      </c>
      <c r="L480" s="42">
        <f>IFERROR(C480/$C$36*100,"")</f>
        <v/>
      </c>
      <c r="M480" s="42">
        <f>IFERROR(D480/$D$36*100,"")</f>
        <v/>
      </c>
      <c r="N480" s="41">
        <f>IFERROR((1+H480)/(1+I480)-1,"")</f>
        <v/>
      </c>
      <c r="O480" s="41">
        <f>IFERROR((1+H480)/(1+J480)-1,"")</f>
        <v/>
      </c>
      <c r="P480" s="39">
        <f>IFERROR(B480*0.0099502487562189+P479*(1-0.0099502487562189),"")</f>
        <v/>
      </c>
      <c r="Q480" s="42">
        <f>Q479*(1+E480)</f>
        <v/>
      </c>
      <c r="R480" s="42">
        <f>MAX(R479,Q480)</f>
        <v/>
      </c>
      <c r="S480" s="41">
        <f>IFERROR(Q480/R480-1,"")</f>
        <v/>
      </c>
      <c r="T480" s="41">
        <f>IFERROR(_xlfn.STDEV.S(E421:E480)*SQRT($D$7),"")</f>
        <v/>
      </c>
      <c r="U480" s="41">
        <f>IFERROR(MIN(E480-$D$6,0),"")</f>
        <v/>
      </c>
      <c r="V480" s="41">
        <f>IFERROR(E480-F480,"")</f>
        <v/>
      </c>
      <c r="W480" s="39">
        <f>B480</f>
        <v/>
      </c>
      <c r="X480" s="21" t="n"/>
    </row>
    <row r="481">
      <c r="A481" s="38" t="n">
        <v>45636</v>
      </c>
      <c r="B481" s="39" t="n">
        <v>276.31</v>
      </c>
      <c r="C481" s="39" t="n">
        <v>602.8</v>
      </c>
      <c r="D481" s="39" t="n">
        <v>45.475</v>
      </c>
      <c r="E481" s="41">
        <f>IFERROR(B481/B480-1,"")</f>
        <v/>
      </c>
      <c r="F481" s="41">
        <f>IFERROR(C481/C480-1,"")</f>
        <v/>
      </c>
      <c r="G481" s="41">
        <f>IFERROR(D481/D480-1,"")</f>
        <v/>
      </c>
      <c r="H481" s="41">
        <f>IFERROR((1+E481)*(1+H480)-1,"")</f>
        <v/>
      </c>
      <c r="I481" s="41">
        <f>IFERROR((1+F481)*(1+I480)-1,"")</f>
        <v/>
      </c>
      <c r="J481" s="41">
        <f>IFERROR((1+G481)*(1+J480)-1,"")</f>
        <v/>
      </c>
      <c r="K481" s="42">
        <f>IFERROR(B481/$B$36*100,"")</f>
        <v/>
      </c>
      <c r="L481" s="42">
        <f>IFERROR(C481/$C$36*100,"")</f>
        <v/>
      </c>
      <c r="M481" s="42">
        <f>IFERROR(D481/$D$36*100,"")</f>
        <v/>
      </c>
      <c r="N481" s="41">
        <f>IFERROR((1+H481)/(1+I481)-1,"")</f>
        <v/>
      </c>
      <c r="O481" s="41">
        <f>IFERROR((1+H481)/(1+J481)-1,"")</f>
        <v/>
      </c>
      <c r="P481" s="39">
        <f>IFERROR(B481*0.0099502487562189+P480*(1-0.0099502487562189),"")</f>
        <v/>
      </c>
      <c r="Q481" s="42">
        <f>Q480*(1+E481)</f>
        <v/>
      </c>
      <c r="R481" s="42">
        <f>MAX(R480,Q481)</f>
        <v/>
      </c>
      <c r="S481" s="41">
        <f>IFERROR(Q481/R481-1,"")</f>
        <v/>
      </c>
      <c r="T481" s="41">
        <f>IFERROR(_xlfn.STDEV.S(E422:E481)*SQRT($D$7),"")</f>
        <v/>
      </c>
      <c r="U481" s="41">
        <f>IFERROR(MIN(E481-$D$6,0),"")</f>
        <v/>
      </c>
      <c r="V481" s="41">
        <f>IFERROR(E481-F481,"")</f>
        <v/>
      </c>
      <c r="W481" s="39">
        <f>B481</f>
        <v/>
      </c>
      <c r="X481" s="21" t="n"/>
    </row>
    <row r="482">
      <c r="A482" s="38" t="n">
        <v>45637</v>
      </c>
      <c r="B482" s="39" t="n">
        <v>279.56</v>
      </c>
      <c r="C482" s="39" t="n">
        <v>607.46</v>
      </c>
      <c r="D482" s="39" t="n">
        <v>45.315</v>
      </c>
      <c r="E482" s="41">
        <f>IFERROR(B482/B481-1,"")</f>
        <v/>
      </c>
      <c r="F482" s="41">
        <f>IFERROR(C482/C481-1,"")</f>
        <v/>
      </c>
      <c r="G482" s="41">
        <f>IFERROR(D482/D481-1,"")</f>
        <v/>
      </c>
      <c r="H482" s="41">
        <f>IFERROR((1+E482)*(1+H481)-1,"")</f>
        <v/>
      </c>
      <c r="I482" s="41">
        <f>IFERROR((1+F482)*(1+I481)-1,"")</f>
        <v/>
      </c>
      <c r="J482" s="41">
        <f>IFERROR((1+G482)*(1+J481)-1,"")</f>
        <v/>
      </c>
      <c r="K482" s="42">
        <f>IFERROR(B482/$B$36*100,"")</f>
        <v/>
      </c>
      <c r="L482" s="42">
        <f>IFERROR(C482/$C$36*100,"")</f>
        <v/>
      </c>
      <c r="M482" s="42">
        <f>IFERROR(D482/$D$36*100,"")</f>
        <v/>
      </c>
      <c r="N482" s="41">
        <f>IFERROR((1+H482)/(1+I482)-1,"")</f>
        <v/>
      </c>
      <c r="O482" s="41">
        <f>IFERROR((1+H482)/(1+J482)-1,"")</f>
        <v/>
      </c>
      <c r="P482" s="39">
        <f>IFERROR(B482*0.0099502487562189+P481*(1-0.0099502487562189),"")</f>
        <v/>
      </c>
      <c r="Q482" s="42">
        <f>Q481*(1+E482)</f>
        <v/>
      </c>
      <c r="R482" s="42">
        <f>MAX(R481,Q482)</f>
        <v/>
      </c>
      <c r="S482" s="41">
        <f>IFERROR(Q482/R482-1,"")</f>
        <v/>
      </c>
      <c r="T482" s="41">
        <f>IFERROR(_xlfn.STDEV.S(E423:E482)*SQRT($D$7),"")</f>
        <v/>
      </c>
      <c r="U482" s="41">
        <f>IFERROR(MIN(E482-$D$6,0),"")</f>
        <v/>
      </c>
      <c r="V482" s="41">
        <f>IFERROR(E482-F482,"")</f>
        <v/>
      </c>
      <c r="W482" s="39">
        <f>B482</f>
        <v/>
      </c>
      <c r="X482" s="21" t="n"/>
    </row>
    <row r="483">
      <c r="A483" s="38" t="n">
        <v>45638</v>
      </c>
      <c r="B483" s="39" t="n">
        <v>278.11</v>
      </c>
      <c r="C483" s="39" t="n">
        <v>604.33</v>
      </c>
      <c r="D483" s="39" t="n">
        <v>45</v>
      </c>
      <c r="E483" s="41">
        <f>IFERROR(B483/B482-1,"")</f>
        <v/>
      </c>
      <c r="F483" s="41">
        <f>IFERROR(C483/C482-1,"")</f>
        <v/>
      </c>
      <c r="G483" s="41">
        <f>IFERROR(D483/D482-1,"")</f>
        <v/>
      </c>
      <c r="H483" s="41">
        <f>IFERROR((1+E483)*(1+H482)-1,"")</f>
        <v/>
      </c>
      <c r="I483" s="41">
        <f>IFERROR((1+F483)*(1+I482)-1,"")</f>
        <v/>
      </c>
      <c r="J483" s="41">
        <f>IFERROR((1+G483)*(1+J482)-1,"")</f>
        <v/>
      </c>
      <c r="K483" s="42">
        <f>IFERROR(B483/$B$36*100,"")</f>
        <v/>
      </c>
      <c r="L483" s="42">
        <f>IFERROR(C483/$C$36*100,"")</f>
        <v/>
      </c>
      <c r="M483" s="42">
        <f>IFERROR(D483/$D$36*100,"")</f>
        <v/>
      </c>
      <c r="N483" s="41">
        <f>IFERROR((1+H483)/(1+I483)-1,"")</f>
        <v/>
      </c>
      <c r="O483" s="41">
        <f>IFERROR((1+H483)/(1+J483)-1,"")</f>
        <v/>
      </c>
      <c r="P483" s="39">
        <f>IFERROR(B483*0.0099502487562189+P482*(1-0.0099502487562189),"")</f>
        <v/>
      </c>
      <c r="Q483" s="42">
        <f>Q482*(1+E483)</f>
        <v/>
      </c>
      <c r="R483" s="42">
        <f>MAX(R482,Q483)</f>
        <v/>
      </c>
      <c r="S483" s="41">
        <f>IFERROR(Q483/R483-1,"")</f>
        <v/>
      </c>
      <c r="T483" s="41">
        <f>IFERROR(_xlfn.STDEV.S(E424:E483)*SQRT($D$7),"")</f>
        <v/>
      </c>
      <c r="U483" s="41">
        <f>IFERROR(MIN(E483-$D$6,0),"")</f>
        <v/>
      </c>
      <c r="V483" s="41">
        <f>IFERROR(E483-F483,"")</f>
        <v/>
      </c>
      <c r="W483" s="39">
        <f>B483</f>
        <v/>
      </c>
      <c r="X483" s="21" t="n"/>
    </row>
    <row r="484">
      <c r="A484" s="38" t="n">
        <v>45639</v>
      </c>
      <c r="B484" s="39" t="n">
        <v>275.77</v>
      </c>
      <c r="C484" s="39" t="n">
        <v>604.21</v>
      </c>
      <c r="D484" s="39" t="n">
        <v>44.615</v>
      </c>
      <c r="E484" s="41">
        <f>IFERROR(B484/B483-1,"")</f>
        <v/>
      </c>
      <c r="F484" s="41">
        <f>IFERROR(C484/C483-1,"")</f>
        <v/>
      </c>
      <c r="G484" s="41">
        <f>IFERROR(D484/D483-1,"")</f>
        <v/>
      </c>
      <c r="H484" s="41">
        <f>IFERROR((1+E484)*(1+H483)-1,"")</f>
        <v/>
      </c>
      <c r="I484" s="41">
        <f>IFERROR((1+F484)*(1+I483)-1,"")</f>
        <v/>
      </c>
      <c r="J484" s="41">
        <f>IFERROR((1+G484)*(1+J483)-1,"")</f>
        <v/>
      </c>
      <c r="K484" s="42">
        <f>IFERROR(B484/$B$36*100,"")</f>
        <v/>
      </c>
      <c r="L484" s="42">
        <f>IFERROR(C484/$C$36*100,"")</f>
        <v/>
      </c>
      <c r="M484" s="42">
        <f>IFERROR(D484/$D$36*100,"")</f>
        <v/>
      </c>
      <c r="N484" s="41">
        <f>IFERROR((1+H484)/(1+I484)-1,"")</f>
        <v/>
      </c>
      <c r="O484" s="41">
        <f>IFERROR((1+H484)/(1+J484)-1,"")</f>
        <v/>
      </c>
      <c r="P484" s="39">
        <f>IFERROR(B484*0.0099502487562189+P483*(1-0.0099502487562189),"")</f>
        <v/>
      </c>
      <c r="Q484" s="42">
        <f>Q483*(1+E484)</f>
        <v/>
      </c>
      <c r="R484" s="42">
        <f>MAX(R483,Q484)</f>
        <v/>
      </c>
      <c r="S484" s="41">
        <f>IFERROR(Q484/R484-1,"")</f>
        <v/>
      </c>
      <c r="T484" s="41">
        <f>IFERROR(_xlfn.STDEV.S(E425:E484)*SQRT($D$7),"")</f>
        <v/>
      </c>
      <c r="U484" s="41">
        <f>IFERROR(MIN(E484-$D$6,0),"")</f>
        <v/>
      </c>
      <c r="V484" s="41">
        <f>IFERROR(E484-F484,"")</f>
        <v/>
      </c>
      <c r="W484" s="39">
        <f>B484</f>
        <v/>
      </c>
      <c r="X484" s="21" t="n"/>
    </row>
    <row r="485">
      <c r="A485" s="38" t="n">
        <v>45642</v>
      </c>
      <c r="B485" s="39" t="n">
        <v>277</v>
      </c>
      <c r="C485" s="39" t="n">
        <v>606.79</v>
      </c>
      <c r="D485" s="39" t="n">
        <v>44.22</v>
      </c>
      <c r="E485" s="41">
        <f>IFERROR(B485/B484-1,"")</f>
        <v/>
      </c>
      <c r="F485" s="41">
        <f>IFERROR(C485/C484-1,"")</f>
        <v/>
      </c>
      <c r="G485" s="41">
        <f>IFERROR(D485/D484-1,"")</f>
        <v/>
      </c>
      <c r="H485" s="41">
        <f>IFERROR((1+E485)*(1+H484)-1,"")</f>
        <v/>
      </c>
      <c r="I485" s="41">
        <f>IFERROR((1+F485)*(1+I484)-1,"")</f>
        <v/>
      </c>
      <c r="J485" s="41">
        <f>IFERROR((1+G485)*(1+J484)-1,"")</f>
        <v/>
      </c>
      <c r="K485" s="42">
        <f>IFERROR(B485/$B$36*100,"")</f>
        <v/>
      </c>
      <c r="L485" s="42">
        <f>IFERROR(C485/$C$36*100,"")</f>
        <v/>
      </c>
      <c r="M485" s="42">
        <f>IFERROR(D485/$D$36*100,"")</f>
        <v/>
      </c>
      <c r="N485" s="41">
        <f>IFERROR((1+H485)/(1+I485)-1,"")</f>
        <v/>
      </c>
      <c r="O485" s="41">
        <f>IFERROR((1+H485)/(1+J485)-1,"")</f>
        <v/>
      </c>
      <c r="P485" s="39">
        <f>IFERROR(B485*0.0099502487562189+P484*(1-0.0099502487562189),"")</f>
        <v/>
      </c>
      <c r="Q485" s="42">
        <f>Q484*(1+E485)</f>
        <v/>
      </c>
      <c r="R485" s="42">
        <f>MAX(R484,Q485)</f>
        <v/>
      </c>
      <c r="S485" s="41">
        <f>IFERROR(Q485/R485-1,"")</f>
        <v/>
      </c>
      <c r="T485" s="41">
        <f>IFERROR(_xlfn.STDEV.S(E426:E485)*SQRT($D$7),"")</f>
        <v/>
      </c>
      <c r="U485" s="41">
        <f>IFERROR(MIN(E485-$D$6,0),"")</f>
        <v/>
      </c>
      <c r="V485" s="41">
        <f>IFERROR(E485-F485,"")</f>
        <v/>
      </c>
      <c r="W485" s="39">
        <f>B485</f>
        <v/>
      </c>
      <c r="X485" s="21" t="n"/>
    </row>
    <row r="486">
      <c r="A486" s="38" t="n">
        <v>45643</v>
      </c>
      <c r="B486" s="39" t="n">
        <v>272.65</v>
      </c>
      <c r="C486" s="39" t="n">
        <v>604.29</v>
      </c>
      <c r="D486" s="39" t="n">
        <v>43.975</v>
      </c>
      <c r="E486" s="41">
        <f>IFERROR(B486/B485-1,"")</f>
        <v/>
      </c>
      <c r="F486" s="41">
        <f>IFERROR(C486/C485-1,"")</f>
        <v/>
      </c>
      <c r="G486" s="41">
        <f>IFERROR(D486/D485-1,"")</f>
        <v/>
      </c>
      <c r="H486" s="41">
        <f>IFERROR((1+E486)*(1+H485)-1,"")</f>
        <v/>
      </c>
      <c r="I486" s="41">
        <f>IFERROR((1+F486)*(1+I485)-1,"")</f>
        <v/>
      </c>
      <c r="J486" s="41">
        <f>IFERROR((1+G486)*(1+J485)-1,"")</f>
        <v/>
      </c>
      <c r="K486" s="42">
        <f>IFERROR(B486/$B$36*100,"")</f>
        <v/>
      </c>
      <c r="L486" s="42">
        <f>IFERROR(C486/$C$36*100,"")</f>
        <v/>
      </c>
      <c r="M486" s="42">
        <f>IFERROR(D486/$D$36*100,"")</f>
        <v/>
      </c>
      <c r="N486" s="41">
        <f>IFERROR((1+H486)/(1+I486)-1,"")</f>
        <v/>
      </c>
      <c r="O486" s="41">
        <f>IFERROR((1+H486)/(1+J486)-1,"")</f>
        <v/>
      </c>
      <c r="P486" s="39">
        <f>IFERROR(B486*0.0099502487562189+P485*(1-0.0099502487562189),"")</f>
        <v/>
      </c>
      <c r="Q486" s="42">
        <f>Q485*(1+E486)</f>
        <v/>
      </c>
      <c r="R486" s="42">
        <f>MAX(R485,Q486)</f>
        <v/>
      </c>
      <c r="S486" s="41">
        <f>IFERROR(Q486/R486-1,"")</f>
        <v/>
      </c>
      <c r="T486" s="41">
        <f>IFERROR(_xlfn.STDEV.S(E427:E486)*SQRT($D$7),"")</f>
        <v/>
      </c>
      <c r="U486" s="41">
        <f>IFERROR(MIN(E486-$D$6,0),"")</f>
        <v/>
      </c>
      <c r="V486" s="41">
        <f>IFERROR(E486-F486,"")</f>
        <v/>
      </c>
      <c r="W486" s="39">
        <f>B486</f>
        <v/>
      </c>
      <c r="X486" s="21" t="n"/>
    </row>
    <row r="487">
      <c r="A487" s="38" t="n">
        <v>45644</v>
      </c>
      <c r="B487" s="39" t="n">
        <v>264.89</v>
      </c>
      <c r="C487" s="39" t="n">
        <v>586.28</v>
      </c>
      <c r="D487" s="39" t="n">
        <v>42.725</v>
      </c>
      <c r="E487" s="41">
        <f>IFERROR(B487/B486-1,"")</f>
        <v/>
      </c>
      <c r="F487" s="41">
        <f>IFERROR(C487/C486-1,"")</f>
        <v/>
      </c>
      <c r="G487" s="41">
        <f>IFERROR(D487/D486-1,"")</f>
        <v/>
      </c>
      <c r="H487" s="41">
        <f>IFERROR((1+E487)*(1+H486)-1,"")</f>
        <v/>
      </c>
      <c r="I487" s="41">
        <f>IFERROR((1+F487)*(1+I486)-1,"")</f>
        <v/>
      </c>
      <c r="J487" s="41">
        <f>IFERROR((1+G487)*(1+J486)-1,"")</f>
        <v/>
      </c>
      <c r="K487" s="42">
        <f>IFERROR(B487/$B$36*100,"")</f>
        <v/>
      </c>
      <c r="L487" s="42">
        <f>IFERROR(C487/$C$36*100,"")</f>
        <v/>
      </c>
      <c r="M487" s="42">
        <f>IFERROR(D487/$D$36*100,"")</f>
        <v/>
      </c>
      <c r="N487" s="41">
        <f>IFERROR((1+H487)/(1+I487)-1,"")</f>
        <v/>
      </c>
      <c r="O487" s="41">
        <f>IFERROR((1+H487)/(1+J487)-1,"")</f>
        <v/>
      </c>
      <c r="P487" s="39">
        <f>IFERROR(B487*0.0099502487562189+P486*(1-0.0099502487562189),"")</f>
        <v/>
      </c>
      <c r="Q487" s="42">
        <f>Q486*(1+E487)</f>
        <v/>
      </c>
      <c r="R487" s="42">
        <f>MAX(R486,Q487)</f>
        <v/>
      </c>
      <c r="S487" s="41">
        <f>IFERROR(Q487/R487-1,"")</f>
        <v/>
      </c>
      <c r="T487" s="41">
        <f>IFERROR(_xlfn.STDEV.S(E428:E487)*SQRT($D$7),"")</f>
        <v/>
      </c>
      <c r="U487" s="41">
        <f>IFERROR(MIN(E487-$D$6,0),"")</f>
        <v/>
      </c>
      <c r="V487" s="41">
        <f>IFERROR(E487-F487,"")</f>
        <v/>
      </c>
      <c r="W487" s="39">
        <f>B487</f>
        <v/>
      </c>
      <c r="X487" s="21" t="n"/>
    </row>
    <row r="488">
      <c r="A488" s="38" t="n">
        <v>45645</v>
      </c>
      <c r="B488" s="39" t="n">
        <v>260.92</v>
      </c>
      <c r="C488" s="39" t="n">
        <v>586.1</v>
      </c>
      <c r="D488" s="39" t="n">
        <v>42.265</v>
      </c>
      <c r="E488" s="41">
        <f>IFERROR(B488/B487-1,"")</f>
        <v/>
      </c>
      <c r="F488" s="41">
        <f>IFERROR(C488/C487-1,"")</f>
        <v/>
      </c>
      <c r="G488" s="41">
        <f>IFERROR(D488/D487-1,"")</f>
        <v/>
      </c>
      <c r="H488" s="41">
        <f>IFERROR((1+E488)*(1+H487)-1,"")</f>
        <v/>
      </c>
      <c r="I488" s="41">
        <f>IFERROR((1+F488)*(1+I487)-1,"")</f>
        <v/>
      </c>
      <c r="J488" s="41">
        <f>IFERROR((1+G488)*(1+J487)-1,"")</f>
        <v/>
      </c>
      <c r="K488" s="42">
        <f>IFERROR(B488/$B$36*100,"")</f>
        <v/>
      </c>
      <c r="L488" s="42">
        <f>IFERROR(C488/$C$36*100,"")</f>
        <v/>
      </c>
      <c r="M488" s="42">
        <f>IFERROR(D488/$D$36*100,"")</f>
        <v/>
      </c>
      <c r="N488" s="41">
        <f>IFERROR((1+H488)/(1+I488)-1,"")</f>
        <v/>
      </c>
      <c r="O488" s="41">
        <f>IFERROR((1+H488)/(1+J488)-1,"")</f>
        <v/>
      </c>
      <c r="P488" s="39">
        <f>IFERROR(B488*0.0099502487562189+P487*(1-0.0099502487562189),"")</f>
        <v/>
      </c>
      <c r="Q488" s="42">
        <f>Q487*(1+E488)</f>
        <v/>
      </c>
      <c r="R488" s="42">
        <f>MAX(R487,Q488)</f>
        <v/>
      </c>
      <c r="S488" s="41">
        <f>IFERROR(Q488/R488-1,"")</f>
        <v/>
      </c>
      <c r="T488" s="41">
        <f>IFERROR(_xlfn.STDEV.S(E429:E488)*SQRT($D$7),"")</f>
        <v/>
      </c>
      <c r="U488" s="41">
        <f>IFERROR(MIN(E488-$D$6,0),"")</f>
        <v/>
      </c>
      <c r="V488" s="41">
        <f>IFERROR(E488-F488,"")</f>
        <v/>
      </c>
      <c r="W488" s="39">
        <f>B488</f>
        <v/>
      </c>
      <c r="X488" s="21" t="n"/>
    </row>
    <row r="489">
      <c r="A489" s="38" t="n">
        <v>45646</v>
      </c>
      <c r="B489" s="39" t="n">
        <v>263.13</v>
      </c>
      <c r="C489" s="39" t="n">
        <v>591.15</v>
      </c>
      <c r="D489" s="39" t="n">
        <v>42.79</v>
      </c>
      <c r="E489" s="41">
        <f>IFERROR(B489/B488-1,"")</f>
        <v/>
      </c>
      <c r="F489" s="41">
        <f>IFERROR(C489/C488-1,"")</f>
        <v/>
      </c>
      <c r="G489" s="41">
        <f>IFERROR(D489/D488-1,"")</f>
        <v/>
      </c>
      <c r="H489" s="41">
        <f>IFERROR((1+E489)*(1+H488)-1,"")</f>
        <v/>
      </c>
      <c r="I489" s="41">
        <f>IFERROR((1+F489)*(1+I488)-1,"")</f>
        <v/>
      </c>
      <c r="J489" s="41">
        <f>IFERROR((1+G489)*(1+J488)-1,"")</f>
        <v/>
      </c>
      <c r="K489" s="42">
        <f>IFERROR(B489/$B$36*100,"")</f>
        <v/>
      </c>
      <c r="L489" s="42">
        <f>IFERROR(C489/$C$36*100,"")</f>
        <v/>
      </c>
      <c r="M489" s="42">
        <f>IFERROR(D489/$D$36*100,"")</f>
        <v/>
      </c>
      <c r="N489" s="41">
        <f>IFERROR((1+H489)/(1+I489)-1,"")</f>
        <v/>
      </c>
      <c r="O489" s="41">
        <f>IFERROR((1+H489)/(1+J489)-1,"")</f>
        <v/>
      </c>
      <c r="P489" s="39">
        <f>IFERROR(B489*0.0099502487562189+P488*(1-0.0099502487562189),"")</f>
        <v/>
      </c>
      <c r="Q489" s="42">
        <f>Q488*(1+E489)</f>
        <v/>
      </c>
      <c r="R489" s="42">
        <f>MAX(R488,Q489)</f>
        <v/>
      </c>
      <c r="S489" s="41">
        <f>IFERROR(Q489/R489-1,"")</f>
        <v/>
      </c>
      <c r="T489" s="41">
        <f>IFERROR(_xlfn.STDEV.S(E430:E489)*SQRT($D$7),"")</f>
        <v/>
      </c>
      <c r="U489" s="41">
        <f>IFERROR(MIN(E489-$D$6,0),"")</f>
        <v/>
      </c>
      <c r="V489" s="41">
        <f>IFERROR(E489-F489,"")</f>
        <v/>
      </c>
      <c r="W489" s="39">
        <f>B489</f>
        <v/>
      </c>
      <c r="X489" s="21" t="n"/>
    </row>
    <row r="490">
      <c r="A490" s="38" t="n">
        <v>45649</v>
      </c>
      <c r="B490" s="39" t="n">
        <v>262.87</v>
      </c>
      <c r="C490" s="39" t="n">
        <v>594.6900000000001</v>
      </c>
      <c r="D490" s="39" t="n">
        <v>42.535</v>
      </c>
      <c r="E490" s="41">
        <f>IFERROR(B490/B489-1,"")</f>
        <v/>
      </c>
      <c r="F490" s="41">
        <f>IFERROR(C490/C489-1,"")</f>
        <v/>
      </c>
      <c r="G490" s="41">
        <f>IFERROR(D490/D489-1,"")</f>
        <v/>
      </c>
      <c r="H490" s="41">
        <f>IFERROR((1+E490)*(1+H489)-1,"")</f>
        <v/>
      </c>
      <c r="I490" s="41">
        <f>IFERROR((1+F490)*(1+I489)-1,"")</f>
        <v/>
      </c>
      <c r="J490" s="41">
        <f>IFERROR((1+G490)*(1+J489)-1,"")</f>
        <v/>
      </c>
      <c r="K490" s="42">
        <f>IFERROR(B490/$B$36*100,"")</f>
        <v/>
      </c>
      <c r="L490" s="42">
        <f>IFERROR(C490/$C$36*100,"")</f>
        <v/>
      </c>
      <c r="M490" s="42">
        <f>IFERROR(D490/$D$36*100,"")</f>
        <v/>
      </c>
      <c r="N490" s="41">
        <f>IFERROR((1+H490)/(1+I490)-1,"")</f>
        <v/>
      </c>
      <c r="O490" s="41">
        <f>IFERROR((1+H490)/(1+J490)-1,"")</f>
        <v/>
      </c>
      <c r="P490" s="39">
        <f>IFERROR(B490*0.0099502487562189+P489*(1-0.0099502487562189),"")</f>
        <v/>
      </c>
      <c r="Q490" s="42">
        <f>Q489*(1+E490)</f>
        <v/>
      </c>
      <c r="R490" s="42">
        <f>MAX(R489,Q490)</f>
        <v/>
      </c>
      <c r="S490" s="41">
        <f>IFERROR(Q490/R490-1,"")</f>
        <v/>
      </c>
      <c r="T490" s="41">
        <f>IFERROR(_xlfn.STDEV.S(E431:E490)*SQRT($D$7),"")</f>
        <v/>
      </c>
      <c r="U490" s="41">
        <f>IFERROR(MIN(E490-$D$6,0),"")</f>
        <v/>
      </c>
      <c r="V490" s="41">
        <f>IFERROR(E490-F490,"")</f>
        <v/>
      </c>
      <c r="W490" s="39">
        <f>B490</f>
        <v/>
      </c>
      <c r="X490" s="21" t="n"/>
    </row>
    <row r="491">
      <c r="A491" s="38" t="n">
        <v>45650</v>
      </c>
      <c r="B491" s="39" t="n">
        <v>264.31</v>
      </c>
      <c r="C491" s="39" t="n">
        <v>601.3</v>
      </c>
      <c r="D491" s="39" t="n">
        <v>42.765</v>
      </c>
      <c r="E491" s="41">
        <f>IFERROR(B491/B490-1,"")</f>
        <v/>
      </c>
      <c r="F491" s="41">
        <f>IFERROR(C491/C490-1,"")</f>
        <v/>
      </c>
      <c r="G491" s="41">
        <f>IFERROR(D491/D490-1,"")</f>
        <v/>
      </c>
      <c r="H491" s="41">
        <f>IFERROR((1+E491)*(1+H490)-1,"")</f>
        <v/>
      </c>
      <c r="I491" s="41">
        <f>IFERROR((1+F491)*(1+I490)-1,"")</f>
        <v/>
      </c>
      <c r="J491" s="41">
        <f>IFERROR((1+G491)*(1+J490)-1,"")</f>
        <v/>
      </c>
      <c r="K491" s="42">
        <f>IFERROR(B491/$B$36*100,"")</f>
        <v/>
      </c>
      <c r="L491" s="42">
        <f>IFERROR(C491/$C$36*100,"")</f>
        <v/>
      </c>
      <c r="M491" s="42">
        <f>IFERROR(D491/$D$36*100,"")</f>
        <v/>
      </c>
      <c r="N491" s="41">
        <f>IFERROR((1+H491)/(1+I491)-1,"")</f>
        <v/>
      </c>
      <c r="O491" s="41">
        <f>IFERROR((1+H491)/(1+J491)-1,"")</f>
        <v/>
      </c>
      <c r="P491" s="39">
        <f>IFERROR(B491*0.0099502487562189+P490*(1-0.0099502487562189),"")</f>
        <v/>
      </c>
      <c r="Q491" s="42">
        <f>Q490*(1+E491)</f>
        <v/>
      </c>
      <c r="R491" s="42">
        <f>MAX(R490,Q491)</f>
        <v/>
      </c>
      <c r="S491" s="41">
        <f>IFERROR(Q491/R491-1,"")</f>
        <v/>
      </c>
      <c r="T491" s="41">
        <f>IFERROR(_xlfn.STDEV.S(E432:E491)*SQRT($D$7),"")</f>
        <v/>
      </c>
      <c r="U491" s="41">
        <f>IFERROR(MIN(E491-$D$6,0),"")</f>
        <v/>
      </c>
      <c r="V491" s="41">
        <f>IFERROR(E491-F491,"")</f>
        <v/>
      </c>
      <c r="W491" s="39">
        <f>B491</f>
        <v/>
      </c>
      <c r="X491" s="21" t="n"/>
    </row>
    <row r="492">
      <c r="A492" s="38" t="n">
        <v>45652</v>
      </c>
      <c r="B492" s="39" t="n">
        <v>264.55</v>
      </c>
      <c r="C492" s="39" t="n">
        <v>601.34</v>
      </c>
      <c r="D492" s="39" t="n">
        <v>42.7</v>
      </c>
      <c r="E492" s="41">
        <f>IFERROR(B492/B491-1,"")</f>
        <v/>
      </c>
      <c r="F492" s="41">
        <f>IFERROR(C492/C491-1,"")</f>
        <v/>
      </c>
      <c r="G492" s="41">
        <f>IFERROR(D492/D491-1,"")</f>
        <v/>
      </c>
      <c r="H492" s="41">
        <f>IFERROR((1+E492)*(1+H491)-1,"")</f>
        <v/>
      </c>
      <c r="I492" s="41">
        <f>IFERROR((1+F492)*(1+I491)-1,"")</f>
        <v/>
      </c>
      <c r="J492" s="41">
        <f>IFERROR((1+G492)*(1+J491)-1,"")</f>
        <v/>
      </c>
      <c r="K492" s="42">
        <f>IFERROR(B492/$B$36*100,"")</f>
        <v/>
      </c>
      <c r="L492" s="42">
        <f>IFERROR(C492/$C$36*100,"")</f>
        <v/>
      </c>
      <c r="M492" s="42">
        <f>IFERROR(D492/$D$36*100,"")</f>
        <v/>
      </c>
      <c r="N492" s="41">
        <f>IFERROR((1+H492)/(1+I492)-1,"")</f>
        <v/>
      </c>
      <c r="O492" s="41">
        <f>IFERROR((1+H492)/(1+J492)-1,"")</f>
        <v/>
      </c>
      <c r="P492" s="39">
        <f>IFERROR(B492*0.0099502487562189+P491*(1-0.0099502487562189),"")</f>
        <v/>
      </c>
      <c r="Q492" s="42">
        <f>Q491*(1+E492)</f>
        <v/>
      </c>
      <c r="R492" s="42">
        <f>MAX(R491,Q492)</f>
        <v/>
      </c>
      <c r="S492" s="41">
        <f>IFERROR(Q492/R492-1,"")</f>
        <v/>
      </c>
      <c r="T492" s="41">
        <f>IFERROR(_xlfn.STDEV.S(E433:E492)*SQRT($D$7),"")</f>
        <v/>
      </c>
      <c r="U492" s="41">
        <f>IFERROR(MIN(E492-$D$6,0),"")</f>
        <v/>
      </c>
      <c r="V492" s="41">
        <f>IFERROR(E492-F492,"")</f>
        <v/>
      </c>
      <c r="W492" s="39">
        <f>B492</f>
        <v/>
      </c>
      <c r="X492" s="21" t="n"/>
    </row>
    <row r="493">
      <c r="A493" s="38" t="n">
        <v>45653</v>
      </c>
      <c r="B493" s="39" t="n">
        <v>262.36</v>
      </c>
      <c r="C493" s="39" t="n">
        <v>595.01</v>
      </c>
      <c r="D493" s="39" t="n">
        <v>42.47</v>
      </c>
      <c r="E493" s="41">
        <f>IFERROR(B493/B492-1,"")</f>
        <v/>
      </c>
      <c r="F493" s="41">
        <f>IFERROR(C493/C492-1,"")</f>
        <v/>
      </c>
      <c r="G493" s="41">
        <f>IFERROR(D493/D492-1,"")</f>
        <v/>
      </c>
      <c r="H493" s="41">
        <f>IFERROR((1+E493)*(1+H492)-1,"")</f>
        <v/>
      </c>
      <c r="I493" s="41">
        <f>IFERROR((1+F493)*(1+I492)-1,"")</f>
        <v/>
      </c>
      <c r="J493" s="41">
        <f>IFERROR((1+G493)*(1+J492)-1,"")</f>
        <v/>
      </c>
      <c r="K493" s="42">
        <f>IFERROR(B493/$B$36*100,"")</f>
        <v/>
      </c>
      <c r="L493" s="42">
        <f>IFERROR(C493/$C$36*100,"")</f>
        <v/>
      </c>
      <c r="M493" s="42">
        <f>IFERROR(D493/$D$36*100,"")</f>
        <v/>
      </c>
      <c r="N493" s="41">
        <f>IFERROR((1+H493)/(1+I493)-1,"")</f>
        <v/>
      </c>
      <c r="O493" s="41">
        <f>IFERROR((1+H493)/(1+J493)-1,"")</f>
        <v/>
      </c>
      <c r="P493" s="39">
        <f>IFERROR(B493*0.0099502487562189+P492*(1-0.0099502487562189),"")</f>
        <v/>
      </c>
      <c r="Q493" s="42">
        <f>Q492*(1+E493)</f>
        <v/>
      </c>
      <c r="R493" s="42">
        <f>MAX(R492,Q493)</f>
        <v/>
      </c>
      <c r="S493" s="41">
        <f>IFERROR(Q493/R493-1,"")</f>
        <v/>
      </c>
      <c r="T493" s="41">
        <f>IFERROR(_xlfn.STDEV.S(E434:E493)*SQRT($D$7),"")</f>
        <v/>
      </c>
      <c r="U493" s="41">
        <f>IFERROR(MIN(E493-$D$6,0),"")</f>
        <v/>
      </c>
      <c r="V493" s="41">
        <f>IFERROR(E493-F493,"")</f>
        <v/>
      </c>
      <c r="W493" s="39">
        <f>B493</f>
        <v/>
      </c>
      <c r="X493" s="21" t="n"/>
    </row>
    <row r="494">
      <c r="A494" s="38" t="n">
        <v>45656</v>
      </c>
      <c r="B494" s="39" t="n">
        <v>258.16</v>
      </c>
      <c r="C494" s="39" t="n">
        <v>588.22</v>
      </c>
      <c r="D494" s="39" t="n">
        <v>41.9</v>
      </c>
      <c r="E494" s="41">
        <f>IFERROR(B494/B493-1,"")</f>
        <v/>
      </c>
      <c r="F494" s="41">
        <f>IFERROR(C494/C493-1,"")</f>
        <v/>
      </c>
      <c r="G494" s="41">
        <f>IFERROR(D494/D493-1,"")</f>
        <v/>
      </c>
      <c r="H494" s="41">
        <f>IFERROR((1+E494)*(1+H493)-1,"")</f>
        <v/>
      </c>
      <c r="I494" s="41">
        <f>IFERROR((1+F494)*(1+I493)-1,"")</f>
        <v/>
      </c>
      <c r="J494" s="41">
        <f>IFERROR((1+G494)*(1+J493)-1,"")</f>
        <v/>
      </c>
      <c r="K494" s="42">
        <f>IFERROR(B494/$B$36*100,"")</f>
        <v/>
      </c>
      <c r="L494" s="42">
        <f>IFERROR(C494/$C$36*100,"")</f>
        <v/>
      </c>
      <c r="M494" s="42">
        <f>IFERROR(D494/$D$36*100,"")</f>
        <v/>
      </c>
      <c r="N494" s="41">
        <f>IFERROR((1+H494)/(1+I494)-1,"")</f>
        <v/>
      </c>
      <c r="O494" s="41">
        <f>IFERROR((1+H494)/(1+J494)-1,"")</f>
        <v/>
      </c>
      <c r="P494" s="39">
        <f>IFERROR(B494*0.0099502487562189+P493*(1-0.0099502487562189),"")</f>
        <v/>
      </c>
      <c r="Q494" s="42">
        <f>Q493*(1+E494)</f>
        <v/>
      </c>
      <c r="R494" s="42">
        <f>MAX(R493,Q494)</f>
        <v/>
      </c>
      <c r="S494" s="41">
        <f>IFERROR(Q494/R494-1,"")</f>
        <v/>
      </c>
      <c r="T494" s="41">
        <f>IFERROR(_xlfn.STDEV.S(E435:E494)*SQRT($D$7),"")</f>
        <v/>
      </c>
      <c r="U494" s="41">
        <f>IFERROR(MIN(E494-$D$6,0),"")</f>
        <v/>
      </c>
      <c r="V494" s="41">
        <f>IFERROR(E494-F494,"")</f>
        <v/>
      </c>
      <c r="W494" s="39">
        <f>B494</f>
        <v/>
      </c>
      <c r="X494" s="21" t="n"/>
    </row>
    <row r="495">
      <c r="A495" s="38" t="n">
        <v>45657</v>
      </c>
      <c r="B495" s="39" t="n">
        <v>257.23</v>
      </c>
      <c r="C495" s="39" t="n">
        <v>586.08</v>
      </c>
      <c r="D495" s="39" t="n">
        <v>42.07</v>
      </c>
      <c r="E495" s="41">
        <f>IFERROR(B495/B494-1,"")</f>
        <v/>
      </c>
      <c r="F495" s="41">
        <f>IFERROR(C495/C494-1,"")</f>
        <v/>
      </c>
      <c r="G495" s="41">
        <f>IFERROR(D495/D494-1,"")</f>
        <v/>
      </c>
      <c r="H495" s="41">
        <f>IFERROR((1+E495)*(1+H494)-1,"")</f>
        <v/>
      </c>
      <c r="I495" s="41">
        <f>IFERROR((1+F495)*(1+I494)-1,"")</f>
        <v/>
      </c>
      <c r="J495" s="41">
        <f>IFERROR((1+G495)*(1+J494)-1,"")</f>
        <v/>
      </c>
      <c r="K495" s="42">
        <f>IFERROR(B495/$B$36*100,"")</f>
        <v/>
      </c>
      <c r="L495" s="42">
        <f>IFERROR(C495/$C$36*100,"")</f>
        <v/>
      </c>
      <c r="M495" s="42">
        <f>IFERROR(D495/$D$36*100,"")</f>
        <v/>
      </c>
      <c r="N495" s="41">
        <f>IFERROR((1+H495)/(1+I495)-1,"")</f>
        <v/>
      </c>
      <c r="O495" s="41">
        <f>IFERROR((1+H495)/(1+J495)-1,"")</f>
        <v/>
      </c>
      <c r="P495" s="39">
        <f>IFERROR(B495*0.0099502487562189+P494*(1-0.0099502487562189),"")</f>
        <v/>
      </c>
      <c r="Q495" s="42">
        <f>Q494*(1+E495)</f>
        <v/>
      </c>
      <c r="R495" s="42">
        <f>MAX(R494,Q495)</f>
        <v/>
      </c>
      <c r="S495" s="41">
        <f>IFERROR(Q495/R495-1,"")</f>
        <v/>
      </c>
      <c r="T495" s="41">
        <f>IFERROR(_xlfn.STDEV.S(E436:E495)*SQRT($D$7),"")</f>
        <v/>
      </c>
      <c r="U495" s="41">
        <f>IFERROR(MIN(E495-$D$6,0),"")</f>
        <v/>
      </c>
      <c r="V495" s="41">
        <f>IFERROR(E495-F495,"")</f>
        <v/>
      </c>
      <c r="W495" s="39">
        <f>B495</f>
        <v/>
      </c>
      <c r="X495" s="21" t="n"/>
    </row>
    <row r="496">
      <c r="A496" s="38" t="n">
        <v>45659</v>
      </c>
      <c r="B496" s="39" t="n">
        <v>255.57</v>
      </c>
      <c r="C496" s="39" t="n">
        <v>584.64</v>
      </c>
      <c r="D496" s="39" t="n">
        <v>41.605</v>
      </c>
      <c r="E496" s="41">
        <f>IFERROR(B496/B495-1,"")</f>
        <v/>
      </c>
      <c r="F496" s="41">
        <f>IFERROR(C496/C495-1,"")</f>
        <v/>
      </c>
      <c r="G496" s="41">
        <f>IFERROR(D496/D495-1,"")</f>
        <v/>
      </c>
      <c r="H496" s="41">
        <f>IFERROR((1+E496)*(1+H495)-1,"")</f>
        <v/>
      </c>
      <c r="I496" s="41">
        <f>IFERROR((1+F496)*(1+I495)-1,"")</f>
        <v/>
      </c>
      <c r="J496" s="41">
        <f>IFERROR((1+G496)*(1+J495)-1,"")</f>
        <v/>
      </c>
      <c r="K496" s="42">
        <f>IFERROR(B496/$B$36*100,"")</f>
        <v/>
      </c>
      <c r="L496" s="42">
        <f>IFERROR(C496/$C$36*100,"")</f>
        <v/>
      </c>
      <c r="M496" s="42">
        <f>IFERROR(D496/$D$36*100,"")</f>
        <v/>
      </c>
      <c r="N496" s="41">
        <f>IFERROR((1+H496)/(1+I496)-1,"")</f>
        <v/>
      </c>
      <c r="O496" s="41">
        <f>IFERROR((1+H496)/(1+J496)-1,"")</f>
        <v/>
      </c>
      <c r="P496" s="39">
        <f>IFERROR(B496*0.0099502487562189+P495*(1-0.0099502487562189),"")</f>
        <v/>
      </c>
      <c r="Q496" s="42">
        <f>Q495*(1+E496)</f>
        <v/>
      </c>
      <c r="R496" s="42">
        <f>MAX(R495,Q496)</f>
        <v/>
      </c>
      <c r="S496" s="41">
        <f>IFERROR(Q496/R496-1,"")</f>
        <v/>
      </c>
      <c r="T496" s="41">
        <f>IFERROR(_xlfn.STDEV.S(E437:E496)*SQRT($D$7),"")</f>
        <v/>
      </c>
      <c r="U496" s="41">
        <f>IFERROR(MIN(E496-$D$6,0),"")</f>
        <v/>
      </c>
      <c r="V496" s="41">
        <f>IFERROR(E496-F496,"")</f>
        <v/>
      </c>
      <c r="W496" s="39">
        <f>B496</f>
        <v/>
      </c>
      <c r="X496" s="21" t="n"/>
    </row>
    <row r="497">
      <c r="A497" s="38" t="n">
        <v>45660</v>
      </c>
      <c r="B497" s="39" t="n">
        <v>257.13</v>
      </c>
      <c r="C497" s="39" t="n">
        <v>591.95</v>
      </c>
      <c r="D497" s="39" t="n">
        <v>41.595</v>
      </c>
      <c r="E497" s="41">
        <f>IFERROR(B497/B496-1,"")</f>
        <v/>
      </c>
      <c r="F497" s="41">
        <f>IFERROR(C497/C496-1,"")</f>
        <v/>
      </c>
      <c r="G497" s="41">
        <f>IFERROR(D497/D496-1,"")</f>
        <v/>
      </c>
      <c r="H497" s="41">
        <f>IFERROR((1+E497)*(1+H496)-1,"")</f>
        <v/>
      </c>
      <c r="I497" s="41">
        <f>IFERROR((1+F497)*(1+I496)-1,"")</f>
        <v/>
      </c>
      <c r="J497" s="41">
        <f>IFERROR((1+G497)*(1+J496)-1,"")</f>
        <v/>
      </c>
      <c r="K497" s="42">
        <f>IFERROR(B497/$B$36*100,"")</f>
        <v/>
      </c>
      <c r="L497" s="42">
        <f>IFERROR(C497/$C$36*100,"")</f>
        <v/>
      </c>
      <c r="M497" s="42">
        <f>IFERROR(D497/$D$36*100,"")</f>
        <v/>
      </c>
      <c r="N497" s="41">
        <f>IFERROR((1+H497)/(1+I497)-1,"")</f>
        <v/>
      </c>
      <c r="O497" s="41">
        <f>IFERROR((1+H497)/(1+J497)-1,"")</f>
        <v/>
      </c>
      <c r="P497" s="39">
        <f>IFERROR(B497*0.0099502487562189+P496*(1-0.0099502487562189),"")</f>
        <v/>
      </c>
      <c r="Q497" s="42">
        <f>Q496*(1+E497)</f>
        <v/>
      </c>
      <c r="R497" s="42">
        <f>MAX(R496,Q497)</f>
        <v/>
      </c>
      <c r="S497" s="41">
        <f>IFERROR(Q497/R497-1,"")</f>
        <v/>
      </c>
      <c r="T497" s="41">
        <f>IFERROR(_xlfn.STDEV.S(E438:E497)*SQRT($D$7),"")</f>
        <v/>
      </c>
      <c r="U497" s="41">
        <f>IFERROR(MIN(E497-$D$6,0),"")</f>
        <v/>
      </c>
      <c r="V497" s="41">
        <f>IFERROR(E497-F497,"")</f>
        <v/>
      </c>
      <c r="W497" s="39">
        <f>B497</f>
        <v/>
      </c>
      <c r="X497" s="21" t="n"/>
    </row>
    <row r="498">
      <c r="A498" s="38" t="n">
        <v>45663</v>
      </c>
      <c r="B498" s="39" t="n">
        <v>257.38</v>
      </c>
      <c r="C498" s="39" t="n">
        <v>595.36</v>
      </c>
      <c r="D498" s="39" t="n">
        <v>41.875</v>
      </c>
      <c r="E498" s="41">
        <f>IFERROR(B498/B497-1,"")</f>
        <v/>
      </c>
      <c r="F498" s="41">
        <f>IFERROR(C498/C497-1,"")</f>
        <v/>
      </c>
      <c r="G498" s="41">
        <f>IFERROR(D498/D497-1,"")</f>
        <v/>
      </c>
      <c r="H498" s="41">
        <f>IFERROR((1+E498)*(1+H497)-1,"")</f>
        <v/>
      </c>
      <c r="I498" s="41">
        <f>IFERROR((1+F498)*(1+I497)-1,"")</f>
        <v/>
      </c>
      <c r="J498" s="41">
        <f>IFERROR((1+G498)*(1+J497)-1,"")</f>
        <v/>
      </c>
      <c r="K498" s="42">
        <f>IFERROR(B498/$B$36*100,"")</f>
        <v/>
      </c>
      <c r="L498" s="42">
        <f>IFERROR(C498/$C$36*100,"")</f>
        <v/>
      </c>
      <c r="M498" s="42">
        <f>IFERROR(D498/$D$36*100,"")</f>
        <v/>
      </c>
      <c r="N498" s="41">
        <f>IFERROR((1+H498)/(1+I498)-1,"")</f>
        <v/>
      </c>
      <c r="O498" s="41">
        <f>IFERROR((1+H498)/(1+J498)-1,"")</f>
        <v/>
      </c>
      <c r="P498" s="39">
        <f>IFERROR(B498*0.0099502487562189+P497*(1-0.0099502487562189),"")</f>
        <v/>
      </c>
      <c r="Q498" s="42">
        <f>Q497*(1+E498)</f>
        <v/>
      </c>
      <c r="R498" s="42">
        <f>MAX(R497,Q498)</f>
        <v/>
      </c>
      <c r="S498" s="41">
        <f>IFERROR(Q498/R498-1,"")</f>
        <v/>
      </c>
      <c r="T498" s="41">
        <f>IFERROR(_xlfn.STDEV.S(E439:E498)*SQRT($D$7),"")</f>
        <v/>
      </c>
      <c r="U498" s="41">
        <f>IFERROR(MIN(E498-$D$6,0),"")</f>
        <v/>
      </c>
      <c r="V498" s="41">
        <f>IFERROR(E498-F498,"")</f>
        <v/>
      </c>
      <c r="W498" s="39">
        <f>B498</f>
        <v/>
      </c>
      <c r="X498" s="21" t="n"/>
    </row>
    <row r="499">
      <c r="A499" s="38" t="n">
        <v>45664</v>
      </c>
      <c r="B499" s="39" t="n">
        <v>251.98</v>
      </c>
      <c r="C499" s="39" t="n">
        <v>588.63</v>
      </c>
      <c r="D499" s="39" t="n">
        <v>41.85</v>
      </c>
      <c r="E499" s="41">
        <f>IFERROR(B499/B498-1,"")</f>
        <v/>
      </c>
      <c r="F499" s="41">
        <f>IFERROR(C499/C498-1,"")</f>
        <v/>
      </c>
      <c r="G499" s="41">
        <f>IFERROR(D499/D498-1,"")</f>
        <v/>
      </c>
      <c r="H499" s="41">
        <f>IFERROR((1+E499)*(1+H498)-1,"")</f>
        <v/>
      </c>
      <c r="I499" s="41">
        <f>IFERROR((1+F499)*(1+I498)-1,"")</f>
        <v/>
      </c>
      <c r="J499" s="41">
        <f>IFERROR((1+G499)*(1+J498)-1,"")</f>
        <v/>
      </c>
      <c r="K499" s="42">
        <f>IFERROR(B499/$B$36*100,"")</f>
        <v/>
      </c>
      <c r="L499" s="42">
        <f>IFERROR(C499/$C$36*100,"")</f>
        <v/>
      </c>
      <c r="M499" s="42">
        <f>IFERROR(D499/$D$36*100,"")</f>
        <v/>
      </c>
      <c r="N499" s="41">
        <f>IFERROR((1+H499)/(1+I499)-1,"")</f>
        <v/>
      </c>
      <c r="O499" s="41">
        <f>IFERROR((1+H499)/(1+J499)-1,"")</f>
        <v/>
      </c>
      <c r="P499" s="39">
        <f>IFERROR(B499*0.0099502487562189+P498*(1-0.0099502487562189),"")</f>
        <v/>
      </c>
      <c r="Q499" s="42">
        <f>Q498*(1+E499)</f>
        <v/>
      </c>
      <c r="R499" s="42">
        <f>MAX(R498,Q499)</f>
        <v/>
      </c>
      <c r="S499" s="41">
        <f>IFERROR(Q499/R499-1,"")</f>
        <v/>
      </c>
      <c r="T499" s="41">
        <f>IFERROR(_xlfn.STDEV.S(E440:E499)*SQRT($D$7),"")</f>
        <v/>
      </c>
      <c r="U499" s="41">
        <f>IFERROR(MIN(E499-$D$6,0),"")</f>
        <v/>
      </c>
      <c r="V499" s="41">
        <f>IFERROR(E499-F499,"")</f>
        <v/>
      </c>
      <c r="W499" s="39">
        <f>B499</f>
        <v/>
      </c>
      <c r="X499" s="21" t="n"/>
    </row>
    <row r="500">
      <c r="A500" s="38" t="n">
        <v>45665</v>
      </c>
      <c r="B500" s="39" t="n">
        <v>255.28</v>
      </c>
      <c r="C500" s="39" t="n">
        <v>589.49</v>
      </c>
      <c r="D500" s="39" t="n">
        <v>42.08</v>
      </c>
      <c r="E500" s="41">
        <f>IFERROR(B500/B499-1,"")</f>
        <v/>
      </c>
      <c r="F500" s="41">
        <f>IFERROR(C500/C499-1,"")</f>
        <v/>
      </c>
      <c r="G500" s="41">
        <f>IFERROR(D500/D499-1,"")</f>
        <v/>
      </c>
      <c r="H500" s="41">
        <f>IFERROR((1+E500)*(1+H499)-1,"")</f>
        <v/>
      </c>
      <c r="I500" s="41">
        <f>IFERROR((1+F500)*(1+I499)-1,"")</f>
        <v/>
      </c>
      <c r="J500" s="41">
        <f>IFERROR((1+G500)*(1+J499)-1,"")</f>
        <v/>
      </c>
      <c r="K500" s="42">
        <f>IFERROR(B500/$B$36*100,"")</f>
        <v/>
      </c>
      <c r="L500" s="42">
        <f>IFERROR(C500/$C$36*100,"")</f>
        <v/>
      </c>
      <c r="M500" s="42">
        <f>IFERROR(D500/$D$36*100,"")</f>
        <v/>
      </c>
      <c r="N500" s="41">
        <f>IFERROR((1+H500)/(1+I500)-1,"")</f>
        <v/>
      </c>
      <c r="O500" s="41">
        <f>IFERROR((1+H500)/(1+J500)-1,"")</f>
        <v/>
      </c>
      <c r="P500" s="39">
        <f>IFERROR(B500*0.0099502487562189+P499*(1-0.0099502487562189),"")</f>
        <v/>
      </c>
      <c r="Q500" s="42">
        <f>Q499*(1+E500)</f>
        <v/>
      </c>
      <c r="R500" s="42">
        <f>MAX(R499,Q500)</f>
        <v/>
      </c>
      <c r="S500" s="41">
        <f>IFERROR(Q500/R500-1,"")</f>
        <v/>
      </c>
      <c r="T500" s="41">
        <f>IFERROR(_xlfn.STDEV.S(E441:E500)*SQRT($D$7),"")</f>
        <v/>
      </c>
      <c r="U500" s="41">
        <f>IFERROR(MIN(E500-$D$6,0),"")</f>
        <v/>
      </c>
      <c r="V500" s="41">
        <f>IFERROR(E500-F500,"")</f>
        <v/>
      </c>
      <c r="W500" s="39">
        <f>B500</f>
        <v/>
      </c>
      <c r="X500" s="21" t="n"/>
    </row>
    <row r="501">
      <c r="A501" s="38" t="n">
        <v>45667</v>
      </c>
      <c r="B501" s="39" t="n">
        <v>251.69</v>
      </c>
      <c r="C501" s="39" t="n">
        <v>580.49</v>
      </c>
      <c r="D501" s="39" t="n">
        <v>41.65</v>
      </c>
      <c r="E501" s="41">
        <f>IFERROR(B501/B500-1,"")</f>
        <v/>
      </c>
      <c r="F501" s="41">
        <f>IFERROR(C501/C500-1,"")</f>
        <v/>
      </c>
      <c r="G501" s="41">
        <f>IFERROR(D501/D500-1,"")</f>
        <v/>
      </c>
      <c r="H501" s="41">
        <f>IFERROR((1+E501)*(1+H500)-1,"")</f>
        <v/>
      </c>
      <c r="I501" s="41">
        <f>IFERROR((1+F501)*(1+I500)-1,"")</f>
        <v/>
      </c>
      <c r="J501" s="41">
        <f>IFERROR((1+G501)*(1+J500)-1,"")</f>
        <v/>
      </c>
      <c r="K501" s="42">
        <f>IFERROR(B501/$B$36*100,"")</f>
        <v/>
      </c>
      <c r="L501" s="42">
        <f>IFERROR(C501/$C$36*100,"")</f>
        <v/>
      </c>
      <c r="M501" s="42">
        <f>IFERROR(D501/$D$36*100,"")</f>
        <v/>
      </c>
      <c r="N501" s="41">
        <f>IFERROR((1+H501)/(1+I501)-1,"")</f>
        <v/>
      </c>
      <c r="O501" s="41">
        <f>IFERROR((1+H501)/(1+J501)-1,"")</f>
        <v/>
      </c>
      <c r="P501" s="39">
        <f>IFERROR(B501*0.0099502487562189+P500*(1-0.0099502487562189),"")</f>
        <v/>
      </c>
      <c r="Q501" s="42">
        <f>Q500*(1+E501)</f>
        <v/>
      </c>
      <c r="R501" s="42">
        <f>MAX(R500,Q501)</f>
        <v/>
      </c>
      <c r="S501" s="41">
        <f>IFERROR(Q501/R501-1,"")</f>
        <v/>
      </c>
      <c r="T501" s="41">
        <f>IFERROR(_xlfn.STDEV.S(E442:E501)*SQRT($D$7),"")</f>
        <v/>
      </c>
      <c r="U501" s="41">
        <f>IFERROR(MIN(E501-$D$6,0),"")</f>
        <v/>
      </c>
      <c r="V501" s="41">
        <f>IFERROR(E501-F501,"")</f>
        <v/>
      </c>
      <c r="W501" s="39">
        <f>B501</f>
        <v/>
      </c>
      <c r="X501" s="21" t="n"/>
    </row>
    <row r="502">
      <c r="A502" s="38" t="n">
        <v>45670</v>
      </c>
      <c r="B502" s="39" t="n">
        <v>256.03</v>
      </c>
      <c r="C502" s="39" t="n">
        <v>581.39</v>
      </c>
      <c r="D502" s="39" t="n">
        <v>42.58</v>
      </c>
      <c r="E502" s="41">
        <f>IFERROR(B502/B501-1,"")</f>
        <v/>
      </c>
      <c r="F502" s="41">
        <f>IFERROR(C502/C501-1,"")</f>
        <v/>
      </c>
      <c r="G502" s="41">
        <f>IFERROR(D502/D501-1,"")</f>
        <v/>
      </c>
      <c r="H502" s="41">
        <f>IFERROR((1+E502)*(1+H501)-1,"")</f>
        <v/>
      </c>
      <c r="I502" s="41">
        <f>IFERROR((1+F502)*(1+I501)-1,"")</f>
        <v/>
      </c>
      <c r="J502" s="41">
        <f>IFERROR((1+G502)*(1+J501)-1,"")</f>
        <v/>
      </c>
      <c r="K502" s="42">
        <f>IFERROR(B502/$B$36*100,"")</f>
        <v/>
      </c>
      <c r="L502" s="42">
        <f>IFERROR(C502/$C$36*100,"")</f>
        <v/>
      </c>
      <c r="M502" s="42">
        <f>IFERROR(D502/$D$36*100,"")</f>
        <v/>
      </c>
      <c r="N502" s="41">
        <f>IFERROR((1+H502)/(1+I502)-1,"")</f>
        <v/>
      </c>
      <c r="O502" s="41">
        <f>IFERROR((1+H502)/(1+J502)-1,"")</f>
        <v/>
      </c>
      <c r="P502" s="39">
        <f>IFERROR(B502*0.0099502487562189+P501*(1-0.0099502487562189),"")</f>
        <v/>
      </c>
      <c r="Q502" s="42">
        <f>Q501*(1+E502)</f>
        <v/>
      </c>
      <c r="R502" s="42">
        <f>MAX(R501,Q502)</f>
        <v/>
      </c>
      <c r="S502" s="41">
        <f>IFERROR(Q502/R502-1,"")</f>
        <v/>
      </c>
      <c r="T502" s="41">
        <f>IFERROR(_xlfn.STDEV.S(E443:E502)*SQRT($D$7),"")</f>
        <v/>
      </c>
      <c r="U502" s="41">
        <f>IFERROR(MIN(E502-$D$6,0),"")</f>
        <v/>
      </c>
      <c r="V502" s="41">
        <f>IFERROR(E502-F502,"")</f>
        <v/>
      </c>
      <c r="W502" s="39">
        <f>B502</f>
        <v/>
      </c>
      <c r="X502" s="21" t="n"/>
    </row>
    <row r="503">
      <c r="A503" s="38" t="n">
        <v>45671</v>
      </c>
      <c r="B503" s="39" t="n">
        <v>260.07</v>
      </c>
      <c r="C503" s="39" t="n">
        <v>582.1900000000001</v>
      </c>
      <c r="D503" s="39" t="n">
        <v>43.11</v>
      </c>
      <c r="E503" s="41">
        <f>IFERROR(B503/B502-1,"")</f>
        <v/>
      </c>
      <c r="F503" s="41">
        <f>IFERROR(C503/C502-1,"")</f>
        <v/>
      </c>
      <c r="G503" s="41">
        <f>IFERROR(D503/D502-1,"")</f>
        <v/>
      </c>
      <c r="H503" s="41">
        <f>IFERROR((1+E503)*(1+H502)-1,"")</f>
        <v/>
      </c>
      <c r="I503" s="41">
        <f>IFERROR((1+F503)*(1+I502)-1,"")</f>
        <v/>
      </c>
      <c r="J503" s="41">
        <f>IFERROR((1+G503)*(1+J502)-1,"")</f>
        <v/>
      </c>
      <c r="K503" s="42">
        <f>IFERROR(B503/$B$36*100,"")</f>
        <v/>
      </c>
      <c r="L503" s="42">
        <f>IFERROR(C503/$C$36*100,"")</f>
        <v/>
      </c>
      <c r="M503" s="42">
        <f>IFERROR(D503/$D$36*100,"")</f>
        <v/>
      </c>
      <c r="N503" s="41">
        <f>IFERROR((1+H503)/(1+I503)-1,"")</f>
        <v/>
      </c>
      <c r="O503" s="41">
        <f>IFERROR((1+H503)/(1+J503)-1,"")</f>
        <v/>
      </c>
      <c r="P503" s="39">
        <f>IFERROR(B503*0.0099502487562189+P502*(1-0.0099502487562189),"")</f>
        <v/>
      </c>
      <c r="Q503" s="42">
        <f>Q502*(1+E503)</f>
        <v/>
      </c>
      <c r="R503" s="42">
        <f>MAX(R502,Q503)</f>
        <v/>
      </c>
      <c r="S503" s="41">
        <f>IFERROR(Q503/R503-1,"")</f>
        <v/>
      </c>
      <c r="T503" s="41">
        <f>IFERROR(_xlfn.STDEV.S(E444:E503)*SQRT($D$7),"")</f>
        <v/>
      </c>
      <c r="U503" s="41">
        <f>IFERROR(MIN(E503-$D$6,0),"")</f>
        <v/>
      </c>
      <c r="V503" s="41">
        <f>IFERROR(E503-F503,"")</f>
        <v/>
      </c>
      <c r="W503" s="39">
        <f>B503</f>
        <v/>
      </c>
      <c r="X503" s="21" t="n"/>
    </row>
    <row r="504">
      <c r="A504" s="38" t="n">
        <v>45672</v>
      </c>
      <c r="B504" s="39" t="n">
        <v>268.19</v>
      </c>
      <c r="C504" s="39" t="n">
        <v>592.78</v>
      </c>
      <c r="D504" s="39" t="n">
        <v>43.52</v>
      </c>
      <c r="E504" s="41">
        <f>IFERROR(B504/B503-1,"")</f>
        <v/>
      </c>
      <c r="F504" s="41">
        <f>IFERROR(C504/C503-1,"")</f>
        <v/>
      </c>
      <c r="G504" s="41">
        <f>IFERROR(D504/D503-1,"")</f>
        <v/>
      </c>
      <c r="H504" s="41">
        <f>IFERROR((1+E504)*(1+H503)-1,"")</f>
        <v/>
      </c>
      <c r="I504" s="41">
        <f>IFERROR((1+F504)*(1+I503)-1,"")</f>
        <v/>
      </c>
      <c r="J504" s="41">
        <f>IFERROR((1+G504)*(1+J503)-1,"")</f>
        <v/>
      </c>
      <c r="K504" s="42">
        <f>IFERROR(B504/$B$36*100,"")</f>
        <v/>
      </c>
      <c r="L504" s="42">
        <f>IFERROR(C504/$C$36*100,"")</f>
        <v/>
      </c>
      <c r="M504" s="42">
        <f>IFERROR(D504/$D$36*100,"")</f>
        <v/>
      </c>
      <c r="N504" s="41">
        <f>IFERROR((1+H504)/(1+I504)-1,"")</f>
        <v/>
      </c>
      <c r="O504" s="41">
        <f>IFERROR((1+H504)/(1+J504)-1,"")</f>
        <v/>
      </c>
      <c r="P504" s="39">
        <f>IFERROR(B504*0.0099502487562189+P503*(1-0.0099502487562189),"")</f>
        <v/>
      </c>
      <c r="Q504" s="42">
        <f>Q503*(1+E504)</f>
        <v/>
      </c>
      <c r="R504" s="42">
        <f>MAX(R503,Q504)</f>
        <v/>
      </c>
      <c r="S504" s="41">
        <f>IFERROR(Q504/R504-1,"")</f>
        <v/>
      </c>
      <c r="T504" s="41">
        <f>IFERROR(_xlfn.STDEV.S(E445:E504)*SQRT($D$7),"")</f>
        <v/>
      </c>
      <c r="U504" s="41">
        <f>IFERROR(MIN(E504-$D$6,0),"")</f>
        <v/>
      </c>
      <c r="V504" s="41">
        <f>IFERROR(E504-F504,"")</f>
        <v/>
      </c>
      <c r="W504" s="39">
        <f>B504</f>
        <v/>
      </c>
      <c r="X504" s="21" t="n"/>
    </row>
    <row r="505">
      <c r="A505" s="38" t="n">
        <v>45673</v>
      </c>
      <c r="B505" s="39" t="n">
        <v>269.17</v>
      </c>
      <c r="C505" s="39" t="n">
        <v>591.64</v>
      </c>
      <c r="D505" s="39" t="n">
        <v>43.88</v>
      </c>
      <c r="E505" s="41">
        <f>IFERROR(B505/B504-1,"")</f>
        <v/>
      </c>
      <c r="F505" s="41">
        <f>IFERROR(C505/C504-1,"")</f>
        <v/>
      </c>
      <c r="G505" s="41">
        <f>IFERROR(D505/D504-1,"")</f>
        <v/>
      </c>
      <c r="H505" s="41">
        <f>IFERROR((1+E505)*(1+H504)-1,"")</f>
        <v/>
      </c>
      <c r="I505" s="41">
        <f>IFERROR((1+F505)*(1+I504)-1,"")</f>
        <v/>
      </c>
      <c r="J505" s="41">
        <f>IFERROR((1+G505)*(1+J504)-1,"")</f>
        <v/>
      </c>
      <c r="K505" s="42">
        <f>IFERROR(B505/$B$36*100,"")</f>
        <v/>
      </c>
      <c r="L505" s="42">
        <f>IFERROR(C505/$C$36*100,"")</f>
        <v/>
      </c>
      <c r="M505" s="42">
        <f>IFERROR(D505/$D$36*100,"")</f>
        <v/>
      </c>
      <c r="N505" s="41">
        <f>IFERROR((1+H505)/(1+I505)-1,"")</f>
        <v/>
      </c>
      <c r="O505" s="41">
        <f>IFERROR((1+H505)/(1+J505)-1,"")</f>
        <v/>
      </c>
      <c r="P505" s="39">
        <f>IFERROR(B505*0.0099502487562189+P504*(1-0.0099502487562189),"")</f>
        <v/>
      </c>
      <c r="Q505" s="42">
        <f>Q504*(1+E505)</f>
        <v/>
      </c>
      <c r="R505" s="42">
        <f>MAX(R504,Q505)</f>
        <v/>
      </c>
      <c r="S505" s="41">
        <f>IFERROR(Q505/R505-1,"")</f>
        <v/>
      </c>
      <c r="T505" s="41">
        <f>IFERROR(_xlfn.STDEV.S(E446:E505)*SQRT($D$7),"")</f>
        <v/>
      </c>
      <c r="U505" s="41">
        <f>IFERROR(MIN(E505-$D$6,0),"")</f>
        <v/>
      </c>
      <c r="V505" s="41">
        <f>IFERROR(E505-F505,"")</f>
        <v/>
      </c>
      <c r="W505" s="39">
        <f>B505</f>
        <v/>
      </c>
      <c r="X505" s="21" t="n"/>
    </row>
    <row r="506">
      <c r="A506" s="38" t="n">
        <v>45674</v>
      </c>
      <c r="B506" s="39" t="n">
        <v>270.1</v>
      </c>
      <c r="C506" s="39" t="n">
        <v>597.58</v>
      </c>
      <c r="D506" s="39" t="n">
        <v>44.165</v>
      </c>
      <c r="E506" s="41">
        <f>IFERROR(B506/B505-1,"")</f>
        <v/>
      </c>
      <c r="F506" s="41">
        <f>IFERROR(C506/C505-1,"")</f>
        <v/>
      </c>
      <c r="G506" s="41">
        <f>IFERROR(D506/D505-1,"")</f>
        <v/>
      </c>
      <c r="H506" s="41">
        <f>IFERROR((1+E506)*(1+H505)-1,"")</f>
        <v/>
      </c>
      <c r="I506" s="41">
        <f>IFERROR((1+F506)*(1+I505)-1,"")</f>
        <v/>
      </c>
      <c r="J506" s="41">
        <f>IFERROR((1+G506)*(1+J505)-1,"")</f>
        <v/>
      </c>
      <c r="K506" s="42">
        <f>IFERROR(B506/$B$36*100,"")</f>
        <v/>
      </c>
      <c r="L506" s="42">
        <f>IFERROR(C506/$C$36*100,"")</f>
        <v/>
      </c>
      <c r="M506" s="42">
        <f>IFERROR(D506/$D$36*100,"")</f>
        <v/>
      </c>
      <c r="N506" s="41">
        <f>IFERROR((1+H506)/(1+I506)-1,"")</f>
        <v/>
      </c>
      <c r="O506" s="41">
        <f>IFERROR((1+H506)/(1+J506)-1,"")</f>
        <v/>
      </c>
      <c r="P506" s="39">
        <f>IFERROR(B506*0.0099502487562189+P505*(1-0.0099502487562189),"")</f>
        <v/>
      </c>
      <c r="Q506" s="42">
        <f>Q505*(1+E506)</f>
        <v/>
      </c>
      <c r="R506" s="42">
        <f>MAX(R505,Q506)</f>
        <v/>
      </c>
      <c r="S506" s="41">
        <f>IFERROR(Q506/R506-1,"")</f>
        <v/>
      </c>
      <c r="T506" s="41">
        <f>IFERROR(_xlfn.STDEV.S(E447:E506)*SQRT($D$7),"")</f>
        <v/>
      </c>
      <c r="U506" s="41">
        <f>IFERROR(MIN(E506-$D$6,0),"")</f>
        <v/>
      </c>
      <c r="V506" s="41">
        <f>IFERROR(E506-F506,"")</f>
        <v/>
      </c>
      <c r="W506" s="39">
        <f>B506</f>
        <v/>
      </c>
      <c r="X506" s="21" t="n"/>
    </row>
    <row r="507">
      <c r="A507" s="38" t="n">
        <v>45678</v>
      </c>
      <c r="B507" s="39" t="n">
        <v>275.53</v>
      </c>
      <c r="C507" s="39" t="n">
        <v>603.05</v>
      </c>
      <c r="D507" s="39" t="n">
        <v>44.73</v>
      </c>
      <c r="E507" s="41">
        <f>IFERROR(B507/B506-1,"")</f>
        <v/>
      </c>
      <c r="F507" s="41">
        <f>IFERROR(C507/C506-1,"")</f>
        <v/>
      </c>
      <c r="G507" s="41">
        <f>IFERROR(D507/D506-1,"")</f>
        <v/>
      </c>
      <c r="H507" s="41">
        <f>IFERROR((1+E507)*(1+H506)-1,"")</f>
        <v/>
      </c>
      <c r="I507" s="41">
        <f>IFERROR((1+F507)*(1+I506)-1,"")</f>
        <v/>
      </c>
      <c r="J507" s="41">
        <f>IFERROR((1+G507)*(1+J506)-1,"")</f>
        <v/>
      </c>
      <c r="K507" s="42">
        <f>IFERROR(B507/$B$36*100,"")</f>
        <v/>
      </c>
      <c r="L507" s="42">
        <f>IFERROR(C507/$C$36*100,"")</f>
        <v/>
      </c>
      <c r="M507" s="42">
        <f>IFERROR(D507/$D$36*100,"")</f>
        <v/>
      </c>
      <c r="N507" s="41">
        <f>IFERROR((1+H507)/(1+I507)-1,"")</f>
        <v/>
      </c>
      <c r="O507" s="41">
        <f>IFERROR((1+H507)/(1+J507)-1,"")</f>
        <v/>
      </c>
      <c r="P507" s="39">
        <f>IFERROR(B507*0.0099502487562189+P506*(1-0.0099502487562189),"")</f>
        <v/>
      </c>
      <c r="Q507" s="42">
        <f>Q506*(1+E507)</f>
        <v/>
      </c>
      <c r="R507" s="42">
        <f>MAX(R506,Q507)</f>
        <v/>
      </c>
      <c r="S507" s="41">
        <f>IFERROR(Q507/R507-1,"")</f>
        <v/>
      </c>
      <c r="T507" s="41">
        <f>IFERROR(_xlfn.STDEV.S(E448:E507)*SQRT($D$7),"")</f>
        <v/>
      </c>
      <c r="U507" s="41">
        <f>IFERROR(MIN(E507-$D$6,0),"")</f>
        <v/>
      </c>
      <c r="V507" s="41">
        <f>IFERROR(E507-F507,"")</f>
        <v/>
      </c>
      <c r="W507" s="39">
        <f>B507</f>
        <v/>
      </c>
      <c r="X507" s="21" t="n"/>
    </row>
    <row r="508">
      <c r="A508" s="38" t="n">
        <v>45679</v>
      </c>
      <c r="B508" s="39" t="n">
        <v>274.38</v>
      </c>
      <c r="C508" s="39" t="n">
        <v>606.4400000000001</v>
      </c>
      <c r="D508" s="39" t="n">
        <v>44.37</v>
      </c>
      <c r="E508" s="41">
        <f>IFERROR(B508/B507-1,"")</f>
        <v/>
      </c>
      <c r="F508" s="41">
        <f>IFERROR(C508/C507-1,"")</f>
        <v/>
      </c>
      <c r="G508" s="41">
        <f>IFERROR(D508/D507-1,"")</f>
        <v/>
      </c>
      <c r="H508" s="41">
        <f>IFERROR((1+E508)*(1+H507)-1,"")</f>
        <v/>
      </c>
      <c r="I508" s="41">
        <f>IFERROR((1+F508)*(1+I507)-1,"")</f>
        <v/>
      </c>
      <c r="J508" s="41">
        <f>IFERROR((1+G508)*(1+J507)-1,"")</f>
        <v/>
      </c>
      <c r="K508" s="42">
        <f>IFERROR(B508/$B$36*100,"")</f>
        <v/>
      </c>
      <c r="L508" s="42">
        <f>IFERROR(C508/$C$36*100,"")</f>
        <v/>
      </c>
      <c r="M508" s="42">
        <f>IFERROR(D508/$D$36*100,"")</f>
        <v/>
      </c>
      <c r="N508" s="41">
        <f>IFERROR((1+H508)/(1+I508)-1,"")</f>
        <v/>
      </c>
      <c r="O508" s="41">
        <f>IFERROR((1+H508)/(1+J508)-1,"")</f>
        <v/>
      </c>
      <c r="P508" s="39">
        <f>IFERROR(B508*0.0099502487562189+P507*(1-0.0099502487562189),"")</f>
        <v/>
      </c>
      <c r="Q508" s="42">
        <f>Q507*(1+E508)</f>
        <v/>
      </c>
      <c r="R508" s="42">
        <f>MAX(R507,Q508)</f>
        <v/>
      </c>
      <c r="S508" s="41">
        <f>IFERROR(Q508/R508-1,"")</f>
        <v/>
      </c>
      <c r="T508" s="41">
        <f>IFERROR(_xlfn.STDEV.S(E449:E508)*SQRT($D$7),"")</f>
        <v/>
      </c>
      <c r="U508" s="41">
        <f>IFERROR(MIN(E508-$D$6,0),"")</f>
        <v/>
      </c>
      <c r="V508" s="41">
        <f>IFERROR(E508-F508,"")</f>
        <v/>
      </c>
      <c r="W508" s="39">
        <f>B508</f>
        <v/>
      </c>
      <c r="X508" s="21" t="n"/>
    </row>
    <row r="509">
      <c r="A509" s="38" t="n">
        <v>45680</v>
      </c>
      <c r="B509" s="39" t="n">
        <v>274.83</v>
      </c>
      <c r="C509" s="39" t="n">
        <v>609.75</v>
      </c>
      <c r="D509" s="39" t="n">
        <v>44.615</v>
      </c>
      <c r="E509" s="41">
        <f>IFERROR(B509/B508-1,"")</f>
        <v/>
      </c>
      <c r="F509" s="41">
        <f>IFERROR(C509/C508-1,"")</f>
        <v/>
      </c>
      <c r="G509" s="41">
        <f>IFERROR(D509/D508-1,"")</f>
        <v/>
      </c>
      <c r="H509" s="41">
        <f>IFERROR((1+E509)*(1+H508)-1,"")</f>
        <v/>
      </c>
      <c r="I509" s="41">
        <f>IFERROR((1+F509)*(1+I508)-1,"")</f>
        <v/>
      </c>
      <c r="J509" s="41">
        <f>IFERROR((1+G509)*(1+J508)-1,"")</f>
        <v/>
      </c>
      <c r="K509" s="42">
        <f>IFERROR(B509/$B$36*100,"")</f>
        <v/>
      </c>
      <c r="L509" s="42">
        <f>IFERROR(C509/$C$36*100,"")</f>
        <v/>
      </c>
      <c r="M509" s="42">
        <f>IFERROR(D509/$D$36*100,"")</f>
        <v/>
      </c>
      <c r="N509" s="41">
        <f>IFERROR((1+H509)/(1+I509)-1,"")</f>
        <v/>
      </c>
      <c r="O509" s="41">
        <f>IFERROR((1+H509)/(1+J509)-1,"")</f>
        <v/>
      </c>
      <c r="P509" s="39">
        <f>IFERROR(B509*0.0099502487562189+P508*(1-0.0099502487562189),"")</f>
        <v/>
      </c>
      <c r="Q509" s="42">
        <f>Q508*(1+E509)</f>
        <v/>
      </c>
      <c r="R509" s="42">
        <f>MAX(R508,Q509)</f>
        <v/>
      </c>
      <c r="S509" s="41">
        <f>IFERROR(Q509/R509-1,"")</f>
        <v/>
      </c>
      <c r="T509" s="41">
        <f>IFERROR(_xlfn.STDEV.S(E450:E509)*SQRT($D$7),"")</f>
        <v/>
      </c>
      <c r="U509" s="41">
        <f>IFERROR(MIN(E509-$D$6,0),"")</f>
        <v/>
      </c>
      <c r="V509" s="41">
        <f>IFERROR(E509-F509,"")</f>
        <v/>
      </c>
      <c r="W509" s="39">
        <f>B509</f>
        <v/>
      </c>
      <c r="X509" s="21" t="n"/>
    </row>
    <row r="510">
      <c r="A510" s="38" t="n">
        <v>45681</v>
      </c>
      <c r="B510" s="39" t="n">
        <v>277.54</v>
      </c>
      <c r="C510" s="39" t="n">
        <v>607.97</v>
      </c>
      <c r="D510" s="39" t="n">
        <v>44.5</v>
      </c>
      <c r="E510" s="41">
        <f>IFERROR(B510/B509-1,"")</f>
        <v/>
      </c>
      <c r="F510" s="41">
        <f>IFERROR(C510/C509-1,"")</f>
        <v/>
      </c>
      <c r="G510" s="41">
        <f>IFERROR(D510/D509-1,"")</f>
        <v/>
      </c>
      <c r="H510" s="41">
        <f>IFERROR((1+E510)*(1+H509)-1,"")</f>
        <v/>
      </c>
      <c r="I510" s="41">
        <f>IFERROR((1+F510)*(1+I509)-1,"")</f>
        <v/>
      </c>
      <c r="J510" s="41">
        <f>IFERROR((1+G510)*(1+J509)-1,"")</f>
        <v/>
      </c>
      <c r="K510" s="42">
        <f>IFERROR(B510/$B$36*100,"")</f>
        <v/>
      </c>
      <c r="L510" s="42">
        <f>IFERROR(C510/$C$36*100,"")</f>
        <v/>
      </c>
      <c r="M510" s="42">
        <f>IFERROR(D510/$D$36*100,"")</f>
        <v/>
      </c>
      <c r="N510" s="41">
        <f>IFERROR((1+H510)/(1+I510)-1,"")</f>
        <v/>
      </c>
      <c r="O510" s="41">
        <f>IFERROR((1+H510)/(1+J510)-1,"")</f>
        <v/>
      </c>
      <c r="P510" s="39">
        <f>IFERROR(B510*0.0099502487562189+P509*(1-0.0099502487562189),"")</f>
        <v/>
      </c>
      <c r="Q510" s="42">
        <f>Q509*(1+E510)</f>
        <v/>
      </c>
      <c r="R510" s="42">
        <f>MAX(R509,Q510)</f>
        <v/>
      </c>
      <c r="S510" s="41">
        <f>IFERROR(Q510/R510-1,"")</f>
        <v/>
      </c>
      <c r="T510" s="41">
        <f>IFERROR(_xlfn.STDEV.S(E451:E510)*SQRT($D$7),"")</f>
        <v/>
      </c>
      <c r="U510" s="41">
        <f>IFERROR(MIN(E510-$D$6,0),"")</f>
        <v/>
      </c>
      <c r="V510" s="41">
        <f>IFERROR(E510-F510,"")</f>
        <v/>
      </c>
      <c r="W510" s="39">
        <f>B510</f>
        <v/>
      </c>
      <c r="X510" s="21" t="n"/>
    </row>
    <row r="511">
      <c r="A511" s="38" t="n">
        <v>45684</v>
      </c>
      <c r="B511" s="39" t="n">
        <v>274.99</v>
      </c>
      <c r="C511" s="39" t="n">
        <v>599.37</v>
      </c>
      <c r="D511" s="39" t="n">
        <v>44.525</v>
      </c>
      <c r="E511" s="41">
        <f>IFERROR(B511/B510-1,"")</f>
        <v/>
      </c>
      <c r="F511" s="41">
        <f>IFERROR(C511/C510-1,"")</f>
        <v/>
      </c>
      <c r="G511" s="41">
        <f>IFERROR(D511/D510-1,"")</f>
        <v/>
      </c>
      <c r="H511" s="41">
        <f>IFERROR((1+E511)*(1+H510)-1,"")</f>
        <v/>
      </c>
      <c r="I511" s="41">
        <f>IFERROR((1+F511)*(1+I510)-1,"")</f>
        <v/>
      </c>
      <c r="J511" s="41">
        <f>IFERROR((1+G511)*(1+J510)-1,"")</f>
        <v/>
      </c>
      <c r="K511" s="42">
        <f>IFERROR(B511/$B$36*100,"")</f>
        <v/>
      </c>
      <c r="L511" s="42">
        <f>IFERROR(C511/$C$36*100,"")</f>
        <v/>
      </c>
      <c r="M511" s="42">
        <f>IFERROR(D511/$D$36*100,"")</f>
        <v/>
      </c>
      <c r="N511" s="41">
        <f>IFERROR((1+H511)/(1+I511)-1,"")</f>
        <v/>
      </c>
      <c r="O511" s="41">
        <f>IFERROR((1+H511)/(1+J511)-1,"")</f>
        <v/>
      </c>
      <c r="P511" s="39">
        <f>IFERROR(B511*0.0099502487562189+P510*(1-0.0099502487562189),"")</f>
        <v/>
      </c>
      <c r="Q511" s="42">
        <f>Q510*(1+E511)</f>
        <v/>
      </c>
      <c r="R511" s="42">
        <f>MAX(R510,Q511)</f>
        <v/>
      </c>
      <c r="S511" s="41">
        <f>IFERROR(Q511/R511-1,"")</f>
        <v/>
      </c>
      <c r="T511" s="41">
        <f>IFERROR(_xlfn.STDEV.S(E452:E511)*SQRT($D$7),"")</f>
        <v/>
      </c>
      <c r="U511" s="41">
        <f>IFERROR(MIN(E511-$D$6,0),"")</f>
        <v/>
      </c>
      <c r="V511" s="41">
        <f>IFERROR(E511-F511,"")</f>
        <v/>
      </c>
      <c r="W511" s="39">
        <f>B511</f>
        <v/>
      </c>
      <c r="X511" s="21" t="n"/>
    </row>
    <row r="512">
      <c r="A512" s="38" t="n">
        <v>45685</v>
      </c>
      <c r="B512" s="39" t="n">
        <v>275.1</v>
      </c>
      <c r="C512" s="39" t="n">
        <v>604.52</v>
      </c>
      <c r="D512" s="39" t="n">
        <v>44.38</v>
      </c>
      <c r="E512" s="41">
        <f>IFERROR(B512/B511-1,"")</f>
        <v/>
      </c>
      <c r="F512" s="41">
        <f>IFERROR(C512/C511-1,"")</f>
        <v/>
      </c>
      <c r="G512" s="41">
        <f>IFERROR(D512/D511-1,"")</f>
        <v/>
      </c>
      <c r="H512" s="41">
        <f>IFERROR((1+E512)*(1+H511)-1,"")</f>
        <v/>
      </c>
      <c r="I512" s="41">
        <f>IFERROR((1+F512)*(1+I511)-1,"")</f>
        <v/>
      </c>
      <c r="J512" s="41">
        <f>IFERROR((1+G512)*(1+J511)-1,"")</f>
        <v/>
      </c>
      <c r="K512" s="42">
        <f>IFERROR(B512/$B$36*100,"")</f>
        <v/>
      </c>
      <c r="L512" s="42">
        <f>IFERROR(C512/$C$36*100,"")</f>
        <v/>
      </c>
      <c r="M512" s="42">
        <f>IFERROR(D512/$D$36*100,"")</f>
        <v/>
      </c>
      <c r="N512" s="41">
        <f>IFERROR((1+H512)/(1+I512)-1,"")</f>
        <v/>
      </c>
      <c r="O512" s="41">
        <f>IFERROR((1+H512)/(1+J512)-1,"")</f>
        <v/>
      </c>
      <c r="P512" s="39">
        <f>IFERROR(B512*0.0099502487562189+P511*(1-0.0099502487562189),"")</f>
        <v/>
      </c>
      <c r="Q512" s="42">
        <f>Q511*(1+E512)</f>
        <v/>
      </c>
      <c r="R512" s="42">
        <f>MAX(R511,Q512)</f>
        <v/>
      </c>
      <c r="S512" s="41">
        <f>IFERROR(Q512/R512-1,"")</f>
        <v/>
      </c>
      <c r="T512" s="41">
        <f>IFERROR(_xlfn.STDEV.S(E453:E512)*SQRT($D$7),"")</f>
        <v/>
      </c>
      <c r="U512" s="41">
        <f>IFERROR(MIN(E512-$D$6,0),"")</f>
        <v/>
      </c>
      <c r="V512" s="41">
        <f>IFERROR(E512-F512,"")</f>
        <v/>
      </c>
      <c r="W512" s="39">
        <f>B512</f>
        <v/>
      </c>
      <c r="X512" s="21" t="n"/>
    </row>
    <row r="513">
      <c r="A513" s="38" t="n">
        <v>45686</v>
      </c>
      <c r="B513" s="39" t="n">
        <v>272.2</v>
      </c>
      <c r="C513" s="39" t="n">
        <v>601.8099999999999</v>
      </c>
      <c r="D513" s="39" t="n">
        <v>44.3</v>
      </c>
      <c r="E513" s="41">
        <f>IFERROR(B513/B512-1,"")</f>
        <v/>
      </c>
      <c r="F513" s="41">
        <f>IFERROR(C513/C512-1,"")</f>
        <v/>
      </c>
      <c r="G513" s="41">
        <f>IFERROR(D513/D512-1,"")</f>
        <v/>
      </c>
      <c r="H513" s="41">
        <f>IFERROR((1+E513)*(1+H512)-1,"")</f>
        <v/>
      </c>
      <c r="I513" s="41">
        <f>IFERROR((1+F513)*(1+I512)-1,"")</f>
        <v/>
      </c>
      <c r="J513" s="41">
        <f>IFERROR((1+G513)*(1+J512)-1,"")</f>
        <v/>
      </c>
      <c r="K513" s="42">
        <f>IFERROR(B513/$B$36*100,"")</f>
        <v/>
      </c>
      <c r="L513" s="42">
        <f>IFERROR(C513/$C$36*100,"")</f>
        <v/>
      </c>
      <c r="M513" s="42">
        <f>IFERROR(D513/$D$36*100,"")</f>
        <v/>
      </c>
      <c r="N513" s="41">
        <f>IFERROR((1+H513)/(1+I513)-1,"")</f>
        <v/>
      </c>
      <c r="O513" s="41">
        <f>IFERROR((1+H513)/(1+J513)-1,"")</f>
        <v/>
      </c>
      <c r="P513" s="39">
        <f>IFERROR(B513*0.0099502487562189+P512*(1-0.0099502487562189),"")</f>
        <v/>
      </c>
      <c r="Q513" s="42">
        <f>Q512*(1+E513)</f>
        <v/>
      </c>
      <c r="R513" s="42">
        <f>MAX(R512,Q513)</f>
        <v/>
      </c>
      <c r="S513" s="41">
        <f>IFERROR(Q513/R513-1,"")</f>
        <v/>
      </c>
      <c r="T513" s="41">
        <f>IFERROR(_xlfn.STDEV.S(E454:E513)*SQRT($D$7),"")</f>
        <v/>
      </c>
      <c r="U513" s="41">
        <f>IFERROR(MIN(E513-$D$6,0),"")</f>
        <v/>
      </c>
      <c r="V513" s="41">
        <f>IFERROR(E513-F513,"")</f>
        <v/>
      </c>
      <c r="W513" s="39">
        <f>B513</f>
        <v/>
      </c>
      <c r="X513" s="21" t="n"/>
    </row>
    <row r="514">
      <c r="A514" s="38" t="n">
        <v>45687</v>
      </c>
      <c r="B514" s="39" t="n">
        <v>276.36</v>
      </c>
      <c r="C514" s="39" t="n">
        <v>605.04</v>
      </c>
      <c r="D514" s="39" t="n">
        <v>44.72</v>
      </c>
      <c r="E514" s="41">
        <f>IFERROR(B514/B513-1,"")</f>
        <v/>
      </c>
      <c r="F514" s="41">
        <f>IFERROR(C514/C513-1,"")</f>
        <v/>
      </c>
      <c r="G514" s="41">
        <f>IFERROR(D514/D513-1,"")</f>
        <v/>
      </c>
      <c r="H514" s="41">
        <f>IFERROR((1+E514)*(1+H513)-1,"")</f>
        <v/>
      </c>
      <c r="I514" s="41">
        <f>IFERROR((1+F514)*(1+I513)-1,"")</f>
        <v/>
      </c>
      <c r="J514" s="41">
        <f>IFERROR((1+G514)*(1+J513)-1,"")</f>
        <v/>
      </c>
      <c r="K514" s="42">
        <f>IFERROR(B514/$B$36*100,"")</f>
        <v/>
      </c>
      <c r="L514" s="42">
        <f>IFERROR(C514/$C$36*100,"")</f>
        <v/>
      </c>
      <c r="M514" s="42">
        <f>IFERROR(D514/$D$36*100,"")</f>
        <v/>
      </c>
      <c r="N514" s="41">
        <f>IFERROR((1+H514)/(1+I514)-1,"")</f>
        <v/>
      </c>
      <c r="O514" s="41">
        <f>IFERROR((1+H514)/(1+J514)-1,"")</f>
        <v/>
      </c>
      <c r="P514" s="39">
        <f>IFERROR(B514*0.0099502487562189+P513*(1-0.0099502487562189),"")</f>
        <v/>
      </c>
      <c r="Q514" s="42">
        <f>Q513*(1+E514)</f>
        <v/>
      </c>
      <c r="R514" s="42">
        <f>MAX(R513,Q514)</f>
        <v/>
      </c>
      <c r="S514" s="41">
        <f>IFERROR(Q514/R514-1,"")</f>
        <v/>
      </c>
      <c r="T514" s="41">
        <f>IFERROR(_xlfn.STDEV.S(E455:E514)*SQRT($D$7),"")</f>
        <v/>
      </c>
      <c r="U514" s="41">
        <f>IFERROR(MIN(E514-$D$6,0),"")</f>
        <v/>
      </c>
      <c r="V514" s="41">
        <f>IFERROR(E514-F514,"")</f>
        <v/>
      </c>
      <c r="W514" s="39">
        <f>B514</f>
        <v/>
      </c>
      <c r="X514" s="21" t="n"/>
    </row>
    <row r="515">
      <c r="A515" s="38" t="n">
        <v>45688</v>
      </c>
      <c r="B515" s="39" t="n">
        <v>274.15</v>
      </c>
      <c r="C515" s="39" t="n">
        <v>601.8200000000001</v>
      </c>
      <c r="D515" s="39" t="n">
        <v>44.395</v>
      </c>
      <c r="E515" s="41">
        <f>IFERROR(B515/B514-1,"")</f>
        <v/>
      </c>
      <c r="F515" s="41">
        <f>IFERROR(C515/C514-1,"")</f>
        <v/>
      </c>
      <c r="G515" s="41">
        <f>IFERROR(D515/D514-1,"")</f>
        <v/>
      </c>
      <c r="H515" s="41">
        <f>IFERROR((1+E515)*(1+H514)-1,"")</f>
        <v/>
      </c>
      <c r="I515" s="41">
        <f>IFERROR((1+F515)*(1+I514)-1,"")</f>
        <v/>
      </c>
      <c r="J515" s="41">
        <f>IFERROR((1+G515)*(1+J514)-1,"")</f>
        <v/>
      </c>
      <c r="K515" s="42">
        <f>IFERROR(B515/$B$36*100,"")</f>
        <v/>
      </c>
      <c r="L515" s="42">
        <f>IFERROR(C515/$C$36*100,"")</f>
        <v/>
      </c>
      <c r="M515" s="42">
        <f>IFERROR(D515/$D$36*100,"")</f>
        <v/>
      </c>
      <c r="N515" s="41">
        <f>IFERROR((1+H515)/(1+I515)-1,"")</f>
        <v/>
      </c>
      <c r="O515" s="41">
        <f>IFERROR((1+H515)/(1+J515)-1,"")</f>
        <v/>
      </c>
      <c r="P515" s="39">
        <f>IFERROR(B515*0.0099502487562189+P514*(1-0.0099502487562189),"")</f>
        <v/>
      </c>
      <c r="Q515" s="42">
        <f>Q514*(1+E515)</f>
        <v/>
      </c>
      <c r="R515" s="42">
        <f>MAX(R514,Q515)</f>
        <v/>
      </c>
      <c r="S515" s="41">
        <f>IFERROR(Q515/R515-1,"")</f>
        <v/>
      </c>
      <c r="T515" s="41">
        <f>IFERROR(_xlfn.STDEV.S(E456:E515)*SQRT($D$7),"")</f>
        <v/>
      </c>
      <c r="U515" s="41">
        <f>IFERROR(MIN(E515-$D$6,0),"")</f>
        <v/>
      </c>
      <c r="V515" s="41">
        <f>IFERROR(E515-F515,"")</f>
        <v/>
      </c>
      <c r="W515" s="39">
        <f>B515</f>
        <v/>
      </c>
      <c r="X515" s="21" t="n"/>
    </row>
    <row r="516">
      <c r="A516" s="38" t="n">
        <v>45691</v>
      </c>
      <c r="B516" s="39" t="n">
        <v>271.16</v>
      </c>
      <c r="C516" s="39" t="n">
        <v>597.77</v>
      </c>
      <c r="D516" s="39" t="n">
        <v>44.44</v>
      </c>
      <c r="E516" s="41">
        <f>IFERROR(B516/B515-1,"")</f>
        <v/>
      </c>
      <c r="F516" s="41">
        <f>IFERROR(C516/C515-1,"")</f>
        <v/>
      </c>
      <c r="G516" s="41">
        <f>IFERROR(D516/D515-1,"")</f>
        <v/>
      </c>
      <c r="H516" s="41">
        <f>IFERROR((1+E516)*(1+H515)-1,"")</f>
        <v/>
      </c>
      <c r="I516" s="41">
        <f>IFERROR((1+F516)*(1+I515)-1,"")</f>
        <v/>
      </c>
      <c r="J516" s="41">
        <f>IFERROR((1+G516)*(1+J515)-1,"")</f>
        <v/>
      </c>
      <c r="K516" s="42">
        <f>IFERROR(B516/$B$36*100,"")</f>
        <v/>
      </c>
      <c r="L516" s="42">
        <f>IFERROR(C516/$C$36*100,"")</f>
        <v/>
      </c>
      <c r="M516" s="42">
        <f>IFERROR(D516/$D$36*100,"")</f>
        <v/>
      </c>
      <c r="N516" s="41">
        <f>IFERROR((1+H516)/(1+I516)-1,"")</f>
        <v/>
      </c>
      <c r="O516" s="41">
        <f>IFERROR((1+H516)/(1+J516)-1,"")</f>
        <v/>
      </c>
      <c r="P516" s="39">
        <f>IFERROR(B516*0.0099502487562189+P515*(1-0.0099502487562189),"")</f>
        <v/>
      </c>
      <c r="Q516" s="42">
        <f>Q515*(1+E516)</f>
        <v/>
      </c>
      <c r="R516" s="42">
        <f>MAX(R515,Q516)</f>
        <v/>
      </c>
      <c r="S516" s="41">
        <f>IFERROR(Q516/R516-1,"")</f>
        <v/>
      </c>
      <c r="T516" s="41">
        <f>IFERROR(_xlfn.STDEV.S(E457:E516)*SQRT($D$7),"")</f>
        <v/>
      </c>
      <c r="U516" s="41">
        <f>IFERROR(MIN(E516-$D$6,0),"")</f>
        <v/>
      </c>
      <c r="V516" s="41">
        <f>IFERROR(E516-F516,"")</f>
        <v/>
      </c>
      <c r="W516" s="39">
        <f>B516</f>
        <v/>
      </c>
      <c r="X516" s="21" t="n"/>
    </row>
    <row r="517">
      <c r="A517" s="38" t="n">
        <v>45692</v>
      </c>
      <c r="B517" s="39" t="n">
        <v>272.07</v>
      </c>
      <c r="C517" s="39" t="n">
        <v>601.78</v>
      </c>
      <c r="D517" s="39" t="n">
        <v>44.57</v>
      </c>
      <c r="E517" s="41">
        <f>IFERROR(B517/B516-1,"")</f>
        <v/>
      </c>
      <c r="F517" s="41">
        <f>IFERROR(C517/C516-1,"")</f>
        <v/>
      </c>
      <c r="G517" s="41">
        <f>IFERROR(D517/D516-1,"")</f>
        <v/>
      </c>
      <c r="H517" s="41">
        <f>IFERROR((1+E517)*(1+H516)-1,"")</f>
        <v/>
      </c>
      <c r="I517" s="41">
        <f>IFERROR((1+F517)*(1+I516)-1,"")</f>
        <v/>
      </c>
      <c r="J517" s="41">
        <f>IFERROR((1+G517)*(1+J516)-1,"")</f>
        <v/>
      </c>
      <c r="K517" s="42">
        <f>IFERROR(B517/$B$36*100,"")</f>
        <v/>
      </c>
      <c r="L517" s="42">
        <f>IFERROR(C517/$C$36*100,"")</f>
        <v/>
      </c>
      <c r="M517" s="42">
        <f>IFERROR(D517/$D$36*100,"")</f>
        <v/>
      </c>
      <c r="N517" s="41">
        <f>IFERROR((1+H517)/(1+I517)-1,"")</f>
        <v/>
      </c>
      <c r="O517" s="41">
        <f>IFERROR((1+H517)/(1+J517)-1,"")</f>
        <v/>
      </c>
      <c r="P517" s="39">
        <f>IFERROR(B517*0.0099502487562189+P516*(1-0.0099502487562189),"")</f>
        <v/>
      </c>
      <c r="Q517" s="42">
        <f>Q516*(1+E517)</f>
        <v/>
      </c>
      <c r="R517" s="42">
        <f>MAX(R516,Q517)</f>
        <v/>
      </c>
      <c r="S517" s="41">
        <f>IFERROR(Q517/R517-1,"")</f>
        <v/>
      </c>
      <c r="T517" s="41">
        <f>IFERROR(_xlfn.STDEV.S(E458:E517)*SQRT($D$7),"")</f>
        <v/>
      </c>
      <c r="U517" s="41">
        <f>IFERROR(MIN(E517-$D$6,0),"")</f>
        <v/>
      </c>
      <c r="V517" s="41">
        <f>IFERROR(E517-F517,"")</f>
        <v/>
      </c>
      <c r="W517" s="39">
        <f>B517</f>
        <v/>
      </c>
      <c r="X517" s="21" t="n"/>
    </row>
    <row r="518">
      <c r="A518" s="38" t="n">
        <v>45693</v>
      </c>
      <c r="B518" s="39" t="n">
        <v>274.33</v>
      </c>
      <c r="C518" s="39" t="n">
        <v>604.22</v>
      </c>
      <c r="D518" s="39" t="n">
        <v>44.535</v>
      </c>
      <c r="E518" s="41">
        <f>IFERROR(B518/B517-1,"")</f>
        <v/>
      </c>
      <c r="F518" s="41">
        <f>IFERROR(C518/C517-1,"")</f>
        <v/>
      </c>
      <c r="G518" s="41">
        <f>IFERROR(D518/D517-1,"")</f>
        <v/>
      </c>
      <c r="H518" s="41">
        <f>IFERROR((1+E518)*(1+H517)-1,"")</f>
        <v/>
      </c>
      <c r="I518" s="41">
        <f>IFERROR((1+F518)*(1+I517)-1,"")</f>
        <v/>
      </c>
      <c r="J518" s="41">
        <f>IFERROR((1+G518)*(1+J517)-1,"")</f>
        <v/>
      </c>
      <c r="K518" s="42">
        <f>IFERROR(B518/$B$36*100,"")</f>
        <v/>
      </c>
      <c r="L518" s="42">
        <f>IFERROR(C518/$C$36*100,"")</f>
        <v/>
      </c>
      <c r="M518" s="42">
        <f>IFERROR(D518/$D$36*100,"")</f>
        <v/>
      </c>
      <c r="N518" s="41">
        <f>IFERROR((1+H518)/(1+I518)-1,"")</f>
        <v/>
      </c>
      <c r="O518" s="41">
        <f>IFERROR((1+H518)/(1+J518)-1,"")</f>
        <v/>
      </c>
      <c r="P518" s="39">
        <f>IFERROR(B518*0.0099502487562189+P517*(1-0.0099502487562189),"")</f>
        <v/>
      </c>
      <c r="Q518" s="42">
        <f>Q517*(1+E518)</f>
        <v/>
      </c>
      <c r="R518" s="42">
        <f>MAX(R517,Q518)</f>
        <v/>
      </c>
      <c r="S518" s="41">
        <f>IFERROR(Q518/R518-1,"")</f>
        <v/>
      </c>
      <c r="T518" s="41">
        <f>IFERROR(_xlfn.STDEV.S(E459:E518)*SQRT($D$7),"")</f>
        <v/>
      </c>
      <c r="U518" s="41">
        <f>IFERROR(MIN(E518-$D$6,0),"")</f>
        <v/>
      </c>
      <c r="V518" s="41">
        <f>IFERROR(E518-F518,"")</f>
        <v/>
      </c>
      <c r="W518" s="39">
        <f>B518</f>
        <v/>
      </c>
      <c r="X518" s="21" t="n"/>
    </row>
    <row r="519">
      <c r="A519" s="38" t="n">
        <v>45694</v>
      </c>
      <c r="B519" s="39" t="n">
        <v>277.21</v>
      </c>
      <c r="C519" s="39" t="n">
        <v>606.3200000000001</v>
      </c>
      <c r="D519" s="39" t="n">
        <v>44.69</v>
      </c>
      <c r="E519" s="41">
        <f>IFERROR(B519/B518-1,"")</f>
        <v/>
      </c>
      <c r="F519" s="41">
        <f>IFERROR(C519/C518-1,"")</f>
        <v/>
      </c>
      <c r="G519" s="41">
        <f>IFERROR(D519/D518-1,"")</f>
        <v/>
      </c>
      <c r="H519" s="41">
        <f>IFERROR((1+E519)*(1+H518)-1,"")</f>
        <v/>
      </c>
      <c r="I519" s="41">
        <f>IFERROR((1+F519)*(1+I518)-1,"")</f>
        <v/>
      </c>
      <c r="J519" s="41">
        <f>IFERROR((1+G519)*(1+J518)-1,"")</f>
        <v/>
      </c>
      <c r="K519" s="42">
        <f>IFERROR(B519/$B$36*100,"")</f>
        <v/>
      </c>
      <c r="L519" s="42">
        <f>IFERROR(C519/$C$36*100,"")</f>
        <v/>
      </c>
      <c r="M519" s="42">
        <f>IFERROR(D519/$D$36*100,"")</f>
        <v/>
      </c>
      <c r="N519" s="41">
        <f>IFERROR((1+H519)/(1+I519)-1,"")</f>
        <v/>
      </c>
      <c r="O519" s="41">
        <f>IFERROR((1+H519)/(1+J519)-1,"")</f>
        <v/>
      </c>
      <c r="P519" s="39">
        <f>IFERROR(B519*0.0099502487562189+P518*(1-0.0099502487562189),"")</f>
        <v/>
      </c>
      <c r="Q519" s="42">
        <f>Q518*(1+E519)</f>
        <v/>
      </c>
      <c r="R519" s="42">
        <f>MAX(R518,Q519)</f>
        <v/>
      </c>
      <c r="S519" s="41">
        <f>IFERROR(Q519/R519-1,"")</f>
        <v/>
      </c>
      <c r="T519" s="41">
        <f>IFERROR(_xlfn.STDEV.S(E460:E519)*SQRT($D$7),"")</f>
        <v/>
      </c>
      <c r="U519" s="41">
        <f>IFERROR(MIN(E519-$D$6,0),"")</f>
        <v/>
      </c>
      <c r="V519" s="41">
        <f>IFERROR(E519-F519,"")</f>
        <v/>
      </c>
      <c r="W519" s="39">
        <f>B519</f>
        <v/>
      </c>
      <c r="X519" s="21" t="n"/>
    </row>
    <row r="520">
      <c r="A520" s="38" t="n">
        <v>45695</v>
      </c>
      <c r="B520" s="39" t="n">
        <v>272.92</v>
      </c>
      <c r="C520" s="39" t="n">
        <v>600.77</v>
      </c>
      <c r="D520" s="39" t="n">
        <v>44.145</v>
      </c>
      <c r="E520" s="41">
        <f>IFERROR(B520/B519-1,"")</f>
        <v/>
      </c>
      <c r="F520" s="41">
        <f>IFERROR(C520/C519-1,"")</f>
        <v/>
      </c>
      <c r="G520" s="41">
        <f>IFERROR(D520/D519-1,"")</f>
        <v/>
      </c>
      <c r="H520" s="41">
        <f>IFERROR((1+E520)*(1+H519)-1,"")</f>
        <v/>
      </c>
      <c r="I520" s="41">
        <f>IFERROR((1+F520)*(1+I519)-1,"")</f>
        <v/>
      </c>
      <c r="J520" s="41">
        <f>IFERROR((1+G520)*(1+J519)-1,"")</f>
        <v/>
      </c>
      <c r="K520" s="42">
        <f>IFERROR(B520/$B$36*100,"")</f>
        <v/>
      </c>
      <c r="L520" s="42">
        <f>IFERROR(C520/$C$36*100,"")</f>
        <v/>
      </c>
      <c r="M520" s="42">
        <f>IFERROR(D520/$D$36*100,"")</f>
        <v/>
      </c>
      <c r="N520" s="41">
        <f>IFERROR((1+H520)/(1+I520)-1,"")</f>
        <v/>
      </c>
      <c r="O520" s="41">
        <f>IFERROR((1+H520)/(1+J520)-1,"")</f>
        <v/>
      </c>
      <c r="P520" s="39">
        <f>IFERROR(B520*0.0099502487562189+P519*(1-0.0099502487562189),"")</f>
        <v/>
      </c>
      <c r="Q520" s="42">
        <f>Q519*(1+E520)</f>
        <v/>
      </c>
      <c r="R520" s="42">
        <f>MAX(R519,Q520)</f>
        <v/>
      </c>
      <c r="S520" s="41">
        <f>IFERROR(Q520/R520-1,"")</f>
        <v/>
      </c>
      <c r="T520" s="41">
        <f>IFERROR(_xlfn.STDEV.S(E461:E520)*SQRT($D$7),"")</f>
        <v/>
      </c>
      <c r="U520" s="41">
        <f>IFERROR(MIN(E520-$D$6,0),"")</f>
        <v/>
      </c>
      <c r="V520" s="41">
        <f>IFERROR(E520-F520,"")</f>
        <v/>
      </c>
      <c r="W520" s="39">
        <f>B520</f>
        <v/>
      </c>
      <c r="X520" s="21" t="n"/>
    </row>
    <row r="521">
      <c r="A521" s="38" t="n">
        <v>45698</v>
      </c>
      <c r="B521" s="39" t="n">
        <v>268.56</v>
      </c>
      <c r="C521" s="39" t="n">
        <v>604.85</v>
      </c>
      <c r="D521" s="39" t="n">
        <v>44.37</v>
      </c>
      <c r="E521" s="41">
        <f>IFERROR(B521/B520-1,"")</f>
        <v/>
      </c>
      <c r="F521" s="41">
        <f>IFERROR(C521/C520-1,"")</f>
        <v/>
      </c>
      <c r="G521" s="41">
        <f>IFERROR(D521/D520-1,"")</f>
        <v/>
      </c>
      <c r="H521" s="41">
        <f>IFERROR((1+E521)*(1+H520)-1,"")</f>
        <v/>
      </c>
      <c r="I521" s="41">
        <f>IFERROR((1+F521)*(1+I520)-1,"")</f>
        <v/>
      </c>
      <c r="J521" s="41">
        <f>IFERROR((1+G521)*(1+J520)-1,"")</f>
        <v/>
      </c>
      <c r="K521" s="42">
        <f>IFERROR(B521/$B$36*100,"")</f>
        <v/>
      </c>
      <c r="L521" s="42">
        <f>IFERROR(C521/$C$36*100,"")</f>
        <v/>
      </c>
      <c r="M521" s="42">
        <f>IFERROR(D521/$D$36*100,"")</f>
        <v/>
      </c>
      <c r="N521" s="41">
        <f>IFERROR((1+H521)/(1+I521)-1,"")</f>
        <v/>
      </c>
      <c r="O521" s="41">
        <f>IFERROR((1+H521)/(1+J521)-1,"")</f>
        <v/>
      </c>
      <c r="P521" s="39">
        <f>IFERROR(B521*0.0099502487562189+P520*(1-0.0099502487562189),"")</f>
        <v/>
      </c>
      <c r="Q521" s="42">
        <f>Q520*(1+E521)</f>
        <v/>
      </c>
      <c r="R521" s="42">
        <f>MAX(R520,Q521)</f>
        <v/>
      </c>
      <c r="S521" s="41">
        <f>IFERROR(Q521/R521-1,"")</f>
        <v/>
      </c>
      <c r="T521" s="41">
        <f>IFERROR(_xlfn.STDEV.S(E462:E521)*SQRT($D$7),"")</f>
        <v/>
      </c>
      <c r="U521" s="41">
        <f>IFERROR(MIN(E521-$D$6,0),"")</f>
        <v/>
      </c>
      <c r="V521" s="41">
        <f>IFERROR(E521-F521,"")</f>
        <v/>
      </c>
      <c r="W521" s="39">
        <f>B521</f>
        <v/>
      </c>
      <c r="X521" s="21" t="n"/>
    </row>
    <row r="522">
      <c r="A522" s="38" t="n">
        <v>45699</v>
      </c>
      <c r="B522" s="39" t="n">
        <v>267.77</v>
      </c>
      <c r="C522" s="39" t="n">
        <v>605.3099999999999</v>
      </c>
      <c r="D522" s="39" t="n">
        <v>44.63</v>
      </c>
      <c r="E522" s="41">
        <f>IFERROR(B522/B521-1,"")</f>
        <v/>
      </c>
      <c r="F522" s="41">
        <f>IFERROR(C522/C521-1,"")</f>
        <v/>
      </c>
      <c r="G522" s="41">
        <f>IFERROR(D522/D521-1,"")</f>
        <v/>
      </c>
      <c r="H522" s="41">
        <f>IFERROR((1+E522)*(1+H521)-1,"")</f>
        <v/>
      </c>
      <c r="I522" s="41">
        <f>IFERROR((1+F522)*(1+I521)-1,"")</f>
        <v/>
      </c>
      <c r="J522" s="41">
        <f>IFERROR((1+G522)*(1+J521)-1,"")</f>
        <v/>
      </c>
      <c r="K522" s="42">
        <f>IFERROR(B522/$B$36*100,"")</f>
        <v/>
      </c>
      <c r="L522" s="42">
        <f>IFERROR(C522/$C$36*100,"")</f>
        <v/>
      </c>
      <c r="M522" s="42">
        <f>IFERROR(D522/$D$36*100,"")</f>
        <v/>
      </c>
      <c r="N522" s="41">
        <f>IFERROR((1+H522)/(1+I522)-1,"")</f>
        <v/>
      </c>
      <c r="O522" s="41">
        <f>IFERROR((1+H522)/(1+J522)-1,"")</f>
        <v/>
      </c>
      <c r="P522" s="39">
        <f>IFERROR(B522*0.0099502487562189+P521*(1-0.0099502487562189),"")</f>
        <v/>
      </c>
      <c r="Q522" s="42">
        <f>Q521*(1+E522)</f>
        <v/>
      </c>
      <c r="R522" s="42">
        <f>MAX(R521,Q522)</f>
        <v/>
      </c>
      <c r="S522" s="41">
        <f>IFERROR(Q522/R522-1,"")</f>
        <v/>
      </c>
      <c r="T522" s="41">
        <f>IFERROR(_xlfn.STDEV.S(E463:E522)*SQRT($D$7),"")</f>
        <v/>
      </c>
      <c r="U522" s="41">
        <f>IFERROR(MIN(E522-$D$6,0),"")</f>
        <v/>
      </c>
      <c r="V522" s="41">
        <f>IFERROR(E522-F522,"")</f>
        <v/>
      </c>
      <c r="W522" s="39">
        <f>B522</f>
        <v/>
      </c>
      <c r="X522" s="21" t="n"/>
    </row>
    <row r="523">
      <c r="A523" s="38" t="n">
        <v>45700</v>
      </c>
      <c r="B523" s="39" t="n">
        <v>263.81</v>
      </c>
      <c r="C523" s="39" t="n">
        <v>603.36</v>
      </c>
      <c r="D523" s="39" t="n">
        <v>44.31</v>
      </c>
      <c r="E523" s="41">
        <f>IFERROR(B523/B522-1,"")</f>
        <v/>
      </c>
      <c r="F523" s="41">
        <f>IFERROR(C523/C522-1,"")</f>
        <v/>
      </c>
      <c r="G523" s="41">
        <f>IFERROR(D523/D522-1,"")</f>
        <v/>
      </c>
      <c r="H523" s="41">
        <f>IFERROR((1+E523)*(1+H522)-1,"")</f>
        <v/>
      </c>
      <c r="I523" s="41">
        <f>IFERROR((1+F523)*(1+I522)-1,"")</f>
        <v/>
      </c>
      <c r="J523" s="41">
        <f>IFERROR((1+G523)*(1+J522)-1,"")</f>
        <v/>
      </c>
      <c r="K523" s="42">
        <f>IFERROR(B523/$B$36*100,"")</f>
        <v/>
      </c>
      <c r="L523" s="42">
        <f>IFERROR(C523/$C$36*100,"")</f>
        <v/>
      </c>
      <c r="M523" s="42">
        <f>IFERROR(D523/$D$36*100,"")</f>
        <v/>
      </c>
      <c r="N523" s="41">
        <f>IFERROR((1+H523)/(1+I523)-1,"")</f>
        <v/>
      </c>
      <c r="O523" s="41">
        <f>IFERROR((1+H523)/(1+J523)-1,"")</f>
        <v/>
      </c>
      <c r="P523" s="39">
        <f>IFERROR(B523*0.0099502487562189+P522*(1-0.0099502487562189),"")</f>
        <v/>
      </c>
      <c r="Q523" s="42">
        <f>Q522*(1+E523)</f>
        <v/>
      </c>
      <c r="R523" s="42">
        <f>MAX(R522,Q523)</f>
        <v/>
      </c>
      <c r="S523" s="41">
        <f>IFERROR(Q523/R523-1,"")</f>
        <v/>
      </c>
      <c r="T523" s="41">
        <f>IFERROR(_xlfn.STDEV.S(E464:E523)*SQRT($D$7),"")</f>
        <v/>
      </c>
      <c r="U523" s="41">
        <f>IFERROR(MIN(E523-$D$6,0),"")</f>
        <v/>
      </c>
      <c r="V523" s="41">
        <f>IFERROR(E523-F523,"")</f>
        <v/>
      </c>
      <c r="W523" s="39">
        <f>B523</f>
        <v/>
      </c>
      <c r="X523" s="21" t="n"/>
    </row>
    <row r="524">
      <c r="A524" s="38" t="n">
        <v>45701</v>
      </c>
      <c r="B524" s="39" t="n">
        <v>269.33</v>
      </c>
      <c r="C524" s="39" t="n">
        <v>609.73</v>
      </c>
      <c r="D524" s="39" t="n">
        <v>45.08</v>
      </c>
      <c r="E524" s="41">
        <f>IFERROR(B524/B523-1,"")</f>
        <v/>
      </c>
      <c r="F524" s="41">
        <f>IFERROR(C524/C523-1,"")</f>
        <v/>
      </c>
      <c r="G524" s="41">
        <f>IFERROR(D524/D523-1,"")</f>
        <v/>
      </c>
      <c r="H524" s="41">
        <f>IFERROR((1+E524)*(1+H523)-1,"")</f>
        <v/>
      </c>
      <c r="I524" s="41">
        <f>IFERROR((1+F524)*(1+I523)-1,"")</f>
        <v/>
      </c>
      <c r="J524" s="41">
        <f>IFERROR((1+G524)*(1+J523)-1,"")</f>
        <v/>
      </c>
      <c r="K524" s="42">
        <f>IFERROR(B524/$B$36*100,"")</f>
        <v/>
      </c>
      <c r="L524" s="42">
        <f>IFERROR(C524/$C$36*100,"")</f>
        <v/>
      </c>
      <c r="M524" s="42">
        <f>IFERROR(D524/$D$36*100,"")</f>
        <v/>
      </c>
      <c r="N524" s="41">
        <f>IFERROR((1+H524)/(1+I524)-1,"")</f>
        <v/>
      </c>
      <c r="O524" s="41">
        <f>IFERROR((1+H524)/(1+J524)-1,"")</f>
        <v/>
      </c>
      <c r="P524" s="39">
        <f>IFERROR(B524*0.0099502487562189+P523*(1-0.0099502487562189),"")</f>
        <v/>
      </c>
      <c r="Q524" s="42">
        <f>Q523*(1+E524)</f>
        <v/>
      </c>
      <c r="R524" s="42">
        <f>MAX(R523,Q524)</f>
        <v/>
      </c>
      <c r="S524" s="41">
        <f>IFERROR(Q524/R524-1,"")</f>
        <v/>
      </c>
      <c r="T524" s="41">
        <f>IFERROR(_xlfn.STDEV.S(E465:E524)*SQRT($D$7),"")</f>
        <v/>
      </c>
      <c r="U524" s="41">
        <f>IFERROR(MIN(E524-$D$6,0),"")</f>
        <v/>
      </c>
      <c r="V524" s="41">
        <f>IFERROR(E524-F524,"")</f>
        <v/>
      </c>
      <c r="W524" s="39">
        <f>B524</f>
        <v/>
      </c>
      <c r="X524" s="21" t="n"/>
    </row>
    <row r="525">
      <c r="A525" s="38" t="n">
        <v>45702</v>
      </c>
      <c r="B525" s="39" t="n">
        <v>270.46</v>
      </c>
      <c r="C525" s="39" t="n">
        <v>609.7</v>
      </c>
      <c r="D525" s="39" t="n">
        <v>44.925</v>
      </c>
      <c r="E525" s="41">
        <f>IFERROR(B525/B524-1,"")</f>
        <v/>
      </c>
      <c r="F525" s="41">
        <f>IFERROR(C525/C524-1,"")</f>
        <v/>
      </c>
      <c r="G525" s="41">
        <f>IFERROR(D525/D524-1,"")</f>
        <v/>
      </c>
      <c r="H525" s="41">
        <f>IFERROR((1+E525)*(1+H524)-1,"")</f>
        <v/>
      </c>
      <c r="I525" s="41">
        <f>IFERROR((1+F525)*(1+I524)-1,"")</f>
        <v/>
      </c>
      <c r="J525" s="41">
        <f>IFERROR((1+G525)*(1+J524)-1,"")</f>
        <v/>
      </c>
      <c r="K525" s="42">
        <f>IFERROR(B525/$B$36*100,"")</f>
        <v/>
      </c>
      <c r="L525" s="42">
        <f>IFERROR(C525/$C$36*100,"")</f>
        <v/>
      </c>
      <c r="M525" s="42">
        <f>IFERROR(D525/$D$36*100,"")</f>
        <v/>
      </c>
      <c r="N525" s="41">
        <f>IFERROR((1+H525)/(1+I525)-1,"")</f>
        <v/>
      </c>
      <c r="O525" s="41">
        <f>IFERROR((1+H525)/(1+J525)-1,"")</f>
        <v/>
      </c>
      <c r="P525" s="39">
        <f>IFERROR(B525*0.0099502487562189+P524*(1-0.0099502487562189),"")</f>
        <v/>
      </c>
      <c r="Q525" s="42">
        <f>Q524*(1+E525)</f>
        <v/>
      </c>
      <c r="R525" s="42">
        <f>MAX(R524,Q525)</f>
        <v/>
      </c>
      <c r="S525" s="41">
        <f>IFERROR(Q525/R525-1,"")</f>
        <v/>
      </c>
      <c r="T525" s="41">
        <f>IFERROR(_xlfn.STDEV.S(E466:E525)*SQRT($D$7),"")</f>
        <v/>
      </c>
      <c r="U525" s="41">
        <f>IFERROR(MIN(E525-$D$6,0),"")</f>
        <v/>
      </c>
      <c r="V525" s="41">
        <f>IFERROR(E525-F525,"")</f>
        <v/>
      </c>
      <c r="W525" s="39">
        <f>B525</f>
        <v/>
      </c>
      <c r="X525" s="21" t="n"/>
    </row>
    <row r="526">
      <c r="A526" s="38" t="n">
        <v>45706</v>
      </c>
      <c r="B526" s="39" t="n">
        <v>272.76</v>
      </c>
      <c r="C526" s="39" t="n">
        <v>611.49</v>
      </c>
      <c r="D526" s="39" t="n">
        <v>45.495</v>
      </c>
      <c r="E526" s="41">
        <f>IFERROR(B526/B525-1,"")</f>
        <v/>
      </c>
      <c r="F526" s="41">
        <f>IFERROR(C526/C525-1,"")</f>
        <v/>
      </c>
      <c r="G526" s="41">
        <f>IFERROR(D526/D525-1,"")</f>
        <v/>
      </c>
      <c r="H526" s="41">
        <f>IFERROR((1+E526)*(1+H525)-1,"")</f>
        <v/>
      </c>
      <c r="I526" s="41">
        <f>IFERROR((1+F526)*(1+I525)-1,"")</f>
        <v/>
      </c>
      <c r="J526" s="41">
        <f>IFERROR((1+G526)*(1+J525)-1,"")</f>
        <v/>
      </c>
      <c r="K526" s="42">
        <f>IFERROR(B526/$B$36*100,"")</f>
        <v/>
      </c>
      <c r="L526" s="42">
        <f>IFERROR(C526/$C$36*100,"")</f>
        <v/>
      </c>
      <c r="M526" s="42">
        <f>IFERROR(D526/$D$36*100,"")</f>
        <v/>
      </c>
      <c r="N526" s="41">
        <f>IFERROR((1+H526)/(1+I526)-1,"")</f>
        <v/>
      </c>
      <c r="O526" s="41">
        <f>IFERROR((1+H526)/(1+J526)-1,"")</f>
        <v/>
      </c>
      <c r="P526" s="39">
        <f>IFERROR(B526*0.0099502487562189+P525*(1-0.0099502487562189),"")</f>
        <v/>
      </c>
      <c r="Q526" s="42">
        <f>Q525*(1+E526)</f>
        <v/>
      </c>
      <c r="R526" s="42">
        <f>MAX(R525,Q526)</f>
        <v/>
      </c>
      <c r="S526" s="41">
        <f>IFERROR(Q526/R526-1,"")</f>
        <v/>
      </c>
      <c r="T526" s="41">
        <f>IFERROR(_xlfn.STDEV.S(E467:E526)*SQRT($D$7),"")</f>
        <v/>
      </c>
      <c r="U526" s="41">
        <f>IFERROR(MIN(E526-$D$6,0),"")</f>
        <v/>
      </c>
      <c r="V526" s="41">
        <f>IFERROR(E526-F526,"")</f>
        <v/>
      </c>
      <c r="W526" s="39">
        <f>B526</f>
        <v/>
      </c>
      <c r="X526" s="21" t="n"/>
    </row>
    <row r="527">
      <c r="A527" s="38" t="n">
        <v>45707</v>
      </c>
      <c r="B527" s="39" t="n">
        <v>264.97</v>
      </c>
      <c r="C527" s="39" t="n">
        <v>612.9299999999999</v>
      </c>
      <c r="D527" s="39" t="n">
        <v>44.96</v>
      </c>
      <c r="E527" s="41">
        <f>IFERROR(B527/B526-1,"")</f>
        <v/>
      </c>
      <c r="F527" s="41">
        <f>IFERROR(C527/C526-1,"")</f>
        <v/>
      </c>
      <c r="G527" s="41">
        <f>IFERROR(D527/D526-1,"")</f>
        <v/>
      </c>
      <c r="H527" s="41">
        <f>IFERROR((1+E527)*(1+H526)-1,"")</f>
        <v/>
      </c>
      <c r="I527" s="41">
        <f>IFERROR((1+F527)*(1+I526)-1,"")</f>
        <v/>
      </c>
      <c r="J527" s="41">
        <f>IFERROR((1+G527)*(1+J526)-1,"")</f>
        <v/>
      </c>
      <c r="K527" s="42">
        <f>IFERROR(B527/$B$36*100,"")</f>
        <v/>
      </c>
      <c r="L527" s="42">
        <f>IFERROR(C527/$C$36*100,"")</f>
        <v/>
      </c>
      <c r="M527" s="42">
        <f>IFERROR(D527/$D$36*100,"")</f>
        <v/>
      </c>
      <c r="N527" s="41">
        <f>IFERROR((1+H527)/(1+I527)-1,"")</f>
        <v/>
      </c>
      <c r="O527" s="41">
        <f>IFERROR((1+H527)/(1+J527)-1,"")</f>
        <v/>
      </c>
      <c r="P527" s="39">
        <f>IFERROR(B527*0.0099502487562189+P526*(1-0.0099502487562189),"")</f>
        <v/>
      </c>
      <c r="Q527" s="42">
        <f>Q526*(1+E527)</f>
        <v/>
      </c>
      <c r="R527" s="42">
        <f>MAX(R526,Q527)</f>
        <v/>
      </c>
      <c r="S527" s="41">
        <f>IFERROR(Q527/R527-1,"")</f>
        <v/>
      </c>
      <c r="T527" s="41">
        <f>IFERROR(_xlfn.STDEV.S(E468:E527)*SQRT($D$7),"")</f>
        <v/>
      </c>
      <c r="U527" s="41">
        <f>IFERROR(MIN(E527-$D$6,0),"")</f>
        <v/>
      </c>
      <c r="V527" s="41">
        <f>IFERROR(E527-F527,"")</f>
        <v/>
      </c>
      <c r="W527" s="39">
        <f>B527</f>
        <v/>
      </c>
      <c r="X527" s="21" t="n"/>
    </row>
    <row r="528">
      <c r="A528" s="38" t="n">
        <v>45708</v>
      </c>
      <c r="B528" s="39" t="n">
        <v>258.59</v>
      </c>
      <c r="C528" s="39" t="n">
        <v>610.38</v>
      </c>
      <c r="D528" s="39" t="n">
        <v>44.855</v>
      </c>
      <c r="E528" s="41">
        <f>IFERROR(B528/B527-1,"")</f>
        <v/>
      </c>
      <c r="F528" s="41">
        <f>IFERROR(C528/C527-1,"")</f>
        <v/>
      </c>
      <c r="G528" s="41">
        <f>IFERROR(D528/D527-1,"")</f>
        <v/>
      </c>
      <c r="H528" s="41">
        <f>IFERROR((1+E528)*(1+H527)-1,"")</f>
        <v/>
      </c>
      <c r="I528" s="41">
        <f>IFERROR((1+F528)*(1+I527)-1,"")</f>
        <v/>
      </c>
      <c r="J528" s="41">
        <f>IFERROR((1+G528)*(1+J527)-1,"")</f>
        <v/>
      </c>
      <c r="K528" s="42">
        <f>IFERROR(B528/$B$36*100,"")</f>
        <v/>
      </c>
      <c r="L528" s="42">
        <f>IFERROR(C528/$C$36*100,"")</f>
        <v/>
      </c>
      <c r="M528" s="42">
        <f>IFERROR(D528/$D$36*100,"")</f>
        <v/>
      </c>
      <c r="N528" s="41">
        <f>IFERROR((1+H528)/(1+I528)-1,"")</f>
        <v/>
      </c>
      <c r="O528" s="41">
        <f>IFERROR((1+H528)/(1+J528)-1,"")</f>
        <v/>
      </c>
      <c r="P528" s="39">
        <f>IFERROR(B528*0.0099502487562189+P527*(1-0.0099502487562189),"")</f>
        <v/>
      </c>
      <c r="Q528" s="42">
        <f>Q527*(1+E528)</f>
        <v/>
      </c>
      <c r="R528" s="42">
        <f>MAX(R527,Q528)</f>
        <v/>
      </c>
      <c r="S528" s="41">
        <f>IFERROR(Q528/R528-1,"")</f>
        <v/>
      </c>
      <c r="T528" s="41">
        <f>IFERROR(_xlfn.STDEV.S(E469:E528)*SQRT($D$7),"")</f>
        <v/>
      </c>
      <c r="U528" s="41">
        <f>IFERROR(MIN(E528-$D$6,0),"")</f>
        <v/>
      </c>
      <c r="V528" s="41">
        <f>IFERROR(E528-F528,"")</f>
        <v/>
      </c>
      <c r="W528" s="39">
        <f>B528</f>
        <v/>
      </c>
      <c r="X528" s="21" t="n"/>
    </row>
    <row r="529">
      <c r="A529" s="38" t="n">
        <v>45709</v>
      </c>
      <c r="B529" s="39" t="n">
        <v>252.86</v>
      </c>
      <c r="C529" s="39" t="n">
        <v>599.9400000000001</v>
      </c>
      <c r="D529" s="39" t="n">
        <v>44.035</v>
      </c>
      <c r="E529" s="41">
        <f>IFERROR(B529/B528-1,"")</f>
        <v/>
      </c>
      <c r="F529" s="41">
        <f>IFERROR(C529/C528-1,"")</f>
        <v/>
      </c>
      <c r="G529" s="41">
        <f>IFERROR(D529/D528-1,"")</f>
        <v/>
      </c>
      <c r="H529" s="41">
        <f>IFERROR((1+E529)*(1+H528)-1,"")</f>
        <v/>
      </c>
      <c r="I529" s="41">
        <f>IFERROR((1+F529)*(1+I528)-1,"")</f>
        <v/>
      </c>
      <c r="J529" s="41">
        <f>IFERROR((1+G529)*(1+J528)-1,"")</f>
        <v/>
      </c>
      <c r="K529" s="42">
        <f>IFERROR(B529/$B$36*100,"")</f>
        <v/>
      </c>
      <c r="L529" s="42">
        <f>IFERROR(C529/$C$36*100,"")</f>
        <v/>
      </c>
      <c r="M529" s="42">
        <f>IFERROR(D529/$D$36*100,"")</f>
        <v/>
      </c>
      <c r="N529" s="41">
        <f>IFERROR((1+H529)/(1+I529)-1,"")</f>
        <v/>
      </c>
      <c r="O529" s="41">
        <f>IFERROR((1+H529)/(1+J529)-1,"")</f>
        <v/>
      </c>
      <c r="P529" s="39">
        <f>IFERROR(B529*0.0099502487562189+P528*(1-0.0099502487562189),"")</f>
        <v/>
      </c>
      <c r="Q529" s="42">
        <f>Q528*(1+E529)</f>
        <v/>
      </c>
      <c r="R529" s="42">
        <f>MAX(R528,Q529)</f>
        <v/>
      </c>
      <c r="S529" s="41">
        <f>IFERROR(Q529/R529-1,"")</f>
        <v/>
      </c>
      <c r="T529" s="41">
        <f>IFERROR(_xlfn.STDEV.S(E470:E529)*SQRT($D$7),"")</f>
        <v/>
      </c>
      <c r="U529" s="41">
        <f>IFERROR(MIN(E529-$D$6,0),"")</f>
        <v/>
      </c>
      <c r="V529" s="41">
        <f>IFERROR(E529-F529,"")</f>
        <v/>
      </c>
      <c r="W529" s="39">
        <f>B529</f>
        <v/>
      </c>
      <c r="X529" s="21" t="n"/>
    </row>
    <row r="530">
      <c r="A530" s="38" t="n">
        <v>45712</v>
      </c>
      <c r="B530" s="39" t="n">
        <v>251.56</v>
      </c>
      <c r="C530" s="39" t="n">
        <v>597.21</v>
      </c>
      <c r="D530" s="39" t="n">
        <v>43.985</v>
      </c>
      <c r="E530" s="41">
        <f>IFERROR(B530/B529-1,"")</f>
        <v/>
      </c>
      <c r="F530" s="41">
        <f>IFERROR(C530/C529-1,"")</f>
        <v/>
      </c>
      <c r="G530" s="41">
        <f>IFERROR(D530/D529-1,"")</f>
        <v/>
      </c>
      <c r="H530" s="41">
        <f>IFERROR((1+E530)*(1+H529)-1,"")</f>
        <v/>
      </c>
      <c r="I530" s="41">
        <f>IFERROR((1+F530)*(1+I529)-1,"")</f>
        <v/>
      </c>
      <c r="J530" s="41">
        <f>IFERROR((1+G530)*(1+J529)-1,"")</f>
        <v/>
      </c>
      <c r="K530" s="42">
        <f>IFERROR(B530/$B$36*100,"")</f>
        <v/>
      </c>
      <c r="L530" s="42">
        <f>IFERROR(C530/$C$36*100,"")</f>
        <v/>
      </c>
      <c r="M530" s="42">
        <f>IFERROR(D530/$D$36*100,"")</f>
        <v/>
      </c>
      <c r="N530" s="41">
        <f>IFERROR((1+H530)/(1+I530)-1,"")</f>
        <v/>
      </c>
      <c r="O530" s="41">
        <f>IFERROR((1+H530)/(1+J530)-1,"")</f>
        <v/>
      </c>
      <c r="P530" s="39">
        <f>IFERROR(B530*0.0099502487562189+P529*(1-0.0099502487562189),"")</f>
        <v/>
      </c>
      <c r="Q530" s="42">
        <f>Q529*(1+E530)</f>
        <v/>
      </c>
      <c r="R530" s="42">
        <f>MAX(R529,Q530)</f>
        <v/>
      </c>
      <c r="S530" s="41">
        <f>IFERROR(Q530/R530-1,"")</f>
        <v/>
      </c>
      <c r="T530" s="41">
        <f>IFERROR(_xlfn.STDEV.S(E471:E530)*SQRT($D$7),"")</f>
        <v/>
      </c>
      <c r="U530" s="41">
        <f>IFERROR(MIN(E530-$D$6,0),"")</f>
        <v/>
      </c>
      <c r="V530" s="41">
        <f>IFERROR(E530-F530,"")</f>
        <v/>
      </c>
      <c r="W530" s="39">
        <f>B530</f>
        <v/>
      </c>
      <c r="X530" s="21" t="n"/>
    </row>
    <row r="531">
      <c r="A531" s="38" t="n">
        <v>45713</v>
      </c>
      <c r="B531" s="39" t="n">
        <v>249.79</v>
      </c>
      <c r="C531" s="39" t="n">
        <v>594.24</v>
      </c>
      <c r="D531" s="39" t="n">
        <v>44.325</v>
      </c>
      <c r="E531" s="41">
        <f>IFERROR(B531/B530-1,"")</f>
        <v/>
      </c>
      <c r="F531" s="41">
        <f>IFERROR(C531/C530-1,"")</f>
        <v/>
      </c>
      <c r="G531" s="41">
        <f>IFERROR(D531/D530-1,"")</f>
        <v/>
      </c>
      <c r="H531" s="41">
        <f>IFERROR((1+E531)*(1+H530)-1,"")</f>
        <v/>
      </c>
      <c r="I531" s="41">
        <f>IFERROR((1+F531)*(1+I530)-1,"")</f>
        <v/>
      </c>
      <c r="J531" s="41">
        <f>IFERROR((1+G531)*(1+J530)-1,"")</f>
        <v/>
      </c>
      <c r="K531" s="42">
        <f>IFERROR(B531/$B$36*100,"")</f>
        <v/>
      </c>
      <c r="L531" s="42">
        <f>IFERROR(C531/$C$36*100,"")</f>
        <v/>
      </c>
      <c r="M531" s="42">
        <f>IFERROR(D531/$D$36*100,"")</f>
        <v/>
      </c>
      <c r="N531" s="41">
        <f>IFERROR((1+H531)/(1+I531)-1,"")</f>
        <v/>
      </c>
      <c r="O531" s="41">
        <f>IFERROR((1+H531)/(1+J531)-1,"")</f>
        <v/>
      </c>
      <c r="P531" s="39">
        <f>IFERROR(B531*0.0099502487562189+P530*(1-0.0099502487562189),"")</f>
        <v/>
      </c>
      <c r="Q531" s="42">
        <f>Q530*(1+E531)</f>
        <v/>
      </c>
      <c r="R531" s="42">
        <f>MAX(R530,Q531)</f>
        <v/>
      </c>
      <c r="S531" s="41">
        <f>IFERROR(Q531/R531-1,"")</f>
        <v/>
      </c>
      <c r="T531" s="41">
        <f>IFERROR(_xlfn.STDEV.S(E472:E531)*SQRT($D$7),"")</f>
        <v/>
      </c>
      <c r="U531" s="41">
        <f>IFERROR(MIN(E531-$D$6,0),"")</f>
        <v/>
      </c>
      <c r="V531" s="41">
        <f>IFERROR(E531-F531,"")</f>
        <v/>
      </c>
      <c r="W531" s="39">
        <f>B531</f>
        <v/>
      </c>
      <c r="X531" s="21" t="n"/>
    </row>
    <row r="532">
      <c r="A532" s="38" t="n">
        <v>45714</v>
      </c>
      <c r="B532" s="39" t="n">
        <v>250.53</v>
      </c>
      <c r="C532" s="39" t="n">
        <v>594.54</v>
      </c>
      <c r="D532" s="39" t="n">
        <v>44.305</v>
      </c>
      <c r="E532" s="41">
        <f>IFERROR(B532/B531-1,"")</f>
        <v/>
      </c>
      <c r="F532" s="41">
        <f>IFERROR(C532/C531-1,"")</f>
        <v/>
      </c>
      <c r="G532" s="41">
        <f>IFERROR(D532/D531-1,"")</f>
        <v/>
      </c>
      <c r="H532" s="41">
        <f>IFERROR((1+E532)*(1+H531)-1,"")</f>
        <v/>
      </c>
      <c r="I532" s="41">
        <f>IFERROR((1+F532)*(1+I531)-1,"")</f>
        <v/>
      </c>
      <c r="J532" s="41">
        <f>IFERROR((1+G532)*(1+J531)-1,"")</f>
        <v/>
      </c>
      <c r="K532" s="42">
        <f>IFERROR(B532/$B$36*100,"")</f>
        <v/>
      </c>
      <c r="L532" s="42">
        <f>IFERROR(C532/$C$36*100,"")</f>
        <v/>
      </c>
      <c r="M532" s="42">
        <f>IFERROR(D532/$D$36*100,"")</f>
        <v/>
      </c>
      <c r="N532" s="41">
        <f>IFERROR((1+H532)/(1+I532)-1,"")</f>
        <v/>
      </c>
      <c r="O532" s="41">
        <f>IFERROR((1+H532)/(1+J532)-1,"")</f>
        <v/>
      </c>
      <c r="P532" s="39">
        <f>IFERROR(B532*0.0099502487562189+P531*(1-0.0099502487562189),"")</f>
        <v/>
      </c>
      <c r="Q532" s="42">
        <f>Q531*(1+E532)</f>
        <v/>
      </c>
      <c r="R532" s="42">
        <f>MAX(R531,Q532)</f>
        <v/>
      </c>
      <c r="S532" s="41">
        <f>IFERROR(Q532/R532-1,"")</f>
        <v/>
      </c>
      <c r="T532" s="41">
        <f>IFERROR(_xlfn.STDEV.S(E473:E532)*SQRT($D$7),"")</f>
        <v/>
      </c>
      <c r="U532" s="41">
        <f>IFERROR(MIN(E532-$D$6,0),"")</f>
        <v/>
      </c>
      <c r="V532" s="41">
        <f>IFERROR(E532-F532,"")</f>
        <v/>
      </c>
      <c r="W532" s="39">
        <f>B532</f>
        <v/>
      </c>
      <c r="X532" s="21" t="n"/>
    </row>
    <row r="533">
      <c r="A533" s="38" t="n">
        <v>45715</v>
      </c>
      <c r="B533" s="39" t="n">
        <v>245.12</v>
      </c>
      <c r="C533" s="39" t="n">
        <v>585.05</v>
      </c>
      <c r="D533" s="39" t="n">
        <v>44.005</v>
      </c>
      <c r="E533" s="41">
        <f>IFERROR(B533/B532-1,"")</f>
        <v/>
      </c>
      <c r="F533" s="41">
        <f>IFERROR(C533/C532-1,"")</f>
        <v/>
      </c>
      <c r="G533" s="41">
        <f>IFERROR(D533/D532-1,"")</f>
        <v/>
      </c>
      <c r="H533" s="41">
        <f>IFERROR((1+E533)*(1+H532)-1,"")</f>
        <v/>
      </c>
      <c r="I533" s="41">
        <f>IFERROR((1+F533)*(1+I532)-1,"")</f>
        <v/>
      </c>
      <c r="J533" s="41">
        <f>IFERROR((1+G533)*(1+J532)-1,"")</f>
        <v/>
      </c>
      <c r="K533" s="42">
        <f>IFERROR(B533/$B$36*100,"")</f>
        <v/>
      </c>
      <c r="L533" s="42">
        <f>IFERROR(C533/$C$36*100,"")</f>
        <v/>
      </c>
      <c r="M533" s="42">
        <f>IFERROR(D533/$D$36*100,"")</f>
        <v/>
      </c>
      <c r="N533" s="41">
        <f>IFERROR((1+H533)/(1+I533)-1,"")</f>
        <v/>
      </c>
      <c r="O533" s="41">
        <f>IFERROR((1+H533)/(1+J533)-1,"")</f>
        <v/>
      </c>
      <c r="P533" s="39">
        <f>IFERROR(B533*0.0099502487562189+P532*(1-0.0099502487562189),"")</f>
        <v/>
      </c>
      <c r="Q533" s="42">
        <f>Q532*(1+E533)</f>
        <v/>
      </c>
      <c r="R533" s="42">
        <f>MAX(R532,Q533)</f>
        <v/>
      </c>
      <c r="S533" s="41">
        <f>IFERROR(Q533/R533-1,"")</f>
        <v/>
      </c>
      <c r="T533" s="41">
        <f>IFERROR(_xlfn.STDEV.S(E474:E533)*SQRT($D$7),"")</f>
        <v/>
      </c>
      <c r="U533" s="41">
        <f>IFERROR(MIN(E533-$D$6,0),"")</f>
        <v/>
      </c>
      <c r="V533" s="41">
        <f>IFERROR(E533-F533,"")</f>
        <v/>
      </c>
      <c r="W533" s="39">
        <f>B533</f>
        <v/>
      </c>
      <c r="X533" s="21" t="n"/>
    </row>
    <row r="534">
      <c r="A534" s="38" t="n">
        <v>45716</v>
      </c>
      <c r="B534" s="39" t="n">
        <v>247.31</v>
      </c>
      <c r="C534" s="39" t="n">
        <v>594.1799999999999</v>
      </c>
      <c r="D534" s="39" t="n">
        <v>44.38</v>
      </c>
      <c r="E534" s="41">
        <f>IFERROR(B534/B533-1,"")</f>
        <v/>
      </c>
      <c r="F534" s="41">
        <f>IFERROR(C534/C533-1,"")</f>
        <v/>
      </c>
      <c r="G534" s="41">
        <f>IFERROR(D534/D533-1,"")</f>
        <v/>
      </c>
      <c r="H534" s="41">
        <f>IFERROR((1+E534)*(1+H533)-1,"")</f>
        <v/>
      </c>
      <c r="I534" s="41">
        <f>IFERROR((1+F534)*(1+I533)-1,"")</f>
        <v/>
      </c>
      <c r="J534" s="41">
        <f>IFERROR((1+G534)*(1+J533)-1,"")</f>
        <v/>
      </c>
      <c r="K534" s="42">
        <f>IFERROR(B534/$B$36*100,"")</f>
        <v/>
      </c>
      <c r="L534" s="42">
        <f>IFERROR(C534/$C$36*100,"")</f>
        <v/>
      </c>
      <c r="M534" s="42">
        <f>IFERROR(D534/$D$36*100,"")</f>
        <v/>
      </c>
      <c r="N534" s="41">
        <f>IFERROR((1+H534)/(1+I534)-1,"")</f>
        <v/>
      </c>
      <c r="O534" s="41">
        <f>IFERROR((1+H534)/(1+J534)-1,"")</f>
        <v/>
      </c>
      <c r="P534" s="39">
        <f>IFERROR(B534*0.0099502487562189+P533*(1-0.0099502487562189),"")</f>
        <v/>
      </c>
      <c r="Q534" s="42">
        <f>Q533*(1+E534)</f>
        <v/>
      </c>
      <c r="R534" s="42">
        <f>MAX(R533,Q534)</f>
        <v/>
      </c>
      <c r="S534" s="41">
        <f>IFERROR(Q534/R534-1,"")</f>
        <v/>
      </c>
      <c r="T534" s="41">
        <f>IFERROR(_xlfn.STDEV.S(E475:E534)*SQRT($D$7),"")</f>
        <v/>
      </c>
      <c r="U534" s="41">
        <f>IFERROR(MIN(E534-$D$6,0),"")</f>
        <v/>
      </c>
      <c r="V534" s="41">
        <f>IFERROR(E534-F534,"")</f>
        <v/>
      </c>
      <c r="W534" s="39">
        <f>B534</f>
        <v/>
      </c>
      <c r="X534" s="21" t="n"/>
    </row>
    <row r="535">
      <c r="A535" s="38" t="n">
        <v>45719</v>
      </c>
      <c r="B535" s="39" t="n">
        <v>239.77</v>
      </c>
      <c r="C535" s="39" t="n">
        <v>583.77</v>
      </c>
      <c r="D535" s="39" t="n">
        <v>43.49</v>
      </c>
      <c r="E535" s="41">
        <f>IFERROR(B535/B534-1,"")</f>
        <v/>
      </c>
      <c r="F535" s="41">
        <f>IFERROR(C535/C534-1,"")</f>
        <v/>
      </c>
      <c r="G535" s="41">
        <f>IFERROR(D535/D534-1,"")</f>
        <v/>
      </c>
      <c r="H535" s="41">
        <f>IFERROR((1+E535)*(1+H534)-1,"")</f>
        <v/>
      </c>
      <c r="I535" s="41">
        <f>IFERROR((1+F535)*(1+I534)-1,"")</f>
        <v/>
      </c>
      <c r="J535" s="41">
        <f>IFERROR((1+G535)*(1+J534)-1,"")</f>
        <v/>
      </c>
      <c r="K535" s="42">
        <f>IFERROR(B535/$B$36*100,"")</f>
        <v/>
      </c>
      <c r="L535" s="42">
        <f>IFERROR(C535/$C$36*100,"")</f>
        <v/>
      </c>
      <c r="M535" s="42">
        <f>IFERROR(D535/$D$36*100,"")</f>
        <v/>
      </c>
      <c r="N535" s="41">
        <f>IFERROR((1+H535)/(1+I535)-1,"")</f>
        <v/>
      </c>
      <c r="O535" s="41">
        <f>IFERROR((1+H535)/(1+J535)-1,"")</f>
        <v/>
      </c>
      <c r="P535" s="39">
        <f>IFERROR(B535*0.0099502487562189+P534*(1-0.0099502487562189),"")</f>
        <v/>
      </c>
      <c r="Q535" s="42">
        <f>Q534*(1+E535)</f>
        <v/>
      </c>
      <c r="R535" s="42">
        <f>MAX(R534,Q535)</f>
        <v/>
      </c>
      <c r="S535" s="41">
        <f>IFERROR(Q535/R535-1,"")</f>
        <v/>
      </c>
      <c r="T535" s="41">
        <f>IFERROR(_xlfn.STDEV.S(E476:E535)*SQRT($D$7),"")</f>
        <v/>
      </c>
      <c r="U535" s="41">
        <f>IFERROR(MIN(E535-$D$6,0),"")</f>
        <v/>
      </c>
      <c r="V535" s="41">
        <f>IFERROR(E535-F535,"")</f>
        <v/>
      </c>
      <c r="W535" s="39">
        <f>B535</f>
        <v/>
      </c>
      <c r="X535" s="21" t="n"/>
    </row>
    <row r="536">
      <c r="A536" s="38" t="n">
        <v>45720</v>
      </c>
      <c r="B536" s="39" t="n">
        <v>234.86</v>
      </c>
      <c r="C536" s="39" t="n">
        <v>576.86</v>
      </c>
      <c r="D536" s="39" t="n">
        <v>42.9</v>
      </c>
      <c r="E536" s="41">
        <f>IFERROR(B536/B535-1,"")</f>
        <v/>
      </c>
      <c r="F536" s="41">
        <f>IFERROR(C536/C535-1,"")</f>
        <v/>
      </c>
      <c r="G536" s="41">
        <f>IFERROR(D536/D535-1,"")</f>
        <v/>
      </c>
      <c r="H536" s="41">
        <f>IFERROR((1+E536)*(1+H535)-1,"")</f>
        <v/>
      </c>
      <c r="I536" s="41">
        <f>IFERROR((1+F536)*(1+I535)-1,"")</f>
        <v/>
      </c>
      <c r="J536" s="41">
        <f>IFERROR((1+G536)*(1+J535)-1,"")</f>
        <v/>
      </c>
      <c r="K536" s="42">
        <f>IFERROR(B536/$B$36*100,"")</f>
        <v/>
      </c>
      <c r="L536" s="42">
        <f>IFERROR(C536/$C$36*100,"")</f>
        <v/>
      </c>
      <c r="M536" s="42">
        <f>IFERROR(D536/$D$36*100,"")</f>
        <v/>
      </c>
      <c r="N536" s="41">
        <f>IFERROR((1+H536)/(1+I536)-1,"")</f>
        <v/>
      </c>
      <c r="O536" s="41">
        <f>IFERROR((1+H536)/(1+J536)-1,"")</f>
        <v/>
      </c>
      <c r="P536" s="39">
        <f>IFERROR(B536*0.0099502487562189+P535*(1-0.0099502487562189),"")</f>
        <v/>
      </c>
      <c r="Q536" s="42">
        <f>Q535*(1+E536)</f>
        <v/>
      </c>
      <c r="R536" s="42">
        <f>MAX(R535,Q536)</f>
        <v/>
      </c>
      <c r="S536" s="41">
        <f>IFERROR(Q536/R536-1,"")</f>
        <v/>
      </c>
      <c r="T536" s="41">
        <f>IFERROR(_xlfn.STDEV.S(E477:E536)*SQRT($D$7),"")</f>
        <v/>
      </c>
      <c r="U536" s="41">
        <f>IFERROR(MIN(E536-$D$6,0),"")</f>
        <v/>
      </c>
      <c r="V536" s="41">
        <f>IFERROR(E536-F536,"")</f>
        <v/>
      </c>
      <c r="W536" s="39">
        <f>B536</f>
        <v/>
      </c>
      <c r="X536" s="21" t="n"/>
    </row>
    <row r="537">
      <c r="A537" s="38" t="n">
        <v>45721</v>
      </c>
      <c r="B537" s="39" t="n">
        <v>240.35</v>
      </c>
      <c r="C537" s="39" t="n">
        <v>583.0599999999999</v>
      </c>
      <c r="D537" s="39" t="n">
        <v>44.02</v>
      </c>
      <c r="E537" s="41">
        <f>IFERROR(B537/B536-1,"")</f>
        <v/>
      </c>
      <c r="F537" s="41">
        <f>IFERROR(C537/C536-1,"")</f>
        <v/>
      </c>
      <c r="G537" s="41">
        <f>IFERROR(D537/D536-1,"")</f>
        <v/>
      </c>
      <c r="H537" s="41">
        <f>IFERROR((1+E537)*(1+H536)-1,"")</f>
        <v/>
      </c>
      <c r="I537" s="41">
        <f>IFERROR((1+F537)*(1+I536)-1,"")</f>
        <v/>
      </c>
      <c r="J537" s="41">
        <f>IFERROR((1+G537)*(1+J536)-1,"")</f>
        <v/>
      </c>
      <c r="K537" s="42">
        <f>IFERROR(B537/$B$36*100,"")</f>
        <v/>
      </c>
      <c r="L537" s="42">
        <f>IFERROR(C537/$C$36*100,"")</f>
        <v/>
      </c>
      <c r="M537" s="42">
        <f>IFERROR(D537/$D$36*100,"")</f>
        <v/>
      </c>
      <c r="N537" s="41">
        <f>IFERROR((1+H537)/(1+I537)-1,"")</f>
        <v/>
      </c>
      <c r="O537" s="41">
        <f>IFERROR((1+H537)/(1+J537)-1,"")</f>
        <v/>
      </c>
      <c r="P537" s="39">
        <f>IFERROR(B537*0.0099502487562189+P536*(1-0.0099502487562189),"")</f>
        <v/>
      </c>
      <c r="Q537" s="42">
        <f>Q536*(1+E537)</f>
        <v/>
      </c>
      <c r="R537" s="42">
        <f>MAX(R536,Q537)</f>
        <v/>
      </c>
      <c r="S537" s="41">
        <f>IFERROR(Q537/R537-1,"")</f>
        <v/>
      </c>
      <c r="T537" s="41">
        <f>IFERROR(_xlfn.STDEV.S(E478:E537)*SQRT($D$7),"")</f>
        <v/>
      </c>
      <c r="U537" s="41">
        <f>IFERROR(MIN(E537-$D$6,0),"")</f>
        <v/>
      </c>
      <c r="V537" s="41">
        <f>IFERROR(E537-F537,"")</f>
        <v/>
      </c>
      <c r="W537" s="39">
        <f>B537</f>
        <v/>
      </c>
      <c r="X537" s="21" t="n"/>
    </row>
    <row r="538">
      <c r="A538" s="38" t="n">
        <v>45722</v>
      </c>
      <c r="B538" s="39" t="n">
        <v>235.17</v>
      </c>
      <c r="C538" s="39" t="n">
        <v>572.71</v>
      </c>
      <c r="D538" s="39" t="n">
        <v>43.79</v>
      </c>
      <c r="E538" s="41">
        <f>IFERROR(B538/B537-1,"")</f>
        <v/>
      </c>
      <c r="F538" s="41">
        <f>IFERROR(C538/C537-1,"")</f>
        <v/>
      </c>
      <c r="G538" s="41">
        <f>IFERROR(D538/D537-1,"")</f>
        <v/>
      </c>
      <c r="H538" s="41">
        <f>IFERROR((1+E538)*(1+H537)-1,"")</f>
        <v/>
      </c>
      <c r="I538" s="41">
        <f>IFERROR((1+F538)*(1+I537)-1,"")</f>
        <v/>
      </c>
      <c r="J538" s="41">
        <f>IFERROR((1+G538)*(1+J537)-1,"")</f>
        <v/>
      </c>
      <c r="K538" s="42">
        <f>IFERROR(B538/$B$36*100,"")</f>
        <v/>
      </c>
      <c r="L538" s="42">
        <f>IFERROR(C538/$C$36*100,"")</f>
        <v/>
      </c>
      <c r="M538" s="42">
        <f>IFERROR(D538/$D$36*100,"")</f>
        <v/>
      </c>
      <c r="N538" s="41">
        <f>IFERROR((1+H538)/(1+I538)-1,"")</f>
        <v/>
      </c>
      <c r="O538" s="41">
        <f>IFERROR((1+H538)/(1+J538)-1,"")</f>
        <v/>
      </c>
      <c r="P538" s="39">
        <f>IFERROR(B538*0.0099502487562189+P537*(1-0.0099502487562189),"")</f>
        <v/>
      </c>
      <c r="Q538" s="42">
        <f>Q537*(1+E538)</f>
        <v/>
      </c>
      <c r="R538" s="42">
        <f>MAX(R537,Q538)</f>
        <v/>
      </c>
      <c r="S538" s="41">
        <f>IFERROR(Q538/R538-1,"")</f>
        <v/>
      </c>
      <c r="T538" s="41">
        <f>IFERROR(_xlfn.STDEV.S(E479:E538)*SQRT($D$7),"")</f>
        <v/>
      </c>
      <c r="U538" s="41">
        <f>IFERROR(MIN(E538-$D$6,0),"")</f>
        <v/>
      </c>
      <c r="V538" s="41">
        <f>IFERROR(E538-F538,"")</f>
        <v/>
      </c>
      <c r="W538" s="39">
        <f>B538</f>
        <v/>
      </c>
      <c r="X538" s="21" t="n"/>
    </row>
    <row r="539">
      <c r="A539" s="38" t="n">
        <v>45723</v>
      </c>
      <c r="B539" s="39" t="n">
        <v>220.9</v>
      </c>
      <c r="C539" s="39" t="n">
        <v>575.92</v>
      </c>
      <c r="D539" s="39" t="n">
        <v>43.91</v>
      </c>
      <c r="E539" s="41">
        <f>IFERROR(B539/B538-1,"")</f>
        <v/>
      </c>
      <c r="F539" s="41">
        <f>IFERROR(C539/C538-1,"")</f>
        <v/>
      </c>
      <c r="G539" s="41">
        <f>IFERROR(D539/D538-1,"")</f>
        <v/>
      </c>
      <c r="H539" s="41">
        <f>IFERROR((1+E539)*(1+H538)-1,"")</f>
        <v/>
      </c>
      <c r="I539" s="41">
        <f>IFERROR((1+F539)*(1+I538)-1,"")</f>
        <v/>
      </c>
      <c r="J539" s="41">
        <f>IFERROR((1+G539)*(1+J538)-1,"")</f>
        <v/>
      </c>
      <c r="K539" s="42">
        <f>IFERROR(B539/$B$36*100,"")</f>
        <v/>
      </c>
      <c r="L539" s="42">
        <f>IFERROR(C539/$C$36*100,"")</f>
        <v/>
      </c>
      <c r="M539" s="42">
        <f>IFERROR(D539/$D$36*100,"")</f>
        <v/>
      </c>
      <c r="N539" s="41">
        <f>IFERROR((1+H539)/(1+I539)-1,"")</f>
        <v/>
      </c>
      <c r="O539" s="41">
        <f>IFERROR((1+H539)/(1+J539)-1,"")</f>
        <v/>
      </c>
      <c r="P539" s="39">
        <f>IFERROR(B539*0.0099502487562189+P538*(1-0.0099502487562189),"")</f>
        <v/>
      </c>
      <c r="Q539" s="42">
        <f>Q538*(1+E539)</f>
        <v/>
      </c>
      <c r="R539" s="42">
        <f>MAX(R538,Q539)</f>
        <v/>
      </c>
      <c r="S539" s="41">
        <f>IFERROR(Q539/R539-1,"")</f>
        <v/>
      </c>
      <c r="T539" s="41">
        <f>IFERROR(_xlfn.STDEV.S(E480:E539)*SQRT($D$7),"")</f>
        <v/>
      </c>
      <c r="U539" s="41">
        <f>IFERROR(MIN(E539-$D$6,0),"")</f>
        <v/>
      </c>
      <c r="V539" s="41">
        <f>IFERROR(E539-F539,"")</f>
        <v/>
      </c>
      <c r="W539" s="39">
        <f>B539</f>
        <v/>
      </c>
      <c r="X539" s="21" t="n"/>
    </row>
    <row r="540">
      <c r="A540" s="38" t="n">
        <v>45726</v>
      </c>
      <c r="B540" s="39" t="n">
        <v>221.34</v>
      </c>
      <c r="C540" s="39" t="n">
        <v>560.58</v>
      </c>
      <c r="D540" s="39" t="n">
        <v>42.995</v>
      </c>
      <c r="E540" s="41">
        <f>IFERROR(B540/B539-1,"")</f>
        <v/>
      </c>
      <c r="F540" s="41">
        <f>IFERROR(C540/C539-1,"")</f>
        <v/>
      </c>
      <c r="G540" s="41">
        <f>IFERROR(D540/D539-1,"")</f>
        <v/>
      </c>
      <c r="H540" s="41">
        <f>IFERROR((1+E540)*(1+H539)-1,"")</f>
        <v/>
      </c>
      <c r="I540" s="41">
        <f>IFERROR((1+F540)*(1+I539)-1,"")</f>
        <v/>
      </c>
      <c r="J540" s="41">
        <f>IFERROR((1+G540)*(1+J539)-1,"")</f>
        <v/>
      </c>
      <c r="K540" s="42">
        <f>IFERROR(B540/$B$36*100,"")</f>
        <v/>
      </c>
      <c r="L540" s="42">
        <f>IFERROR(C540/$C$36*100,"")</f>
        <v/>
      </c>
      <c r="M540" s="42">
        <f>IFERROR(D540/$D$36*100,"")</f>
        <v/>
      </c>
      <c r="N540" s="41">
        <f>IFERROR((1+H540)/(1+I540)-1,"")</f>
        <v/>
      </c>
      <c r="O540" s="41">
        <f>IFERROR((1+H540)/(1+J540)-1,"")</f>
        <v/>
      </c>
      <c r="P540" s="39">
        <f>IFERROR(B540*0.0099502487562189+P539*(1-0.0099502487562189),"")</f>
        <v/>
      </c>
      <c r="Q540" s="42">
        <f>Q539*(1+E540)</f>
        <v/>
      </c>
      <c r="R540" s="42">
        <f>MAX(R539,Q540)</f>
        <v/>
      </c>
      <c r="S540" s="41">
        <f>IFERROR(Q540/R540-1,"")</f>
        <v/>
      </c>
      <c r="T540" s="41">
        <f>IFERROR(_xlfn.STDEV.S(E481:E540)*SQRT($D$7),"")</f>
        <v/>
      </c>
      <c r="U540" s="41">
        <f>IFERROR(MIN(E540-$D$6,0),"")</f>
        <v/>
      </c>
      <c r="V540" s="41">
        <f>IFERROR(E540-F540,"")</f>
        <v/>
      </c>
      <c r="W540" s="39">
        <f>B540</f>
        <v/>
      </c>
      <c r="X540" s="21" t="n"/>
    </row>
    <row r="541">
      <c r="A541" s="38" t="n">
        <v>45727</v>
      </c>
      <c r="B541" s="39" t="n">
        <v>224.71</v>
      </c>
      <c r="C541" s="39" t="n">
        <v>555.92</v>
      </c>
      <c r="D541" s="39" t="n">
        <v>42.665</v>
      </c>
      <c r="E541" s="41">
        <f>IFERROR(B541/B540-1,"")</f>
        <v/>
      </c>
      <c r="F541" s="41">
        <f>IFERROR(C541/C540-1,"")</f>
        <v/>
      </c>
      <c r="G541" s="41">
        <f>IFERROR(D541/D540-1,"")</f>
        <v/>
      </c>
      <c r="H541" s="41">
        <f>IFERROR((1+E541)*(1+H540)-1,"")</f>
        <v/>
      </c>
      <c r="I541" s="41">
        <f>IFERROR((1+F541)*(1+I540)-1,"")</f>
        <v/>
      </c>
      <c r="J541" s="41">
        <f>IFERROR((1+G541)*(1+J540)-1,"")</f>
        <v/>
      </c>
      <c r="K541" s="42">
        <f>IFERROR(B541/$B$36*100,"")</f>
        <v/>
      </c>
      <c r="L541" s="42">
        <f>IFERROR(C541/$C$36*100,"")</f>
        <v/>
      </c>
      <c r="M541" s="42">
        <f>IFERROR(D541/$D$36*100,"")</f>
        <v/>
      </c>
      <c r="N541" s="41">
        <f>IFERROR((1+H541)/(1+I541)-1,"")</f>
        <v/>
      </c>
      <c r="O541" s="41">
        <f>IFERROR((1+H541)/(1+J541)-1,"")</f>
        <v/>
      </c>
      <c r="P541" s="39">
        <f>IFERROR(B541*0.0099502487562189+P540*(1-0.0099502487562189),"")</f>
        <v/>
      </c>
      <c r="Q541" s="42">
        <f>Q540*(1+E541)</f>
        <v/>
      </c>
      <c r="R541" s="42">
        <f>MAX(R540,Q541)</f>
        <v/>
      </c>
      <c r="S541" s="41">
        <f>IFERROR(Q541/R541-1,"")</f>
        <v/>
      </c>
      <c r="T541" s="41">
        <f>IFERROR(_xlfn.STDEV.S(E482:E541)*SQRT($D$7),"")</f>
        <v/>
      </c>
      <c r="U541" s="41">
        <f>IFERROR(MIN(E541-$D$6,0),"")</f>
        <v/>
      </c>
      <c r="V541" s="41">
        <f>IFERROR(E541-F541,"")</f>
        <v/>
      </c>
      <c r="W541" s="39">
        <f>B541</f>
        <v/>
      </c>
      <c r="X541" s="21" t="n"/>
    </row>
    <row r="542">
      <c r="A542" s="38" t="n">
        <v>45728</v>
      </c>
      <c r="B542" s="39" t="n">
        <v>227.17</v>
      </c>
      <c r="C542" s="39" t="n">
        <v>558.87</v>
      </c>
      <c r="D542" s="39" t="n">
        <v>42.465</v>
      </c>
      <c r="E542" s="41">
        <f>IFERROR(B542/B541-1,"")</f>
        <v/>
      </c>
      <c r="F542" s="41">
        <f>IFERROR(C542/C541-1,"")</f>
        <v/>
      </c>
      <c r="G542" s="41">
        <f>IFERROR(D542/D541-1,"")</f>
        <v/>
      </c>
      <c r="H542" s="41">
        <f>IFERROR((1+E542)*(1+H541)-1,"")</f>
        <v/>
      </c>
      <c r="I542" s="41">
        <f>IFERROR((1+F542)*(1+I541)-1,"")</f>
        <v/>
      </c>
      <c r="J542" s="41">
        <f>IFERROR((1+G542)*(1+J541)-1,"")</f>
        <v/>
      </c>
      <c r="K542" s="42">
        <f>IFERROR(B542/$B$36*100,"")</f>
        <v/>
      </c>
      <c r="L542" s="42">
        <f>IFERROR(C542/$C$36*100,"")</f>
        <v/>
      </c>
      <c r="M542" s="42">
        <f>IFERROR(D542/$D$36*100,"")</f>
        <v/>
      </c>
      <c r="N542" s="41">
        <f>IFERROR((1+H542)/(1+I542)-1,"")</f>
        <v/>
      </c>
      <c r="O542" s="41">
        <f>IFERROR((1+H542)/(1+J542)-1,"")</f>
        <v/>
      </c>
      <c r="P542" s="39">
        <f>IFERROR(B542*0.0099502487562189+P541*(1-0.0099502487562189),"")</f>
        <v/>
      </c>
      <c r="Q542" s="42">
        <f>Q541*(1+E542)</f>
        <v/>
      </c>
      <c r="R542" s="42">
        <f>MAX(R541,Q542)</f>
        <v/>
      </c>
      <c r="S542" s="41">
        <f>IFERROR(Q542/R542-1,"")</f>
        <v/>
      </c>
      <c r="T542" s="41">
        <f>IFERROR(_xlfn.STDEV.S(E483:E542)*SQRT($D$7),"")</f>
        <v/>
      </c>
      <c r="U542" s="41">
        <f>IFERROR(MIN(E542-$D$6,0),"")</f>
        <v/>
      </c>
      <c r="V542" s="41">
        <f>IFERROR(E542-F542,"")</f>
        <v/>
      </c>
      <c r="W542" s="39">
        <f>B542</f>
        <v/>
      </c>
      <c r="X542" s="21" t="n"/>
    </row>
    <row r="543">
      <c r="A543" s="38" t="n">
        <v>45729</v>
      </c>
      <c r="B543" s="39" t="n">
        <v>225.04</v>
      </c>
      <c r="C543" s="39" t="n">
        <v>551.42</v>
      </c>
      <c r="D543" s="39" t="n">
        <v>42.435</v>
      </c>
      <c r="E543" s="41">
        <f>IFERROR(B543/B542-1,"")</f>
        <v/>
      </c>
      <c r="F543" s="41">
        <f>IFERROR(C543/C542-1,"")</f>
        <v/>
      </c>
      <c r="G543" s="41">
        <f>IFERROR(D543/D542-1,"")</f>
        <v/>
      </c>
      <c r="H543" s="41">
        <f>IFERROR((1+E543)*(1+H542)-1,"")</f>
        <v/>
      </c>
      <c r="I543" s="41">
        <f>IFERROR((1+F543)*(1+I542)-1,"")</f>
        <v/>
      </c>
      <c r="J543" s="41">
        <f>IFERROR((1+G543)*(1+J542)-1,"")</f>
        <v/>
      </c>
      <c r="K543" s="42">
        <f>IFERROR(B543/$B$36*100,"")</f>
        <v/>
      </c>
      <c r="L543" s="42">
        <f>IFERROR(C543/$C$36*100,"")</f>
        <v/>
      </c>
      <c r="M543" s="42">
        <f>IFERROR(D543/$D$36*100,"")</f>
        <v/>
      </c>
      <c r="N543" s="41">
        <f>IFERROR((1+H543)/(1+I543)-1,"")</f>
        <v/>
      </c>
      <c r="O543" s="41">
        <f>IFERROR((1+H543)/(1+J543)-1,"")</f>
        <v/>
      </c>
      <c r="P543" s="39">
        <f>IFERROR(B543*0.0099502487562189+P542*(1-0.0099502487562189),"")</f>
        <v/>
      </c>
      <c r="Q543" s="42">
        <f>Q542*(1+E543)</f>
        <v/>
      </c>
      <c r="R543" s="42">
        <f>MAX(R542,Q543)</f>
        <v/>
      </c>
      <c r="S543" s="41">
        <f>IFERROR(Q543/R543-1,"")</f>
        <v/>
      </c>
      <c r="T543" s="41">
        <f>IFERROR(_xlfn.STDEV.S(E484:E543)*SQRT($D$7),"")</f>
        <v/>
      </c>
      <c r="U543" s="41">
        <f>IFERROR(MIN(E543-$D$6,0),"")</f>
        <v/>
      </c>
      <c r="V543" s="41">
        <f>IFERROR(E543-F543,"")</f>
        <v/>
      </c>
      <c r="W543" s="39">
        <f>B543</f>
        <v/>
      </c>
      <c r="X543" s="21" t="n"/>
    </row>
    <row r="544">
      <c r="A544" s="38" t="n">
        <v>45730</v>
      </c>
      <c r="B544" s="39" t="n">
        <v>231.32</v>
      </c>
      <c r="C544" s="39" t="n">
        <v>562.8099999999999</v>
      </c>
      <c r="D544" s="39" t="n">
        <v>42.99</v>
      </c>
      <c r="E544" s="41">
        <f>IFERROR(B544/B543-1,"")</f>
        <v/>
      </c>
      <c r="F544" s="41">
        <f>IFERROR(C544/C543-1,"")</f>
        <v/>
      </c>
      <c r="G544" s="41">
        <f>IFERROR(D544/D543-1,"")</f>
        <v/>
      </c>
      <c r="H544" s="41">
        <f>IFERROR((1+E544)*(1+H543)-1,"")</f>
        <v/>
      </c>
      <c r="I544" s="41">
        <f>IFERROR((1+F544)*(1+I543)-1,"")</f>
        <v/>
      </c>
      <c r="J544" s="41">
        <f>IFERROR((1+G544)*(1+J543)-1,"")</f>
        <v/>
      </c>
      <c r="K544" s="42">
        <f>IFERROR(B544/$B$36*100,"")</f>
        <v/>
      </c>
      <c r="L544" s="42">
        <f>IFERROR(C544/$C$36*100,"")</f>
        <v/>
      </c>
      <c r="M544" s="42">
        <f>IFERROR(D544/$D$36*100,"")</f>
        <v/>
      </c>
      <c r="N544" s="41">
        <f>IFERROR((1+H544)/(1+I544)-1,"")</f>
        <v/>
      </c>
      <c r="O544" s="41">
        <f>IFERROR((1+H544)/(1+J544)-1,"")</f>
        <v/>
      </c>
      <c r="P544" s="39">
        <f>IFERROR(B544*0.0099502487562189+P543*(1-0.0099502487562189),"")</f>
        <v/>
      </c>
      <c r="Q544" s="42">
        <f>Q543*(1+E544)</f>
        <v/>
      </c>
      <c r="R544" s="42">
        <f>MAX(R543,Q544)</f>
        <v/>
      </c>
      <c r="S544" s="41">
        <f>IFERROR(Q544/R544-1,"")</f>
        <v/>
      </c>
      <c r="T544" s="41">
        <f>IFERROR(_xlfn.STDEV.S(E485:E544)*SQRT($D$7),"")</f>
        <v/>
      </c>
      <c r="U544" s="41">
        <f>IFERROR(MIN(E544-$D$6,0),"")</f>
        <v/>
      </c>
      <c r="V544" s="41">
        <f>IFERROR(E544-F544,"")</f>
        <v/>
      </c>
      <c r="W544" s="39">
        <f>B544</f>
        <v/>
      </c>
      <c r="X544" s="21" t="n"/>
    </row>
    <row r="545">
      <c r="A545" s="38" t="n">
        <v>45733</v>
      </c>
      <c r="B545" s="39" t="n">
        <v>235.08</v>
      </c>
      <c r="C545" s="39" t="n">
        <v>567.15</v>
      </c>
      <c r="D545" s="39" t="n">
        <v>43.53</v>
      </c>
      <c r="E545" s="41">
        <f>IFERROR(B545/B544-1,"")</f>
        <v/>
      </c>
      <c r="F545" s="41">
        <f>IFERROR(C545/C544-1,"")</f>
        <v/>
      </c>
      <c r="G545" s="41">
        <f>IFERROR(D545/D544-1,"")</f>
        <v/>
      </c>
      <c r="H545" s="41">
        <f>IFERROR((1+E545)*(1+H544)-1,"")</f>
        <v/>
      </c>
      <c r="I545" s="41">
        <f>IFERROR((1+F545)*(1+I544)-1,"")</f>
        <v/>
      </c>
      <c r="J545" s="41">
        <f>IFERROR((1+G545)*(1+J544)-1,"")</f>
        <v/>
      </c>
      <c r="K545" s="42">
        <f>IFERROR(B545/$B$36*100,"")</f>
        <v/>
      </c>
      <c r="L545" s="42">
        <f>IFERROR(C545/$C$36*100,"")</f>
        <v/>
      </c>
      <c r="M545" s="42">
        <f>IFERROR(D545/$D$36*100,"")</f>
        <v/>
      </c>
      <c r="N545" s="41">
        <f>IFERROR((1+H545)/(1+I545)-1,"")</f>
        <v/>
      </c>
      <c r="O545" s="41">
        <f>IFERROR((1+H545)/(1+J545)-1,"")</f>
        <v/>
      </c>
      <c r="P545" s="39">
        <f>IFERROR(B545*0.0099502487562189+P544*(1-0.0099502487562189),"")</f>
        <v/>
      </c>
      <c r="Q545" s="42">
        <f>Q544*(1+E545)</f>
        <v/>
      </c>
      <c r="R545" s="42">
        <f>MAX(R544,Q545)</f>
        <v/>
      </c>
      <c r="S545" s="41">
        <f>IFERROR(Q545/R545-1,"")</f>
        <v/>
      </c>
      <c r="T545" s="41">
        <f>IFERROR(_xlfn.STDEV.S(E486:E545)*SQRT($D$7),"")</f>
        <v/>
      </c>
      <c r="U545" s="41">
        <f>IFERROR(MIN(E545-$D$6,0),"")</f>
        <v/>
      </c>
      <c r="V545" s="41">
        <f>IFERROR(E545-F545,"")</f>
        <v/>
      </c>
      <c r="W545" s="39">
        <f>B545</f>
        <v/>
      </c>
      <c r="X545" s="21" t="n"/>
    </row>
    <row r="546">
      <c r="A546" s="38" t="n">
        <v>45734</v>
      </c>
      <c r="B546" s="39" t="n">
        <v>236.5</v>
      </c>
      <c r="C546" s="39" t="n">
        <v>561.02</v>
      </c>
      <c r="D546" s="39" t="n">
        <v>43.455</v>
      </c>
      <c r="E546" s="41">
        <f>IFERROR(B546/B545-1,"")</f>
        <v/>
      </c>
      <c r="F546" s="41">
        <f>IFERROR(C546/C545-1,"")</f>
        <v/>
      </c>
      <c r="G546" s="41">
        <f>IFERROR(D546/D545-1,"")</f>
        <v/>
      </c>
      <c r="H546" s="41">
        <f>IFERROR((1+E546)*(1+H545)-1,"")</f>
        <v/>
      </c>
      <c r="I546" s="41">
        <f>IFERROR((1+F546)*(1+I545)-1,"")</f>
        <v/>
      </c>
      <c r="J546" s="41">
        <f>IFERROR((1+G546)*(1+J545)-1,"")</f>
        <v/>
      </c>
      <c r="K546" s="42">
        <f>IFERROR(B546/$B$36*100,"")</f>
        <v/>
      </c>
      <c r="L546" s="42">
        <f>IFERROR(C546/$C$36*100,"")</f>
        <v/>
      </c>
      <c r="M546" s="42">
        <f>IFERROR(D546/$D$36*100,"")</f>
        <v/>
      </c>
      <c r="N546" s="41">
        <f>IFERROR((1+H546)/(1+I546)-1,"")</f>
        <v/>
      </c>
      <c r="O546" s="41">
        <f>IFERROR((1+H546)/(1+J546)-1,"")</f>
        <v/>
      </c>
      <c r="P546" s="39">
        <f>IFERROR(B546*0.0099502487562189+P545*(1-0.0099502487562189),"")</f>
        <v/>
      </c>
      <c r="Q546" s="42">
        <f>Q545*(1+E546)</f>
        <v/>
      </c>
      <c r="R546" s="42">
        <f>MAX(R545,Q546)</f>
        <v/>
      </c>
      <c r="S546" s="41">
        <f>IFERROR(Q546/R546-1,"")</f>
        <v/>
      </c>
      <c r="T546" s="41">
        <f>IFERROR(_xlfn.STDEV.S(E487:E546)*SQRT($D$7),"")</f>
        <v/>
      </c>
      <c r="U546" s="41">
        <f>IFERROR(MIN(E546-$D$6,0),"")</f>
        <v/>
      </c>
      <c r="V546" s="41">
        <f>IFERROR(E546-F546,"")</f>
        <v/>
      </c>
      <c r="W546" s="39">
        <f>B546</f>
        <v/>
      </c>
      <c r="X546" s="21" t="n"/>
    </row>
    <row r="547">
      <c r="A547" s="38" t="n">
        <v>45735</v>
      </c>
      <c r="B547" s="39" t="n">
        <v>241.11</v>
      </c>
      <c r="C547" s="39" t="n">
        <v>567.13</v>
      </c>
      <c r="D547" s="39" t="n">
        <v>43.6</v>
      </c>
      <c r="E547" s="41">
        <f>IFERROR(B547/B546-1,"")</f>
        <v/>
      </c>
      <c r="F547" s="41">
        <f>IFERROR(C547/C546-1,"")</f>
        <v/>
      </c>
      <c r="G547" s="41">
        <f>IFERROR(D547/D546-1,"")</f>
        <v/>
      </c>
      <c r="H547" s="41">
        <f>IFERROR((1+E547)*(1+H546)-1,"")</f>
        <v/>
      </c>
      <c r="I547" s="41">
        <f>IFERROR((1+F547)*(1+I546)-1,"")</f>
        <v/>
      </c>
      <c r="J547" s="41">
        <f>IFERROR((1+G547)*(1+J546)-1,"")</f>
        <v/>
      </c>
      <c r="K547" s="42">
        <f>IFERROR(B547/$B$36*100,"")</f>
        <v/>
      </c>
      <c r="L547" s="42">
        <f>IFERROR(C547/$C$36*100,"")</f>
        <v/>
      </c>
      <c r="M547" s="42">
        <f>IFERROR(D547/$D$36*100,"")</f>
        <v/>
      </c>
      <c r="N547" s="41">
        <f>IFERROR((1+H547)/(1+I547)-1,"")</f>
        <v/>
      </c>
      <c r="O547" s="41">
        <f>IFERROR((1+H547)/(1+J547)-1,"")</f>
        <v/>
      </c>
      <c r="P547" s="39">
        <f>IFERROR(B547*0.0099502487562189+P546*(1-0.0099502487562189),"")</f>
        <v/>
      </c>
      <c r="Q547" s="42">
        <f>Q546*(1+E547)</f>
        <v/>
      </c>
      <c r="R547" s="42">
        <f>MAX(R546,Q547)</f>
        <v/>
      </c>
      <c r="S547" s="41">
        <f>IFERROR(Q547/R547-1,"")</f>
        <v/>
      </c>
      <c r="T547" s="41">
        <f>IFERROR(_xlfn.STDEV.S(E488:E547)*SQRT($D$7),"")</f>
        <v/>
      </c>
      <c r="U547" s="41">
        <f>IFERROR(MIN(E547-$D$6,0),"")</f>
        <v/>
      </c>
      <c r="V547" s="41">
        <f>IFERROR(E547-F547,"")</f>
        <v/>
      </c>
      <c r="W547" s="39">
        <f>B547</f>
        <v/>
      </c>
      <c r="X547" s="21" t="n"/>
    </row>
    <row r="548">
      <c r="A548" s="38" t="n">
        <v>45736</v>
      </c>
      <c r="B548" s="39" t="n">
        <v>238.72</v>
      </c>
      <c r="C548" s="39" t="n">
        <v>565.49</v>
      </c>
      <c r="D548" s="39" t="n">
        <v>43.325</v>
      </c>
      <c r="E548" s="41">
        <f>IFERROR(B548/B547-1,"")</f>
        <v/>
      </c>
      <c r="F548" s="41">
        <f>IFERROR(C548/C547-1,"")</f>
        <v/>
      </c>
      <c r="G548" s="41">
        <f>IFERROR(D548/D547-1,"")</f>
        <v/>
      </c>
      <c r="H548" s="41">
        <f>IFERROR((1+E548)*(1+H547)-1,"")</f>
        <v/>
      </c>
      <c r="I548" s="41">
        <f>IFERROR((1+F548)*(1+I547)-1,"")</f>
        <v/>
      </c>
      <c r="J548" s="41">
        <f>IFERROR((1+G548)*(1+J547)-1,"")</f>
        <v/>
      </c>
      <c r="K548" s="42">
        <f>IFERROR(B548/$B$36*100,"")</f>
        <v/>
      </c>
      <c r="L548" s="42">
        <f>IFERROR(C548/$C$36*100,"")</f>
        <v/>
      </c>
      <c r="M548" s="42">
        <f>IFERROR(D548/$D$36*100,"")</f>
        <v/>
      </c>
      <c r="N548" s="41">
        <f>IFERROR((1+H548)/(1+I548)-1,"")</f>
        <v/>
      </c>
      <c r="O548" s="41">
        <f>IFERROR((1+H548)/(1+J548)-1,"")</f>
        <v/>
      </c>
      <c r="P548" s="39">
        <f>IFERROR(B548*0.0099502487562189+P547*(1-0.0099502487562189),"")</f>
        <v/>
      </c>
      <c r="Q548" s="42">
        <f>Q547*(1+E548)</f>
        <v/>
      </c>
      <c r="R548" s="42">
        <f>MAX(R547,Q548)</f>
        <v/>
      </c>
      <c r="S548" s="41">
        <f>IFERROR(Q548/R548-1,"")</f>
        <v/>
      </c>
      <c r="T548" s="41">
        <f>IFERROR(_xlfn.STDEV.S(E489:E548)*SQRT($D$7),"")</f>
        <v/>
      </c>
      <c r="U548" s="41">
        <f>IFERROR(MIN(E548-$D$6,0),"")</f>
        <v/>
      </c>
      <c r="V548" s="41">
        <f>IFERROR(E548-F548,"")</f>
        <v/>
      </c>
      <c r="W548" s="39">
        <f>B548</f>
        <v/>
      </c>
      <c r="X548" s="21" t="n"/>
    </row>
    <row r="549">
      <c r="A549" s="38" t="n">
        <v>45737</v>
      </c>
      <c r="B549" s="39" t="n">
        <v>234.08</v>
      </c>
      <c r="C549" s="39" t="n">
        <v>563.98</v>
      </c>
      <c r="D549" s="39" t="n">
        <v>42.895</v>
      </c>
      <c r="E549" s="41">
        <f>IFERROR(B549/B548-1,"")</f>
        <v/>
      </c>
      <c r="F549" s="41">
        <f>IFERROR(C549/C548-1,"")</f>
        <v/>
      </c>
      <c r="G549" s="41">
        <f>IFERROR(D549/D548-1,"")</f>
        <v/>
      </c>
      <c r="H549" s="41">
        <f>IFERROR((1+E549)*(1+H548)-1,"")</f>
        <v/>
      </c>
      <c r="I549" s="41">
        <f>IFERROR((1+F549)*(1+I548)-1,"")</f>
        <v/>
      </c>
      <c r="J549" s="41">
        <f>IFERROR((1+G549)*(1+J548)-1,"")</f>
        <v/>
      </c>
      <c r="K549" s="42">
        <f>IFERROR(B549/$B$36*100,"")</f>
        <v/>
      </c>
      <c r="L549" s="42">
        <f>IFERROR(C549/$C$36*100,"")</f>
        <v/>
      </c>
      <c r="M549" s="42">
        <f>IFERROR(D549/$D$36*100,"")</f>
        <v/>
      </c>
      <c r="N549" s="41">
        <f>IFERROR((1+H549)/(1+I549)-1,"")</f>
        <v/>
      </c>
      <c r="O549" s="41">
        <f>IFERROR((1+H549)/(1+J549)-1,"")</f>
        <v/>
      </c>
      <c r="P549" s="39">
        <f>IFERROR(B549*0.0099502487562189+P548*(1-0.0099502487562189),"")</f>
        <v/>
      </c>
      <c r="Q549" s="42">
        <f>Q548*(1+E549)</f>
        <v/>
      </c>
      <c r="R549" s="42">
        <f>MAX(R548,Q549)</f>
        <v/>
      </c>
      <c r="S549" s="41">
        <f>IFERROR(Q549/R549-1,"")</f>
        <v/>
      </c>
      <c r="T549" s="41">
        <f>IFERROR(_xlfn.STDEV.S(E490:E549)*SQRT($D$7),"")</f>
        <v/>
      </c>
      <c r="U549" s="41">
        <f>IFERROR(MIN(E549-$D$6,0),"")</f>
        <v/>
      </c>
      <c r="V549" s="41">
        <f>IFERROR(E549-F549,"")</f>
        <v/>
      </c>
      <c r="W549" s="39">
        <f>B549</f>
        <v/>
      </c>
      <c r="X549" s="21" t="n"/>
    </row>
    <row r="550">
      <c r="A550" s="38" t="n">
        <v>45740</v>
      </c>
      <c r="B550" s="39" t="n">
        <v>240.81</v>
      </c>
      <c r="C550" s="39" t="n">
        <v>574.08</v>
      </c>
      <c r="D550" s="39" t="n">
        <v>43.27</v>
      </c>
      <c r="E550" s="41">
        <f>IFERROR(B550/B549-1,"")</f>
        <v/>
      </c>
      <c r="F550" s="41">
        <f>IFERROR(C550/C549-1,"")</f>
        <v/>
      </c>
      <c r="G550" s="41">
        <f>IFERROR(D550/D549-1,"")</f>
        <v/>
      </c>
      <c r="H550" s="41">
        <f>IFERROR((1+E550)*(1+H549)-1,"")</f>
        <v/>
      </c>
      <c r="I550" s="41">
        <f>IFERROR((1+F550)*(1+I549)-1,"")</f>
        <v/>
      </c>
      <c r="J550" s="41">
        <f>IFERROR((1+G550)*(1+J549)-1,"")</f>
        <v/>
      </c>
      <c r="K550" s="42">
        <f>IFERROR(B550/$B$36*100,"")</f>
        <v/>
      </c>
      <c r="L550" s="42">
        <f>IFERROR(C550/$C$36*100,"")</f>
        <v/>
      </c>
      <c r="M550" s="42">
        <f>IFERROR(D550/$D$36*100,"")</f>
        <v/>
      </c>
      <c r="N550" s="41">
        <f>IFERROR((1+H550)/(1+I550)-1,"")</f>
        <v/>
      </c>
      <c r="O550" s="41">
        <f>IFERROR((1+H550)/(1+J550)-1,"")</f>
        <v/>
      </c>
      <c r="P550" s="39">
        <f>IFERROR(B550*0.0099502487562189+P549*(1-0.0099502487562189),"")</f>
        <v/>
      </c>
      <c r="Q550" s="42">
        <f>Q549*(1+E550)</f>
        <v/>
      </c>
      <c r="R550" s="42">
        <f>MAX(R549,Q550)</f>
        <v/>
      </c>
      <c r="S550" s="41">
        <f>IFERROR(Q550/R550-1,"")</f>
        <v/>
      </c>
      <c r="T550" s="41">
        <f>IFERROR(_xlfn.STDEV.S(E491:E550)*SQRT($D$7),"")</f>
        <v/>
      </c>
      <c r="U550" s="41">
        <f>IFERROR(MIN(E550-$D$6,0),"")</f>
        <v/>
      </c>
      <c r="V550" s="41">
        <f>IFERROR(E550-F550,"")</f>
        <v/>
      </c>
      <c r="W550" s="39">
        <f>B550</f>
        <v/>
      </c>
      <c r="X550" s="21" t="n"/>
    </row>
    <row r="551">
      <c r="A551" s="38" t="n">
        <v>45741</v>
      </c>
      <c r="B551" s="39" t="n">
        <v>240.98</v>
      </c>
      <c r="C551" s="39" t="n">
        <v>575.46</v>
      </c>
      <c r="D551" s="39" t="n">
        <v>43.26</v>
      </c>
      <c r="E551" s="41">
        <f>IFERROR(B551/B550-1,"")</f>
        <v/>
      </c>
      <c r="F551" s="41">
        <f>IFERROR(C551/C550-1,"")</f>
        <v/>
      </c>
      <c r="G551" s="41">
        <f>IFERROR(D551/D550-1,"")</f>
        <v/>
      </c>
      <c r="H551" s="41">
        <f>IFERROR((1+E551)*(1+H550)-1,"")</f>
        <v/>
      </c>
      <c r="I551" s="41">
        <f>IFERROR((1+F551)*(1+I550)-1,"")</f>
        <v/>
      </c>
      <c r="J551" s="41">
        <f>IFERROR((1+G551)*(1+J550)-1,"")</f>
        <v/>
      </c>
      <c r="K551" s="42">
        <f>IFERROR(B551/$B$36*100,"")</f>
        <v/>
      </c>
      <c r="L551" s="42">
        <f>IFERROR(C551/$C$36*100,"")</f>
        <v/>
      </c>
      <c r="M551" s="42">
        <f>IFERROR(D551/$D$36*100,"")</f>
        <v/>
      </c>
      <c r="N551" s="41">
        <f>IFERROR((1+H551)/(1+I551)-1,"")</f>
        <v/>
      </c>
      <c r="O551" s="41">
        <f>IFERROR((1+H551)/(1+J551)-1,"")</f>
        <v/>
      </c>
      <c r="P551" s="39">
        <f>IFERROR(B551*0.0099502487562189+P550*(1-0.0099502487562189),"")</f>
        <v/>
      </c>
      <c r="Q551" s="42">
        <f>Q550*(1+E551)</f>
        <v/>
      </c>
      <c r="R551" s="42">
        <f>MAX(R550,Q551)</f>
        <v/>
      </c>
      <c r="S551" s="41">
        <f>IFERROR(Q551/R551-1,"")</f>
        <v/>
      </c>
      <c r="T551" s="41">
        <f>IFERROR(_xlfn.STDEV.S(E492:E551)*SQRT($D$7),"")</f>
        <v/>
      </c>
      <c r="U551" s="41">
        <f>IFERROR(MIN(E551-$D$6,0),"")</f>
        <v/>
      </c>
      <c r="V551" s="41">
        <f>IFERROR(E551-F551,"")</f>
        <v/>
      </c>
      <c r="W551" s="39">
        <f>B551</f>
        <v/>
      </c>
      <c r="X551" s="21" t="n"/>
    </row>
    <row r="552">
      <c r="A552" s="38" t="n">
        <v>45742</v>
      </c>
      <c r="B552" s="39" t="n">
        <v>237.06</v>
      </c>
      <c r="C552" s="39" t="n">
        <v>568.59</v>
      </c>
      <c r="D552" s="39" t="n">
        <v>43.34</v>
      </c>
      <c r="E552" s="41">
        <f>IFERROR(B552/B551-1,"")</f>
        <v/>
      </c>
      <c r="F552" s="41">
        <f>IFERROR(C552/C551-1,"")</f>
        <v/>
      </c>
      <c r="G552" s="41">
        <f>IFERROR(D552/D551-1,"")</f>
        <v/>
      </c>
      <c r="H552" s="41">
        <f>IFERROR((1+E552)*(1+H551)-1,"")</f>
        <v/>
      </c>
      <c r="I552" s="41">
        <f>IFERROR((1+F552)*(1+I551)-1,"")</f>
        <v/>
      </c>
      <c r="J552" s="41">
        <f>IFERROR((1+G552)*(1+J551)-1,"")</f>
        <v/>
      </c>
      <c r="K552" s="42">
        <f>IFERROR(B552/$B$36*100,"")</f>
        <v/>
      </c>
      <c r="L552" s="42">
        <f>IFERROR(C552/$C$36*100,"")</f>
        <v/>
      </c>
      <c r="M552" s="42">
        <f>IFERROR(D552/$D$36*100,"")</f>
        <v/>
      </c>
      <c r="N552" s="41">
        <f>IFERROR((1+H552)/(1+I552)-1,"")</f>
        <v/>
      </c>
      <c r="O552" s="41">
        <f>IFERROR((1+H552)/(1+J552)-1,"")</f>
        <v/>
      </c>
      <c r="P552" s="39">
        <f>IFERROR(B552*0.0099502487562189+P551*(1-0.0099502487562189),"")</f>
        <v/>
      </c>
      <c r="Q552" s="42">
        <f>Q551*(1+E552)</f>
        <v/>
      </c>
      <c r="R552" s="42">
        <f>MAX(R551,Q552)</f>
        <v/>
      </c>
      <c r="S552" s="41">
        <f>IFERROR(Q552/R552-1,"")</f>
        <v/>
      </c>
      <c r="T552" s="41">
        <f>IFERROR(_xlfn.STDEV.S(E493:E552)*SQRT($D$7),"")</f>
        <v/>
      </c>
      <c r="U552" s="41">
        <f>IFERROR(MIN(E552-$D$6,0),"")</f>
        <v/>
      </c>
      <c r="V552" s="41">
        <f>IFERROR(E552-F552,"")</f>
        <v/>
      </c>
      <c r="W552" s="39">
        <f>B552</f>
        <v/>
      </c>
      <c r="X552" s="21" t="n"/>
    </row>
    <row r="553">
      <c r="A553" s="38" t="n">
        <v>45743</v>
      </c>
      <c r="B553" s="39" t="n">
        <v>237.54</v>
      </c>
      <c r="C553" s="39" t="n">
        <v>567.08</v>
      </c>
      <c r="D553" s="39" t="n">
        <v>43.32</v>
      </c>
      <c r="E553" s="41">
        <f>IFERROR(B553/B552-1,"")</f>
        <v/>
      </c>
      <c r="F553" s="41">
        <f>IFERROR(C553/C552-1,"")</f>
        <v/>
      </c>
      <c r="G553" s="41">
        <f>IFERROR(D553/D552-1,"")</f>
        <v/>
      </c>
      <c r="H553" s="41">
        <f>IFERROR((1+E553)*(1+H552)-1,"")</f>
        <v/>
      </c>
      <c r="I553" s="41">
        <f>IFERROR((1+F553)*(1+I552)-1,"")</f>
        <v/>
      </c>
      <c r="J553" s="41">
        <f>IFERROR((1+G553)*(1+J552)-1,"")</f>
        <v/>
      </c>
      <c r="K553" s="42">
        <f>IFERROR(B553/$B$36*100,"")</f>
        <v/>
      </c>
      <c r="L553" s="42">
        <f>IFERROR(C553/$C$36*100,"")</f>
        <v/>
      </c>
      <c r="M553" s="42">
        <f>IFERROR(D553/$D$36*100,"")</f>
        <v/>
      </c>
      <c r="N553" s="41">
        <f>IFERROR((1+H553)/(1+I553)-1,"")</f>
        <v/>
      </c>
      <c r="O553" s="41">
        <f>IFERROR((1+H553)/(1+J553)-1,"")</f>
        <v/>
      </c>
      <c r="P553" s="39">
        <f>IFERROR(B553*0.0099502487562189+P552*(1-0.0099502487562189),"")</f>
        <v/>
      </c>
      <c r="Q553" s="42">
        <f>Q552*(1+E553)</f>
        <v/>
      </c>
      <c r="R553" s="42">
        <f>MAX(R552,Q553)</f>
        <v/>
      </c>
      <c r="S553" s="41">
        <f>IFERROR(Q553/R553-1,"")</f>
        <v/>
      </c>
      <c r="T553" s="41">
        <f>IFERROR(_xlfn.STDEV.S(E494:E553)*SQRT($D$7),"")</f>
        <v/>
      </c>
      <c r="U553" s="41">
        <f>IFERROR(MIN(E553-$D$6,0),"")</f>
        <v/>
      </c>
      <c r="V553" s="41">
        <f>IFERROR(E553-F553,"")</f>
        <v/>
      </c>
      <c r="W553" s="39">
        <f>B553</f>
        <v/>
      </c>
      <c r="X553" s="21" t="n"/>
    </row>
    <row r="554">
      <c r="A554" s="38" t="n">
        <v>45744</v>
      </c>
      <c r="B554" s="39" t="n">
        <v>232.94</v>
      </c>
      <c r="C554" s="39" t="n">
        <v>555.66</v>
      </c>
      <c r="D554" s="39" t="n">
        <v>42.525</v>
      </c>
      <c r="E554" s="41">
        <f>IFERROR(B554/B553-1,"")</f>
        <v/>
      </c>
      <c r="F554" s="41">
        <f>IFERROR(C554/C553-1,"")</f>
        <v/>
      </c>
      <c r="G554" s="41">
        <f>IFERROR(D554/D553-1,"")</f>
        <v/>
      </c>
      <c r="H554" s="41">
        <f>IFERROR((1+E554)*(1+H553)-1,"")</f>
        <v/>
      </c>
      <c r="I554" s="41">
        <f>IFERROR((1+F554)*(1+I553)-1,"")</f>
        <v/>
      </c>
      <c r="J554" s="41">
        <f>IFERROR((1+G554)*(1+J553)-1,"")</f>
        <v/>
      </c>
      <c r="K554" s="42">
        <f>IFERROR(B554/$B$36*100,"")</f>
        <v/>
      </c>
      <c r="L554" s="42">
        <f>IFERROR(C554/$C$36*100,"")</f>
        <v/>
      </c>
      <c r="M554" s="42">
        <f>IFERROR(D554/$D$36*100,"")</f>
        <v/>
      </c>
      <c r="N554" s="41">
        <f>IFERROR((1+H554)/(1+I554)-1,"")</f>
        <v/>
      </c>
      <c r="O554" s="41">
        <f>IFERROR((1+H554)/(1+J554)-1,"")</f>
        <v/>
      </c>
      <c r="P554" s="39">
        <f>IFERROR(B554*0.0099502487562189+P553*(1-0.0099502487562189),"")</f>
        <v/>
      </c>
      <c r="Q554" s="42">
        <f>Q553*(1+E554)</f>
        <v/>
      </c>
      <c r="R554" s="42">
        <f>MAX(R553,Q554)</f>
        <v/>
      </c>
      <c r="S554" s="41">
        <f>IFERROR(Q554/R554-1,"")</f>
        <v/>
      </c>
      <c r="T554" s="41">
        <f>IFERROR(_xlfn.STDEV.S(E495:E554)*SQRT($D$7),"")</f>
        <v/>
      </c>
      <c r="U554" s="41">
        <f>IFERROR(MIN(E554-$D$6,0),"")</f>
        <v/>
      </c>
      <c r="V554" s="41">
        <f>IFERROR(E554-F554,"")</f>
        <v/>
      </c>
      <c r="W554" s="39">
        <f>B554</f>
        <v/>
      </c>
      <c r="X554" s="21" t="n"/>
    </row>
    <row r="555">
      <c r="A555" s="38" t="n">
        <v>45747</v>
      </c>
      <c r="B555" s="39" t="n">
        <v>233.3</v>
      </c>
      <c r="C555" s="39" t="n">
        <v>559.39</v>
      </c>
      <c r="D555" s="39" t="n">
        <v>42.99</v>
      </c>
      <c r="E555" s="41">
        <f>IFERROR(B555/B554-1,"")</f>
        <v/>
      </c>
      <c r="F555" s="41">
        <f>IFERROR(C555/C554-1,"")</f>
        <v/>
      </c>
      <c r="G555" s="41">
        <f>IFERROR(D555/D554-1,"")</f>
        <v/>
      </c>
      <c r="H555" s="41">
        <f>IFERROR((1+E555)*(1+H554)-1,"")</f>
        <v/>
      </c>
      <c r="I555" s="41">
        <f>IFERROR((1+F555)*(1+I554)-1,"")</f>
        <v/>
      </c>
      <c r="J555" s="41">
        <f>IFERROR((1+G555)*(1+J554)-1,"")</f>
        <v/>
      </c>
      <c r="K555" s="42">
        <f>IFERROR(B555/$B$36*100,"")</f>
        <v/>
      </c>
      <c r="L555" s="42">
        <f>IFERROR(C555/$C$36*100,"")</f>
        <v/>
      </c>
      <c r="M555" s="42">
        <f>IFERROR(D555/$D$36*100,"")</f>
        <v/>
      </c>
      <c r="N555" s="41">
        <f>IFERROR((1+H555)/(1+I555)-1,"")</f>
        <v/>
      </c>
      <c r="O555" s="41">
        <f>IFERROR((1+H555)/(1+J555)-1,"")</f>
        <v/>
      </c>
      <c r="P555" s="39">
        <f>IFERROR(B555*0.0099502487562189+P554*(1-0.0099502487562189),"")</f>
        <v/>
      </c>
      <c r="Q555" s="42">
        <f>Q554*(1+E555)</f>
        <v/>
      </c>
      <c r="R555" s="42">
        <f>MAX(R554,Q555)</f>
        <v/>
      </c>
      <c r="S555" s="41">
        <f>IFERROR(Q555/R555-1,"")</f>
        <v/>
      </c>
      <c r="T555" s="41">
        <f>IFERROR(_xlfn.STDEV.S(E496:E555)*SQRT($D$7),"")</f>
        <v/>
      </c>
      <c r="U555" s="41">
        <f>IFERROR(MIN(E555-$D$6,0),"")</f>
        <v/>
      </c>
      <c r="V555" s="41">
        <f>IFERROR(E555-F555,"")</f>
        <v/>
      </c>
      <c r="W555" s="39">
        <f>B555</f>
        <v/>
      </c>
      <c r="X555" s="21" t="n"/>
    </row>
    <row r="556">
      <c r="A556" s="38" t="n">
        <v>45748</v>
      </c>
      <c r="B556" s="39" t="n">
        <v>237.27</v>
      </c>
      <c r="C556" s="39" t="n">
        <v>560.97</v>
      </c>
      <c r="D556" s="39" t="n">
        <v>43.15</v>
      </c>
      <c r="E556" s="41">
        <f>IFERROR(B556/B555-1,"")</f>
        <v/>
      </c>
      <c r="F556" s="41">
        <f>IFERROR(C556/C555-1,"")</f>
        <v/>
      </c>
      <c r="G556" s="41">
        <f>IFERROR(D556/D555-1,"")</f>
        <v/>
      </c>
      <c r="H556" s="41">
        <f>IFERROR((1+E556)*(1+H555)-1,"")</f>
        <v/>
      </c>
      <c r="I556" s="41">
        <f>IFERROR((1+F556)*(1+I555)-1,"")</f>
        <v/>
      </c>
      <c r="J556" s="41">
        <f>IFERROR((1+G556)*(1+J555)-1,"")</f>
        <v/>
      </c>
      <c r="K556" s="42">
        <f>IFERROR(B556/$B$36*100,"")</f>
        <v/>
      </c>
      <c r="L556" s="42">
        <f>IFERROR(C556/$C$36*100,"")</f>
        <v/>
      </c>
      <c r="M556" s="42">
        <f>IFERROR(D556/$D$36*100,"")</f>
        <v/>
      </c>
      <c r="N556" s="41">
        <f>IFERROR((1+H556)/(1+I556)-1,"")</f>
        <v/>
      </c>
      <c r="O556" s="41">
        <f>IFERROR((1+H556)/(1+J556)-1,"")</f>
        <v/>
      </c>
      <c r="P556" s="39">
        <f>IFERROR(B556*0.0099502487562189+P555*(1-0.0099502487562189),"")</f>
        <v/>
      </c>
      <c r="Q556" s="42">
        <f>Q555*(1+E556)</f>
        <v/>
      </c>
      <c r="R556" s="42">
        <f>MAX(R555,Q556)</f>
        <v/>
      </c>
      <c r="S556" s="41">
        <f>IFERROR(Q556/R556-1,"")</f>
        <v/>
      </c>
      <c r="T556" s="41">
        <f>IFERROR(_xlfn.STDEV.S(E497:E556)*SQRT($D$7),"")</f>
        <v/>
      </c>
      <c r="U556" s="41">
        <f>IFERROR(MIN(E556-$D$6,0),"")</f>
        <v/>
      </c>
      <c r="V556" s="41">
        <f>IFERROR(E556-F556,"")</f>
        <v/>
      </c>
      <c r="W556" s="39">
        <f>B556</f>
        <v/>
      </c>
      <c r="X556" s="21" t="n"/>
    </row>
    <row r="557">
      <c r="A557" s="38" t="n">
        <v>45749</v>
      </c>
      <c r="B557" s="39" t="n">
        <v>240.1</v>
      </c>
      <c r="C557" s="39" t="n">
        <v>564.52</v>
      </c>
      <c r="D557" s="39" t="n">
        <v>43.505</v>
      </c>
      <c r="E557" s="41">
        <f>IFERROR(B557/B556-1,"")</f>
        <v/>
      </c>
      <c r="F557" s="41">
        <f>IFERROR(C557/C556-1,"")</f>
        <v/>
      </c>
      <c r="G557" s="41">
        <f>IFERROR(D557/D556-1,"")</f>
        <v/>
      </c>
      <c r="H557" s="41">
        <f>IFERROR((1+E557)*(1+H556)-1,"")</f>
        <v/>
      </c>
      <c r="I557" s="41">
        <f>IFERROR((1+F557)*(1+I556)-1,"")</f>
        <v/>
      </c>
      <c r="J557" s="41">
        <f>IFERROR((1+G557)*(1+J556)-1,"")</f>
        <v/>
      </c>
      <c r="K557" s="42">
        <f>IFERROR(B557/$B$36*100,"")</f>
        <v/>
      </c>
      <c r="L557" s="42">
        <f>IFERROR(C557/$C$36*100,"")</f>
        <v/>
      </c>
      <c r="M557" s="42">
        <f>IFERROR(D557/$D$36*100,"")</f>
        <v/>
      </c>
      <c r="N557" s="41">
        <f>IFERROR((1+H557)/(1+I557)-1,"")</f>
        <v/>
      </c>
      <c r="O557" s="41">
        <f>IFERROR((1+H557)/(1+J557)-1,"")</f>
        <v/>
      </c>
      <c r="P557" s="39">
        <f>IFERROR(B557*0.0099502487562189+P556*(1-0.0099502487562189),"")</f>
        <v/>
      </c>
      <c r="Q557" s="42">
        <f>Q556*(1+E557)</f>
        <v/>
      </c>
      <c r="R557" s="42">
        <f>MAX(R556,Q557)</f>
        <v/>
      </c>
      <c r="S557" s="41">
        <f>IFERROR(Q557/R557-1,"")</f>
        <v/>
      </c>
      <c r="T557" s="41">
        <f>IFERROR(_xlfn.STDEV.S(E498:E557)*SQRT($D$7),"")</f>
        <v/>
      </c>
      <c r="U557" s="41">
        <f>IFERROR(MIN(E557-$D$6,0),"")</f>
        <v/>
      </c>
      <c r="V557" s="41">
        <f>IFERROR(E557-F557,"")</f>
        <v/>
      </c>
      <c r="W557" s="39">
        <f>B557</f>
        <v/>
      </c>
      <c r="X557" s="21" t="n"/>
    </row>
    <row r="558">
      <c r="A558" s="38" t="n">
        <v>45750</v>
      </c>
      <c r="B558" s="39" t="n">
        <v>237.18</v>
      </c>
      <c r="C558" s="39" t="n">
        <v>536.7</v>
      </c>
      <c r="D558" s="39" t="n">
        <v>41.54</v>
      </c>
      <c r="E558" s="41">
        <f>IFERROR(B558/B557-1,"")</f>
        <v/>
      </c>
      <c r="F558" s="41">
        <f>IFERROR(C558/C557-1,"")</f>
        <v/>
      </c>
      <c r="G558" s="41">
        <f>IFERROR(D558/D557-1,"")</f>
        <v/>
      </c>
      <c r="H558" s="41">
        <f>IFERROR((1+E558)*(1+H557)-1,"")</f>
        <v/>
      </c>
      <c r="I558" s="41">
        <f>IFERROR((1+F558)*(1+I557)-1,"")</f>
        <v/>
      </c>
      <c r="J558" s="41">
        <f>IFERROR((1+G558)*(1+J557)-1,"")</f>
        <v/>
      </c>
      <c r="K558" s="42">
        <f>IFERROR(B558/$B$36*100,"")</f>
        <v/>
      </c>
      <c r="L558" s="42">
        <f>IFERROR(C558/$C$36*100,"")</f>
        <v/>
      </c>
      <c r="M558" s="42">
        <f>IFERROR(D558/$D$36*100,"")</f>
        <v/>
      </c>
      <c r="N558" s="41">
        <f>IFERROR((1+H558)/(1+I558)-1,"")</f>
        <v/>
      </c>
      <c r="O558" s="41">
        <f>IFERROR((1+H558)/(1+J558)-1,"")</f>
        <v/>
      </c>
      <c r="P558" s="39">
        <f>IFERROR(B558*0.0099502487562189+P557*(1-0.0099502487562189),"")</f>
        <v/>
      </c>
      <c r="Q558" s="42">
        <f>Q557*(1+E558)</f>
        <v/>
      </c>
      <c r="R558" s="42">
        <f>MAX(R557,Q558)</f>
        <v/>
      </c>
      <c r="S558" s="41">
        <f>IFERROR(Q558/R558-1,"")</f>
        <v/>
      </c>
      <c r="T558" s="41">
        <f>IFERROR(_xlfn.STDEV.S(E499:E558)*SQRT($D$7),"")</f>
        <v/>
      </c>
      <c r="U558" s="41">
        <f>IFERROR(MIN(E558-$D$6,0),"")</f>
        <v/>
      </c>
      <c r="V558" s="41">
        <f>IFERROR(E558-F558,"")</f>
        <v/>
      </c>
      <c r="W558" s="39">
        <f>B558</f>
        <v/>
      </c>
      <c r="X558" s="21" t="n"/>
    </row>
    <row r="559">
      <c r="A559" s="38" t="n">
        <v>45751</v>
      </c>
      <c r="B559" s="39" t="n">
        <v>230.74</v>
      </c>
      <c r="C559" s="39" t="n">
        <v>505.28</v>
      </c>
      <c r="D559" s="39" t="n">
        <v>38.94</v>
      </c>
      <c r="E559" s="41">
        <f>IFERROR(B559/B558-1,"")</f>
        <v/>
      </c>
      <c r="F559" s="41">
        <f>IFERROR(C559/C558-1,"")</f>
        <v/>
      </c>
      <c r="G559" s="41">
        <f>IFERROR(D559/D558-1,"")</f>
        <v/>
      </c>
      <c r="H559" s="41">
        <f>IFERROR((1+E559)*(1+H558)-1,"")</f>
        <v/>
      </c>
      <c r="I559" s="41">
        <f>IFERROR((1+F559)*(1+I558)-1,"")</f>
        <v/>
      </c>
      <c r="J559" s="41">
        <f>IFERROR((1+G559)*(1+J558)-1,"")</f>
        <v/>
      </c>
      <c r="K559" s="42">
        <f>IFERROR(B559/$B$36*100,"")</f>
        <v/>
      </c>
      <c r="L559" s="42">
        <f>IFERROR(C559/$C$36*100,"")</f>
        <v/>
      </c>
      <c r="M559" s="42">
        <f>IFERROR(D559/$D$36*100,"")</f>
        <v/>
      </c>
      <c r="N559" s="41">
        <f>IFERROR((1+H559)/(1+I559)-1,"")</f>
        <v/>
      </c>
      <c r="O559" s="41">
        <f>IFERROR((1+H559)/(1+J559)-1,"")</f>
        <v/>
      </c>
      <c r="P559" s="39">
        <f>IFERROR(B559*0.0099502487562189+P558*(1-0.0099502487562189),"")</f>
        <v/>
      </c>
      <c r="Q559" s="42">
        <f>Q558*(1+E559)</f>
        <v/>
      </c>
      <c r="R559" s="42">
        <f>MAX(R558,Q559)</f>
        <v/>
      </c>
      <c r="S559" s="41">
        <f>IFERROR(Q559/R559-1,"")</f>
        <v/>
      </c>
      <c r="T559" s="41">
        <f>IFERROR(_xlfn.STDEV.S(E500:E559)*SQRT($D$7),"")</f>
        <v/>
      </c>
      <c r="U559" s="41">
        <f>IFERROR(MIN(E559-$D$6,0),"")</f>
        <v/>
      </c>
      <c r="V559" s="41">
        <f>IFERROR(E559-F559,"")</f>
        <v/>
      </c>
      <c r="W559" s="39">
        <f>B559</f>
        <v/>
      </c>
      <c r="X559" s="21" t="n"/>
    </row>
    <row r="560">
      <c r="A560" s="38" t="n">
        <v>45754</v>
      </c>
      <c r="B560" s="39" t="n">
        <v>228.53</v>
      </c>
      <c r="C560" s="39" t="n">
        <v>504.38</v>
      </c>
      <c r="D560" s="39" t="n">
        <v>38.315</v>
      </c>
      <c r="E560" s="41">
        <f>IFERROR(B560/B559-1,"")</f>
        <v/>
      </c>
      <c r="F560" s="41">
        <f>IFERROR(C560/C559-1,"")</f>
        <v/>
      </c>
      <c r="G560" s="41">
        <f>IFERROR(D560/D559-1,"")</f>
        <v/>
      </c>
      <c r="H560" s="41">
        <f>IFERROR((1+E560)*(1+H559)-1,"")</f>
        <v/>
      </c>
      <c r="I560" s="41">
        <f>IFERROR((1+F560)*(1+I559)-1,"")</f>
        <v/>
      </c>
      <c r="J560" s="41">
        <f>IFERROR((1+G560)*(1+J559)-1,"")</f>
        <v/>
      </c>
      <c r="K560" s="42">
        <f>IFERROR(B560/$B$36*100,"")</f>
        <v/>
      </c>
      <c r="L560" s="42">
        <f>IFERROR(C560/$C$36*100,"")</f>
        <v/>
      </c>
      <c r="M560" s="42">
        <f>IFERROR(D560/$D$36*100,"")</f>
        <v/>
      </c>
      <c r="N560" s="41">
        <f>IFERROR((1+H560)/(1+I560)-1,"")</f>
        <v/>
      </c>
      <c r="O560" s="41">
        <f>IFERROR((1+H560)/(1+J560)-1,"")</f>
        <v/>
      </c>
      <c r="P560" s="39">
        <f>IFERROR(B560*0.0099502487562189+P559*(1-0.0099502487562189),"")</f>
        <v/>
      </c>
      <c r="Q560" s="42">
        <f>Q559*(1+E560)</f>
        <v/>
      </c>
      <c r="R560" s="42">
        <f>MAX(R559,Q560)</f>
        <v/>
      </c>
      <c r="S560" s="41">
        <f>IFERROR(Q560/R560-1,"")</f>
        <v/>
      </c>
      <c r="T560" s="41">
        <f>IFERROR(_xlfn.STDEV.S(E501:E560)*SQRT($D$7),"")</f>
        <v/>
      </c>
      <c r="U560" s="41">
        <f>IFERROR(MIN(E560-$D$6,0),"")</f>
        <v/>
      </c>
      <c r="V560" s="41">
        <f>IFERROR(E560-F560,"")</f>
        <v/>
      </c>
      <c r="W560" s="39">
        <f>B560</f>
        <v/>
      </c>
      <c r="X560" s="21" t="n"/>
    </row>
    <row r="561">
      <c r="A561" s="38" t="n">
        <v>45755</v>
      </c>
      <c r="B561" s="39" t="n">
        <v>226.49</v>
      </c>
      <c r="C561" s="39" t="n">
        <v>496.48</v>
      </c>
      <c r="D561" s="39" t="n">
        <v>37.135</v>
      </c>
      <c r="E561" s="41">
        <f>IFERROR(B561/B560-1,"")</f>
        <v/>
      </c>
      <c r="F561" s="41">
        <f>IFERROR(C561/C560-1,"")</f>
        <v/>
      </c>
      <c r="G561" s="41">
        <f>IFERROR(D561/D560-1,"")</f>
        <v/>
      </c>
      <c r="H561" s="41">
        <f>IFERROR((1+E561)*(1+H560)-1,"")</f>
        <v/>
      </c>
      <c r="I561" s="41">
        <f>IFERROR((1+F561)*(1+I560)-1,"")</f>
        <v/>
      </c>
      <c r="J561" s="41">
        <f>IFERROR((1+G561)*(1+J560)-1,"")</f>
        <v/>
      </c>
      <c r="K561" s="42">
        <f>IFERROR(B561/$B$36*100,"")</f>
        <v/>
      </c>
      <c r="L561" s="42">
        <f>IFERROR(C561/$C$36*100,"")</f>
        <v/>
      </c>
      <c r="M561" s="42">
        <f>IFERROR(D561/$D$36*100,"")</f>
        <v/>
      </c>
      <c r="N561" s="41">
        <f>IFERROR((1+H561)/(1+I561)-1,"")</f>
        <v/>
      </c>
      <c r="O561" s="41">
        <f>IFERROR((1+H561)/(1+J561)-1,"")</f>
        <v/>
      </c>
      <c r="P561" s="39">
        <f>IFERROR(B561*0.0099502487562189+P560*(1-0.0099502487562189),"")</f>
        <v/>
      </c>
      <c r="Q561" s="42">
        <f>Q560*(1+E561)</f>
        <v/>
      </c>
      <c r="R561" s="42">
        <f>MAX(R560,Q561)</f>
        <v/>
      </c>
      <c r="S561" s="41">
        <f>IFERROR(Q561/R561-1,"")</f>
        <v/>
      </c>
      <c r="T561" s="41">
        <f>IFERROR(_xlfn.STDEV.S(E502:E561)*SQRT($D$7),"")</f>
        <v/>
      </c>
      <c r="U561" s="41">
        <f>IFERROR(MIN(E561-$D$6,0),"")</f>
        <v/>
      </c>
      <c r="V561" s="41">
        <f>IFERROR(E561-F561,"")</f>
        <v/>
      </c>
      <c r="W561" s="39">
        <f>B561</f>
        <v/>
      </c>
      <c r="X561" s="21" t="n"/>
    </row>
    <row r="562">
      <c r="A562" s="38" t="n">
        <v>45756</v>
      </c>
      <c r="B562" s="39" t="n">
        <v>239.53</v>
      </c>
      <c r="C562" s="39" t="n">
        <v>548.62</v>
      </c>
      <c r="D562" s="39" t="n">
        <v>40.38</v>
      </c>
      <c r="E562" s="41">
        <f>IFERROR(B562/B561-1,"")</f>
        <v/>
      </c>
      <c r="F562" s="41">
        <f>IFERROR(C562/C561-1,"")</f>
        <v/>
      </c>
      <c r="G562" s="41">
        <f>IFERROR(D562/D561-1,"")</f>
        <v/>
      </c>
      <c r="H562" s="41">
        <f>IFERROR((1+E562)*(1+H561)-1,"")</f>
        <v/>
      </c>
      <c r="I562" s="41">
        <f>IFERROR((1+F562)*(1+I561)-1,"")</f>
        <v/>
      </c>
      <c r="J562" s="41">
        <f>IFERROR((1+G562)*(1+J561)-1,"")</f>
        <v/>
      </c>
      <c r="K562" s="42">
        <f>IFERROR(B562/$B$36*100,"")</f>
        <v/>
      </c>
      <c r="L562" s="42">
        <f>IFERROR(C562/$C$36*100,"")</f>
        <v/>
      </c>
      <c r="M562" s="42">
        <f>IFERROR(D562/$D$36*100,"")</f>
        <v/>
      </c>
      <c r="N562" s="41">
        <f>IFERROR((1+H562)/(1+I562)-1,"")</f>
        <v/>
      </c>
      <c r="O562" s="41">
        <f>IFERROR((1+H562)/(1+J562)-1,"")</f>
        <v/>
      </c>
      <c r="P562" s="39">
        <f>IFERROR(B562*0.0099502487562189+P561*(1-0.0099502487562189),"")</f>
        <v/>
      </c>
      <c r="Q562" s="42">
        <f>Q561*(1+E562)</f>
        <v/>
      </c>
      <c r="R562" s="42">
        <f>MAX(R561,Q562)</f>
        <v/>
      </c>
      <c r="S562" s="41">
        <f>IFERROR(Q562/R562-1,"")</f>
        <v/>
      </c>
      <c r="T562" s="41">
        <f>IFERROR(_xlfn.STDEV.S(E503:E562)*SQRT($D$7),"")</f>
        <v/>
      </c>
      <c r="U562" s="41">
        <f>IFERROR(MIN(E562-$D$6,0),"")</f>
        <v/>
      </c>
      <c r="V562" s="41">
        <f>IFERROR(E562-F562,"")</f>
        <v/>
      </c>
      <c r="W562" s="39">
        <f>B562</f>
        <v/>
      </c>
      <c r="X562" s="21" t="n"/>
    </row>
    <row r="563">
      <c r="A563" s="38" t="n">
        <v>45757</v>
      </c>
      <c r="B563" s="39" t="n">
        <v>235.58</v>
      </c>
      <c r="C563" s="39" t="n">
        <v>524.58</v>
      </c>
      <c r="D563" s="39" t="n">
        <v>39.09</v>
      </c>
      <c r="E563" s="41">
        <f>IFERROR(B563/B562-1,"")</f>
        <v/>
      </c>
      <c r="F563" s="41">
        <f>IFERROR(C563/C562-1,"")</f>
        <v/>
      </c>
      <c r="G563" s="41">
        <f>IFERROR(D563/D562-1,"")</f>
        <v/>
      </c>
      <c r="H563" s="41">
        <f>IFERROR((1+E563)*(1+H562)-1,"")</f>
        <v/>
      </c>
      <c r="I563" s="41">
        <f>IFERROR((1+F563)*(1+I562)-1,"")</f>
        <v/>
      </c>
      <c r="J563" s="41">
        <f>IFERROR((1+G563)*(1+J562)-1,"")</f>
        <v/>
      </c>
      <c r="K563" s="42">
        <f>IFERROR(B563/$B$36*100,"")</f>
        <v/>
      </c>
      <c r="L563" s="42">
        <f>IFERROR(C563/$C$36*100,"")</f>
        <v/>
      </c>
      <c r="M563" s="42">
        <f>IFERROR(D563/$D$36*100,"")</f>
        <v/>
      </c>
      <c r="N563" s="41">
        <f>IFERROR((1+H563)/(1+I563)-1,"")</f>
        <v/>
      </c>
      <c r="O563" s="41">
        <f>IFERROR((1+H563)/(1+J563)-1,"")</f>
        <v/>
      </c>
      <c r="P563" s="39">
        <f>IFERROR(B563*0.0099502487562189+P562*(1-0.0099502487562189),"")</f>
        <v/>
      </c>
      <c r="Q563" s="42">
        <f>Q562*(1+E563)</f>
        <v/>
      </c>
      <c r="R563" s="42">
        <f>MAX(R562,Q563)</f>
        <v/>
      </c>
      <c r="S563" s="41">
        <f>IFERROR(Q563/R563-1,"")</f>
        <v/>
      </c>
      <c r="T563" s="41">
        <f>IFERROR(_xlfn.STDEV.S(E504:E563)*SQRT($D$7),"")</f>
        <v/>
      </c>
      <c r="U563" s="41">
        <f>IFERROR(MIN(E563-$D$6,0),"")</f>
        <v/>
      </c>
      <c r="V563" s="41">
        <f>IFERROR(E563-F563,"")</f>
        <v/>
      </c>
      <c r="W563" s="39">
        <f>B563</f>
        <v/>
      </c>
      <c r="X563" s="21" t="n"/>
    </row>
    <row r="564">
      <c r="A564" s="38" t="n">
        <v>45758</v>
      </c>
      <c r="B564" s="39" t="n">
        <v>242.3</v>
      </c>
      <c r="C564" s="39" t="n">
        <v>533.9400000000001</v>
      </c>
      <c r="D564" s="39" t="n">
        <v>40.25</v>
      </c>
      <c r="E564" s="41">
        <f>IFERROR(B564/B563-1,"")</f>
        <v/>
      </c>
      <c r="F564" s="41">
        <f>IFERROR(C564/C563-1,"")</f>
        <v/>
      </c>
      <c r="G564" s="41">
        <f>IFERROR(D564/D563-1,"")</f>
        <v/>
      </c>
      <c r="H564" s="41">
        <f>IFERROR((1+E564)*(1+H563)-1,"")</f>
        <v/>
      </c>
      <c r="I564" s="41">
        <f>IFERROR((1+F564)*(1+I563)-1,"")</f>
        <v/>
      </c>
      <c r="J564" s="41">
        <f>IFERROR((1+G564)*(1+J563)-1,"")</f>
        <v/>
      </c>
      <c r="K564" s="42">
        <f>IFERROR(B564/$B$36*100,"")</f>
        <v/>
      </c>
      <c r="L564" s="42">
        <f>IFERROR(C564/$C$36*100,"")</f>
        <v/>
      </c>
      <c r="M564" s="42">
        <f>IFERROR(D564/$D$36*100,"")</f>
        <v/>
      </c>
      <c r="N564" s="41">
        <f>IFERROR((1+H564)/(1+I564)-1,"")</f>
        <v/>
      </c>
      <c r="O564" s="41">
        <f>IFERROR((1+H564)/(1+J564)-1,"")</f>
        <v/>
      </c>
      <c r="P564" s="39">
        <f>IFERROR(B564*0.0099502487562189+P563*(1-0.0099502487562189),"")</f>
        <v/>
      </c>
      <c r="Q564" s="42">
        <f>Q563*(1+E564)</f>
        <v/>
      </c>
      <c r="R564" s="42">
        <f>MAX(R563,Q564)</f>
        <v/>
      </c>
      <c r="S564" s="41">
        <f>IFERROR(Q564/R564-1,"")</f>
        <v/>
      </c>
      <c r="T564" s="41">
        <f>IFERROR(_xlfn.STDEV.S(E505:E564)*SQRT($D$7),"")</f>
        <v/>
      </c>
      <c r="U564" s="41">
        <f>IFERROR(MIN(E564-$D$6,0),"")</f>
        <v/>
      </c>
      <c r="V564" s="41">
        <f>IFERROR(E564-F564,"")</f>
        <v/>
      </c>
      <c r="W564" s="39">
        <f>B564</f>
        <v/>
      </c>
      <c r="X564" s="21" t="n"/>
    </row>
    <row r="565">
      <c r="A565" s="38" t="n">
        <v>45761</v>
      </c>
      <c r="B565" s="39" t="n">
        <v>243.48</v>
      </c>
      <c r="C565" s="39" t="n">
        <v>539.12</v>
      </c>
      <c r="D565" s="39" t="n">
        <v>40.735</v>
      </c>
      <c r="E565" s="41">
        <f>IFERROR(B565/B564-1,"")</f>
        <v/>
      </c>
      <c r="F565" s="41">
        <f>IFERROR(C565/C564-1,"")</f>
        <v/>
      </c>
      <c r="G565" s="41">
        <f>IFERROR(D565/D564-1,"")</f>
        <v/>
      </c>
      <c r="H565" s="41">
        <f>IFERROR((1+E565)*(1+H564)-1,"")</f>
        <v/>
      </c>
      <c r="I565" s="41">
        <f>IFERROR((1+F565)*(1+I564)-1,"")</f>
        <v/>
      </c>
      <c r="J565" s="41">
        <f>IFERROR((1+G565)*(1+J564)-1,"")</f>
        <v/>
      </c>
      <c r="K565" s="42">
        <f>IFERROR(B565/$B$36*100,"")</f>
        <v/>
      </c>
      <c r="L565" s="42">
        <f>IFERROR(C565/$C$36*100,"")</f>
        <v/>
      </c>
      <c r="M565" s="42">
        <f>IFERROR(D565/$D$36*100,"")</f>
        <v/>
      </c>
      <c r="N565" s="41">
        <f>IFERROR((1+H565)/(1+I565)-1,"")</f>
        <v/>
      </c>
      <c r="O565" s="41">
        <f>IFERROR((1+H565)/(1+J565)-1,"")</f>
        <v/>
      </c>
      <c r="P565" s="39">
        <f>IFERROR(B565*0.0099502487562189+P564*(1-0.0099502487562189),"")</f>
        <v/>
      </c>
      <c r="Q565" s="42">
        <f>Q564*(1+E565)</f>
        <v/>
      </c>
      <c r="R565" s="42">
        <f>MAX(R564,Q565)</f>
        <v/>
      </c>
      <c r="S565" s="41">
        <f>IFERROR(Q565/R565-1,"")</f>
        <v/>
      </c>
      <c r="T565" s="41">
        <f>IFERROR(_xlfn.STDEV.S(E506:E565)*SQRT($D$7),"")</f>
        <v/>
      </c>
      <c r="U565" s="41">
        <f>IFERROR(MIN(E565-$D$6,0),"")</f>
        <v/>
      </c>
      <c r="V565" s="41">
        <f>IFERROR(E565-F565,"")</f>
        <v/>
      </c>
      <c r="W565" s="39">
        <f>B565</f>
        <v/>
      </c>
      <c r="X565" s="21" t="n"/>
    </row>
    <row r="566">
      <c r="A566" s="38" t="n">
        <v>45762</v>
      </c>
      <c r="B566" s="39" t="n">
        <v>244.53</v>
      </c>
      <c r="C566" s="39" t="n">
        <v>537.61</v>
      </c>
      <c r="D566" s="39" t="n">
        <v>40.415</v>
      </c>
      <c r="E566" s="41">
        <f>IFERROR(B566/B565-1,"")</f>
        <v/>
      </c>
      <c r="F566" s="41">
        <f>IFERROR(C566/C565-1,"")</f>
        <v/>
      </c>
      <c r="G566" s="41">
        <f>IFERROR(D566/D565-1,"")</f>
        <v/>
      </c>
      <c r="H566" s="41">
        <f>IFERROR((1+E566)*(1+H565)-1,"")</f>
        <v/>
      </c>
      <c r="I566" s="41">
        <f>IFERROR((1+F566)*(1+I565)-1,"")</f>
        <v/>
      </c>
      <c r="J566" s="41">
        <f>IFERROR((1+G566)*(1+J565)-1,"")</f>
        <v/>
      </c>
      <c r="K566" s="42">
        <f>IFERROR(B566/$B$36*100,"")</f>
        <v/>
      </c>
      <c r="L566" s="42">
        <f>IFERROR(C566/$C$36*100,"")</f>
        <v/>
      </c>
      <c r="M566" s="42">
        <f>IFERROR(D566/$D$36*100,"")</f>
        <v/>
      </c>
      <c r="N566" s="41">
        <f>IFERROR((1+H566)/(1+I566)-1,"")</f>
        <v/>
      </c>
      <c r="O566" s="41">
        <f>IFERROR((1+H566)/(1+J566)-1,"")</f>
        <v/>
      </c>
      <c r="P566" s="39">
        <f>IFERROR(B566*0.0099502487562189+P565*(1-0.0099502487562189),"")</f>
        <v/>
      </c>
      <c r="Q566" s="42">
        <f>Q565*(1+E566)</f>
        <v/>
      </c>
      <c r="R566" s="42">
        <f>MAX(R565,Q566)</f>
        <v/>
      </c>
      <c r="S566" s="41">
        <f>IFERROR(Q566/R566-1,"")</f>
        <v/>
      </c>
      <c r="T566" s="41">
        <f>IFERROR(_xlfn.STDEV.S(E507:E566)*SQRT($D$7),"")</f>
        <v/>
      </c>
      <c r="U566" s="41">
        <f>IFERROR(MIN(E566-$D$6,0),"")</f>
        <v/>
      </c>
      <c r="V566" s="41">
        <f>IFERROR(E566-F566,"")</f>
        <v/>
      </c>
      <c r="W566" s="39">
        <f>B566</f>
        <v/>
      </c>
      <c r="X566" s="21" t="n"/>
    </row>
    <row r="567">
      <c r="A567" s="38" t="n">
        <v>45763</v>
      </c>
      <c r="B567" s="39" t="n">
        <v>240.55</v>
      </c>
      <c r="C567" s="39" t="n">
        <v>525.66</v>
      </c>
      <c r="D567" s="39" t="n">
        <v>40.1</v>
      </c>
      <c r="E567" s="41">
        <f>IFERROR(B567/B566-1,"")</f>
        <v/>
      </c>
      <c r="F567" s="41">
        <f>IFERROR(C567/C566-1,"")</f>
        <v/>
      </c>
      <c r="G567" s="41">
        <f>IFERROR(D567/D566-1,"")</f>
        <v/>
      </c>
      <c r="H567" s="41">
        <f>IFERROR((1+E567)*(1+H566)-1,"")</f>
        <v/>
      </c>
      <c r="I567" s="41">
        <f>IFERROR((1+F567)*(1+I566)-1,"")</f>
        <v/>
      </c>
      <c r="J567" s="41">
        <f>IFERROR((1+G567)*(1+J566)-1,"")</f>
        <v/>
      </c>
      <c r="K567" s="42">
        <f>IFERROR(B567/$B$36*100,"")</f>
        <v/>
      </c>
      <c r="L567" s="42">
        <f>IFERROR(C567/$C$36*100,"")</f>
        <v/>
      </c>
      <c r="M567" s="42">
        <f>IFERROR(D567/$D$36*100,"")</f>
        <v/>
      </c>
      <c r="N567" s="41">
        <f>IFERROR((1+H567)/(1+I567)-1,"")</f>
        <v/>
      </c>
      <c r="O567" s="41">
        <f>IFERROR((1+H567)/(1+J567)-1,"")</f>
        <v/>
      </c>
      <c r="P567" s="39">
        <f>IFERROR(B567*0.0099502487562189+P566*(1-0.0099502487562189),"")</f>
        <v/>
      </c>
      <c r="Q567" s="42">
        <f>Q566*(1+E567)</f>
        <v/>
      </c>
      <c r="R567" s="42">
        <f>MAX(R566,Q567)</f>
        <v/>
      </c>
      <c r="S567" s="41">
        <f>IFERROR(Q567/R567-1,"")</f>
        <v/>
      </c>
      <c r="T567" s="41">
        <f>IFERROR(_xlfn.STDEV.S(E508:E567)*SQRT($D$7),"")</f>
        <v/>
      </c>
      <c r="U567" s="41">
        <f>IFERROR(MIN(E567-$D$6,0),"")</f>
        <v/>
      </c>
      <c r="V567" s="41">
        <f>IFERROR(E567-F567,"")</f>
        <v/>
      </c>
      <c r="W567" s="39">
        <f>B567</f>
        <v/>
      </c>
      <c r="X567" s="21" t="n"/>
    </row>
    <row r="568">
      <c r="A568" s="38" t="n">
        <v>45764</v>
      </c>
      <c r="B568" s="39" t="n">
        <v>241.93</v>
      </c>
      <c r="C568" s="39" t="n">
        <v>526.41</v>
      </c>
      <c r="D568" s="39" t="n">
        <v>40.375</v>
      </c>
      <c r="E568" s="41">
        <f>IFERROR(B568/B567-1,"")</f>
        <v/>
      </c>
      <c r="F568" s="41">
        <f>IFERROR(C568/C567-1,"")</f>
        <v/>
      </c>
      <c r="G568" s="41">
        <f>IFERROR(D568/D567-1,"")</f>
        <v/>
      </c>
      <c r="H568" s="41">
        <f>IFERROR((1+E568)*(1+H567)-1,"")</f>
        <v/>
      </c>
      <c r="I568" s="41">
        <f>IFERROR((1+F568)*(1+I567)-1,"")</f>
        <v/>
      </c>
      <c r="J568" s="41">
        <f>IFERROR((1+G568)*(1+J567)-1,"")</f>
        <v/>
      </c>
      <c r="K568" s="42">
        <f>IFERROR(B568/$B$36*100,"")</f>
        <v/>
      </c>
      <c r="L568" s="42">
        <f>IFERROR(C568/$C$36*100,"")</f>
        <v/>
      </c>
      <c r="M568" s="42">
        <f>IFERROR(D568/$D$36*100,"")</f>
        <v/>
      </c>
      <c r="N568" s="41">
        <f>IFERROR((1+H568)/(1+I568)-1,"")</f>
        <v/>
      </c>
      <c r="O568" s="41">
        <f>IFERROR((1+H568)/(1+J568)-1,"")</f>
        <v/>
      </c>
      <c r="P568" s="39">
        <f>IFERROR(B568*0.0099502487562189+P567*(1-0.0099502487562189),"")</f>
        <v/>
      </c>
      <c r="Q568" s="42">
        <f>Q567*(1+E568)</f>
        <v/>
      </c>
      <c r="R568" s="42">
        <f>MAX(R567,Q568)</f>
        <v/>
      </c>
      <c r="S568" s="41">
        <f>IFERROR(Q568/R568-1,"")</f>
        <v/>
      </c>
      <c r="T568" s="41">
        <f>IFERROR(_xlfn.STDEV.S(E509:E568)*SQRT($D$7),"")</f>
        <v/>
      </c>
      <c r="U568" s="41">
        <f>IFERROR(MIN(E568-$D$6,0),"")</f>
        <v/>
      </c>
      <c r="V568" s="41">
        <f>IFERROR(E568-F568,"")</f>
        <v/>
      </c>
      <c r="W568" s="39">
        <f>B568</f>
        <v/>
      </c>
      <c r="X568" s="21" t="n"/>
    </row>
    <row r="569">
      <c r="A569" s="38" t="n">
        <v>45768</v>
      </c>
      <c r="B569" s="39" t="n">
        <v>234.17</v>
      </c>
      <c r="C569" s="39" t="n">
        <v>513.88</v>
      </c>
      <c r="D569" s="39" t="n">
        <v>39.76</v>
      </c>
      <c r="E569" s="41">
        <f>IFERROR(B569/B568-1,"")</f>
        <v/>
      </c>
      <c r="F569" s="41">
        <f>IFERROR(C569/C568-1,"")</f>
        <v/>
      </c>
      <c r="G569" s="41">
        <f>IFERROR(D569/D568-1,"")</f>
        <v/>
      </c>
      <c r="H569" s="41">
        <f>IFERROR((1+E569)*(1+H568)-1,"")</f>
        <v/>
      </c>
      <c r="I569" s="41">
        <f>IFERROR((1+F569)*(1+I568)-1,"")</f>
        <v/>
      </c>
      <c r="J569" s="41">
        <f>IFERROR((1+G569)*(1+J568)-1,"")</f>
        <v/>
      </c>
      <c r="K569" s="42">
        <f>IFERROR(B569/$B$36*100,"")</f>
        <v/>
      </c>
      <c r="L569" s="42">
        <f>IFERROR(C569/$C$36*100,"")</f>
        <v/>
      </c>
      <c r="M569" s="42">
        <f>IFERROR(D569/$D$36*100,"")</f>
        <v/>
      </c>
      <c r="N569" s="41">
        <f>IFERROR((1+H569)/(1+I569)-1,"")</f>
        <v/>
      </c>
      <c r="O569" s="41">
        <f>IFERROR((1+H569)/(1+J569)-1,"")</f>
        <v/>
      </c>
      <c r="P569" s="39">
        <f>IFERROR(B569*0.0099502487562189+P568*(1-0.0099502487562189),"")</f>
        <v/>
      </c>
      <c r="Q569" s="42">
        <f>Q568*(1+E569)</f>
        <v/>
      </c>
      <c r="R569" s="42">
        <f>MAX(R568,Q569)</f>
        <v/>
      </c>
      <c r="S569" s="41">
        <f>IFERROR(Q569/R569-1,"")</f>
        <v/>
      </c>
      <c r="T569" s="41">
        <f>IFERROR(_xlfn.STDEV.S(E510:E569)*SQRT($D$7),"")</f>
        <v/>
      </c>
      <c r="U569" s="41">
        <f>IFERROR(MIN(E569-$D$6,0),"")</f>
        <v/>
      </c>
      <c r="V569" s="41">
        <f>IFERROR(E569-F569,"")</f>
        <v/>
      </c>
      <c r="W569" s="39">
        <f>B569</f>
        <v/>
      </c>
      <c r="X569" s="21" t="n"/>
    </row>
    <row r="570">
      <c r="A570" s="38" t="n">
        <v>45769</v>
      </c>
      <c r="B570" s="39" t="n">
        <v>240.57</v>
      </c>
      <c r="C570" s="39" t="n">
        <v>527.25</v>
      </c>
      <c r="D570" s="39" t="n">
        <v>40.69</v>
      </c>
      <c r="E570" s="41">
        <f>IFERROR(B570/B569-1,"")</f>
        <v/>
      </c>
      <c r="F570" s="41">
        <f>IFERROR(C570/C569-1,"")</f>
        <v/>
      </c>
      <c r="G570" s="41">
        <f>IFERROR(D570/D569-1,"")</f>
        <v/>
      </c>
      <c r="H570" s="41">
        <f>IFERROR((1+E570)*(1+H569)-1,"")</f>
        <v/>
      </c>
      <c r="I570" s="41">
        <f>IFERROR((1+F570)*(1+I569)-1,"")</f>
        <v/>
      </c>
      <c r="J570" s="41">
        <f>IFERROR((1+G570)*(1+J569)-1,"")</f>
        <v/>
      </c>
      <c r="K570" s="42">
        <f>IFERROR(B570/$B$36*100,"")</f>
        <v/>
      </c>
      <c r="L570" s="42">
        <f>IFERROR(C570/$C$36*100,"")</f>
        <v/>
      </c>
      <c r="M570" s="42">
        <f>IFERROR(D570/$D$36*100,"")</f>
        <v/>
      </c>
      <c r="N570" s="41">
        <f>IFERROR((1+H570)/(1+I570)-1,"")</f>
        <v/>
      </c>
      <c r="O570" s="41">
        <f>IFERROR((1+H570)/(1+J570)-1,"")</f>
        <v/>
      </c>
      <c r="P570" s="39">
        <f>IFERROR(B570*0.0099502487562189+P569*(1-0.0099502487562189),"")</f>
        <v/>
      </c>
      <c r="Q570" s="42">
        <f>Q569*(1+E570)</f>
        <v/>
      </c>
      <c r="R570" s="42">
        <f>MAX(R569,Q570)</f>
        <v/>
      </c>
      <c r="S570" s="41">
        <f>IFERROR(Q570/R570-1,"")</f>
        <v/>
      </c>
      <c r="T570" s="41">
        <f>IFERROR(_xlfn.STDEV.S(E511:E570)*SQRT($D$7),"")</f>
        <v/>
      </c>
      <c r="U570" s="41">
        <f>IFERROR(MIN(E570-$D$6,0),"")</f>
        <v/>
      </c>
      <c r="V570" s="41">
        <f>IFERROR(E570-F570,"")</f>
        <v/>
      </c>
      <c r="W570" s="39">
        <f>B570</f>
        <v/>
      </c>
      <c r="X570" s="21" t="n"/>
    </row>
    <row r="571">
      <c r="A571" s="38" t="n">
        <v>45770</v>
      </c>
      <c r="B571" s="39" t="n">
        <v>244.54</v>
      </c>
      <c r="C571" s="39" t="n">
        <v>535.42</v>
      </c>
      <c r="D571" s="39" t="n">
        <v>40.74</v>
      </c>
      <c r="E571" s="41">
        <f>IFERROR(B571/B570-1,"")</f>
        <v/>
      </c>
      <c r="F571" s="41">
        <f>IFERROR(C571/C570-1,"")</f>
        <v/>
      </c>
      <c r="G571" s="41">
        <f>IFERROR(D571/D570-1,"")</f>
        <v/>
      </c>
      <c r="H571" s="41">
        <f>IFERROR((1+E571)*(1+H570)-1,"")</f>
        <v/>
      </c>
      <c r="I571" s="41">
        <f>IFERROR((1+F571)*(1+I570)-1,"")</f>
        <v/>
      </c>
      <c r="J571" s="41">
        <f>IFERROR((1+G571)*(1+J570)-1,"")</f>
        <v/>
      </c>
      <c r="K571" s="42">
        <f>IFERROR(B571/$B$36*100,"")</f>
        <v/>
      </c>
      <c r="L571" s="42">
        <f>IFERROR(C571/$C$36*100,"")</f>
        <v/>
      </c>
      <c r="M571" s="42">
        <f>IFERROR(D571/$D$36*100,"")</f>
        <v/>
      </c>
      <c r="N571" s="41">
        <f>IFERROR((1+H571)/(1+I571)-1,"")</f>
        <v/>
      </c>
      <c r="O571" s="41">
        <f>IFERROR((1+H571)/(1+J571)-1,"")</f>
        <v/>
      </c>
      <c r="P571" s="39">
        <f>IFERROR(B571*0.0099502487562189+P570*(1-0.0099502487562189),"")</f>
        <v/>
      </c>
      <c r="Q571" s="42">
        <f>Q570*(1+E571)</f>
        <v/>
      </c>
      <c r="R571" s="42">
        <f>MAX(R570,Q571)</f>
        <v/>
      </c>
      <c r="S571" s="41">
        <f>IFERROR(Q571/R571-1,"")</f>
        <v/>
      </c>
      <c r="T571" s="41">
        <f>IFERROR(_xlfn.STDEV.S(E512:E571)*SQRT($D$7),"")</f>
        <v/>
      </c>
      <c r="U571" s="41">
        <f>IFERROR(MIN(E571-$D$6,0),"")</f>
        <v/>
      </c>
      <c r="V571" s="41">
        <f>IFERROR(E571-F571,"")</f>
        <v/>
      </c>
      <c r="W571" s="39">
        <f>B571</f>
        <v/>
      </c>
      <c r="X571" s="21" t="n"/>
    </row>
    <row r="572">
      <c r="A572" s="38" t="n">
        <v>45771</v>
      </c>
      <c r="B572" s="39" t="n">
        <v>249.51</v>
      </c>
      <c r="C572" s="39" t="n">
        <v>546.6900000000001</v>
      </c>
      <c r="D572" s="39" t="n">
        <v>41.62</v>
      </c>
      <c r="E572" s="41">
        <f>IFERROR(B572/B571-1,"")</f>
        <v/>
      </c>
      <c r="F572" s="41">
        <f>IFERROR(C572/C571-1,"")</f>
        <v/>
      </c>
      <c r="G572" s="41">
        <f>IFERROR(D572/D571-1,"")</f>
        <v/>
      </c>
      <c r="H572" s="41">
        <f>IFERROR((1+E572)*(1+H571)-1,"")</f>
        <v/>
      </c>
      <c r="I572" s="41">
        <f>IFERROR((1+F572)*(1+I571)-1,"")</f>
        <v/>
      </c>
      <c r="J572" s="41">
        <f>IFERROR((1+G572)*(1+J571)-1,"")</f>
        <v/>
      </c>
      <c r="K572" s="42">
        <f>IFERROR(B572/$B$36*100,"")</f>
        <v/>
      </c>
      <c r="L572" s="42">
        <f>IFERROR(C572/$C$36*100,"")</f>
        <v/>
      </c>
      <c r="M572" s="42">
        <f>IFERROR(D572/$D$36*100,"")</f>
        <v/>
      </c>
      <c r="N572" s="41">
        <f>IFERROR((1+H572)/(1+I572)-1,"")</f>
        <v/>
      </c>
      <c r="O572" s="41">
        <f>IFERROR((1+H572)/(1+J572)-1,"")</f>
        <v/>
      </c>
      <c r="P572" s="39">
        <f>IFERROR(B572*0.0099502487562189+P571*(1-0.0099502487562189),"")</f>
        <v/>
      </c>
      <c r="Q572" s="42">
        <f>Q571*(1+E572)</f>
        <v/>
      </c>
      <c r="R572" s="42">
        <f>MAX(R571,Q572)</f>
        <v/>
      </c>
      <c r="S572" s="41">
        <f>IFERROR(Q572/R572-1,"")</f>
        <v/>
      </c>
      <c r="T572" s="41">
        <f>IFERROR(_xlfn.STDEV.S(E513:E572)*SQRT($D$7),"")</f>
        <v/>
      </c>
      <c r="U572" s="41">
        <f>IFERROR(MIN(E572-$D$6,0),"")</f>
        <v/>
      </c>
      <c r="V572" s="41">
        <f>IFERROR(E572-F572,"")</f>
        <v/>
      </c>
      <c r="W572" s="39">
        <f>B572</f>
        <v/>
      </c>
      <c r="X572" s="21" t="n"/>
    </row>
    <row r="573">
      <c r="A573" s="38" t="n">
        <v>45772</v>
      </c>
      <c r="B573" s="39" t="n">
        <v>247.04</v>
      </c>
      <c r="C573" s="39" t="n">
        <v>550.64</v>
      </c>
      <c r="D573" s="39" t="n">
        <v>41.31</v>
      </c>
      <c r="E573" s="41">
        <f>IFERROR(B573/B572-1,"")</f>
        <v/>
      </c>
      <c r="F573" s="41">
        <f>IFERROR(C573/C572-1,"")</f>
        <v/>
      </c>
      <c r="G573" s="41">
        <f>IFERROR(D573/D572-1,"")</f>
        <v/>
      </c>
      <c r="H573" s="41">
        <f>IFERROR((1+E573)*(1+H572)-1,"")</f>
        <v/>
      </c>
      <c r="I573" s="41">
        <f>IFERROR((1+F573)*(1+I572)-1,"")</f>
        <v/>
      </c>
      <c r="J573" s="41">
        <f>IFERROR((1+G573)*(1+J572)-1,"")</f>
        <v/>
      </c>
      <c r="K573" s="42">
        <f>IFERROR(B573/$B$36*100,"")</f>
        <v/>
      </c>
      <c r="L573" s="42">
        <f>IFERROR(C573/$C$36*100,"")</f>
        <v/>
      </c>
      <c r="M573" s="42">
        <f>IFERROR(D573/$D$36*100,"")</f>
        <v/>
      </c>
      <c r="N573" s="41">
        <f>IFERROR((1+H573)/(1+I573)-1,"")</f>
        <v/>
      </c>
      <c r="O573" s="41">
        <f>IFERROR((1+H573)/(1+J573)-1,"")</f>
        <v/>
      </c>
      <c r="P573" s="39">
        <f>IFERROR(B573*0.0099502487562189+P572*(1-0.0099502487562189),"")</f>
        <v/>
      </c>
      <c r="Q573" s="42">
        <f>Q572*(1+E573)</f>
        <v/>
      </c>
      <c r="R573" s="42">
        <f>MAX(R572,Q573)</f>
        <v/>
      </c>
      <c r="S573" s="41">
        <f>IFERROR(Q573/R573-1,"")</f>
        <v/>
      </c>
      <c r="T573" s="41">
        <f>IFERROR(_xlfn.STDEV.S(E514:E573)*SQRT($D$7),"")</f>
        <v/>
      </c>
      <c r="U573" s="41">
        <f>IFERROR(MIN(E573-$D$6,0),"")</f>
        <v/>
      </c>
      <c r="V573" s="41">
        <f>IFERROR(E573-F573,"")</f>
        <v/>
      </c>
      <c r="W573" s="39">
        <f>B573</f>
        <v/>
      </c>
      <c r="X573" s="21" t="n"/>
    </row>
    <row r="574">
      <c r="A574" s="38" t="n">
        <v>45775</v>
      </c>
      <c r="B574" s="39" t="n">
        <v>245.39</v>
      </c>
      <c r="C574" s="39" t="n">
        <v>550.85</v>
      </c>
      <c r="D574" s="39" t="n">
        <v>41.385</v>
      </c>
      <c r="E574" s="41">
        <f>IFERROR(B574/B573-1,"")</f>
        <v/>
      </c>
      <c r="F574" s="41">
        <f>IFERROR(C574/C573-1,"")</f>
        <v/>
      </c>
      <c r="G574" s="41">
        <f>IFERROR(D574/D573-1,"")</f>
        <v/>
      </c>
      <c r="H574" s="41">
        <f>IFERROR((1+E574)*(1+H573)-1,"")</f>
        <v/>
      </c>
      <c r="I574" s="41">
        <f>IFERROR((1+F574)*(1+I573)-1,"")</f>
        <v/>
      </c>
      <c r="J574" s="41">
        <f>IFERROR((1+G574)*(1+J573)-1,"")</f>
        <v/>
      </c>
      <c r="K574" s="42">
        <f>IFERROR(B574/$B$36*100,"")</f>
        <v/>
      </c>
      <c r="L574" s="42">
        <f>IFERROR(C574/$C$36*100,"")</f>
        <v/>
      </c>
      <c r="M574" s="42">
        <f>IFERROR(D574/$D$36*100,"")</f>
        <v/>
      </c>
      <c r="N574" s="41">
        <f>IFERROR((1+H574)/(1+I574)-1,"")</f>
        <v/>
      </c>
      <c r="O574" s="41">
        <f>IFERROR((1+H574)/(1+J574)-1,"")</f>
        <v/>
      </c>
      <c r="P574" s="39">
        <f>IFERROR(B574*0.0099502487562189+P573*(1-0.0099502487562189),"")</f>
        <v/>
      </c>
      <c r="Q574" s="42">
        <f>Q573*(1+E574)</f>
        <v/>
      </c>
      <c r="R574" s="42">
        <f>MAX(R573,Q574)</f>
        <v/>
      </c>
      <c r="S574" s="41">
        <f>IFERROR(Q574/R574-1,"")</f>
        <v/>
      </c>
      <c r="T574" s="41">
        <f>IFERROR(_xlfn.STDEV.S(E515:E574)*SQRT($D$7),"")</f>
        <v/>
      </c>
      <c r="U574" s="41">
        <f>IFERROR(MIN(E574-$D$6,0),"")</f>
        <v/>
      </c>
      <c r="V574" s="41">
        <f>IFERROR(E574-F574,"")</f>
        <v/>
      </c>
      <c r="W574" s="39">
        <f>B574</f>
        <v/>
      </c>
      <c r="X574" s="21" t="n"/>
    </row>
    <row r="575">
      <c r="A575" s="38" t="n">
        <v>45776</v>
      </c>
      <c r="B575" s="39" t="n">
        <v>245.35</v>
      </c>
      <c r="C575" s="39" t="n">
        <v>554.3200000000001</v>
      </c>
      <c r="D575" s="39" t="n">
        <v>41.73</v>
      </c>
      <c r="E575" s="41">
        <f>IFERROR(B575/B574-1,"")</f>
        <v/>
      </c>
      <c r="F575" s="41">
        <f>IFERROR(C575/C574-1,"")</f>
        <v/>
      </c>
      <c r="G575" s="41">
        <f>IFERROR(D575/D574-1,"")</f>
        <v/>
      </c>
      <c r="H575" s="41">
        <f>IFERROR((1+E575)*(1+H574)-1,"")</f>
        <v/>
      </c>
      <c r="I575" s="41">
        <f>IFERROR((1+F575)*(1+I574)-1,"")</f>
        <v/>
      </c>
      <c r="J575" s="41">
        <f>IFERROR((1+G575)*(1+J574)-1,"")</f>
        <v/>
      </c>
      <c r="K575" s="42">
        <f>IFERROR(B575/$B$36*100,"")</f>
        <v/>
      </c>
      <c r="L575" s="42">
        <f>IFERROR(C575/$C$36*100,"")</f>
        <v/>
      </c>
      <c r="M575" s="42">
        <f>IFERROR(D575/$D$36*100,"")</f>
        <v/>
      </c>
      <c r="N575" s="41">
        <f>IFERROR((1+H575)/(1+I575)-1,"")</f>
        <v/>
      </c>
      <c r="O575" s="41">
        <f>IFERROR((1+H575)/(1+J575)-1,"")</f>
        <v/>
      </c>
      <c r="P575" s="39">
        <f>IFERROR(B575*0.0099502487562189+P574*(1-0.0099502487562189),"")</f>
        <v/>
      </c>
      <c r="Q575" s="42">
        <f>Q574*(1+E575)</f>
        <v/>
      </c>
      <c r="R575" s="42">
        <f>MAX(R574,Q575)</f>
        <v/>
      </c>
      <c r="S575" s="41">
        <f>IFERROR(Q575/R575-1,"")</f>
        <v/>
      </c>
      <c r="T575" s="41">
        <f>IFERROR(_xlfn.STDEV.S(E516:E575)*SQRT($D$7),"")</f>
        <v/>
      </c>
      <c r="U575" s="41">
        <f>IFERROR(MIN(E575-$D$6,0),"")</f>
        <v/>
      </c>
      <c r="V575" s="41">
        <f>IFERROR(E575-F575,"")</f>
        <v/>
      </c>
      <c r="W575" s="39">
        <f>B575</f>
        <v/>
      </c>
      <c r="X575" s="21" t="n"/>
    </row>
    <row r="576">
      <c r="A576" s="38" t="n">
        <v>45777</v>
      </c>
      <c r="B576" s="39" t="n">
        <v>262.33</v>
      </c>
      <c r="C576" s="39" t="n">
        <v>554.54</v>
      </c>
      <c r="D576" s="39" t="n">
        <v>41.945</v>
      </c>
      <c r="E576" s="41">
        <f>IFERROR(B576/B575-1,"")</f>
        <v/>
      </c>
      <c r="F576" s="41">
        <f>IFERROR(C576/C575-1,"")</f>
        <v/>
      </c>
      <c r="G576" s="41">
        <f>IFERROR(D576/D575-1,"")</f>
        <v/>
      </c>
      <c r="H576" s="41">
        <f>IFERROR((1+E576)*(1+H575)-1,"")</f>
        <v/>
      </c>
      <c r="I576" s="41">
        <f>IFERROR((1+F576)*(1+I575)-1,"")</f>
        <v/>
      </c>
      <c r="J576" s="41">
        <f>IFERROR((1+G576)*(1+J575)-1,"")</f>
        <v/>
      </c>
      <c r="K576" s="42">
        <f>IFERROR(B576/$B$36*100,"")</f>
        <v/>
      </c>
      <c r="L576" s="42">
        <f>IFERROR(C576/$C$36*100,"")</f>
        <v/>
      </c>
      <c r="M576" s="42">
        <f>IFERROR(D576/$D$36*100,"")</f>
        <v/>
      </c>
      <c r="N576" s="41">
        <f>IFERROR((1+H576)/(1+I576)-1,"")</f>
        <v/>
      </c>
      <c r="O576" s="41">
        <f>IFERROR((1+H576)/(1+J576)-1,"")</f>
        <v/>
      </c>
      <c r="P576" s="39">
        <f>IFERROR(B576*0.0099502487562189+P575*(1-0.0099502487562189),"")</f>
        <v/>
      </c>
      <c r="Q576" s="42">
        <f>Q575*(1+E576)</f>
        <v/>
      </c>
      <c r="R576" s="42">
        <f>MAX(R575,Q576)</f>
        <v/>
      </c>
      <c r="S576" s="41">
        <f>IFERROR(Q576/R576-1,"")</f>
        <v/>
      </c>
      <c r="T576" s="41">
        <f>IFERROR(_xlfn.STDEV.S(E517:E576)*SQRT($D$7),"")</f>
        <v/>
      </c>
      <c r="U576" s="41">
        <f>IFERROR(MIN(E576-$D$6,0),"")</f>
        <v/>
      </c>
      <c r="V576" s="41">
        <f>IFERROR(E576-F576,"")</f>
        <v/>
      </c>
      <c r="W576" s="39">
        <f>B576</f>
        <v/>
      </c>
      <c r="X576" s="21" t="n"/>
    </row>
    <row r="577">
      <c r="A577" s="38" t="n">
        <v>45778</v>
      </c>
      <c r="B577" s="39" t="n">
        <v>263.63</v>
      </c>
      <c r="C577" s="39" t="n">
        <v>558.47</v>
      </c>
      <c r="D577" s="39" t="n">
        <v>41.76</v>
      </c>
      <c r="E577" s="41">
        <f>IFERROR(B577/B576-1,"")</f>
        <v/>
      </c>
      <c r="F577" s="41">
        <f>IFERROR(C577/C576-1,"")</f>
        <v/>
      </c>
      <c r="G577" s="41">
        <f>IFERROR(D577/D576-1,"")</f>
        <v/>
      </c>
      <c r="H577" s="41">
        <f>IFERROR((1+E577)*(1+H576)-1,"")</f>
        <v/>
      </c>
      <c r="I577" s="41">
        <f>IFERROR((1+F577)*(1+I576)-1,"")</f>
        <v/>
      </c>
      <c r="J577" s="41">
        <f>IFERROR((1+G577)*(1+J576)-1,"")</f>
        <v/>
      </c>
      <c r="K577" s="42">
        <f>IFERROR(B577/$B$36*100,"")</f>
        <v/>
      </c>
      <c r="L577" s="42">
        <f>IFERROR(C577/$C$36*100,"")</f>
        <v/>
      </c>
      <c r="M577" s="42">
        <f>IFERROR(D577/$D$36*100,"")</f>
        <v/>
      </c>
      <c r="N577" s="41">
        <f>IFERROR((1+H577)/(1+I577)-1,"")</f>
        <v/>
      </c>
      <c r="O577" s="41">
        <f>IFERROR((1+H577)/(1+J577)-1,"")</f>
        <v/>
      </c>
      <c r="P577" s="39">
        <f>IFERROR(B577*0.0099502487562189+P576*(1-0.0099502487562189),"")</f>
        <v/>
      </c>
      <c r="Q577" s="42">
        <f>Q576*(1+E577)</f>
        <v/>
      </c>
      <c r="R577" s="42">
        <f>MAX(R576,Q577)</f>
        <v/>
      </c>
      <c r="S577" s="41">
        <f>IFERROR(Q577/R577-1,"")</f>
        <v/>
      </c>
      <c r="T577" s="41">
        <f>IFERROR(_xlfn.STDEV.S(E518:E577)*SQRT($D$7),"")</f>
        <v/>
      </c>
      <c r="U577" s="41">
        <f>IFERROR(MIN(E577-$D$6,0),"")</f>
        <v/>
      </c>
      <c r="V577" s="41">
        <f>IFERROR(E577-F577,"")</f>
        <v/>
      </c>
      <c r="W577" s="39">
        <f>B577</f>
        <v/>
      </c>
      <c r="X577" s="21" t="n"/>
    </row>
    <row r="578">
      <c r="A578" s="38" t="n">
        <v>45779</v>
      </c>
      <c r="B578" s="39" t="n">
        <v>267.05</v>
      </c>
      <c r="C578" s="39" t="n">
        <v>566.76</v>
      </c>
      <c r="D578" s="39" t="n">
        <v>42.465</v>
      </c>
      <c r="E578" s="41">
        <f>IFERROR(B578/B577-1,"")</f>
        <v/>
      </c>
      <c r="F578" s="41">
        <f>IFERROR(C578/C577-1,"")</f>
        <v/>
      </c>
      <c r="G578" s="41">
        <f>IFERROR(D578/D577-1,"")</f>
        <v/>
      </c>
      <c r="H578" s="41">
        <f>IFERROR((1+E578)*(1+H577)-1,"")</f>
        <v/>
      </c>
      <c r="I578" s="41">
        <f>IFERROR((1+F578)*(1+I577)-1,"")</f>
        <v/>
      </c>
      <c r="J578" s="41">
        <f>IFERROR((1+G578)*(1+J577)-1,"")</f>
        <v/>
      </c>
      <c r="K578" s="42">
        <f>IFERROR(B578/$B$36*100,"")</f>
        <v/>
      </c>
      <c r="L578" s="42">
        <f>IFERROR(C578/$C$36*100,"")</f>
        <v/>
      </c>
      <c r="M578" s="42">
        <f>IFERROR(D578/$D$36*100,"")</f>
        <v/>
      </c>
      <c r="N578" s="41">
        <f>IFERROR((1+H578)/(1+I578)-1,"")</f>
        <v/>
      </c>
      <c r="O578" s="41">
        <f>IFERROR((1+H578)/(1+J578)-1,"")</f>
        <v/>
      </c>
      <c r="P578" s="39">
        <f>IFERROR(B578*0.0099502487562189+P577*(1-0.0099502487562189),"")</f>
        <v/>
      </c>
      <c r="Q578" s="42">
        <f>Q577*(1+E578)</f>
        <v/>
      </c>
      <c r="R578" s="42">
        <f>MAX(R577,Q578)</f>
        <v/>
      </c>
      <c r="S578" s="41">
        <f>IFERROR(Q578/R578-1,"")</f>
        <v/>
      </c>
      <c r="T578" s="41">
        <f>IFERROR(_xlfn.STDEV.S(E519:E578)*SQRT($D$7),"")</f>
        <v/>
      </c>
      <c r="U578" s="41">
        <f>IFERROR(MIN(E578-$D$6,0),"")</f>
        <v/>
      </c>
      <c r="V578" s="41">
        <f>IFERROR(E578-F578,"")</f>
        <v/>
      </c>
      <c r="W578" s="39">
        <f>B578</f>
        <v/>
      </c>
      <c r="X578" s="21" t="n"/>
    </row>
    <row r="579">
      <c r="A579" s="38" t="n">
        <v>45782</v>
      </c>
      <c r="B579" s="39" t="n">
        <v>270.04</v>
      </c>
      <c r="C579" s="39" t="n">
        <v>563.51</v>
      </c>
      <c r="D579" s="39" t="n">
        <v>42.15</v>
      </c>
      <c r="E579" s="41">
        <f>IFERROR(B579/B578-1,"")</f>
        <v/>
      </c>
      <c r="F579" s="41">
        <f>IFERROR(C579/C578-1,"")</f>
        <v/>
      </c>
      <c r="G579" s="41">
        <f>IFERROR(D579/D578-1,"")</f>
        <v/>
      </c>
      <c r="H579" s="41">
        <f>IFERROR((1+E579)*(1+H578)-1,"")</f>
        <v/>
      </c>
      <c r="I579" s="41">
        <f>IFERROR((1+F579)*(1+I578)-1,"")</f>
        <v/>
      </c>
      <c r="J579" s="41">
        <f>IFERROR((1+G579)*(1+J578)-1,"")</f>
        <v/>
      </c>
      <c r="K579" s="42">
        <f>IFERROR(B579/$B$36*100,"")</f>
        <v/>
      </c>
      <c r="L579" s="42">
        <f>IFERROR(C579/$C$36*100,"")</f>
        <v/>
      </c>
      <c r="M579" s="42">
        <f>IFERROR(D579/$D$36*100,"")</f>
        <v/>
      </c>
      <c r="N579" s="41">
        <f>IFERROR((1+H579)/(1+I579)-1,"")</f>
        <v/>
      </c>
      <c r="O579" s="41">
        <f>IFERROR((1+H579)/(1+J579)-1,"")</f>
        <v/>
      </c>
      <c r="P579" s="39">
        <f>IFERROR(B579*0.0099502487562189+P578*(1-0.0099502487562189),"")</f>
        <v/>
      </c>
      <c r="Q579" s="42">
        <f>Q578*(1+E579)</f>
        <v/>
      </c>
      <c r="R579" s="42">
        <f>MAX(R578,Q579)</f>
        <v/>
      </c>
      <c r="S579" s="41">
        <f>IFERROR(Q579/R579-1,"")</f>
        <v/>
      </c>
      <c r="T579" s="41">
        <f>IFERROR(_xlfn.STDEV.S(E520:E579)*SQRT($D$7),"")</f>
        <v/>
      </c>
      <c r="U579" s="41">
        <f>IFERROR(MIN(E579-$D$6,0),"")</f>
        <v/>
      </c>
      <c r="V579" s="41">
        <f>IFERROR(E579-F579,"")</f>
        <v/>
      </c>
      <c r="W579" s="39">
        <f>B579</f>
        <v/>
      </c>
      <c r="X579" s="21" t="n"/>
    </row>
    <row r="580">
      <c r="A580" s="38" t="n">
        <v>45783</v>
      </c>
      <c r="B580" s="39" t="n">
        <v>267.24</v>
      </c>
      <c r="C580" s="39" t="n">
        <v>558.8</v>
      </c>
      <c r="D580" s="39" t="n">
        <v>41.845</v>
      </c>
      <c r="E580" s="41">
        <f>IFERROR(B580/B579-1,"")</f>
        <v/>
      </c>
      <c r="F580" s="41">
        <f>IFERROR(C580/C579-1,"")</f>
        <v/>
      </c>
      <c r="G580" s="41">
        <f>IFERROR(D580/D579-1,"")</f>
        <v/>
      </c>
      <c r="H580" s="41">
        <f>IFERROR((1+E580)*(1+H579)-1,"")</f>
        <v/>
      </c>
      <c r="I580" s="41">
        <f>IFERROR((1+F580)*(1+I579)-1,"")</f>
        <v/>
      </c>
      <c r="J580" s="41">
        <f>IFERROR((1+G580)*(1+J579)-1,"")</f>
        <v/>
      </c>
      <c r="K580" s="42">
        <f>IFERROR(B580/$B$36*100,"")</f>
        <v/>
      </c>
      <c r="L580" s="42">
        <f>IFERROR(C580/$C$36*100,"")</f>
        <v/>
      </c>
      <c r="M580" s="42">
        <f>IFERROR(D580/$D$36*100,"")</f>
        <v/>
      </c>
      <c r="N580" s="41">
        <f>IFERROR((1+H580)/(1+I580)-1,"")</f>
        <v/>
      </c>
      <c r="O580" s="41">
        <f>IFERROR((1+H580)/(1+J580)-1,"")</f>
        <v/>
      </c>
      <c r="P580" s="39">
        <f>IFERROR(B580*0.0099502487562189+P579*(1-0.0099502487562189),"")</f>
        <v/>
      </c>
      <c r="Q580" s="42">
        <f>Q579*(1+E580)</f>
        <v/>
      </c>
      <c r="R580" s="42">
        <f>MAX(R579,Q580)</f>
        <v/>
      </c>
      <c r="S580" s="41">
        <f>IFERROR(Q580/R580-1,"")</f>
        <v/>
      </c>
      <c r="T580" s="41">
        <f>IFERROR(_xlfn.STDEV.S(E521:E580)*SQRT($D$7),"")</f>
        <v/>
      </c>
      <c r="U580" s="41">
        <f>IFERROR(MIN(E580-$D$6,0),"")</f>
        <v/>
      </c>
      <c r="V580" s="41">
        <f>IFERROR(E580-F580,"")</f>
        <v/>
      </c>
      <c r="W580" s="39">
        <f>B580</f>
        <v/>
      </c>
      <c r="X580" s="21" t="n"/>
    </row>
    <row r="581">
      <c r="A581" s="38" t="n">
        <v>45784</v>
      </c>
      <c r="B581" s="39" t="n">
        <v>265.84</v>
      </c>
      <c r="C581" s="39" t="n">
        <v>561.15</v>
      </c>
      <c r="D581" s="39" t="n">
        <v>41.615</v>
      </c>
      <c r="E581" s="41">
        <f>IFERROR(B581/B580-1,"")</f>
        <v/>
      </c>
      <c r="F581" s="41">
        <f>IFERROR(C581/C580-1,"")</f>
        <v/>
      </c>
      <c r="G581" s="41">
        <f>IFERROR(D581/D580-1,"")</f>
        <v/>
      </c>
      <c r="H581" s="41">
        <f>IFERROR((1+E581)*(1+H580)-1,"")</f>
        <v/>
      </c>
      <c r="I581" s="41">
        <f>IFERROR((1+F581)*(1+I580)-1,"")</f>
        <v/>
      </c>
      <c r="J581" s="41">
        <f>IFERROR((1+G581)*(1+J580)-1,"")</f>
        <v/>
      </c>
      <c r="K581" s="42">
        <f>IFERROR(B581/$B$36*100,"")</f>
        <v/>
      </c>
      <c r="L581" s="42">
        <f>IFERROR(C581/$C$36*100,"")</f>
        <v/>
      </c>
      <c r="M581" s="42">
        <f>IFERROR(D581/$D$36*100,"")</f>
        <v/>
      </c>
      <c r="N581" s="41">
        <f>IFERROR((1+H581)/(1+I581)-1,"")</f>
        <v/>
      </c>
      <c r="O581" s="41">
        <f>IFERROR((1+H581)/(1+J581)-1,"")</f>
        <v/>
      </c>
      <c r="P581" s="39">
        <f>IFERROR(B581*0.0099502487562189+P580*(1-0.0099502487562189),"")</f>
        <v/>
      </c>
      <c r="Q581" s="42">
        <f>Q580*(1+E581)</f>
        <v/>
      </c>
      <c r="R581" s="42">
        <f>MAX(R580,Q581)</f>
        <v/>
      </c>
      <c r="S581" s="41">
        <f>IFERROR(Q581/R581-1,"")</f>
        <v/>
      </c>
      <c r="T581" s="41">
        <f>IFERROR(_xlfn.STDEV.S(E522:E581)*SQRT($D$7),"")</f>
        <v/>
      </c>
      <c r="U581" s="41">
        <f>IFERROR(MIN(E581-$D$6,0),"")</f>
        <v/>
      </c>
      <c r="V581" s="41">
        <f>IFERROR(E581-F581,"")</f>
        <v/>
      </c>
      <c r="W581" s="39">
        <f>B581</f>
        <v/>
      </c>
      <c r="X581" s="21" t="n"/>
    </row>
    <row r="582">
      <c r="A582" s="38" t="n">
        <v>45785</v>
      </c>
      <c r="B582" s="39" t="n">
        <v>268.42</v>
      </c>
      <c r="C582" s="39" t="n">
        <v>565.0599999999999</v>
      </c>
      <c r="D582" s="39" t="n">
        <v>42.17</v>
      </c>
      <c r="E582" s="41">
        <f>IFERROR(B582/B581-1,"")</f>
        <v/>
      </c>
      <c r="F582" s="41">
        <f>IFERROR(C582/C581-1,"")</f>
        <v/>
      </c>
      <c r="G582" s="41">
        <f>IFERROR(D582/D581-1,"")</f>
        <v/>
      </c>
      <c r="H582" s="41">
        <f>IFERROR((1+E582)*(1+H581)-1,"")</f>
        <v/>
      </c>
      <c r="I582" s="41">
        <f>IFERROR((1+F582)*(1+I581)-1,"")</f>
        <v/>
      </c>
      <c r="J582" s="41">
        <f>IFERROR((1+G582)*(1+J581)-1,"")</f>
        <v/>
      </c>
      <c r="K582" s="42">
        <f>IFERROR(B582/$B$36*100,"")</f>
        <v/>
      </c>
      <c r="L582" s="42">
        <f>IFERROR(C582/$C$36*100,"")</f>
        <v/>
      </c>
      <c r="M582" s="42">
        <f>IFERROR(D582/$D$36*100,"")</f>
        <v/>
      </c>
      <c r="N582" s="41">
        <f>IFERROR((1+H582)/(1+I582)-1,"")</f>
        <v/>
      </c>
      <c r="O582" s="41">
        <f>IFERROR((1+H582)/(1+J582)-1,"")</f>
        <v/>
      </c>
      <c r="P582" s="39">
        <f>IFERROR(B582*0.0099502487562189+P581*(1-0.0099502487562189),"")</f>
        <v/>
      </c>
      <c r="Q582" s="42">
        <f>Q581*(1+E582)</f>
        <v/>
      </c>
      <c r="R582" s="42">
        <f>MAX(R581,Q582)</f>
        <v/>
      </c>
      <c r="S582" s="41">
        <f>IFERROR(Q582/R582-1,"")</f>
        <v/>
      </c>
      <c r="T582" s="41">
        <f>IFERROR(_xlfn.STDEV.S(E523:E582)*SQRT($D$7),"")</f>
        <v/>
      </c>
      <c r="U582" s="41">
        <f>IFERROR(MIN(E582-$D$6,0),"")</f>
        <v/>
      </c>
      <c r="V582" s="41">
        <f>IFERROR(E582-F582,"")</f>
        <v/>
      </c>
      <c r="W582" s="39">
        <f>B582</f>
        <v/>
      </c>
      <c r="X582" s="21" t="n"/>
    </row>
    <row r="583">
      <c r="A583" s="38" t="n">
        <v>45786</v>
      </c>
      <c r="B583" s="39" t="n">
        <v>269.63</v>
      </c>
      <c r="C583" s="39" t="n">
        <v>564.34</v>
      </c>
      <c r="D583" s="39" t="n">
        <v>42.28</v>
      </c>
      <c r="E583" s="41">
        <f>IFERROR(B583/B582-1,"")</f>
        <v/>
      </c>
      <c r="F583" s="41">
        <f>IFERROR(C583/C582-1,"")</f>
        <v/>
      </c>
      <c r="G583" s="41">
        <f>IFERROR(D583/D582-1,"")</f>
        <v/>
      </c>
      <c r="H583" s="41">
        <f>IFERROR((1+E583)*(1+H582)-1,"")</f>
        <v/>
      </c>
      <c r="I583" s="41">
        <f>IFERROR((1+F583)*(1+I582)-1,"")</f>
        <v/>
      </c>
      <c r="J583" s="41">
        <f>IFERROR((1+G583)*(1+J582)-1,"")</f>
        <v/>
      </c>
      <c r="K583" s="42">
        <f>IFERROR(B583/$B$36*100,"")</f>
        <v/>
      </c>
      <c r="L583" s="42">
        <f>IFERROR(C583/$C$36*100,"")</f>
        <v/>
      </c>
      <c r="M583" s="42">
        <f>IFERROR(D583/$D$36*100,"")</f>
        <v/>
      </c>
      <c r="N583" s="41">
        <f>IFERROR((1+H583)/(1+I583)-1,"")</f>
        <v/>
      </c>
      <c r="O583" s="41">
        <f>IFERROR((1+H583)/(1+J583)-1,"")</f>
        <v/>
      </c>
      <c r="P583" s="39">
        <f>IFERROR(B583*0.0099502487562189+P582*(1-0.0099502487562189),"")</f>
        <v/>
      </c>
      <c r="Q583" s="42">
        <f>Q582*(1+E583)</f>
        <v/>
      </c>
      <c r="R583" s="42">
        <f>MAX(R582,Q583)</f>
        <v/>
      </c>
      <c r="S583" s="41">
        <f>IFERROR(Q583/R583-1,"")</f>
        <v/>
      </c>
      <c r="T583" s="41">
        <f>IFERROR(_xlfn.STDEV.S(E524:E583)*SQRT($D$7),"")</f>
        <v/>
      </c>
      <c r="U583" s="41">
        <f>IFERROR(MIN(E583-$D$6,0),"")</f>
        <v/>
      </c>
      <c r="V583" s="41">
        <f>IFERROR(E583-F583,"")</f>
        <v/>
      </c>
      <c r="W583" s="39">
        <f>B583</f>
        <v/>
      </c>
      <c r="X583" s="21" t="n"/>
    </row>
    <row r="584">
      <c r="A584" s="38" t="n">
        <v>45789</v>
      </c>
      <c r="B584" s="39" t="n">
        <v>272.36</v>
      </c>
      <c r="C584" s="39" t="n">
        <v>582.99</v>
      </c>
      <c r="D584" s="39" t="n">
        <v>43.26</v>
      </c>
      <c r="E584" s="41">
        <f>IFERROR(B584/B583-1,"")</f>
        <v/>
      </c>
      <c r="F584" s="41">
        <f>IFERROR(C584/C583-1,"")</f>
        <v/>
      </c>
      <c r="G584" s="41">
        <f>IFERROR(D584/D583-1,"")</f>
        <v/>
      </c>
      <c r="H584" s="41">
        <f>IFERROR((1+E584)*(1+H583)-1,"")</f>
        <v/>
      </c>
      <c r="I584" s="41">
        <f>IFERROR((1+F584)*(1+I583)-1,"")</f>
        <v/>
      </c>
      <c r="J584" s="41">
        <f>IFERROR((1+G584)*(1+J583)-1,"")</f>
        <v/>
      </c>
      <c r="K584" s="42">
        <f>IFERROR(B584/$B$36*100,"")</f>
        <v/>
      </c>
      <c r="L584" s="42">
        <f>IFERROR(C584/$C$36*100,"")</f>
        <v/>
      </c>
      <c r="M584" s="42">
        <f>IFERROR(D584/$D$36*100,"")</f>
        <v/>
      </c>
      <c r="N584" s="41">
        <f>IFERROR((1+H584)/(1+I584)-1,"")</f>
        <v/>
      </c>
      <c r="O584" s="41">
        <f>IFERROR((1+H584)/(1+J584)-1,"")</f>
        <v/>
      </c>
      <c r="P584" s="39">
        <f>IFERROR(B584*0.0099502487562189+P583*(1-0.0099502487562189),"")</f>
        <v/>
      </c>
      <c r="Q584" s="42">
        <f>Q583*(1+E584)</f>
        <v/>
      </c>
      <c r="R584" s="42">
        <f>MAX(R583,Q584)</f>
        <v/>
      </c>
      <c r="S584" s="41">
        <f>IFERROR(Q584/R584-1,"")</f>
        <v/>
      </c>
      <c r="T584" s="41">
        <f>IFERROR(_xlfn.STDEV.S(E525:E584)*SQRT($D$7),"")</f>
        <v/>
      </c>
      <c r="U584" s="41">
        <f>IFERROR(MIN(E584-$D$6,0),"")</f>
        <v/>
      </c>
      <c r="V584" s="41">
        <f>IFERROR(E584-F584,"")</f>
        <v/>
      </c>
      <c r="W584" s="39">
        <f>B584</f>
        <v/>
      </c>
      <c r="X584" s="21" t="n"/>
    </row>
    <row r="585">
      <c r="A585" s="38" t="n">
        <v>45790</v>
      </c>
      <c r="B585" s="39" t="n">
        <v>268.59</v>
      </c>
      <c r="C585" s="39" t="n">
        <v>586.84</v>
      </c>
      <c r="D585" s="39" t="n">
        <v>43.045</v>
      </c>
      <c r="E585" s="41">
        <f>IFERROR(B585/B584-1,"")</f>
        <v/>
      </c>
      <c r="F585" s="41">
        <f>IFERROR(C585/C584-1,"")</f>
        <v/>
      </c>
      <c r="G585" s="41">
        <f>IFERROR(D585/D584-1,"")</f>
        <v/>
      </c>
      <c r="H585" s="41">
        <f>IFERROR((1+E585)*(1+H584)-1,"")</f>
        <v/>
      </c>
      <c r="I585" s="41">
        <f>IFERROR((1+F585)*(1+I584)-1,"")</f>
        <v/>
      </c>
      <c r="J585" s="41">
        <f>IFERROR((1+G585)*(1+J584)-1,"")</f>
        <v/>
      </c>
      <c r="K585" s="42">
        <f>IFERROR(B585/$B$36*100,"")</f>
        <v/>
      </c>
      <c r="L585" s="42">
        <f>IFERROR(C585/$C$36*100,"")</f>
        <v/>
      </c>
      <c r="M585" s="42">
        <f>IFERROR(D585/$D$36*100,"")</f>
        <v/>
      </c>
      <c r="N585" s="41">
        <f>IFERROR((1+H585)/(1+I585)-1,"")</f>
        <v/>
      </c>
      <c r="O585" s="41">
        <f>IFERROR((1+H585)/(1+J585)-1,"")</f>
        <v/>
      </c>
      <c r="P585" s="39">
        <f>IFERROR(B585*0.0099502487562189+P584*(1-0.0099502487562189),"")</f>
        <v/>
      </c>
      <c r="Q585" s="42">
        <f>Q584*(1+E585)</f>
        <v/>
      </c>
      <c r="R585" s="42">
        <f>MAX(R584,Q585)</f>
        <v/>
      </c>
      <c r="S585" s="41">
        <f>IFERROR(Q585/R585-1,"")</f>
        <v/>
      </c>
      <c r="T585" s="41">
        <f>IFERROR(_xlfn.STDEV.S(E526:E585)*SQRT($D$7),"")</f>
        <v/>
      </c>
      <c r="U585" s="41">
        <f>IFERROR(MIN(E585-$D$6,0),"")</f>
        <v/>
      </c>
      <c r="V585" s="41">
        <f>IFERROR(E585-F585,"")</f>
        <v/>
      </c>
      <c r="W585" s="39">
        <f>B585</f>
        <v/>
      </c>
      <c r="X585" s="21" t="n"/>
    </row>
    <row r="586">
      <c r="A586" s="38" t="n">
        <v>45791</v>
      </c>
      <c r="B586" s="39" t="n">
        <v>266.32</v>
      </c>
      <c r="C586" s="39" t="n">
        <v>587.59</v>
      </c>
      <c r="D586" s="39" t="n">
        <v>42.65</v>
      </c>
      <c r="E586" s="41">
        <f>IFERROR(B586/B585-1,"")</f>
        <v/>
      </c>
      <c r="F586" s="41">
        <f>IFERROR(C586/C585-1,"")</f>
        <v/>
      </c>
      <c r="G586" s="41">
        <f>IFERROR(D586/D585-1,"")</f>
        <v/>
      </c>
      <c r="H586" s="41">
        <f>IFERROR((1+E586)*(1+H585)-1,"")</f>
        <v/>
      </c>
      <c r="I586" s="41">
        <f>IFERROR((1+F586)*(1+I585)-1,"")</f>
        <v/>
      </c>
      <c r="J586" s="41">
        <f>IFERROR((1+G586)*(1+J585)-1,"")</f>
        <v/>
      </c>
      <c r="K586" s="42">
        <f>IFERROR(B586/$B$36*100,"")</f>
        <v/>
      </c>
      <c r="L586" s="42">
        <f>IFERROR(C586/$C$36*100,"")</f>
        <v/>
      </c>
      <c r="M586" s="42">
        <f>IFERROR(D586/$D$36*100,"")</f>
        <v/>
      </c>
      <c r="N586" s="41">
        <f>IFERROR((1+H586)/(1+I586)-1,"")</f>
        <v/>
      </c>
      <c r="O586" s="41">
        <f>IFERROR((1+H586)/(1+J586)-1,"")</f>
        <v/>
      </c>
      <c r="P586" s="39">
        <f>IFERROR(B586*0.0099502487562189+P585*(1-0.0099502487562189),"")</f>
        <v/>
      </c>
      <c r="Q586" s="42">
        <f>Q585*(1+E586)</f>
        <v/>
      </c>
      <c r="R586" s="42">
        <f>MAX(R585,Q586)</f>
        <v/>
      </c>
      <c r="S586" s="41">
        <f>IFERROR(Q586/R586-1,"")</f>
        <v/>
      </c>
      <c r="T586" s="41">
        <f>IFERROR(_xlfn.STDEV.S(E527:E586)*SQRT($D$7),"")</f>
        <v/>
      </c>
      <c r="U586" s="41">
        <f>IFERROR(MIN(E586-$D$6,0),"")</f>
        <v/>
      </c>
      <c r="V586" s="41">
        <f>IFERROR(E586-F586,"")</f>
        <v/>
      </c>
      <c r="W586" s="39">
        <f>B586</f>
        <v/>
      </c>
      <c r="X586" s="21" t="n"/>
    </row>
    <row r="587">
      <c r="A587" s="38" t="n">
        <v>45792</v>
      </c>
      <c r="B587" s="39" t="n">
        <v>271.07</v>
      </c>
      <c r="C587" s="39" t="n">
        <v>590.46</v>
      </c>
      <c r="D587" s="39" t="n">
        <v>43.085</v>
      </c>
      <c r="E587" s="41">
        <f>IFERROR(B587/B586-1,"")</f>
        <v/>
      </c>
      <c r="F587" s="41">
        <f>IFERROR(C587/C586-1,"")</f>
        <v/>
      </c>
      <c r="G587" s="41">
        <f>IFERROR(D587/D586-1,"")</f>
        <v/>
      </c>
      <c r="H587" s="41">
        <f>IFERROR((1+E587)*(1+H586)-1,"")</f>
        <v/>
      </c>
      <c r="I587" s="41">
        <f>IFERROR((1+F587)*(1+I586)-1,"")</f>
        <v/>
      </c>
      <c r="J587" s="41">
        <f>IFERROR((1+G587)*(1+J586)-1,"")</f>
        <v/>
      </c>
      <c r="K587" s="42">
        <f>IFERROR(B587/$B$36*100,"")</f>
        <v/>
      </c>
      <c r="L587" s="42">
        <f>IFERROR(C587/$C$36*100,"")</f>
        <v/>
      </c>
      <c r="M587" s="42">
        <f>IFERROR(D587/$D$36*100,"")</f>
        <v/>
      </c>
      <c r="N587" s="41">
        <f>IFERROR((1+H587)/(1+I587)-1,"")</f>
        <v/>
      </c>
      <c r="O587" s="41">
        <f>IFERROR((1+H587)/(1+J587)-1,"")</f>
        <v/>
      </c>
      <c r="P587" s="39">
        <f>IFERROR(B587*0.0099502487562189+P586*(1-0.0099502487562189),"")</f>
        <v/>
      </c>
      <c r="Q587" s="42">
        <f>Q586*(1+E587)</f>
        <v/>
      </c>
      <c r="R587" s="42">
        <f>MAX(R586,Q587)</f>
        <v/>
      </c>
      <c r="S587" s="41">
        <f>IFERROR(Q587/R587-1,"")</f>
        <v/>
      </c>
      <c r="T587" s="41">
        <f>IFERROR(_xlfn.STDEV.S(E528:E587)*SQRT($D$7),"")</f>
        <v/>
      </c>
      <c r="U587" s="41">
        <f>IFERROR(MIN(E587-$D$6,0),"")</f>
        <v/>
      </c>
      <c r="V587" s="41">
        <f>IFERROR(E587-F587,"")</f>
        <v/>
      </c>
      <c r="W587" s="39">
        <f>B587</f>
        <v/>
      </c>
      <c r="X587" s="21" t="n"/>
    </row>
    <row r="588">
      <c r="A588" s="38" t="n">
        <v>45793</v>
      </c>
      <c r="B588" s="39" t="n">
        <v>275.51</v>
      </c>
      <c r="C588" s="39" t="n">
        <v>594.2</v>
      </c>
      <c r="D588" s="39" t="n">
        <v>43.525</v>
      </c>
      <c r="E588" s="41">
        <f>IFERROR(B588/B587-1,"")</f>
        <v/>
      </c>
      <c r="F588" s="41">
        <f>IFERROR(C588/C587-1,"")</f>
        <v/>
      </c>
      <c r="G588" s="41">
        <f>IFERROR(D588/D587-1,"")</f>
        <v/>
      </c>
      <c r="H588" s="41">
        <f>IFERROR((1+E588)*(1+H587)-1,"")</f>
        <v/>
      </c>
      <c r="I588" s="41">
        <f>IFERROR((1+F588)*(1+I587)-1,"")</f>
        <v/>
      </c>
      <c r="J588" s="41">
        <f>IFERROR((1+G588)*(1+J587)-1,"")</f>
        <v/>
      </c>
      <c r="K588" s="42">
        <f>IFERROR(B588/$B$36*100,"")</f>
        <v/>
      </c>
      <c r="L588" s="42">
        <f>IFERROR(C588/$C$36*100,"")</f>
        <v/>
      </c>
      <c r="M588" s="42">
        <f>IFERROR(D588/$D$36*100,"")</f>
        <v/>
      </c>
      <c r="N588" s="41">
        <f>IFERROR((1+H588)/(1+I588)-1,"")</f>
        <v/>
      </c>
      <c r="O588" s="41">
        <f>IFERROR((1+H588)/(1+J588)-1,"")</f>
        <v/>
      </c>
      <c r="P588" s="39">
        <f>IFERROR(B588*0.0099502487562189+P587*(1-0.0099502487562189),"")</f>
        <v/>
      </c>
      <c r="Q588" s="42">
        <f>Q587*(1+E588)</f>
        <v/>
      </c>
      <c r="R588" s="42">
        <f>MAX(R587,Q588)</f>
        <v/>
      </c>
      <c r="S588" s="41">
        <f>IFERROR(Q588/R588-1,"")</f>
        <v/>
      </c>
      <c r="T588" s="41">
        <f>IFERROR(_xlfn.STDEV.S(E529:E588)*SQRT($D$7),"")</f>
        <v/>
      </c>
      <c r="U588" s="41">
        <f>IFERROR(MIN(E588-$D$6,0),"")</f>
        <v/>
      </c>
      <c r="V588" s="41">
        <f>IFERROR(E588-F588,"")</f>
        <v/>
      </c>
      <c r="W588" s="39">
        <f>B588</f>
        <v/>
      </c>
      <c r="X588" s="21" t="n"/>
    </row>
    <row r="589">
      <c r="A589" s="38" t="n">
        <v>45796</v>
      </c>
      <c r="B589" s="39" t="n">
        <v>276.01</v>
      </c>
      <c r="C589" s="39" t="n">
        <v>594.85</v>
      </c>
      <c r="D589" s="39" t="n">
        <v>43.635</v>
      </c>
      <c r="E589" s="41">
        <f>IFERROR(B589/B588-1,"")</f>
        <v/>
      </c>
      <c r="F589" s="41">
        <f>IFERROR(C589/C588-1,"")</f>
        <v/>
      </c>
      <c r="G589" s="41">
        <f>IFERROR(D589/D588-1,"")</f>
        <v/>
      </c>
      <c r="H589" s="41">
        <f>IFERROR((1+E589)*(1+H588)-1,"")</f>
        <v/>
      </c>
      <c r="I589" s="41">
        <f>IFERROR((1+F589)*(1+I588)-1,"")</f>
        <v/>
      </c>
      <c r="J589" s="41">
        <f>IFERROR((1+G589)*(1+J588)-1,"")</f>
        <v/>
      </c>
      <c r="K589" s="42">
        <f>IFERROR(B589/$B$36*100,"")</f>
        <v/>
      </c>
      <c r="L589" s="42">
        <f>IFERROR(C589/$C$36*100,"")</f>
        <v/>
      </c>
      <c r="M589" s="42">
        <f>IFERROR(D589/$D$36*100,"")</f>
        <v/>
      </c>
      <c r="N589" s="41">
        <f>IFERROR((1+H589)/(1+I589)-1,"")</f>
        <v/>
      </c>
      <c r="O589" s="41">
        <f>IFERROR((1+H589)/(1+J589)-1,"")</f>
        <v/>
      </c>
      <c r="P589" s="39">
        <f>IFERROR(B589*0.0099502487562189+P588*(1-0.0099502487562189),"")</f>
        <v/>
      </c>
      <c r="Q589" s="42">
        <f>Q588*(1+E589)</f>
        <v/>
      </c>
      <c r="R589" s="42">
        <f>MAX(R588,Q589)</f>
        <v/>
      </c>
      <c r="S589" s="41">
        <f>IFERROR(Q589/R589-1,"")</f>
        <v/>
      </c>
      <c r="T589" s="41">
        <f>IFERROR(_xlfn.STDEV.S(E530:E589)*SQRT($D$7),"")</f>
        <v/>
      </c>
      <c r="U589" s="41">
        <f>IFERROR(MIN(E589-$D$6,0),"")</f>
        <v/>
      </c>
      <c r="V589" s="41">
        <f>IFERROR(E589-F589,"")</f>
        <v/>
      </c>
      <c r="W589" s="39">
        <f>B589</f>
        <v/>
      </c>
      <c r="X589" s="21" t="n"/>
    </row>
    <row r="590">
      <c r="A590" s="38" t="n">
        <v>45797</v>
      </c>
      <c r="B590" s="39" t="n">
        <v>273.33</v>
      </c>
      <c r="C590" s="39" t="n">
        <v>592.85</v>
      </c>
      <c r="D590" s="39" t="n">
        <v>43.56</v>
      </c>
      <c r="E590" s="41">
        <f>IFERROR(B590/B589-1,"")</f>
        <v/>
      </c>
      <c r="F590" s="41">
        <f>IFERROR(C590/C589-1,"")</f>
        <v/>
      </c>
      <c r="G590" s="41">
        <f>IFERROR(D590/D589-1,"")</f>
        <v/>
      </c>
      <c r="H590" s="41">
        <f>IFERROR((1+E590)*(1+H589)-1,"")</f>
        <v/>
      </c>
      <c r="I590" s="41">
        <f>IFERROR((1+F590)*(1+I589)-1,"")</f>
        <v/>
      </c>
      <c r="J590" s="41">
        <f>IFERROR((1+G590)*(1+J589)-1,"")</f>
        <v/>
      </c>
      <c r="K590" s="42">
        <f>IFERROR(B590/$B$36*100,"")</f>
        <v/>
      </c>
      <c r="L590" s="42">
        <f>IFERROR(C590/$C$36*100,"")</f>
        <v/>
      </c>
      <c r="M590" s="42">
        <f>IFERROR(D590/$D$36*100,"")</f>
        <v/>
      </c>
      <c r="N590" s="41">
        <f>IFERROR((1+H590)/(1+I590)-1,"")</f>
        <v/>
      </c>
      <c r="O590" s="41">
        <f>IFERROR((1+H590)/(1+J590)-1,"")</f>
        <v/>
      </c>
      <c r="P590" s="39">
        <f>IFERROR(B590*0.0099502487562189+P589*(1-0.0099502487562189),"")</f>
        <v/>
      </c>
      <c r="Q590" s="42">
        <f>Q589*(1+E590)</f>
        <v/>
      </c>
      <c r="R590" s="42">
        <f>MAX(R589,Q590)</f>
        <v/>
      </c>
      <c r="S590" s="41">
        <f>IFERROR(Q590/R590-1,"")</f>
        <v/>
      </c>
      <c r="T590" s="41">
        <f>IFERROR(_xlfn.STDEV.S(E531:E590)*SQRT($D$7),"")</f>
        <v/>
      </c>
      <c r="U590" s="41">
        <f>IFERROR(MIN(E590-$D$6,0),"")</f>
        <v/>
      </c>
      <c r="V590" s="41">
        <f>IFERROR(E590-F590,"")</f>
        <v/>
      </c>
      <c r="W590" s="39">
        <f>B590</f>
        <v/>
      </c>
      <c r="X590" s="21" t="n"/>
    </row>
    <row r="591">
      <c r="A591" s="38" t="n">
        <v>45798</v>
      </c>
      <c r="B591" s="39" t="n">
        <v>270.54</v>
      </c>
      <c r="C591" s="39" t="n">
        <v>582.86</v>
      </c>
      <c r="D591" s="39" t="n">
        <v>42.98</v>
      </c>
      <c r="E591" s="41">
        <f>IFERROR(B591/B590-1,"")</f>
        <v/>
      </c>
      <c r="F591" s="41">
        <f>IFERROR(C591/C590-1,"")</f>
        <v/>
      </c>
      <c r="G591" s="41">
        <f>IFERROR(D591/D590-1,"")</f>
        <v/>
      </c>
      <c r="H591" s="41">
        <f>IFERROR((1+E591)*(1+H590)-1,"")</f>
        <v/>
      </c>
      <c r="I591" s="41">
        <f>IFERROR((1+F591)*(1+I590)-1,"")</f>
        <v/>
      </c>
      <c r="J591" s="41">
        <f>IFERROR((1+G591)*(1+J590)-1,"")</f>
        <v/>
      </c>
      <c r="K591" s="42">
        <f>IFERROR(B591/$B$36*100,"")</f>
        <v/>
      </c>
      <c r="L591" s="42">
        <f>IFERROR(C591/$C$36*100,"")</f>
        <v/>
      </c>
      <c r="M591" s="42">
        <f>IFERROR(D591/$D$36*100,"")</f>
        <v/>
      </c>
      <c r="N591" s="41">
        <f>IFERROR((1+H591)/(1+I591)-1,"")</f>
        <v/>
      </c>
      <c r="O591" s="41">
        <f>IFERROR((1+H591)/(1+J591)-1,"")</f>
        <v/>
      </c>
      <c r="P591" s="39">
        <f>IFERROR(B591*0.0099502487562189+P590*(1-0.0099502487562189),"")</f>
        <v/>
      </c>
      <c r="Q591" s="42">
        <f>Q590*(1+E591)</f>
        <v/>
      </c>
      <c r="R591" s="42">
        <f>MAX(R590,Q591)</f>
        <v/>
      </c>
      <c r="S591" s="41">
        <f>IFERROR(Q591/R591-1,"")</f>
        <v/>
      </c>
      <c r="T591" s="41">
        <f>IFERROR(_xlfn.STDEV.S(E532:E591)*SQRT($D$7),"")</f>
        <v/>
      </c>
      <c r="U591" s="41">
        <f>IFERROR(MIN(E591-$D$6,0),"")</f>
        <v/>
      </c>
      <c r="V591" s="41">
        <f>IFERROR(E591-F591,"")</f>
        <v/>
      </c>
      <c r="W591" s="39">
        <f>B591</f>
        <v/>
      </c>
      <c r="X591" s="21" t="n"/>
    </row>
    <row r="592">
      <c r="A592" s="38" t="n">
        <v>45799</v>
      </c>
      <c r="B592" s="39" t="n">
        <v>271.68</v>
      </c>
      <c r="C592" s="39" t="n">
        <v>583.09</v>
      </c>
      <c r="D592" s="39" t="n">
        <v>42.935</v>
      </c>
      <c r="E592" s="41">
        <f>IFERROR(B592/B591-1,"")</f>
        <v/>
      </c>
      <c r="F592" s="41">
        <f>IFERROR(C592/C591-1,"")</f>
        <v/>
      </c>
      <c r="G592" s="41">
        <f>IFERROR(D592/D591-1,"")</f>
        <v/>
      </c>
      <c r="H592" s="41">
        <f>IFERROR((1+E592)*(1+H591)-1,"")</f>
        <v/>
      </c>
      <c r="I592" s="41">
        <f>IFERROR((1+F592)*(1+I591)-1,"")</f>
        <v/>
      </c>
      <c r="J592" s="41">
        <f>IFERROR((1+G592)*(1+J591)-1,"")</f>
        <v/>
      </c>
      <c r="K592" s="42">
        <f>IFERROR(B592/$B$36*100,"")</f>
        <v/>
      </c>
      <c r="L592" s="42">
        <f>IFERROR(C592/$C$36*100,"")</f>
        <v/>
      </c>
      <c r="M592" s="42">
        <f>IFERROR(D592/$D$36*100,"")</f>
        <v/>
      </c>
      <c r="N592" s="41">
        <f>IFERROR((1+H592)/(1+I592)-1,"")</f>
        <v/>
      </c>
      <c r="O592" s="41">
        <f>IFERROR((1+H592)/(1+J592)-1,"")</f>
        <v/>
      </c>
      <c r="P592" s="39">
        <f>IFERROR(B592*0.0099502487562189+P591*(1-0.0099502487562189),"")</f>
        <v/>
      </c>
      <c r="Q592" s="42">
        <f>Q591*(1+E592)</f>
        <v/>
      </c>
      <c r="R592" s="42">
        <f>MAX(R591,Q592)</f>
        <v/>
      </c>
      <c r="S592" s="41">
        <f>IFERROR(Q592/R592-1,"")</f>
        <v/>
      </c>
      <c r="T592" s="41">
        <f>IFERROR(_xlfn.STDEV.S(E533:E592)*SQRT($D$7),"")</f>
        <v/>
      </c>
      <c r="U592" s="41">
        <f>IFERROR(MIN(E592-$D$6,0),"")</f>
        <v/>
      </c>
      <c r="V592" s="41">
        <f>IFERROR(E592-F592,"")</f>
        <v/>
      </c>
      <c r="W592" s="39">
        <f>B592</f>
        <v/>
      </c>
      <c r="X592" s="21" t="n"/>
    </row>
    <row r="593">
      <c r="A593" s="38" t="n">
        <v>45800</v>
      </c>
      <c r="B593" s="39" t="n">
        <v>268.19</v>
      </c>
      <c r="C593" s="39" t="n">
        <v>579.11</v>
      </c>
      <c r="D593" s="39" t="n">
        <v>42.85</v>
      </c>
      <c r="E593" s="41">
        <f>IFERROR(B593/B592-1,"")</f>
        <v/>
      </c>
      <c r="F593" s="41">
        <f>IFERROR(C593/C592-1,"")</f>
        <v/>
      </c>
      <c r="G593" s="41">
        <f>IFERROR(D593/D592-1,"")</f>
        <v/>
      </c>
      <c r="H593" s="41">
        <f>IFERROR((1+E593)*(1+H592)-1,"")</f>
        <v/>
      </c>
      <c r="I593" s="41">
        <f>IFERROR((1+F593)*(1+I592)-1,"")</f>
        <v/>
      </c>
      <c r="J593" s="41">
        <f>IFERROR((1+G593)*(1+J592)-1,"")</f>
        <v/>
      </c>
      <c r="K593" s="42">
        <f>IFERROR(B593/$B$36*100,"")</f>
        <v/>
      </c>
      <c r="L593" s="42">
        <f>IFERROR(C593/$C$36*100,"")</f>
        <v/>
      </c>
      <c r="M593" s="42">
        <f>IFERROR(D593/$D$36*100,"")</f>
        <v/>
      </c>
      <c r="N593" s="41">
        <f>IFERROR((1+H593)/(1+I593)-1,"")</f>
        <v/>
      </c>
      <c r="O593" s="41">
        <f>IFERROR((1+H593)/(1+J593)-1,"")</f>
        <v/>
      </c>
      <c r="P593" s="39">
        <f>IFERROR(B593*0.0099502487562189+P592*(1-0.0099502487562189),"")</f>
        <v/>
      </c>
      <c r="Q593" s="42">
        <f>Q592*(1+E593)</f>
        <v/>
      </c>
      <c r="R593" s="42">
        <f>MAX(R592,Q593)</f>
        <v/>
      </c>
      <c r="S593" s="41">
        <f>IFERROR(Q593/R593-1,"")</f>
        <v/>
      </c>
      <c r="T593" s="41">
        <f>IFERROR(_xlfn.STDEV.S(E534:E593)*SQRT($D$7),"")</f>
        <v/>
      </c>
      <c r="U593" s="41">
        <f>IFERROR(MIN(E593-$D$6,0),"")</f>
        <v/>
      </c>
      <c r="V593" s="41">
        <f>IFERROR(E593-F593,"")</f>
        <v/>
      </c>
      <c r="W593" s="39">
        <f>B593</f>
        <v/>
      </c>
      <c r="X593" s="21" t="n"/>
    </row>
    <row r="594">
      <c r="A594" s="38" t="n">
        <v>45804</v>
      </c>
      <c r="B594" s="39" t="n">
        <v>270.16</v>
      </c>
      <c r="C594" s="39" t="n">
        <v>591.15</v>
      </c>
      <c r="D594" s="39" t="n">
        <v>43.6</v>
      </c>
      <c r="E594" s="41">
        <f>IFERROR(B594/B593-1,"")</f>
        <v/>
      </c>
      <c r="F594" s="41">
        <f>IFERROR(C594/C593-1,"")</f>
        <v/>
      </c>
      <c r="G594" s="41">
        <f>IFERROR(D594/D593-1,"")</f>
        <v/>
      </c>
      <c r="H594" s="41">
        <f>IFERROR((1+E594)*(1+H593)-1,"")</f>
        <v/>
      </c>
      <c r="I594" s="41">
        <f>IFERROR((1+F594)*(1+I593)-1,"")</f>
        <v/>
      </c>
      <c r="J594" s="41">
        <f>IFERROR((1+G594)*(1+J593)-1,"")</f>
        <v/>
      </c>
      <c r="K594" s="42">
        <f>IFERROR(B594/$B$36*100,"")</f>
        <v/>
      </c>
      <c r="L594" s="42">
        <f>IFERROR(C594/$C$36*100,"")</f>
        <v/>
      </c>
      <c r="M594" s="42">
        <f>IFERROR(D594/$D$36*100,"")</f>
        <v/>
      </c>
      <c r="N594" s="41">
        <f>IFERROR((1+H594)/(1+I594)-1,"")</f>
        <v/>
      </c>
      <c r="O594" s="41">
        <f>IFERROR((1+H594)/(1+J594)-1,"")</f>
        <v/>
      </c>
      <c r="P594" s="39">
        <f>IFERROR(B594*0.0099502487562189+P593*(1-0.0099502487562189),"")</f>
        <v/>
      </c>
      <c r="Q594" s="42">
        <f>Q593*(1+E594)</f>
        <v/>
      </c>
      <c r="R594" s="42">
        <f>MAX(R593,Q594)</f>
        <v/>
      </c>
      <c r="S594" s="41">
        <f>IFERROR(Q594/R594-1,"")</f>
        <v/>
      </c>
      <c r="T594" s="41">
        <f>IFERROR(_xlfn.STDEV.S(E535:E594)*SQRT($D$7),"")</f>
        <v/>
      </c>
      <c r="U594" s="41">
        <f>IFERROR(MIN(E594-$D$6,0),"")</f>
        <v/>
      </c>
      <c r="V594" s="41">
        <f>IFERROR(E594-F594,"")</f>
        <v/>
      </c>
      <c r="W594" s="39">
        <f>B594</f>
        <v/>
      </c>
      <c r="X594" s="21" t="n"/>
    </row>
    <row r="595">
      <c r="A595" s="38" t="n">
        <v>45805</v>
      </c>
      <c r="B595" s="39" t="n">
        <v>262.53</v>
      </c>
      <c r="C595" s="39" t="n">
        <v>587.73</v>
      </c>
      <c r="D595" s="39" t="n">
        <v>43.005</v>
      </c>
      <c r="E595" s="41">
        <f>IFERROR(B595/B594-1,"")</f>
        <v/>
      </c>
      <c r="F595" s="41">
        <f>IFERROR(C595/C594-1,"")</f>
        <v/>
      </c>
      <c r="G595" s="41">
        <f>IFERROR(D595/D594-1,"")</f>
        <v/>
      </c>
      <c r="H595" s="41">
        <f>IFERROR((1+E595)*(1+H594)-1,"")</f>
        <v/>
      </c>
      <c r="I595" s="41">
        <f>IFERROR((1+F595)*(1+I594)-1,"")</f>
        <v/>
      </c>
      <c r="J595" s="41">
        <f>IFERROR((1+G595)*(1+J594)-1,"")</f>
        <v/>
      </c>
      <c r="K595" s="42">
        <f>IFERROR(B595/$B$36*100,"")</f>
        <v/>
      </c>
      <c r="L595" s="42">
        <f>IFERROR(C595/$C$36*100,"")</f>
        <v/>
      </c>
      <c r="M595" s="42">
        <f>IFERROR(D595/$D$36*100,"")</f>
        <v/>
      </c>
      <c r="N595" s="41">
        <f>IFERROR((1+H595)/(1+I595)-1,"")</f>
        <v/>
      </c>
      <c r="O595" s="41">
        <f>IFERROR((1+H595)/(1+J595)-1,"")</f>
        <v/>
      </c>
      <c r="P595" s="39">
        <f>IFERROR(B595*0.0099502487562189+P594*(1-0.0099502487562189),"")</f>
        <v/>
      </c>
      <c r="Q595" s="42">
        <f>Q594*(1+E595)</f>
        <v/>
      </c>
      <c r="R595" s="42">
        <f>MAX(R594,Q595)</f>
        <v/>
      </c>
      <c r="S595" s="41">
        <f>IFERROR(Q595/R595-1,"")</f>
        <v/>
      </c>
      <c r="T595" s="41">
        <f>IFERROR(_xlfn.STDEV.S(E536:E595)*SQRT($D$7),"")</f>
        <v/>
      </c>
      <c r="U595" s="41">
        <f>IFERROR(MIN(E595-$D$6,0),"")</f>
        <v/>
      </c>
      <c r="V595" s="41">
        <f>IFERROR(E595-F595,"")</f>
        <v/>
      </c>
      <c r="W595" s="39">
        <f>B595</f>
        <v/>
      </c>
      <c r="X595" s="21" t="n"/>
    </row>
    <row r="596">
      <c r="A596" s="38" t="n">
        <v>45806</v>
      </c>
      <c r="B596" s="39" t="n">
        <v>265.31</v>
      </c>
      <c r="C596" s="39" t="n">
        <v>590.05</v>
      </c>
      <c r="D596" s="39" t="n">
        <v>43.165</v>
      </c>
      <c r="E596" s="41">
        <f>IFERROR(B596/B595-1,"")</f>
        <v/>
      </c>
      <c r="F596" s="41">
        <f>IFERROR(C596/C595-1,"")</f>
        <v/>
      </c>
      <c r="G596" s="41">
        <f>IFERROR(D596/D595-1,"")</f>
        <v/>
      </c>
      <c r="H596" s="41">
        <f>IFERROR((1+E596)*(1+H595)-1,"")</f>
        <v/>
      </c>
      <c r="I596" s="41">
        <f>IFERROR((1+F596)*(1+I595)-1,"")</f>
        <v/>
      </c>
      <c r="J596" s="41">
        <f>IFERROR((1+G596)*(1+J595)-1,"")</f>
        <v/>
      </c>
      <c r="K596" s="42">
        <f>IFERROR(B596/$B$36*100,"")</f>
        <v/>
      </c>
      <c r="L596" s="42">
        <f>IFERROR(C596/$C$36*100,"")</f>
        <v/>
      </c>
      <c r="M596" s="42">
        <f>IFERROR(D596/$D$36*100,"")</f>
        <v/>
      </c>
      <c r="N596" s="41">
        <f>IFERROR((1+H596)/(1+I596)-1,"")</f>
        <v/>
      </c>
      <c r="O596" s="41">
        <f>IFERROR((1+H596)/(1+J596)-1,"")</f>
        <v/>
      </c>
      <c r="P596" s="39">
        <f>IFERROR(B596*0.0099502487562189+P595*(1-0.0099502487562189),"")</f>
        <v/>
      </c>
      <c r="Q596" s="42">
        <f>Q595*(1+E596)</f>
        <v/>
      </c>
      <c r="R596" s="42">
        <f>MAX(R595,Q596)</f>
        <v/>
      </c>
      <c r="S596" s="41">
        <f>IFERROR(Q596/R596-1,"")</f>
        <v/>
      </c>
      <c r="T596" s="41">
        <f>IFERROR(_xlfn.STDEV.S(E537:E596)*SQRT($D$7),"")</f>
        <v/>
      </c>
      <c r="U596" s="41">
        <f>IFERROR(MIN(E596-$D$6,0),"")</f>
        <v/>
      </c>
      <c r="V596" s="41">
        <f>IFERROR(E596-F596,"")</f>
        <v/>
      </c>
      <c r="W596" s="39">
        <f>B596</f>
        <v/>
      </c>
      <c r="X596" s="21" t="n"/>
    </row>
    <row r="597">
      <c r="A597" s="38" t="n">
        <v>45807</v>
      </c>
      <c r="B597" s="39" t="n">
        <v>265.07</v>
      </c>
      <c r="C597" s="39" t="n">
        <v>589.39</v>
      </c>
      <c r="D597" s="39" t="n">
        <v>43.17</v>
      </c>
      <c r="E597" s="41">
        <f>IFERROR(B597/B596-1,"")</f>
        <v/>
      </c>
      <c r="F597" s="41">
        <f>IFERROR(C597/C596-1,"")</f>
        <v/>
      </c>
      <c r="G597" s="41">
        <f>IFERROR(D597/D596-1,"")</f>
        <v/>
      </c>
      <c r="H597" s="41">
        <f>IFERROR((1+E597)*(1+H596)-1,"")</f>
        <v/>
      </c>
      <c r="I597" s="41">
        <f>IFERROR((1+F597)*(1+I596)-1,"")</f>
        <v/>
      </c>
      <c r="J597" s="41">
        <f>IFERROR((1+G597)*(1+J596)-1,"")</f>
        <v/>
      </c>
      <c r="K597" s="42">
        <f>IFERROR(B597/$B$36*100,"")</f>
        <v/>
      </c>
      <c r="L597" s="42">
        <f>IFERROR(C597/$C$36*100,"")</f>
        <v/>
      </c>
      <c r="M597" s="42">
        <f>IFERROR(D597/$D$36*100,"")</f>
        <v/>
      </c>
      <c r="N597" s="41">
        <f>IFERROR((1+H597)/(1+I597)-1,"")</f>
        <v/>
      </c>
      <c r="O597" s="41">
        <f>IFERROR((1+H597)/(1+J597)-1,"")</f>
        <v/>
      </c>
      <c r="P597" s="39">
        <f>IFERROR(B597*0.0099502487562189+P596*(1-0.0099502487562189),"")</f>
        <v/>
      </c>
      <c r="Q597" s="42">
        <f>Q596*(1+E597)</f>
        <v/>
      </c>
      <c r="R597" s="42">
        <f>MAX(R596,Q597)</f>
        <v/>
      </c>
      <c r="S597" s="41">
        <f>IFERROR(Q597/R597-1,"")</f>
        <v/>
      </c>
      <c r="T597" s="41">
        <f>IFERROR(_xlfn.STDEV.S(E538:E597)*SQRT($D$7),"")</f>
        <v/>
      </c>
      <c r="U597" s="41">
        <f>IFERROR(MIN(E597-$D$6,0),"")</f>
        <v/>
      </c>
      <c r="V597" s="41">
        <f>IFERROR(E597-F597,"")</f>
        <v/>
      </c>
      <c r="W597" s="39">
        <f>B597</f>
        <v/>
      </c>
      <c r="X597" s="21" t="n"/>
    </row>
    <row r="598">
      <c r="A598" s="38" t="n">
        <v>45810</v>
      </c>
      <c r="B598" s="39" t="n">
        <v>263.38</v>
      </c>
      <c r="C598" s="39" t="n">
        <v>592.71</v>
      </c>
      <c r="D598" s="39" t="n">
        <v>43.425</v>
      </c>
      <c r="E598" s="41">
        <f>IFERROR(B598/B597-1,"")</f>
        <v/>
      </c>
      <c r="F598" s="41">
        <f>IFERROR(C598/C597-1,"")</f>
        <v/>
      </c>
      <c r="G598" s="41">
        <f>IFERROR(D598/D597-1,"")</f>
        <v/>
      </c>
      <c r="H598" s="41">
        <f>IFERROR((1+E598)*(1+H597)-1,"")</f>
        <v/>
      </c>
      <c r="I598" s="41">
        <f>IFERROR((1+F598)*(1+I597)-1,"")</f>
        <v/>
      </c>
      <c r="J598" s="41">
        <f>IFERROR((1+G598)*(1+J597)-1,"")</f>
        <v/>
      </c>
      <c r="K598" s="42">
        <f>IFERROR(B598/$B$36*100,"")</f>
        <v/>
      </c>
      <c r="L598" s="42">
        <f>IFERROR(C598/$C$36*100,"")</f>
        <v/>
      </c>
      <c r="M598" s="42">
        <f>IFERROR(D598/$D$36*100,"")</f>
        <v/>
      </c>
      <c r="N598" s="41">
        <f>IFERROR((1+H598)/(1+I598)-1,"")</f>
        <v/>
      </c>
      <c r="O598" s="41">
        <f>IFERROR((1+H598)/(1+J598)-1,"")</f>
        <v/>
      </c>
      <c r="P598" s="39">
        <f>IFERROR(B598*0.0099502487562189+P597*(1-0.0099502487562189),"")</f>
        <v/>
      </c>
      <c r="Q598" s="42">
        <f>Q597*(1+E598)</f>
        <v/>
      </c>
      <c r="R598" s="42">
        <f>MAX(R597,Q598)</f>
        <v/>
      </c>
      <c r="S598" s="41">
        <f>IFERROR(Q598/R598-1,"")</f>
        <v/>
      </c>
      <c r="T598" s="41">
        <f>IFERROR(_xlfn.STDEV.S(E539:E598)*SQRT($D$7),"")</f>
        <v/>
      </c>
      <c r="U598" s="41">
        <f>IFERROR(MIN(E598-$D$6,0),"")</f>
        <v/>
      </c>
      <c r="V598" s="41">
        <f>IFERROR(E598-F598,"")</f>
        <v/>
      </c>
      <c r="W598" s="39">
        <f>B598</f>
        <v/>
      </c>
      <c r="X598" s="21" t="n"/>
    </row>
    <row r="599">
      <c r="A599" s="38" t="n">
        <v>45811</v>
      </c>
      <c r="B599" s="39" t="n">
        <v>264.94</v>
      </c>
      <c r="C599" s="39" t="n">
        <v>596.09</v>
      </c>
      <c r="D599" s="39" t="n">
        <v>43.87</v>
      </c>
      <c r="E599" s="41">
        <f>IFERROR(B599/B598-1,"")</f>
        <v/>
      </c>
      <c r="F599" s="41">
        <f>IFERROR(C599/C598-1,"")</f>
        <v/>
      </c>
      <c r="G599" s="41">
        <f>IFERROR(D599/D598-1,"")</f>
        <v/>
      </c>
      <c r="H599" s="41">
        <f>IFERROR((1+E599)*(1+H598)-1,"")</f>
        <v/>
      </c>
      <c r="I599" s="41">
        <f>IFERROR((1+F599)*(1+I598)-1,"")</f>
        <v/>
      </c>
      <c r="J599" s="41">
        <f>IFERROR((1+G599)*(1+J598)-1,"")</f>
        <v/>
      </c>
      <c r="K599" s="42">
        <f>IFERROR(B599/$B$36*100,"")</f>
        <v/>
      </c>
      <c r="L599" s="42">
        <f>IFERROR(C599/$C$36*100,"")</f>
        <v/>
      </c>
      <c r="M599" s="42">
        <f>IFERROR(D599/$D$36*100,"")</f>
        <v/>
      </c>
      <c r="N599" s="41">
        <f>IFERROR((1+H599)/(1+I599)-1,"")</f>
        <v/>
      </c>
      <c r="O599" s="41">
        <f>IFERROR((1+H599)/(1+J599)-1,"")</f>
        <v/>
      </c>
      <c r="P599" s="39">
        <f>IFERROR(B599*0.0099502487562189+P598*(1-0.0099502487562189),"")</f>
        <v/>
      </c>
      <c r="Q599" s="42">
        <f>Q598*(1+E599)</f>
        <v/>
      </c>
      <c r="R599" s="42">
        <f>MAX(R598,Q599)</f>
        <v/>
      </c>
      <c r="S599" s="41">
        <f>IFERROR(Q599/R599-1,"")</f>
        <v/>
      </c>
      <c r="T599" s="41">
        <f>IFERROR(_xlfn.STDEV.S(E540:E599)*SQRT($D$7),"")</f>
        <v/>
      </c>
      <c r="U599" s="41">
        <f>IFERROR(MIN(E599-$D$6,0),"")</f>
        <v/>
      </c>
      <c r="V599" s="41">
        <f>IFERROR(E599-F599,"")</f>
        <v/>
      </c>
      <c r="W599" s="39">
        <f>B599</f>
        <v/>
      </c>
      <c r="X599" s="21" t="n"/>
    </row>
    <row r="600">
      <c r="A600" s="38" t="n">
        <v>45812</v>
      </c>
      <c r="B600" s="39" t="n">
        <v>266.08</v>
      </c>
      <c r="C600" s="39" t="n">
        <v>595.9299999999999</v>
      </c>
      <c r="D600" s="39" t="n">
        <v>44.035</v>
      </c>
      <c r="E600" s="41">
        <f>IFERROR(B600/B599-1,"")</f>
        <v/>
      </c>
      <c r="F600" s="41">
        <f>IFERROR(C600/C599-1,"")</f>
        <v/>
      </c>
      <c r="G600" s="41">
        <f>IFERROR(D600/D599-1,"")</f>
        <v/>
      </c>
      <c r="H600" s="41">
        <f>IFERROR((1+E600)*(1+H599)-1,"")</f>
        <v/>
      </c>
      <c r="I600" s="41">
        <f>IFERROR((1+F600)*(1+I599)-1,"")</f>
        <v/>
      </c>
      <c r="J600" s="41">
        <f>IFERROR((1+G600)*(1+J599)-1,"")</f>
        <v/>
      </c>
      <c r="K600" s="42">
        <f>IFERROR(B600/$B$36*100,"")</f>
        <v/>
      </c>
      <c r="L600" s="42">
        <f>IFERROR(C600/$C$36*100,"")</f>
        <v/>
      </c>
      <c r="M600" s="42">
        <f>IFERROR(D600/$D$36*100,"")</f>
        <v/>
      </c>
      <c r="N600" s="41">
        <f>IFERROR((1+H600)/(1+I600)-1,"")</f>
        <v/>
      </c>
      <c r="O600" s="41">
        <f>IFERROR((1+H600)/(1+J600)-1,"")</f>
        <v/>
      </c>
      <c r="P600" s="39">
        <f>IFERROR(B600*0.0099502487562189+P599*(1-0.0099502487562189),"")</f>
        <v/>
      </c>
      <c r="Q600" s="42">
        <f>Q599*(1+E600)</f>
        <v/>
      </c>
      <c r="R600" s="42">
        <f>MAX(R599,Q600)</f>
        <v/>
      </c>
      <c r="S600" s="41">
        <f>IFERROR(Q600/R600-1,"")</f>
        <v/>
      </c>
      <c r="T600" s="41">
        <f>IFERROR(_xlfn.STDEV.S(E541:E600)*SQRT($D$7),"")</f>
        <v/>
      </c>
      <c r="U600" s="41">
        <f>IFERROR(MIN(E600-$D$6,0),"")</f>
        <v/>
      </c>
      <c r="V600" s="41">
        <f>IFERROR(E600-F600,"")</f>
        <v/>
      </c>
      <c r="W600" s="39">
        <f>B600</f>
        <v/>
      </c>
      <c r="X600" s="21" t="n"/>
    </row>
    <row r="601">
      <c r="A601" s="38" t="n">
        <v>45813</v>
      </c>
      <c r="B601" s="39" t="n">
        <v>265.67</v>
      </c>
      <c r="C601" s="39" t="n">
        <v>593.05</v>
      </c>
      <c r="D601" s="39" t="n">
        <v>43.775</v>
      </c>
      <c r="E601" s="41">
        <f>IFERROR(B601/B600-1,"")</f>
        <v/>
      </c>
      <c r="F601" s="41">
        <f>IFERROR(C601/C600-1,"")</f>
        <v/>
      </c>
      <c r="G601" s="41">
        <f>IFERROR(D601/D600-1,"")</f>
        <v/>
      </c>
      <c r="H601" s="41">
        <f>IFERROR((1+E601)*(1+H600)-1,"")</f>
        <v/>
      </c>
      <c r="I601" s="41">
        <f>IFERROR((1+F601)*(1+I600)-1,"")</f>
        <v/>
      </c>
      <c r="J601" s="41">
        <f>IFERROR((1+G601)*(1+J600)-1,"")</f>
        <v/>
      </c>
      <c r="K601" s="42">
        <f>IFERROR(B601/$B$36*100,"")</f>
        <v/>
      </c>
      <c r="L601" s="42">
        <f>IFERROR(C601/$C$36*100,"")</f>
        <v/>
      </c>
      <c r="M601" s="42">
        <f>IFERROR(D601/$D$36*100,"")</f>
        <v/>
      </c>
      <c r="N601" s="41">
        <f>IFERROR((1+H601)/(1+I601)-1,"")</f>
        <v/>
      </c>
      <c r="O601" s="41">
        <f>IFERROR((1+H601)/(1+J601)-1,"")</f>
        <v/>
      </c>
      <c r="P601" s="39">
        <f>IFERROR(B601*0.0099502487562189+P600*(1-0.0099502487562189),"")</f>
        <v/>
      </c>
      <c r="Q601" s="42">
        <f>Q600*(1+E601)</f>
        <v/>
      </c>
      <c r="R601" s="42">
        <f>MAX(R600,Q601)</f>
        <v/>
      </c>
      <c r="S601" s="41">
        <f>IFERROR(Q601/R601-1,"")</f>
        <v/>
      </c>
      <c r="T601" s="41">
        <f>IFERROR(_xlfn.STDEV.S(E542:E601)*SQRT($D$7),"")</f>
        <v/>
      </c>
      <c r="U601" s="41">
        <f>IFERROR(MIN(E601-$D$6,0),"")</f>
        <v/>
      </c>
      <c r="V601" s="41">
        <f>IFERROR(E601-F601,"")</f>
        <v/>
      </c>
      <c r="W601" s="39">
        <f>B601</f>
        <v/>
      </c>
      <c r="X601" s="21" t="n"/>
    </row>
    <row r="602">
      <c r="A602" s="38" t="n">
        <v>45814</v>
      </c>
      <c r="B602" s="39" t="n">
        <v>264.81</v>
      </c>
      <c r="C602" s="39" t="n">
        <v>599.14</v>
      </c>
      <c r="D602" s="39" t="n">
        <v>43.89</v>
      </c>
      <c r="E602" s="41">
        <f>IFERROR(B602/B601-1,"")</f>
        <v/>
      </c>
      <c r="F602" s="41">
        <f>IFERROR(C602/C601-1,"")</f>
        <v/>
      </c>
      <c r="G602" s="41">
        <f>IFERROR(D602/D601-1,"")</f>
        <v/>
      </c>
      <c r="H602" s="41">
        <f>IFERROR((1+E602)*(1+H601)-1,"")</f>
        <v/>
      </c>
      <c r="I602" s="41">
        <f>IFERROR((1+F602)*(1+I601)-1,"")</f>
        <v/>
      </c>
      <c r="J602" s="41">
        <f>IFERROR((1+G602)*(1+J601)-1,"")</f>
        <v/>
      </c>
      <c r="K602" s="42">
        <f>IFERROR(B602/$B$36*100,"")</f>
        <v/>
      </c>
      <c r="L602" s="42">
        <f>IFERROR(C602/$C$36*100,"")</f>
        <v/>
      </c>
      <c r="M602" s="42">
        <f>IFERROR(D602/$D$36*100,"")</f>
        <v/>
      </c>
      <c r="N602" s="41">
        <f>IFERROR((1+H602)/(1+I602)-1,"")</f>
        <v/>
      </c>
      <c r="O602" s="41">
        <f>IFERROR((1+H602)/(1+J602)-1,"")</f>
        <v/>
      </c>
      <c r="P602" s="39">
        <f>IFERROR(B602*0.0099502487562189+P601*(1-0.0099502487562189),"")</f>
        <v/>
      </c>
      <c r="Q602" s="42">
        <f>Q601*(1+E602)</f>
        <v/>
      </c>
      <c r="R602" s="42">
        <f>MAX(R601,Q602)</f>
        <v/>
      </c>
      <c r="S602" s="41">
        <f>IFERROR(Q602/R602-1,"")</f>
        <v/>
      </c>
      <c r="T602" s="41">
        <f>IFERROR(_xlfn.STDEV.S(E543:E602)*SQRT($D$7),"")</f>
        <v/>
      </c>
      <c r="U602" s="41">
        <f>IFERROR(MIN(E602-$D$6,0),"")</f>
        <v/>
      </c>
      <c r="V602" s="41">
        <f>IFERROR(E602-F602,"")</f>
        <v/>
      </c>
      <c r="W602" s="39">
        <f>B602</f>
        <v/>
      </c>
      <c r="X602" s="21" t="n"/>
    </row>
    <row r="603">
      <c r="A603" s="38" t="n">
        <v>45817</v>
      </c>
      <c r="B603" s="39" t="n">
        <v>266</v>
      </c>
      <c r="C603" s="39" t="n">
        <v>599.6799999999999</v>
      </c>
      <c r="D603" s="39" t="n">
        <v>44.185</v>
      </c>
      <c r="E603" s="41">
        <f>IFERROR(B603/B602-1,"")</f>
        <v/>
      </c>
      <c r="F603" s="41">
        <f>IFERROR(C603/C602-1,"")</f>
        <v/>
      </c>
      <c r="G603" s="41">
        <f>IFERROR(D603/D602-1,"")</f>
        <v/>
      </c>
      <c r="H603" s="41">
        <f>IFERROR((1+E603)*(1+H602)-1,"")</f>
        <v/>
      </c>
      <c r="I603" s="41">
        <f>IFERROR((1+F603)*(1+I602)-1,"")</f>
        <v/>
      </c>
      <c r="J603" s="41">
        <f>IFERROR((1+G603)*(1+J602)-1,"")</f>
        <v/>
      </c>
      <c r="K603" s="42">
        <f>IFERROR(B603/$B$36*100,"")</f>
        <v/>
      </c>
      <c r="L603" s="42">
        <f>IFERROR(C603/$C$36*100,"")</f>
        <v/>
      </c>
      <c r="M603" s="42">
        <f>IFERROR(D603/$D$36*100,"")</f>
        <v/>
      </c>
      <c r="N603" s="41">
        <f>IFERROR((1+H603)/(1+I603)-1,"")</f>
        <v/>
      </c>
      <c r="O603" s="41">
        <f>IFERROR((1+H603)/(1+J603)-1,"")</f>
        <v/>
      </c>
      <c r="P603" s="39">
        <f>IFERROR(B603*0.0099502487562189+P602*(1-0.0099502487562189),"")</f>
        <v/>
      </c>
      <c r="Q603" s="42">
        <f>Q602*(1+E603)</f>
        <v/>
      </c>
      <c r="R603" s="42">
        <f>MAX(R602,Q603)</f>
        <v/>
      </c>
      <c r="S603" s="41">
        <f>IFERROR(Q603/R603-1,"")</f>
        <v/>
      </c>
      <c r="T603" s="41">
        <f>IFERROR(_xlfn.STDEV.S(E544:E603)*SQRT($D$7),"")</f>
        <v/>
      </c>
      <c r="U603" s="41">
        <f>IFERROR(MIN(E603-$D$6,0),"")</f>
        <v/>
      </c>
      <c r="V603" s="41">
        <f>IFERROR(E603-F603,"")</f>
        <v/>
      </c>
      <c r="W603" s="39">
        <f>B603</f>
        <v/>
      </c>
      <c r="X603" s="21" t="n"/>
    </row>
    <row r="604">
      <c r="A604" s="38" t="n">
        <v>45818</v>
      </c>
      <c r="B604" s="39" t="n">
        <v>265.1</v>
      </c>
      <c r="C604" s="39" t="n">
        <v>603.08</v>
      </c>
      <c r="D604" s="39" t="n">
        <v>44.46</v>
      </c>
      <c r="E604" s="41">
        <f>IFERROR(B604/B603-1,"")</f>
        <v/>
      </c>
      <c r="F604" s="41">
        <f>IFERROR(C604/C603-1,"")</f>
        <v/>
      </c>
      <c r="G604" s="41">
        <f>IFERROR(D604/D603-1,"")</f>
        <v/>
      </c>
      <c r="H604" s="41">
        <f>IFERROR((1+E604)*(1+H603)-1,"")</f>
        <v/>
      </c>
      <c r="I604" s="41">
        <f>IFERROR((1+F604)*(1+I603)-1,"")</f>
        <v/>
      </c>
      <c r="J604" s="41">
        <f>IFERROR((1+G604)*(1+J603)-1,"")</f>
        <v/>
      </c>
      <c r="K604" s="42">
        <f>IFERROR(B604/$B$36*100,"")</f>
        <v/>
      </c>
      <c r="L604" s="42">
        <f>IFERROR(C604/$C$36*100,"")</f>
        <v/>
      </c>
      <c r="M604" s="42">
        <f>IFERROR(D604/$D$36*100,"")</f>
        <v/>
      </c>
      <c r="N604" s="41">
        <f>IFERROR((1+H604)/(1+I604)-1,"")</f>
        <v/>
      </c>
      <c r="O604" s="41">
        <f>IFERROR((1+H604)/(1+J604)-1,"")</f>
        <v/>
      </c>
      <c r="P604" s="39">
        <f>IFERROR(B604*0.0099502487562189+P603*(1-0.0099502487562189),"")</f>
        <v/>
      </c>
      <c r="Q604" s="42">
        <f>Q603*(1+E604)</f>
        <v/>
      </c>
      <c r="R604" s="42">
        <f>MAX(R603,Q604)</f>
        <v/>
      </c>
      <c r="S604" s="41">
        <f>IFERROR(Q604/R604-1,"")</f>
        <v/>
      </c>
      <c r="T604" s="41">
        <f>IFERROR(_xlfn.STDEV.S(E545:E604)*SQRT($D$7),"")</f>
        <v/>
      </c>
      <c r="U604" s="41">
        <f>IFERROR(MIN(E604-$D$6,0),"")</f>
        <v/>
      </c>
      <c r="V604" s="41">
        <f>IFERROR(E604-F604,"")</f>
        <v/>
      </c>
      <c r="W604" s="39">
        <f>B604</f>
        <v/>
      </c>
      <c r="X604" s="21" t="n"/>
    </row>
    <row r="605">
      <c r="A605" s="38" t="n">
        <v>45819</v>
      </c>
      <c r="B605" s="39" t="n">
        <v>261.12</v>
      </c>
      <c r="C605" s="39" t="n">
        <v>601.36</v>
      </c>
      <c r="D605" s="39" t="n">
        <v>44.02</v>
      </c>
      <c r="E605" s="41">
        <f>IFERROR(B605/B604-1,"")</f>
        <v/>
      </c>
      <c r="F605" s="41">
        <f>IFERROR(C605/C604-1,"")</f>
        <v/>
      </c>
      <c r="G605" s="41">
        <f>IFERROR(D605/D604-1,"")</f>
        <v/>
      </c>
      <c r="H605" s="41">
        <f>IFERROR((1+E605)*(1+H604)-1,"")</f>
        <v/>
      </c>
      <c r="I605" s="41">
        <f>IFERROR((1+F605)*(1+I604)-1,"")</f>
        <v/>
      </c>
      <c r="J605" s="41">
        <f>IFERROR((1+G605)*(1+J604)-1,"")</f>
        <v/>
      </c>
      <c r="K605" s="42">
        <f>IFERROR(B605/$B$36*100,"")</f>
        <v/>
      </c>
      <c r="L605" s="42">
        <f>IFERROR(C605/$C$36*100,"")</f>
        <v/>
      </c>
      <c r="M605" s="42">
        <f>IFERROR(D605/$D$36*100,"")</f>
        <v/>
      </c>
      <c r="N605" s="41">
        <f>IFERROR((1+H605)/(1+I605)-1,"")</f>
        <v/>
      </c>
      <c r="O605" s="41">
        <f>IFERROR((1+H605)/(1+J605)-1,"")</f>
        <v/>
      </c>
      <c r="P605" s="39">
        <f>IFERROR(B605*0.0099502487562189+P604*(1-0.0099502487562189),"")</f>
        <v/>
      </c>
      <c r="Q605" s="42">
        <f>Q604*(1+E605)</f>
        <v/>
      </c>
      <c r="R605" s="42">
        <f>MAX(R604,Q605)</f>
        <v/>
      </c>
      <c r="S605" s="41">
        <f>IFERROR(Q605/R605-1,"")</f>
        <v/>
      </c>
      <c r="T605" s="41">
        <f>IFERROR(_xlfn.STDEV.S(E546:E605)*SQRT($D$7),"")</f>
        <v/>
      </c>
      <c r="U605" s="41">
        <f>IFERROR(MIN(E605-$D$6,0),"")</f>
        <v/>
      </c>
      <c r="V605" s="41">
        <f>IFERROR(E605-F605,"")</f>
        <v/>
      </c>
      <c r="W605" s="39">
        <f>B605</f>
        <v/>
      </c>
      <c r="X605" s="21" t="n"/>
    </row>
    <row r="606">
      <c r="A606" s="38" t="n">
        <v>45820</v>
      </c>
      <c r="B606" s="39" t="n">
        <v>265.53</v>
      </c>
      <c r="C606" s="39" t="n">
        <v>603.75</v>
      </c>
      <c r="D606" s="39" t="n">
        <v>44.205</v>
      </c>
      <c r="E606" s="41">
        <f>IFERROR(B606/B605-1,"")</f>
        <v/>
      </c>
      <c r="F606" s="41">
        <f>IFERROR(C606/C605-1,"")</f>
        <v/>
      </c>
      <c r="G606" s="41">
        <f>IFERROR(D606/D605-1,"")</f>
        <v/>
      </c>
      <c r="H606" s="41">
        <f>IFERROR((1+E606)*(1+H605)-1,"")</f>
        <v/>
      </c>
      <c r="I606" s="41">
        <f>IFERROR((1+F606)*(1+I605)-1,"")</f>
        <v/>
      </c>
      <c r="J606" s="41">
        <f>IFERROR((1+G606)*(1+J605)-1,"")</f>
        <v/>
      </c>
      <c r="K606" s="42">
        <f>IFERROR(B606/$B$36*100,"")</f>
        <v/>
      </c>
      <c r="L606" s="42">
        <f>IFERROR(C606/$C$36*100,"")</f>
        <v/>
      </c>
      <c r="M606" s="42">
        <f>IFERROR(D606/$D$36*100,"")</f>
        <v/>
      </c>
      <c r="N606" s="41">
        <f>IFERROR((1+H606)/(1+I606)-1,"")</f>
        <v/>
      </c>
      <c r="O606" s="41">
        <f>IFERROR((1+H606)/(1+J606)-1,"")</f>
        <v/>
      </c>
      <c r="P606" s="39">
        <f>IFERROR(B606*0.0099502487562189+P605*(1-0.0099502487562189),"")</f>
        <v/>
      </c>
      <c r="Q606" s="42">
        <f>Q605*(1+E606)</f>
        <v/>
      </c>
      <c r="R606" s="42">
        <f>MAX(R605,Q606)</f>
        <v/>
      </c>
      <c r="S606" s="41">
        <f>IFERROR(Q606/R606-1,"")</f>
        <v/>
      </c>
      <c r="T606" s="41">
        <f>IFERROR(_xlfn.STDEV.S(E547:E606)*SQRT($D$7),"")</f>
        <v/>
      </c>
      <c r="U606" s="41">
        <f>IFERROR(MIN(E606-$D$6,0),"")</f>
        <v/>
      </c>
      <c r="V606" s="41">
        <f>IFERROR(E606-F606,"")</f>
        <v/>
      </c>
      <c r="W606" s="39">
        <f>B606</f>
        <v/>
      </c>
      <c r="X606" s="21" t="n"/>
    </row>
    <row r="607">
      <c r="A607" s="38" t="n">
        <v>45821</v>
      </c>
      <c r="B607" s="39" t="n">
        <v>260.77</v>
      </c>
      <c r="C607" s="39" t="n">
        <v>597</v>
      </c>
      <c r="D607" s="39" t="n">
        <v>43.69</v>
      </c>
      <c r="E607" s="41">
        <f>IFERROR(B607/B606-1,"")</f>
        <v/>
      </c>
      <c r="F607" s="41">
        <f>IFERROR(C607/C606-1,"")</f>
        <v/>
      </c>
      <c r="G607" s="41">
        <f>IFERROR(D607/D606-1,"")</f>
        <v/>
      </c>
      <c r="H607" s="41">
        <f>IFERROR((1+E607)*(1+H606)-1,"")</f>
        <v/>
      </c>
      <c r="I607" s="41">
        <f>IFERROR((1+F607)*(1+I606)-1,"")</f>
        <v/>
      </c>
      <c r="J607" s="41">
        <f>IFERROR((1+G607)*(1+J606)-1,"")</f>
        <v/>
      </c>
      <c r="K607" s="42">
        <f>IFERROR(B607/$B$36*100,"")</f>
        <v/>
      </c>
      <c r="L607" s="42">
        <f>IFERROR(C607/$C$36*100,"")</f>
        <v/>
      </c>
      <c r="M607" s="42">
        <f>IFERROR(D607/$D$36*100,"")</f>
        <v/>
      </c>
      <c r="N607" s="41">
        <f>IFERROR((1+H607)/(1+I607)-1,"")</f>
        <v/>
      </c>
      <c r="O607" s="41">
        <f>IFERROR((1+H607)/(1+J607)-1,"")</f>
        <v/>
      </c>
      <c r="P607" s="39">
        <f>IFERROR(B607*0.0099502487562189+P606*(1-0.0099502487562189),"")</f>
        <v/>
      </c>
      <c r="Q607" s="42">
        <f>Q606*(1+E607)</f>
        <v/>
      </c>
      <c r="R607" s="42">
        <f>MAX(R606,Q607)</f>
        <v/>
      </c>
      <c r="S607" s="41">
        <f>IFERROR(Q607/R607-1,"")</f>
        <v/>
      </c>
      <c r="T607" s="41">
        <f>IFERROR(_xlfn.STDEV.S(E548:E607)*SQRT($D$7),"")</f>
        <v/>
      </c>
      <c r="U607" s="41">
        <f>IFERROR(MIN(E607-$D$6,0),"")</f>
        <v/>
      </c>
      <c r="V607" s="41">
        <f>IFERROR(E607-F607,"")</f>
        <v/>
      </c>
      <c r="W607" s="39">
        <f>B607</f>
        <v/>
      </c>
      <c r="X607" s="21" t="n"/>
    </row>
    <row r="608">
      <c r="A608" s="38" t="n">
        <v>45824</v>
      </c>
      <c r="B608" s="39" t="n">
        <v>261.18</v>
      </c>
      <c r="C608" s="39" t="n">
        <v>602.6799999999999</v>
      </c>
      <c r="D608" s="39" t="n">
        <v>44.06</v>
      </c>
      <c r="E608" s="41">
        <f>IFERROR(B608/B607-1,"")</f>
        <v/>
      </c>
      <c r="F608" s="41">
        <f>IFERROR(C608/C607-1,"")</f>
        <v/>
      </c>
      <c r="G608" s="41">
        <f>IFERROR(D608/D607-1,"")</f>
        <v/>
      </c>
      <c r="H608" s="41">
        <f>IFERROR((1+E608)*(1+H607)-1,"")</f>
        <v/>
      </c>
      <c r="I608" s="41">
        <f>IFERROR((1+F608)*(1+I607)-1,"")</f>
        <v/>
      </c>
      <c r="J608" s="41">
        <f>IFERROR((1+G608)*(1+J607)-1,"")</f>
        <v/>
      </c>
      <c r="K608" s="42">
        <f>IFERROR(B608/$B$36*100,"")</f>
        <v/>
      </c>
      <c r="L608" s="42">
        <f>IFERROR(C608/$C$36*100,"")</f>
        <v/>
      </c>
      <c r="M608" s="42">
        <f>IFERROR(D608/$D$36*100,"")</f>
        <v/>
      </c>
      <c r="N608" s="41">
        <f>IFERROR((1+H608)/(1+I608)-1,"")</f>
        <v/>
      </c>
      <c r="O608" s="41">
        <f>IFERROR((1+H608)/(1+J608)-1,"")</f>
        <v/>
      </c>
      <c r="P608" s="39">
        <f>IFERROR(B608*0.0099502487562189+P607*(1-0.0099502487562189),"")</f>
        <v/>
      </c>
      <c r="Q608" s="42">
        <f>Q607*(1+E608)</f>
        <v/>
      </c>
      <c r="R608" s="42">
        <f>MAX(R607,Q608)</f>
        <v/>
      </c>
      <c r="S608" s="41">
        <f>IFERROR(Q608/R608-1,"")</f>
        <v/>
      </c>
      <c r="T608" s="41">
        <f>IFERROR(_xlfn.STDEV.S(E549:E608)*SQRT($D$7),"")</f>
        <v/>
      </c>
      <c r="U608" s="41">
        <f>IFERROR(MIN(E608-$D$6,0),"")</f>
        <v/>
      </c>
      <c r="V608" s="41">
        <f>IFERROR(E608-F608,"")</f>
        <v/>
      </c>
      <c r="W608" s="39">
        <f>B608</f>
        <v/>
      </c>
      <c r="X608" s="21" t="n"/>
    </row>
    <row r="609">
      <c r="A609" s="38" t="n">
        <v>45825</v>
      </c>
      <c r="B609" s="39" t="n">
        <v>259.04</v>
      </c>
      <c r="C609" s="39" t="n">
        <v>597.53</v>
      </c>
      <c r="D609" s="39" t="n">
        <v>43.63</v>
      </c>
      <c r="E609" s="41">
        <f>IFERROR(B609/B608-1,"")</f>
        <v/>
      </c>
      <c r="F609" s="41">
        <f>IFERROR(C609/C608-1,"")</f>
        <v/>
      </c>
      <c r="G609" s="41">
        <f>IFERROR(D609/D608-1,"")</f>
        <v/>
      </c>
      <c r="H609" s="41">
        <f>IFERROR((1+E609)*(1+H608)-1,"")</f>
        <v/>
      </c>
      <c r="I609" s="41">
        <f>IFERROR((1+F609)*(1+I608)-1,"")</f>
        <v/>
      </c>
      <c r="J609" s="41">
        <f>IFERROR((1+G609)*(1+J608)-1,"")</f>
        <v/>
      </c>
      <c r="K609" s="42">
        <f>IFERROR(B609/$B$36*100,"")</f>
        <v/>
      </c>
      <c r="L609" s="42">
        <f>IFERROR(C609/$C$36*100,"")</f>
        <v/>
      </c>
      <c r="M609" s="42">
        <f>IFERROR(D609/$D$36*100,"")</f>
        <v/>
      </c>
      <c r="N609" s="41">
        <f>IFERROR((1+H609)/(1+I609)-1,"")</f>
        <v/>
      </c>
      <c r="O609" s="41">
        <f>IFERROR((1+H609)/(1+J609)-1,"")</f>
        <v/>
      </c>
      <c r="P609" s="39">
        <f>IFERROR(B609*0.0099502487562189+P608*(1-0.0099502487562189),"")</f>
        <v/>
      </c>
      <c r="Q609" s="42">
        <f>Q608*(1+E609)</f>
        <v/>
      </c>
      <c r="R609" s="42">
        <f>MAX(R608,Q609)</f>
        <v/>
      </c>
      <c r="S609" s="41">
        <f>IFERROR(Q609/R609-1,"")</f>
        <v/>
      </c>
      <c r="T609" s="41">
        <f>IFERROR(_xlfn.STDEV.S(E550:E609)*SQRT($D$7),"")</f>
        <v/>
      </c>
      <c r="U609" s="41">
        <f>IFERROR(MIN(E609-$D$6,0),"")</f>
        <v/>
      </c>
      <c r="V609" s="41">
        <f>IFERROR(E609-F609,"")</f>
        <v/>
      </c>
      <c r="W609" s="39">
        <f>B609</f>
        <v/>
      </c>
      <c r="X609" s="21" t="n"/>
    </row>
    <row r="610">
      <c r="A610" s="38" t="n">
        <v>45826</v>
      </c>
      <c r="B610" s="39" t="n">
        <v>258.14</v>
      </c>
      <c r="C610" s="39" t="n">
        <v>597.4400000000001</v>
      </c>
      <c r="D610" s="39" t="n">
        <v>43.505</v>
      </c>
      <c r="E610" s="41">
        <f>IFERROR(B610/B609-1,"")</f>
        <v/>
      </c>
      <c r="F610" s="41">
        <f>IFERROR(C610/C609-1,"")</f>
        <v/>
      </c>
      <c r="G610" s="41">
        <f>IFERROR(D610/D609-1,"")</f>
        <v/>
      </c>
      <c r="H610" s="41">
        <f>IFERROR((1+E610)*(1+H609)-1,"")</f>
        <v/>
      </c>
      <c r="I610" s="41">
        <f>IFERROR((1+F610)*(1+I609)-1,"")</f>
        <v/>
      </c>
      <c r="J610" s="41">
        <f>IFERROR((1+G610)*(1+J609)-1,"")</f>
        <v/>
      </c>
      <c r="K610" s="42">
        <f>IFERROR(B610/$B$36*100,"")</f>
        <v/>
      </c>
      <c r="L610" s="42">
        <f>IFERROR(C610/$C$36*100,"")</f>
        <v/>
      </c>
      <c r="M610" s="42">
        <f>IFERROR(D610/$D$36*100,"")</f>
        <v/>
      </c>
      <c r="N610" s="41">
        <f>IFERROR((1+H610)/(1+I610)-1,"")</f>
        <v/>
      </c>
      <c r="O610" s="41">
        <f>IFERROR((1+H610)/(1+J610)-1,"")</f>
        <v/>
      </c>
      <c r="P610" s="39">
        <f>IFERROR(B610*0.0099502487562189+P609*(1-0.0099502487562189),"")</f>
        <v/>
      </c>
      <c r="Q610" s="42">
        <f>Q609*(1+E610)</f>
        <v/>
      </c>
      <c r="R610" s="42">
        <f>MAX(R609,Q610)</f>
        <v/>
      </c>
      <c r="S610" s="41">
        <f>IFERROR(Q610/R610-1,"")</f>
        <v/>
      </c>
      <c r="T610" s="41">
        <f>IFERROR(_xlfn.STDEV.S(E551:E610)*SQRT($D$7),"")</f>
        <v/>
      </c>
      <c r="U610" s="41">
        <f>IFERROR(MIN(E610-$D$6,0),"")</f>
        <v/>
      </c>
      <c r="V610" s="41">
        <f>IFERROR(E610-F610,"")</f>
        <v/>
      </c>
      <c r="W610" s="39">
        <f>B610</f>
        <v/>
      </c>
      <c r="X610" s="21" t="n"/>
    </row>
    <row r="611">
      <c r="A611" s="38" t="n">
        <v>45828</v>
      </c>
      <c r="B611" s="39" t="n">
        <v>255.94</v>
      </c>
      <c r="C611" s="39" t="n">
        <v>594.28</v>
      </c>
      <c r="D611" s="39" t="n">
        <v>43.21</v>
      </c>
      <c r="E611" s="41">
        <f>IFERROR(B611/B610-1,"")</f>
        <v/>
      </c>
      <c r="F611" s="41">
        <f>IFERROR(C611/C610-1,"")</f>
        <v/>
      </c>
      <c r="G611" s="41">
        <f>IFERROR(D611/D610-1,"")</f>
        <v/>
      </c>
      <c r="H611" s="41">
        <f>IFERROR((1+E611)*(1+H610)-1,"")</f>
        <v/>
      </c>
      <c r="I611" s="41">
        <f>IFERROR((1+F611)*(1+I610)-1,"")</f>
        <v/>
      </c>
      <c r="J611" s="41">
        <f>IFERROR((1+G611)*(1+J610)-1,"")</f>
        <v/>
      </c>
      <c r="K611" s="42">
        <f>IFERROR(B611/$B$36*100,"")</f>
        <v/>
      </c>
      <c r="L611" s="42">
        <f>IFERROR(C611/$C$36*100,"")</f>
        <v/>
      </c>
      <c r="M611" s="42">
        <f>IFERROR(D611/$D$36*100,"")</f>
        <v/>
      </c>
      <c r="N611" s="41">
        <f>IFERROR((1+H611)/(1+I611)-1,"")</f>
        <v/>
      </c>
      <c r="O611" s="41">
        <f>IFERROR((1+H611)/(1+J611)-1,"")</f>
        <v/>
      </c>
      <c r="P611" s="39">
        <f>IFERROR(B611*0.0099502487562189+P610*(1-0.0099502487562189),"")</f>
        <v/>
      </c>
      <c r="Q611" s="42">
        <f>Q610*(1+E611)</f>
        <v/>
      </c>
      <c r="R611" s="42">
        <f>MAX(R610,Q611)</f>
        <v/>
      </c>
      <c r="S611" s="41">
        <f>IFERROR(Q611/R611-1,"")</f>
        <v/>
      </c>
      <c r="T611" s="41">
        <f>IFERROR(_xlfn.STDEV.S(E552:E611)*SQRT($D$7),"")</f>
        <v/>
      </c>
      <c r="U611" s="41">
        <f>IFERROR(MIN(E611-$D$6,0),"")</f>
        <v/>
      </c>
      <c r="V611" s="41">
        <f>IFERROR(E611-F611,"")</f>
        <v/>
      </c>
      <c r="W611" s="39">
        <f>B611</f>
        <v/>
      </c>
      <c r="X611" s="21" t="n"/>
    </row>
    <row r="612">
      <c r="A612" s="38" t="n">
        <v>45831</v>
      </c>
      <c r="B612" s="39" t="n">
        <v>261.04</v>
      </c>
      <c r="C612" s="39" t="n">
        <v>600.15</v>
      </c>
      <c r="D612" s="39" t="n">
        <v>43.47</v>
      </c>
      <c r="E612" s="41">
        <f>IFERROR(B612/B611-1,"")</f>
        <v/>
      </c>
      <c r="F612" s="41">
        <f>IFERROR(C612/C611-1,"")</f>
        <v/>
      </c>
      <c r="G612" s="41">
        <f>IFERROR(D612/D611-1,"")</f>
        <v/>
      </c>
      <c r="H612" s="41">
        <f>IFERROR((1+E612)*(1+H611)-1,"")</f>
        <v/>
      </c>
      <c r="I612" s="41">
        <f>IFERROR((1+F612)*(1+I611)-1,"")</f>
        <v/>
      </c>
      <c r="J612" s="41">
        <f>IFERROR((1+G612)*(1+J611)-1,"")</f>
        <v/>
      </c>
      <c r="K612" s="42">
        <f>IFERROR(B612/$B$36*100,"")</f>
        <v/>
      </c>
      <c r="L612" s="42">
        <f>IFERROR(C612/$C$36*100,"")</f>
        <v/>
      </c>
      <c r="M612" s="42">
        <f>IFERROR(D612/$D$36*100,"")</f>
        <v/>
      </c>
      <c r="N612" s="41">
        <f>IFERROR((1+H612)/(1+I612)-1,"")</f>
        <v/>
      </c>
      <c r="O612" s="41">
        <f>IFERROR((1+H612)/(1+J612)-1,"")</f>
        <v/>
      </c>
      <c r="P612" s="39">
        <f>IFERROR(B612*0.0099502487562189+P611*(1-0.0099502487562189),"")</f>
        <v/>
      </c>
      <c r="Q612" s="42">
        <f>Q611*(1+E612)</f>
        <v/>
      </c>
      <c r="R612" s="42">
        <f>MAX(R611,Q612)</f>
        <v/>
      </c>
      <c r="S612" s="41">
        <f>IFERROR(Q612/R612-1,"")</f>
        <v/>
      </c>
      <c r="T612" s="41">
        <f>IFERROR(_xlfn.STDEV.S(E553:E612)*SQRT($D$7),"")</f>
        <v/>
      </c>
      <c r="U612" s="41">
        <f>IFERROR(MIN(E612-$D$6,0),"")</f>
        <v/>
      </c>
      <c r="V612" s="41">
        <f>IFERROR(E612-F612,"")</f>
        <v/>
      </c>
      <c r="W612" s="39">
        <f>B612</f>
        <v/>
      </c>
      <c r="X612" s="21" t="n"/>
    </row>
    <row r="613">
      <c r="A613" s="38" t="n">
        <v>45832</v>
      </c>
      <c r="B613" s="39" t="n">
        <v>264.48</v>
      </c>
      <c r="C613" s="39" t="n">
        <v>606.78</v>
      </c>
      <c r="D613" s="39" t="n">
        <v>43.83</v>
      </c>
      <c r="E613" s="41">
        <f>IFERROR(B613/B612-1,"")</f>
        <v/>
      </c>
      <c r="F613" s="41">
        <f>IFERROR(C613/C612-1,"")</f>
        <v/>
      </c>
      <c r="G613" s="41">
        <f>IFERROR(D613/D612-1,"")</f>
        <v/>
      </c>
      <c r="H613" s="41">
        <f>IFERROR((1+E613)*(1+H612)-1,"")</f>
        <v/>
      </c>
      <c r="I613" s="41">
        <f>IFERROR((1+F613)*(1+I612)-1,"")</f>
        <v/>
      </c>
      <c r="J613" s="41">
        <f>IFERROR((1+G613)*(1+J612)-1,"")</f>
        <v/>
      </c>
      <c r="K613" s="42">
        <f>IFERROR(B613/$B$36*100,"")</f>
        <v/>
      </c>
      <c r="L613" s="42">
        <f>IFERROR(C613/$C$36*100,"")</f>
        <v/>
      </c>
      <c r="M613" s="42">
        <f>IFERROR(D613/$D$36*100,"")</f>
        <v/>
      </c>
      <c r="N613" s="41">
        <f>IFERROR((1+H613)/(1+I613)-1,"")</f>
        <v/>
      </c>
      <c r="O613" s="41">
        <f>IFERROR((1+H613)/(1+J613)-1,"")</f>
        <v/>
      </c>
      <c r="P613" s="39">
        <f>IFERROR(B613*0.0099502487562189+P612*(1-0.0099502487562189),"")</f>
        <v/>
      </c>
      <c r="Q613" s="42">
        <f>Q612*(1+E613)</f>
        <v/>
      </c>
      <c r="R613" s="42">
        <f>MAX(R612,Q613)</f>
        <v/>
      </c>
      <c r="S613" s="41">
        <f>IFERROR(Q613/R613-1,"")</f>
        <v/>
      </c>
      <c r="T613" s="41">
        <f>IFERROR(_xlfn.STDEV.S(E554:E613)*SQRT($D$7),"")</f>
        <v/>
      </c>
      <c r="U613" s="41">
        <f>IFERROR(MIN(E613-$D$6,0),"")</f>
        <v/>
      </c>
      <c r="V613" s="41">
        <f>IFERROR(E613-F613,"")</f>
        <v/>
      </c>
      <c r="W613" s="39">
        <f>B613</f>
        <v/>
      </c>
      <c r="X613" s="21" t="n"/>
    </row>
    <row r="614">
      <c r="A614" s="38" t="n">
        <v>45833</v>
      </c>
      <c r="B614" s="39" t="n">
        <v>254.64</v>
      </c>
      <c r="C614" s="39" t="n">
        <v>607.12</v>
      </c>
      <c r="D614" s="39" t="n">
        <v>43.41</v>
      </c>
      <c r="E614" s="41">
        <f>IFERROR(B614/B613-1,"")</f>
        <v/>
      </c>
      <c r="F614" s="41">
        <f>IFERROR(C614/C613-1,"")</f>
        <v/>
      </c>
      <c r="G614" s="41">
        <f>IFERROR(D614/D613-1,"")</f>
        <v/>
      </c>
      <c r="H614" s="41">
        <f>IFERROR((1+E614)*(1+H613)-1,"")</f>
        <v/>
      </c>
      <c r="I614" s="41">
        <f>IFERROR((1+F614)*(1+I613)-1,"")</f>
        <v/>
      </c>
      <c r="J614" s="41">
        <f>IFERROR((1+G614)*(1+J613)-1,"")</f>
        <v/>
      </c>
      <c r="K614" s="42">
        <f>IFERROR(B614/$B$36*100,"")</f>
        <v/>
      </c>
      <c r="L614" s="42">
        <f>IFERROR(C614/$C$36*100,"")</f>
        <v/>
      </c>
      <c r="M614" s="42">
        <f>IFERROR(D614/$D$36*100,"")</f>
        <v/>
      </c>
      <c r="N614" s="41">
        <f>IFERROR((1+H614)/(1+I614)-1,"")</f>
        <v/>
      </c>
      <c r="O614" s="41">
        <f>IFERROR((1+H614)/(1+J614)-1,"")</f>
        <v/>
      </c>
      <c r="P614" s="39">
        <f>IFERROR(B614*0.0099502487562189+P613*(1-0.0099502487562189),"")</f>
        <v/>
      </c>
      <c r="Q614" s="42">
        <f>Q613*(1+E614)</f>
        <v/>
      </c>
      <c r="R614" s="42">
        <f>MAX(R613,Q614)</f>
        <v/>
      </c>
      <c r="S614" s="41">
        <f>IFERROR(Q614/R614-1,"")</f>
        <v/>
      </c>
      <c r="T614" s="41">
        <f>IFERROR(_xlfn.STDEV.S(E555:E614)*SQRT($D$7),"")</f>
        <v/>
      </c>
      <c r="U614" s="41">
        <f>IFERROR(MIN(E614-$D$6,0),"")</f>
        <v/>
      </c>
      <c r="V614" s="41">
        <f>IFERROR(E614-F614,"")</f>
        <v/>
      </c>
      <c r="W614" s="39">
        <f>B614</f>
        <v/>
      </c>
      <c r="X614" s="21" t="n"/>
    </row>
    <row r="615">
      <c r="A615" s="38" t="n">
        <v>45834</v>
      </c>
      <c r="B615" s="39" t="n">
        <v>256.96</v>
      </c>
      <c r="C615" s="39" t="n">
        <v>611.87</v>
      </c>
      <c r="D615" s="39" t="n">
        <v>43.89</v>
      </c>
      <c r="E615" s="41">
        <f>IFERROR(B615/B614-1,"")</f>
        <v/>
      </c>
      <c r="F615" s="41">
        <f>IFERROR(C615/C614-1,"")</f>
        <v/>
      </c>
      <c r="G615" s="41">
        <f>IFERROR(D615/D614-1,"")</f>
        <v/>
      </c>
      <c r="H615" s="41">
        <f>IFERROR((1+E615)*(1+H614)-1,"")</f>
        <v/>
      </c>
      <c r="I615" s="41">
        <f>IFERROR((1+F615)*(1+I614)-1,"")</f>
        <v/>
      </c>
      <c r="J615" s="41">
        <f>IFERROR((1+G615)*(1+J614)-1,"")</f>
        <v/>
      </c>
      <c r="K615" s="42">
        <f>IFERROR(B615/$B$36*100,"")</f>
        <v/>
      </c>
      <c r="L615" s="42">
        <f>IFERROR(C615/$C$36*100,"")</f>
        <v/>
      </c>
      <c r="M615" s="42">
        <f>IFERROR(D615/$D$36*100,"")</f>
        <v/>
      </c>
      <c r="N615" s="41">
        <f>IFERROR((1+H615)/(1+I615)-1,"")</f>
        <v/>
      </c>
      <c r="O615" s="41">
        <f>IFERROR((1+H615)/(1+J615)-1,"")</f>
        <v/>
      </c>
      <c r="P615" s="39">
        <f>IFERROR(B615*0.0099502487562189+P614*(1-0.0099502487562189),"")</f>
        <v/>
      </c>
      <c r="Q615" s="42">
        <f>Q614*(1+E615)</f>
        <v/>
      </c>
      <c r="R615" s="42">
        <f>MAX(R614,Q615)</f>
        <v/>
      </c>
      <c r="S615" s="41">
        <f>IFERROR(Q615/R615-1,"")</f>
        <v/>
      </c>
      <c r="T615" s="41">
        <f>IFERROR(_xlfn.STDEV.S(E556:E615)*SQRT($D$7),"")</f>
        <v/>
      </c>
      <c r="U615" s="41">
        <f>IFERROR(MIN(E615-$D$6,0),"")</f>
        <v/>
      </c>
      <c r="V615" s="41">
        <f>IFERROR(E615-F615,"")</f>
        <v/>
      </c>
      <c r="W615" s="39">
        <f>B615</f>
        <v/>
      </c>
      <c r="X615" s="21" t="n"/>
    </row>
    <row r="616">
      <c r="A616" s="38" t="n">
        <v>45835</v>
      </c>
      <c r="B616" s="39" t="n">
        <v>262.18</v>
      </c>
      <c r="C616" s="39" t="n">
        <v>614.91</v>
      </c>
      <c r="D616" s="39" t="n">
        <v>43.945</v>
      </c>
      <c r="E616" s="41">
        <f>IFERROR(B616/B615-1,"")</f>
        <v/>
      </c>
      <c r="F616" s="41">
        <f>IFERROR(C616/C615-1,"")</f>
        <v/>
      </c>
      <c r="G616" s="41">
        <f>IFERROR(D616/D615-1,"")</f>
        <v/>
      </c>
      <c r="H616" s="41">
        <f>IFERROR((1+E616)*(1+H615)-1,"")</f>
        <v/>
      </c>
      <c r="I616" s="41">
        <f>IFERROR((1+F616)*(1+I615)-1,"")</f>
        <v/>
      </c>
      <c r="J616" s="41">
        <f>IFERROR((1+G616)*(1+J615)-1,"")</f>
        <v/>
      </c>
      <c r="K616" s="42">
        <f>IFERROR(B616/$B$36*100,"")</f>
        <v/>
      </c>
      <c r="L616" s="42">
        <f>IFERROR(C616/$C$36*100,"")</f>
        <v/>
      </c>
      <c r="M616" s="42">
        <f>IFERROR(D616/$D$36*100,"")</f>
        <v/>
      </c>
      <c r="N616" s="41">
        <f>IFERROR((1+H616)/(1+I616)-1,"")</f>
        <v/>
      </c>
      <c r="O616" s="41">
        <f>IFERROR((1+H616)/(1+J616)-1,"")</f>
        <v/>
      </c>
      <c r="P616" s="39">
        <f>IFERROR(B616*0.0099502487562189+P615*(1-0.0099502487562189),"")</f>
        <v/>
      </c>
      <c r="Q616" s="42">
        <f>Q615*(1+E616)</f>
        <v/>
      </c>
      <c r="R616" s="42">
        <f>MAX(R615,Q616)</f>
        <v/>
      </c>
      <c r="S616" s="41">
        <f>IFERROR(Q616/R616-1,"")</f>
        <v/>
      </c>
      <c r="T616" s="41">
        <f>IFERROR(_xlfn.STDEV.S(E557:E616)*SQRT($D$7),"")</f>
        <v/>
      </c>
      <c r="U616" s="41">
        <f>IFERROR(MIN(E616-$D$6,0),"")</f>
        <v/>
      </c>
      <c r="V616" s="41">
        <f>IFERROR(E616-F616,"")</f>
        <v/>
      </c>
      <c r="W616" s="39">
        <f>B616</f>
        <v/>
      </c>
      <c r="X616" s="21" t="n"/>
    </row>
    <row r="617">
      <c r="A617" s="38" t="n">
        <v>45838</v>
      </c>
      <c r="B617" s="39" t="n">
        <v>260.82</v>
      </c>
      <c r="C617" s="39" t="n">
        <v>617.85</v>
      </c>
      <c r="D617" s="39" t="n">
        <v>43.905</v>
      </c>
      <c r="E617" s="41">
        <f>IFERROR(B617/B616-1,"")</f>
        <v/>
      </c>
      <c r="F617" s="41">
        <f>IFERROR(C617/C616-1,"")</f>
        <v/>
      </c>
      <c r="G617" s="41">
        <f>IFERROR(D617/D616-1,"")</f>
        <v/>
      </c>
      <c r="H617" s="41">
        <f>IFERROR((1+E617)*(1+H616)-1,"")</f>
        <v/>
      </c>
      <c r="I617" s="41">
        <f>IFERROR((1+F617)*(1+I616)-1,"")</f>
        <v/>
      </c>
      <c r="J617" s="41">
        <f>IFERROR((1+G617)*(1+J616)-1,"")</f>
        <v/>
      </c>
      <c r="K617" s="42">
        <f>IFERROR(B617/$B$36*100,"")</f>
        <v/>
      </c>
      <c r="L617" s="42">
        <f>IFERROR(C617/$C$36*100,"")</f>
        <v/>
      </c>
      <c r="M617" s="42">
        <f>IFERROR(D617/$D$36*100,"")</f>
        <v/>
      </c>
      <c r="N617" s="41">
        <f>IFERROR((1+H617)/(1+I617)-1,"")</f>
        <v/>
      </c>
      <c r="O617" s="41">
        <f>IFERROR((1+H617)/(1+J617)-1,"")</f>
        <v/>
      </c>
      <c r="P617" s="39">
        <f>IFERROR(B617*0.0099502487562189+P616*(1-0.0099502487562189),"")</f>
        <v/>
      </c>
      <c r="Q617" s="42">
        <f>Q616*(1+E617)</f>
        <v/>
      </c>
      <c r="R617" s="42">
        <f>MAX(R616,Q617)</f>
        <v/>
      </c>
      <c r="S617" s="41">
        <f>IFERROR(Q617/R617-1,"")</f>
        <v/>
      </c>
      <c r="T617" s="41">
        <f>IFERROR(_xlfn.STDEV.S(E558:E617)*SQRT($D$7),"")</f>
        <v/>
      </c>
      <c r="U617" s="41">
        <f>IFERROR(MIN(E617-$D$6,0),"")</f>
        <v/>
      </c>
      <c r="V617" s="41">
        <f>IFERROR(E617-F617,"")</f>
        <v/>
      </c>
      <c r="W617" s="39">
        <f>B617</f>
        <v/>
      </c>
      <c r="X617" s="21" t="n"/>
    </row>
    <row r="618">
      <c r="A618" s="38" t="n">
        <v>45839</v>
      </c>
      <c r="B618" s="39" t="n">
        <v>264.67</v>
      </c>
      <c r="C618" s="39" t="n">
        <v>617.65</v>
      </c>
      <c r="D618" s="39" t="n">
        <v>45.04</v>
      </c>
      <c r="E618" s="41">
        <f>IFERROR(B618/B617-1,"")</f>
        <v/>
      </c>
      <c r="F618" s="41">
        <f>IFERROR(C618/C617-1,"")</f>
        <v/>
      </c>
      <c r="G618" s="41">
        <f>IFERROR(D618/D617-1,"")</f>
        <v/>
      </c>
      <c r="H618" s="41">
        <f>IFERROR((1+E618)*(1+H617)-1,"")</f>
        <v/>
      </c>
      <c r="I618" s="41">
        <f>IFERROR((1+F618)*(1+I617)-1,"")</f>
        <v/>
      </c>
      <c r="J618" s="41">
        <f>IFERROR((1+G618)*(1+J617)-1,"")</f>
        <v/>
      </c>
      <c r="K618" s="42">
        <f>IFERROR(B618/$B$36*100,"")</f>
        <v/>
      </c>
      <c r="L618" s="42">
        <f>IFERROR(C618/$C$36*100,"")</f>
        <v/>
      </c>
      <c r="M618" s="42">
        <f>IFERROR(D618/$D$36*100,"")</f>
        <v/>
      </c>
      <c r="N618" s="41">
        <f>IFERROR((1+H618)/(1+I618)-1,"")</f>
        <v/>
      </c>
      <c r="O618" s="41">
        <f>IFERROR((1+H618)/(1+J618)-1,"")</f>
        <v/>
      </c>
      <c r="P618" s="39">
        <f>IFERROR(B618*0.0099502487562189+P617*(1-0.0099502487562189),"")</f>
        <v/>
      </c>
      <c r="Q618" s="42">
        <f>Q617*(1+E618)</f>
        <v/>
      </c>
      <c r="R618" s="42">
        <f>MAX(R617,Q618)</f>
        <v/>
      </c>
      <c r="S618" s="41">
        <f>IFERROR(Q618/R618-1,"")</f>
        <v/>
      </c>
      <c r="T618" s="41">
        <f>IFERROR(_xlfn.STDEV.S(E559:E618)*SQRT($D$7),"")</f>
        <v/>
      </c>
      <c r="U618" s="41">
        <f>IFERROR(MIN(E618-$D$6,0),"")</f>
        <v/>
      </c>
      <c r="V618" s="41">
        <f>IFERROR(E618-F618,"")</f>
        <v/>
      </c>
      <c r="W618" s="39">
        <f>B618</f>
        <v/>
      </c>
      <c r="X618" s="21" t="n"/>
    </row>
    <row r="619">
      <c r="A619" s="38" t="n">
        <v>45840</v>
      </c>
      <c r="B619" s="39" t="n">
        <v>265.71</v>
      </c>
      <c r="C619" s="39" t="n">
        <v>620.45</v>
      </c>
      <c r="D619" s="39" t="n">
        <v>45.715</v>
      </c>
      <c r="E619" s="41">
        <f>IFERROR(B619/B618-1,"")</f>
        <v/>
      </c>
      <c r="F619" s="41">
        <f>IFERROR(C619/C618-1,"")</f>
        <v/>
      </c>
      <c r="G619" s="41">
        <f>IFERROR(D619/D618-1,"")</f>
        <v/>
      </c>
      <c r="H619" s="41">
        <f>IFERROR((1+E619)*(1+H618)-1,"")</f>
        <v/>
      </c>
      <c r="I619" s="41">
        <f>IFERROR((1+F619)*(1+I618)-1,"")</f>
        <v/>
      </c>
      <c r="J619" s="41">
        <f>IFERROR((1+G619)*(1+J618)-1,"")</f>
        <v/>
      </c>
      <c r="K619" s="42">
        <f>IFERROR(B619/$B$36*100,"")</f>
        <v/>
      </c>
      <c r="L619" s="42">
        <f>IFERROR(C619/$C$36*100,"")</f>
        <v/>
      </c>
      <c r="M619" s="42">
        <f>IFERROR(D619/$D$36*100,"")</f>
        <v/>
      </c>
      <c r="N619" s="41">
        <f>IFERROR((1+H619)/(1+I619)-1,"")</f>
        <v/>
      </c>
      <c r="O619" s="41">
        <f>IFERROR((1+H619)/(1+J619)-1,"")</f>
        <v/>
      </c>
      <c r="P619" s="39">
        <f>IFERROR(B619*0.0099502487562189+P618*(1-0.0099502487562189),"")</f>
        <v/>
      </c>
      <c r="Q619" s="42">
        <f>Q618*(1+E619)</f>
        <v/>
      </c>
      <c r="R619" s="42">
        <f>MAX(R618,Q619)</f>
        <v/>
      </c>
      <c r="S619" s="41">
        <f>IFERROR(Q619/R619-1,"")</f>
        <v/>
      </c>
      <c r="T619" s="41">
        <f>IFERROR(_xlfn.STDEV.S(E560:E619)*SQRT($D$7),"")</f>
        <v/>
      </c>
      <c r="U619" s="41">
        <f>IFERROR(MIN(E619-$D$6,0),"")</f>
        <v/>
      </c>
      <c r="V619" s="41">
        <f>IFERROR(E619-F619,"")</f>
        <v/>
      </c>
      <c r="W619" s="39">
        <f>B619</f>
        <v/>
      </c>
      <c r="X619" s="21" t="n"/>
    </row>
    <row r="620">
      <c r="A620" s="38" t="n">
        <v>45841</v>
      </c>
      <c r="B620" s="39" t="n">
        <v>266.24</v>
      </c>
      <c r="C620" s="39" t="n">
        <v>625.34</v>
      </c>
      <c r="D620" s="39" t="n">
        <v>45.685</v>
      </c>
      <c r="E620" s="41">
        <f>IFERROR(B620/B619-1,"")</f>
        <v/>
      </c>
      <c r="F620" s="41">
        <f>IFERROR(C620/C619-1,"")</f>
        <v/>
      </c>
      <c r="G620" s="41">
        <f>IFERROR(D620/D619-1,"")</f>
        <v/>
      </c>
      <c r="H620" s="41">
        <f>IFERROR((1+E620)*(1+H619)-1,"")</f>
        <v/>
      </c>
      <c r="I620" s="41">
        <f>IFERROR((1+F620)*(1+I619)-1,"")</f>
        <v/>
      </c>
      <c r="J620" s="41">
        <f>IFERROR((1+G620)*(1+J619)-1,"")</f>
        <v/>
      </c>
      <c r="K620" s="42">
        <f>IFERROR(B620/$B$36*100,"")</f>
        <v/>
      </c>
      <c r="L620" s="42">
        <f>IFERROR(C620/$C$36*100,"")</f>
        <v/>
      </c>
      <c r="M620" s="42">
        <f>IFERROR(D620/$D$36*100,"")</f>
        <v/>
      </c>
      <c r="N620" s="41">
        <f>IFERROR((1+H620)/(1+I620)-1,"")</f>
        <v/>
      </c>
      <c r="O620" s="41">
        <f>IFERROR((1+H620)/(1+J620)-1,"")</f>
        <v/>
      </c>
      <c r="P620" s="39">
        <f>IFERROR(B620*0.0099502487562189+P619*(1-0.0099502487562189),"")</f>
        <v/>
      </c>
      <c r="Q620" s="42">
        <f>Q619*(1+E620)</f>
        <v/>
      </c>
      <c r="R620" s="42">
        <f>MAX(R619,Q620)</f>
        <v/>
      </c>
      <c r="S620" s="41">
        <f>IFERROR(Q620/R620-1,"")</f>
        <v/>
      </c>
      <c r="T620" s="41">
        <f>IFERROR(_xlfn.STDEV.S(E561:E620)*SQRT($D$7),"")</f>
        <v/>
      </c>
      <c r="U620" s="41">
        <f>IFERROR(MIN(E620-$D$6,0),"")</f>
        <v/>
      </c>
      <c r="V620" s="41">
        <f>IFERROR(E620-F620,"")</f>
        <v/>
      </c>
      <c r="W620" s="39">
        <f>B620</f>
        <v/>
      </c>
      <c r="X620" s="21" t="n"/>
    </row>
    <row r="621">
      <c r="A621" s="38" t="n">
        <v>45845</v>
      </c>
      <c r="B621" s="39" t="n">
        <v>267</v>
      </c>
      <c r="C621" s="39" t="n">
        <v>620.6799999999999</v>
      </c>
      <c r="D621" s="39" t="n">
        <v>45.245</v>
      </c>
      <c r="E621" s="41">
        <f>IFERROR(B621/B620-1,"")</f>
        <v/>
      </c>
      <c r="F621" s="41">
        <f>IFERROR(C621/C620-1,"")</f>
        <v/>
      </c>
      <c r="G621" s="41">
        <f>IFERROR(D621/D620-1,"")</f>
        <v/>
      </c>
      <c r="H621" s="41">
        <f>IFERROR((1+E621)*(1+H620)-1,"")</f>
        <v/>
      </c>
      <c r="I621" s="41">
        <f>IFERROR((1+F621)*(1+I620)-1,"")</f>
        <v/>
      </c>
      <c r="J621" s="41">
        <f>IFERROR((1+G621)*(1+J620)-1,"")</f>
        <v/>
      </c>
      <c r="K621" s="42">
        <f>IFERROR(B621/$B$36*100,"")</f>
        <v/>
      </c>
      <c r="L621" s="42">
        <f>IFERROR(C621/$C$36*100,"")</f>
        <v/>
      </c>
      <c r="M621" s="42">
        <f>IFERROR(D621/$D$36*100,"")</f>
        <v/>
      </c>
      <c r="N621" s="41">
        <f>IFERROR((1+H621)/(1+I621)-1,"")</f>
        <v/>
      </c>
      <c r="O621" s="41">
        <f>IFERROR((1+H621)/(1+J621)-1,"")</f>
        <v/>
      </c>
      <c r="P621" s="39">
        <f>IFERROR(B621*0.0099502487562189+P620*(1-0.0099502487562189),"")</f>
        <v/>
      </c>
      <c r="Q621" s="42">
        <f>Q620*(1+E621)</f>
        <v/>
      </c>
      <c r="R621" s="42">
        <f>MAX(R620,Q621)</f>
        <v/>
      </c>
      <c r="S621" s="41">
        <f>IFERROR(Q621/R621-1,"")</f>
        <v/>
      </c>
      <c r="T621" s="41">
        <f>IFERROR(_xlfn.STDEV.S(E562:E621)*SQRT($D$7),"")</f>
        <v/>
      </c>
      <c r="U621" s="41">
        <f>IFERROR(MIN(E621-$D$6,0),"")</f>
        <v/>
      </c>
      <c r="V621" s="41">
        <f>IFERROR(E621-F621,"")</f>
        <v/>
      </c>
      <c r="W621" s="39">
        <f>B621</f>
        <v/>
      </c>
      <c r="X621" s="21" t="n"/>
    </row>
    <row r="622">
      <c r="A622" s="38" t="n">
        <v>45846</v>
      </c>
      <c r="B622" s="39" t="n">
        <v>266.45</v>
      </c>
      <c r="C622" s="39" t="n">
        <v>620.34</v>
      </c>
      <c r="D622" s="39" t="n">
        <v>45.615</v>
      </c>
      <c r="E622" s="41">
        <f>IFERROR(B622/B621-1,"")</f>
        <v/>
      </c>
      <c r="F622" s="41">
        <f>IFERROR(C622/C621-1,"")</f>
        <v/>
      </c>
      <c r="G622" s="41">
        <f>IFERROR(D622/D621-1,"")</f>
        <v/>
      </c>
      <c r="H622" s="41">
        <f>IFERROR((1+E622)*(1+H621)-1,"")</f>
        <v/>
      </c>
      <c r="I622" s="41">
        <f>IFERROR((1+F622)*(1+I621)-1,"")</f>
        <v/>
      </c>
      <c r="J622" s="41">
        <f>IFERROR((1+G622)*(1+J621)-1,"")</f>
        <v/>
      </c>
      <c r="K622" s="42">
        <f>IFERROR(B622/$B$36*100,"")</f>
        <v/>
      </c>
      <c r="L622" s="42">
        <f>IFERROR(C622/$C$36*100,"")</f>
        <v/>
      </c>
      <c r="M622" s="42">
        <f>IFERROR(D622/$D$36*100,"")</f>
        <v/>
      </c>
      <c r="N622" s="41">
        <f>IFERROR((1+H622)/(1+I622)-1,"")</f>
        <v/>
      </c>
      <c r="O622" s="41">
        <f>IFERROR((1+H622)/(1+J622)-1,"")</f>
        <v/>
      </c>
      <c r="P622" s="39">
        <f>IFERROR(B622*0.0099502487562189+P621*(1-0.0099502487562189),"")</f>
        <v/>
      </c>
      <c r="Q622" s="42">
        <f>Q621*(1+E622)</f>
        <v/>
      </c>
      <c r="R622" s="42">
        <f>MAX(R621,Q622)</f>
        <v/>
      </c>
      <c r="S622" s="41">
        <f>IFERROR(Q622/R622-1,"")</f>
        <v/>
      </c>
      <c r="T622" s="41">
        <f>IFERROR(_xlfn.STDEV.S(E563:E622)*SQRT($D$7),"")</f>
        <v/>
      </c>
      <c r="U622" s="41">
        <f>IFERROR(MIN(E622-$D$6,0),"")</f>
        <v/>
      </c>
      <c r="V622" s="41">
        <f>IFERROR(E622-F622,"")</f>
        <v/>
      </c>
      <c r="W622" s="39">
        <f>B622</f>
        <v/>
      </c>
      <c r="X622" s="21" t="n"/>
    </row>
    <row r="623">
      <c r="A623" s="38" t="n">
        <v>45847</v>
      </c>
      <c r="B623" s="39" t="n">
        <v>269.95</v>
      </c>
      <c r="C623" s="39" t="n">
        <v>624.0599999999999</v>
      </c>
      <c r="D623" s="39" t="n">
        <v>45.89</v>
      </c>
      <c r="E623" s="41">
        <f>IFERROR(B623/B622-1,"")</f>
        <v/>
      </c>
      <c r="F623" s="41">
        <f>IFERROR(C623/C622-1,"")</f>
        <v/>
      </c>
      <c r="G623" s="41">
        <f>IFERROR(D623/D622-1,"")</f>
        <v/>
      </c>
      <c r="H623" s="41">
        <f>IFERROR((1+E623)*(1+H622)-1,"")</f>
        <v/>
      </c>
      <c r="I623" s="41">
        <f>IFERROR((1+F623)*(1+I622)-1,"")</f>
        <v/>
      </c>
      <c r="J623" s="41">
        <f>IFERROR((1+G623)*(1+J622)-1,"")</f>
        <v/>
      </c>
      <c r="K623" s="42">
        <f>IFERROR(B623/$B$36*100,"")</f>
        <v/>
      </c>
      <c r="L623" s="42">
        <f>IFERROR(C623/$C$36*100,"")</f>
        <v/>
      </c>
      <c r="M623" s="42">
        <f>IFERROR(D623/$D$36*100,"")</f>
        <v/>
      </c>
      <c r="N623" s="41">
        <f>IFERROR((1+H623)/(1+I623)-1,"")</f>
        <v/>
      </c>
      <c r="O623" s="41">
        <f>IFERROR((1+H623)/(1+J623)-1,"")</f>
        <v/>
      </c>
      <c r="P623" s="39">
        <f>IFERROR(B623*0.0099502487562189+P622*(1-0.0099502487562189),"")</f>
        <v/>
      </c>
      <c r="Q623" s="42">
        <f>Q622*(1+E623)</f>
        <v/>
      </c>
      <c r="R623" s="42">
        <f>MAX(R622,Q623)</f>
        <v/>
      </c>
      <c r="S623" s="41">
        <f>IFERROR(Q623/R623-1,"")</f>
        <v/>
      </c>
      <c r="T623" s="41">
        <f>IFERROR(_xlfn.STDEV.S(E564:E623)*SQRT($D$7),"")</f>
        <v/>
      </c>
      <c r="U623" s="41">
        <f>IFERROR(MIN(E623-$D$6,0),"")</f>
        <v/>
      </c>
      <c r="V623" s="41">
        <f>IFERROR(E623-F623,"")</f>
        <v/>
      </c>
      <c r="W623" s="39">
        <f>B623</f>
        <v/>
      </c>
      <c r="X623" s="21" t="n"/>
    </row>
    <row r="624">
      <c r="A624" s="38" t="n">
        <v>45848</v>
      </c>
      <c r="B624" s="39" t="n">
        <v>270.73</v>
      </c>
      <c r="C624" s="39" t="n">
        <v>625.8200000000001</v>
      </c>
      <c r="D624" s="39" t="n">
        <v>46.135</v>
      </c>
      <c r="E624" s="41">
        <f>IFERROR(B624/B623-1,"")</f>
        <v/>
      </c>
      <c r="F624" s="41">
        <f>IFERROR(C624/C623-1,"")</f>
        <v/>
      </c>
      <c r="G624" s="41">
        <f>IFERROR(D624/D623-1,"")</f>
        <v/>
      </c>
      <c r="H624" s="41">
        <f>IFERROR((1+E624)*(1+H623)-1,"")</f>
        <v/>
      </c>
      <c r="I624" s="41">
        <f>IFERROR((1+F624)*(1+I623)-1,"")</f>
        <v/>
      </c>
      <c r="J624" s="41">
        <f>IFERROR((1+G624)*(1+J623)-1,"")</f>
        <v/>
      </c>
      <c r="K624" s="42">
        <f>IFERROR(B624/$B$36*100,"")</f>
        <v/>
      </c>
      <c r="L624" s="42">
        <f>IFERROR(C624/$C$36*100,"")</f>
        <v/>
      </c>
      <c r="M624" s="42">
        <f>IFERROR(D624/$D$36*100,"")</f>
        <v/>
      </c>
      <c r="N624" s="41">
        <f>IFERROR((1+H624)/(1+I624)-1,"")</f>
        <v/>
      </c>
      <c r="O624" s="41">
        <f>IFERROR((1+H624)/(1+J624)-1,"")</f>
        <v/>
      </c>
      <c r="P624" s="39">
        <f>IFERROR(B624*0.0099502487562189+P623*(1-0.0099502487562189),"")</f>
        <v/>
      </c>
      <c r="Q624" s="42">
        <f>Q623*(1+E624)</f>
        <v/>
      </c>
      <c r="R624" s="42">
        <f>MAX(R623,Q624)</f>
        <v/>
      </c>
      <c r="S624" s="41">
        <f>IFERROR(Q624/R624-1,"")</f>
        <v/>
      </c>
      <c r="T624" s="41">
        <f>IFERROR(_xlfn.STDEV.S(E565:E624)*SQRT($D$7),"")</f>
        <v/>
      </c>
      <c r="U624" s="41">
        <f>IFERROR(MIN(E624-$D$6,0),"")</f>
        <v/>
      </c>
      <c r="V624" s="41">
        <f>IFERROR(E624-F624,"")</f>
        <v/>
      </c>
      <c r="W624" s="39">
        <f>B624</f>
        <v/>
      </c>
      <c r="X624" s="21" t="n"/>
    </row>
    <row r="625">
      <c r="A625" s="38" t="n">
        <v>45849</v>
      </c>
      <c r="B625" s="39" t="n">
        <v>269</v>
      </c>
      <c r="C625" s="39" t="n">
        <v>623.62</v>
      </c>
      <c r="D625" s="39" t="n">
        <v>45.76</v>
      </c>
      <c r="E625" s="41">
        <f>IFERROR(B625/B624-1,"")</f>
        <v/>
      </c>
      <c r="F625" s="41">
        <f>IFERROR(C625/C624-1,"")</f>
        <v/>
      </c>
      <c r="G625" s="41">
        <f>IFERROR(D625/D624-1,"")</f>
        <v/>
      </c>
      <c r="H625" s="41">
        <f>IFERROR((1+E625)*(1+H624)-1,"")</f>
        <v/>
      </c>
      <c r="I625" s="41">
        <f>IFERROR((1+F625)*(1+I624)-1,"")</f>
        <v/>
      </c>
      <c r="J625" s="41">
        <f>IFERROR((1+G625)*(1+J624)-1,"")</f>
        <v/>
      </c>
      <c r="K625" s="42">
        <f>IFERROR(B625/$B$36*100,"")</f>
        <v/>
      </c>
      <c r="L625" s="42">
        <f>IFERROR(C625/$C$36*100,"")</f>
        <v/>
      </c>
      <c r="M625" s="42">
        <f>IFERROR(D625/$D$36*100,"")</f>
        <v/>
      </c>
      <c r="N625" s="41">
        <f>IFERROR((1+H625)/(1+I625)-1,"")</f>
        <v/>
      </c>
      <c r="O625" s="41">
        <f>IFERROR((1+H625)/(1+J625)-1,"")</f>
        <v/>
      </c>
      <c r="P625" s="39">
        <f>IFERROR(B625*0.0099502487562189+P624*(1-0.0099502487562189),"")</f>
        <v/>
      </c>
      <c r="Q625" s="42">
        <f>Q624*(1+E625)</f>
        <v/>
      </c>
      <c r="R625" s="42">
        <f>MAX(R624,Q625)</f>
        <v/>
      </c>
      <c r="S625" s="41">
        <f>IFERROR(Q625/R625-1,"")</f>
        <v/>
      </c>
      <c r="T625" s="41">
        <f>IFERROR(_xlfn.STDEV.S(E566:E625)*SQRT($D$7),"")</f>
        <v/>
      </c>
      <c r="U625" s="41">
        <f>IFERROR(MIN(E625-$D$6,0),"")</f>
        <v/>
      </c>
      <c r="V625" s="41">
        <f>IFERROR(E625-F625,"")</f>
        <v/>
      </c>
      <c r="W625" s="39">
        <f>B625</f>
        <v/>
      </c>
      <c r="X625" s="21" t="n"/>
    </row>
    <row r="626">
      <c r="A626" s="38" t="n">
        <v>45852</v>
      </c>
      <c r="B626" s="39" t="n">
        <v>269.93</v>
      </c>
      <c r="C626" s="39" t="n">
        <v>624.8099999999999</v>
      </c>
      <c r="D626" s="39" t="n">
        <v>45.505</v>
      </c>
      <c r="E626" s="41">
        <f>IFERROR(B626/B625-1,"")</f>
        <v/>
      </c>
      <c r="F626" s="41">
        <f>IFERROR(C626/C625-1,"")</f>
        <v/>
      </c>
      <c r="G626" s="41">
        <f>IFERROR(D626/D625-1,"")</f>
        <v/>
      </c>
      <c r="H626" s="41">
        <f>IFERROR((1+E626)*(1+H625)-1,"")</f>
        <v/>
      </c>
      <c r="I626" s="41">
        <f>IFERROR((1+F626)*(1+I625)-1,"")</f>
        <v/>
      </c>
      <c r="J626" s="41">
        <f>IFERROR((1+G626)*(1+J625)-1,"")</f>
        <v/>
      </c>
      <c r="K626" s="42">
        <f>IFERROR(B626/$B$36*100,"")</f>
        <v/>
      </c>
      <c r="L626" s="42">
        <f>IFERROR(C626/$C$36*100,"")</f>
        <v/>
      </c>
      <c r="M626" s="42">
        <f>IFERROR(D626/$D$36*100,"")</f>
        <v/>
      </c>
      <c r="N626" s="41">
        <f>IFERROR((1+H626)/(1+I626)-1,"")</f>
        <v/>
      </c>
      <c r="O626" s="41">
        <f>IFERROR((1+H626)/(1+J626)-1,"")</f>
        <v/>
      </c>
      <c r="P626" s="39">
        <f>IFERROR(B626*0.0099502487562189+P625*(1-0.0099502487562189),"")</f>
        <v/>
      </c>
      <c r="Q626" s="42">
        <f>Q625*(1+E626)</f>
        <v/>
      </c>
      <c r="R626" s="42">
        <f>MAX(R625,Q626)</f>
        <v/>
      </c>
      <c r="S626" s="41">
        <f>IFERROR(Q626/R626-1,"")</f>
        <v/>
      </c>
      <c r="T626" s="41">
        <f>IFERROR(_xlfn.STDEV.S(E567:E626)*SQRT($D$7),"")</f>
        <v/>
      </c>
      <c r="U626" s="41">
        <f>IFERROR(MIN(E626-$D$6,0),"")</f>
        <v/>
      </c>
      <c r="V626" s="41">
        <f>IFERROR(E626-F626,"")</f>
        <v/>
      </c>
      <c r="W626" s="39">
        <f>B626</f>
        <v/>
      </c>
      <c r="X626" s="21" t="n"/>
    </row>
    <row r="627">
      <c r="A627" s="38" t="n">
        <v>45853</v>
      </c>
      <c r="B627" s="39" t="n">
        <v>261.56</v>
      </c>
      <c r="C627" s="39" t="n">
        <v>622.14</v>
      </c>
      <c r="D627" s="39" t="n">
        <v>44.57</v>
      </c>
      <c r="E627" s="41">
        <f>IFERROR(B627/B626-1,"")</f>
        <v/>
      </c>
      <c r="F627" s="41">
        <f>IFERROR(C627/C626-1,"")</f>
        <v/>
      </c>
      <c r="G627" s="41">
        <f>IFERROR(D627/D626-1,"")</f>
        <v/>
      </c>
      <c r="H627" s="41">
        <f>IFERROR((1+E627)*(1+H626)-1,"")</f>
        <v/>
      </c>
      <c r="I627" s="41">
        <f>IFERROR((1+F627)*(1+I626)-1,"")</f>
        <v/>
      </c>
      <c r="J627" s="41">
        <f>IFERROR((1+G627)*(1+J626)-1,"")</f>
        <v/>
      </c>
      <c r="K627" s="42">
        <f>IFERROR(B627/$B$36*100,"")</f>
        <v/>
      </c>
      <c r="L627" s="42">
        <f>IFERROR(C627/$C$36*100,"")</f>
        <v/>
      </c>
      <c r="M627" s="42">
        <f>IFERROR(D627/$D$36*100,"")</f>
        <v/>
      </c>
      <c r="N627" s="41">
        <f>IFERROR((1+H627)/(1+I627)-1,"")</f>
        <v/>
      </c>
      <c r="O627" s="41">
        <f>IFERROR((1+H627)/(1+J627)-1,"")</f>
        <v/>
      </c>
      <c r="P627" s="39">
        <f>IFERROR(B627*0.0099502487562189+P626*(1-0.0099502487562189),"")</f>
        <v/>
      </c>
      <c r="Q627" s="42">
        <f>Q626*(1+E627)</f>
        <v/>
      </c>
      <c r="R627" s="42">
        <f>MAX(R626,Q627)</f>
        <v/>
      </c>
      <c r="S627" s="41">
        <f>IFERROR(Q627/R627-1,"")</f>
        <v/>
      </c>
      <c r="T627" s="41">
        <f>IFERROR(_xlfn.STDEV.S(E568:E627)*SQRT($D$7),"")</f>
        <v/>
      </c>
      <c r="U627" s="41">
        <f>IFERROR(MIN(E627-$D$6,0),"")</f>
        <v/>
      </c>
      <c r="V627" s="41">
        <f>IFERROR(E627-F627,"")</f>
        <v/>
      </c>
      <c r="W627" s="39">
        <f>B627</f>
        <v/>
      </c>
      <c r="X627" s="21" t="n"/>
    </row>
    <row r="628">
      <c r="A628" s="38" t="n">
        <v>45854</v>
      </c>
      <c r="B628" s="39" t="n">
        <v>260.62</v>
      </c>
      <c r="C628" s="39" t="n">
        <v>624.22</v>
      </c>
      <c r="D628" s="39" t="n">
        <v>44.69</v>
      </c>
      <c r="E628" s="41">
        <f>IFERROR(B628/B627-1,"")</f>
        <v/>
      </c>
      <c r="F628" s="41">
        <f>IFERROR(C628/C627-1,"")</f>
        <v/>
      </c>
      <c r="G628" s="41">
        <f>IFERROR(D628/D627-1,"")</f>
        <v/>
      </c>
      <c r="H628" s="41">
        <f>IFERROR((1+E628)*(1+H627)-1,"")</f>
        <v/>
      </c>
      <c r="I628" s="41">
        <f>IFERROR((1+F628)*(1+I627)-1,"")</f>
        <v/>
      </c>
      <c r="J628" s="41">
        <f>IFERROR((1+G628)*(1+J627)-1,"")</f>
        <v/>
      </c>
      <c r="K628" s="42">
        <f>IFERROR(B628/$B$36*100,"")</f>
        <v/>
      </c>
      <c r="L628" s="42">
        <f>IFERROR(C628/$C$36*100,"")</f>
        <v/>
      </c>
      <c r="M628" s="42">
        <f>IFERROR(D628/$D$36*100,"")</f>
        <v/>
      </c>
      <c r="N628" s="41">
        <f>IFERROR((1+H628)/(1+I628)-1,"")</f>
        <v/>
      </c>
      <c r="O628" s="41">
        <f>IFERROR((1+H628)/(1+J628)-1,"")</f>
        <v/>
      </c>
      <c r="P628" s="39">
        <f>IFERROR(B628*0.0099502487562189+P627*(1-0.0099502487562189),"")</f>
        <v/>
      </c>
      <c r="Q628" s="42">
        <f>Q627*(1+E628)</f>
        <v/>
      </c>
      <c r="R628" s="42">
        <f>MAX(R627,Q628)</f>
        <v/>
      </c>
      <c r="S628" s="41">
        <f>IFERROR(Q628/R628-1,"")</f>
        <v/>
      </c>
      <c r="T628" s="41">
        <f>IFERROR(_xlfn.STDEV.S(E569:E628)*SQRT($D$7),"")</f>
        <v/>
      </c>
      <c r="U628" s="41">
        <f>IFERROR(MIN(E628-$D$6,0),"")</f>
        <v/>
      </c>
      <c r="V628" s="41">
        <f>IFERROR(E628-F628,"")</f>
        <v/>
      </c>
      <c r="W628" s="39">
        <f>B628</f>
        <v/>
      </c>
      <c r="X628" s="21" t="n"/>
    </row>
    <row r="629">
      <c r="A629" s="38" t="n">
        <v>45855</v>
      </c>
      <c r="B629" s="39" t="n">
        <v>263.01</v>
      </c>
      <c r="C629" s="39" t="n">
        <v>628.04</v>
      </c>
      <c r="D629" s="39" t="n">
        <v>45.005</v>
      </c>
      <c r="E629" s="41">
        <f>IFERROR(B629/B628-1,"")</f>
        <v/>
      </c>
      <c r="F629" s="41">
        <f>IFERROR(C629/C628-1,"")</f>
        <v/>
      </c>
      <c r="G629" s="41">
        <f>IFERROR(D629/D628-1,"")</f>
        <v/>
      </c>
      <c r="H629" s="41">
        <f>IFERROR((1+E629)*(1+H628)-1,"")</f>
        <v/>
      </c>
      <c r="I629" s="41">
        <f>IFERROR((1+F629)*(1+I628)-1,"")</f>
        <v/>
      </c>
      <c r="J629" s="41">
        <f>IFERROR((1+G629)*(1+J628)-1,"")</f>
        <v/>
      </c>
      <c r="K629" s="42">
        <f>IFERROR(B629/$B$36*100,"")</f>
        <v/>
      </c>
      <c r="L629" s="42">
        <f>IFERROR(C629/$C$36*100,"")</f>
        <v/>
      </c>
      <c r="M629" s="42">
        <f>IFERROR(D629/$D$36*100,"")</f>
        <v/>
      </c>
      <c r="N629" s="41">
        <f>IFERROR((1+H629)/(1+I629)-1,"")</f>
        <v/>
      </c>
      <c r="O629" s="41">
        <f>IFERROR((1+H629)/(1+J629)-1,"")</f>
        <v/>
      </c>
      <c r="P629" s="39">
        <f>IFERROR(B629*0.0099502487562189+P628*(1-0.0099502487562189),"")</f>
        <v/>
      </c>
      <c r="Q629" s="42">
        <f>Q628*(1+E629)</f>
        <v/>
      </c>
      <c r="R629" s="42">
        <f>MAX(R628,Q629)</f>
        <v/>
      </c>
      <c r="S629" s="41">
        <f>IFERROR(Q629/R629-1,"")</f>
        <v/>
      </c>
      <c r="T629" s="41">
        <f>IFERROR(_xlfn.STDEV.S(E570:E629)*SQRT($D$7),"")</f>
        <v/>
      </c>
      <c r="U629" s="41">
        <f>IFERROR(MIN(E629-$D$6,0),"")</f>
        <v/>
      </c>
      <c r="V629" s="41">
        <f>IFERROR(E629-F629,"")</f>
        <v/>
      </c>
      <c r="W629" s="39">
        <f>B629</f>
        <v/>
      </c>
      <c r="X629" s="21" t="n"/>
    </row>
    <row r="630">
      <c r="A630" s="38" t="n">
        <v>45856</v>
      </c>
      <c r="B630" s="39" t="n">
        <v>266.6</v>
      </c>
      <c r="C630" s="39" t="n">
        <v>627.58</v>
      </c>
      <c r="D630" s="39" t="n">
        <v>45.11</v>
      </c>
      <c r="E630" s="41">
        <f>IFERROR(B630/B629-1,"")</f>
        <v/>
      </c>
      <c r="F630" s="41">
        <f>IFERROR(C630/C629-1,"")</f>
        <v/>
      </c>
      <c r="G630" s="41">
        <f>IFERROR(D630/D629-1,"")</f>
        <v/>
      </c>
      <c r="H630" s="41">
        <f>IFERROR((1+E630)*(1+H629)-1,"")</f>
        <v/>
      </c>
      <c r="I630" s="41">
        <f>IFERROR((1+F630)*(1+I629)-1,"")</f>
        <v/>
      </c>
      <c r="J630" s="41">
        <f>IFERROR((1+G630)*(1+J629)-1,"")</f>
        <v/>
      </c>
      <c r="K630" s="42">
        <f>IFERROR(B630/$B$36*100,"")</f>
        <v/>
      </c>
      <c r="L630" s="42">
        <f>IFERROR(C630/$C$36*100,"")</f>
        <v/>
      </c>
      <c r="M630" s="42">
        <f>IFERROR(D630/$D$36*100,"")</f>
        <v/>
      </c>
      <c r="N630" s="41">
        <f>IFERROR((1+H630)/(1+I630)-1,"")</f>
        <v/>
      </c>
      <c r="O630" s="41">
        <f>IFERROR((1+H630)/(1+J630)-1,"")</f>
        <v/>
      </c>
      <c r="P630" s="39">
        <f>IFERROR(B630*0.0099502487562189+P629*(1-0.0099502487562189),"")</f>
        <v/>
      </c>
      <c r="Q630" s="42">
        <f>Q629*(1+E630)</f>
        <v/>
      </c>
      <c r="R630" s="42">
        <f>MAX(R629,Q630)</f>
        <v/>
      </c>
      <c r="S630" s="41">
        <f>IFERROR(Q630/R630-1,"")</f>
        <v/>
      </c>
      <c r="T630" s="41">
        <f>IFERROR(_xlfn.STDEV.S(E571:E630)*SQRT($D$7),"")</f>
        <v/>
      </c>
      <c r="U630" s="41">
        <f>IFERROR(MIN(E630-$D$6,0),"")</f>
        <v/>
      </c>
      <c r="V630" s="41">
        <f>IFERROR(E630-F630,"")</f>
        <v/>
      </c>
      <c r="W630" s="39">
        <f>B630</f>
        <v/>
      </c>
      <c r="X630" s="21" t="n"/>
    </row>
    <row r="631">
      <c r="A631" s="38" t="n">
        <v>45859</v>
      </c>
      <c r="B631" s="39" t="n">
        <v>265.01</v>
      </c>
      <c r="C631" s="39" t="n">
        <v>628.77</v>
      </c>
      <c r="D631" s="39" t="n">
        <v>45.34</v>
      </c>
      <c r="E631" s="41">
        <f>IFERROR(B631/B630-1,"")</f>
        <v/>
      </c>
      <c r="F631" s="41">
        <f>IFERROR(C631/C630-1,"")</f>
        <v/>
      </c>
      <c r="G631" s="41">
        <f>IFERROR(D631/D630-1,"")</f>
        <v/>
      </c>
      <c r="H631" s="41">
        <f>IFERROR((1+E631)*(1+H630)-1,"")</f>
        <v/>
      </c>
      <c r="I631" s="41">
        <f>IFERROR((1+F631)*(1+I630)-1,"")</f>
        <v/>
      </c>
      <c r="J631" s="41">
        <f>IFERROR((1+G631)*(1+J630)-1,"")</f>
        <v/>
      </c>
      <c r="K631" s="42">
        <f>IFERROR(B631/$B$36*100,"")</f>
        <v/>
      </c>
      <c r="L631" s="42">
        <f>IFERROR(C631/$C$36*100,"")</f>
        <v/>
      </c>
      <c r="M631" s="42">
        <f>IFERROR(D631/$D$36*100,"")</f>
        <v/>
      </c>
      <c r="N631" s="41">
        <f>IFERROR((1+H631)/(1+I631)-1,"")</f>
        <v/>
      </c>
      <c r="O631" s="41">
        <f>IFERROR((1+H631)/(1+J631)-1,"")</f>
        <v/>
      </c>
      <c r="P631" s="39">
        <f>IFERROR(B631*0.0099502487562189+P630*(1-0.0099502487562189),"")</f>
        <v/>
      </c>
      <c r="Q631" s="42">
        <f>Q630*(1+E631)</f>
        <v/>
      </c>
      <c r="R631" s="42">
        <f>MAX(R630,Q631)</f>
        <v/>
      </c>
      <c r="S631" s="41">
        <f>IFERROR(Q631/R631-1,"")</f>
        <v/>
      </c>
      <c r="T631" s="41">
        <f>IFERROR(_xlfn.STDEV.S(E572:E631)*SQRT($D$7),"")</f>
        <v/>
      </c>
      <c r="U631" s="41">
        <f>IFERROR(MIN(E631-$D$6,0),"")</f>
        <v/>
      </c>
      <c r="V631" s="41">
        <f>IFERROR(E631-F631,"")</f>
        <v/>
      </c>
      <c r="W631" s="39">
        <f>B631</f>
        <v/>
      </c>
      <c r="X631" s="21" t="n"/>
    </row>
    <row r="632">
      <c r="A632" s="38" t="n">
        <v>45860</v>
      </c>
      <c r="B632" s="39" t="n">
        <v>267.78</v>
      </c>
      <c r="C632" s="39" t="n">
        <v>628.86</v>
      </c>
      <c r="D632" s="39" t="n">
        <v>45.965</v>
      </c>
      <c r="E632" s="41">
        <f>IFERROR(B632/B631-1,"")</f>
        <v/>
      </c>
      <c r="F632" s="41">
        <f>IFERROR(C632/C631-1,"")</f>
        <v/>
      </c>
      <c r="G632" s="41">
        <f>IFERROR(D632/D631-1,"")</f>
        <v/>
      </c>
      <c r="H632" s="41">
        <f>IFERROR((1+E632)*(1+H631)-1,"")</f>
        <v/>
      </c>
      <c r="I632" s="41">
        <f>IFERROR((1+F632)*(1+I631)-1,"")</f>
        <v/>
      </c>
      <c r="J632" s="41">
        <f>IFERROR((1+G632)*(1+J631)-1,"")</f>
        <v/>
      </c>
      <c r="K632" s="42">
        <f>IFERROR(B632/$B$36*100,"")</f>
        <v/>
      </c>
      <c r="L632" s="42">
        <f>IFERROR(C632/$C$36*100,"")</f>
        <v/>
      </c>
      <c r="M632" s="42">
        <f>IFERROR(D632/$D$36*100,"")</f>
        <v/>
      </c>
      <c r="N632" s="41">
        <f>IFERROR((1+H632)/(1+I632)-1,"")</f>
        <v/>
      </c>
      <c r="O632" s="41">
        <f>IFERROR((1+H632)/(1+J632)-1,"")</f>
        <v/>
      </c>
      <c r="P632" s="39">
        <f>IFERROR(B632*0.0099502487562189+P631*(1-0.0099502487562189),"")</f>
        <v/>
      </c>
      <c r="Q632" s="42">
        <f>Q631*(1+E632)</f>
        <v/>
      </c>
      <c r="R632" s="42">
        <f>MAX(R631,Q632)</f>
        <v/>
      </c>
      <c r="S632" s="41">
        <f>IFERROR(Q632/R632-1,"")</f>
        <v/>
      </c>
      <c r="T632" s="41">
        <f>IFERROR(_xlfn.STDEV.S(E573:E632)*SQRT($D$7),"")</f>
        <v/>
      </c>
      <c r="U632" s="41">
        <f>IFERROR(MIN(E632-$D$6,0),"")</f>
        <v/>
      </c>
      <c r="V632" s="41">
        <f>IFERROR(E632-F632,"")</f>
        <v/>
      </c>
      <c r="W632" s="39">
        <f>B632</f>
        <v/>
      </c>
      <c r="X632" s="21" t="n"/>
    </row>
    <row r="633">
      <c r="A633" s="38" t="n">
        <v>45861</v>
      </c>
      <c r="B633" s="39" t="n">
        <v>269.11</v>
      </c>
      <c r="C633" s="39" t="n">
        <v>634.21</v>
      </c>
      <c r="D633" s="39" t="n">
        <v>46.12</v>
      </c>
      <c r="E633" s="41">
        <f>IFERROR(B633/B632-1,"")</f>
        <v/>
      </c>
      <c r="F633" s="41">
        <f>IFERROR(C633/C632-1,"")</f>
        <v/>
      </c>
      <c r="G633" s="41">
        <f>IFERROR(D633/D632-1,"")</f>
        <v/>
      </c>
      <c r="H633" s="41">
        <f>IFERROR((1+E633)*(1+H632)-1,"")</f>
        <v/>
      </c>
      <c r="I633" s="41">
        <f>IFERROR((1+F633)*(1+I632)-1,"")</f>
        <v/>
      </c>
      <c r="J633" s="41">
        <f>IFERROR((1+G633)*(1+J632)-1,"")</f>
        <v/>
      </c>
      <c r="K633" s="42">
        <f>IFERROR(B633/$B$36*100,"")</f>
        <v/>
      </c>
      <c r="L633" s="42">
        <f>IFERROR(C633/$C$36*100,"")</f>
        <v/>
      </c>
      <c r="M633" s="42">
        <f>IFERROR(D633/$D$36*100,"")</f>
        <v/>
      </c>
      <c r="N633" s="41">
        <f>IFERROR((1+H633)/(1+I633)-1,"")</f>
        <v/>
      </c>
      <c r="O633" s="41">
        <f>IFERROR((1+H633)/(1+J633)-1,"")</f>
        <v/>
      </c>
      <c r="P633" s="39">
        <f>IFERROR(B633*0.0099502487562189+P632*(1-0.0099502487562189),"")</f>
        <v/>
      </c>
      <c r="Q633" s="42">
        <f>Q632*(1+E633)</f>
        <v/>
      </c>
      <c r="R633" s="42">
        <f>MAX(R632,Q633)</f>
        <v/>
      </c>
      <c r="S633" s="41">
        <f>IFERROR(Q633/R633-1,"")</f>
        <v/>
      </c>
      <c r="T633" s="41">
        <f>IFERROR(_xlfn.STDEV.S(E574:E633)*SQRT($D$7),"")</f>
        <v/>
      </c>
      <c r="U633" s="41">
        <f>IFERROR(MIN(E633-$D$6,0),"")</f>
        <v/>
      </c>
      <c r="V633" s="41">
        <f>IFERROR(E633-F633,"")</f>
        <v/>
      </c>
      <c r="W633" s="39">
        <f>B633</f>
        <v/>
      </c>
      <c r="X633" s="21" t="n"/>
    </row>
    <row r="634">
      <c r="A634" s="38" t="n">
        <v>45862</v>
      </c>
      <c r="B634" s="39" t="n">
        <v>271.42</v>
      </c>
      <c r="C634" s="39" t="n">
        <v>634.42</v>
      </c>
      <c r="D634" s="39" t="n">
        <v>45.645</v>
      </c>
      <c r="E634" s="41">
        <f>IFERROR(B634/B633-1,"")</f>
        <v/>
      </c>
      <c r="F634" s="41">
        <f>IFERROR(C634/C633-1,"")</f>
        <v/>
      </c>
      <c r="G634" s="41">
        <f>IFERROR(D634/D633-1,"")</f>
        <v/>
      </c>
      <c r="H634" s="41">
        <f>IFERROR((1+E634)*(1+H633)-1,"")</f>
        <v/>
      </c>
      <c r="I634" s="41">
        <f>IFERROR((1+F634)*(1+I633)-1,"")</f>
        <v/>
      </c>
      <c r="J634" s="41">
        <f>IFERROR((1+G634)*(1+J633)-1,"")</f>
        <v/>
      </c>
      <c r="K634" s="42">
        <f>IFERROR(B634/$B$36*100,"")</f>
        <v/>
      </c>
      <c r="L634" s="42">
        <f>IFERROR(C634/$C$36*100,"")</f>
        <v/>
      </c>
      <c r="M634" s="42">
        <f>IFERROR(D634/$D$36*100,"")</f>
        <v/>
      </c>
      <c r="N634" s="41">
        <f>IFERROR((1+H634)/(1+I634)-1,"")</f>
        <v/>
      </c>
      <c r="O634" s="41">
        <f>IFERROR((1+H634)/(1+J634)-1,"")</f>
        <v/>
      </c>
      <c r="P634" s="39">
        <f>IFERROR(B634*0.0099502487562189+P633*(1-0.0099502487562189),"")</f>
        <v/>
      </c>
      <c r="Q634" s="42">
        <f>Q633*(1+E634)</f>
        <v/>
      </c>
      <c r="R634" s="42">
        <f>MAX(R633,Q634)</f>
        <v/>
      </c>
      <c r="S634" s="41">
        <f>IFERROR(Q634/R634-1,"")</f>
        <v/>
      </c>
      <c r="T634" s="41">
        <f>IFERROR(_xlfn.STDEV.S(E575:E634)*SQRT($D$7),"")</f>
        <v/>
      </c>
      <c r="U634" s="41">
        <f>IFERROR(MIN(E634-$D$6,0),"")</f>
        <v/>
      </c>
      <c r="V634" s="41">
        <f>IFERROR(E634-F634,"")</f>
        <v/>
      </c>
      <c r="W634" s="39">
        <f>B634</f>
        <v/>
      </c>
      <c r="X634" s="21" t="n"/>
    </row>
    <row r="635">
      <c r="A635" s="38" t="n">
        <v>45863</v>
      </c>
      <c r="B635" s="39" t="n">
        <v>274.83</v>
      </c>
      <c r="C635" s="39" t="n">
        <v>637.1</v>
      </c>
      <c r="D635" s="39" t="n">
        <v>46.185</v>
      </c>
      <c r="E635" s="41">
        <f>IFERROR(B635/B634-1,"")</f>
        <v/>
      </c>
      <c r="F635" s="41">
        <f>IFERROR(C635/C634-1,"")</f>
        <v/>
      </c>
      <c r="G635" s="41">
        <f>IFERROR(D635/D634-1,"")</f>
        <v/>
      </c>
      <c r="H635" s="41">
        <f>IFERROR((1+E635)*(1+H634)-1,"")</f>
        <v/>
      </c>
      <c r="I635" s="41">
        <f>IFERROR((1+F635)*(1+I634)-1,"")</f>
        <v/>
      </c>
      <c r="J635" s="41">
        <f>IFERROR((1+G635)*(1+J634)-1,"")</f>
        <v/>
      </c>
      <c r="K635" s="42">
        <f>IFERROR(B635/$B$36*100,"")</f>
        <v/>
      </c>
      <c r="L635" s="42">
        <f>IFERROR(C635/$C$36*100,"")</f>
        <v/>
      </c>
      <c r="M635" s="42">
        <f>IFERROR(D635/$D$36*100,"")</f>
        <v/>
      </c>
      <c r="N635" s="41">
        <f>IFERROR((1+H635)/(1+I635)-1,"")</f>
        <v/>
      </c>
      <c r="O635" s="41">
        <f>IFERROR((1+H635)/(1+J635)-1,"")</f>
        <v/>
      </c>
      <c r="P635" s="39">
        <f>IFERROR(B635*0.0099502487562189+P634*(1-0.0099502487562189),"")</f>
        <v/>
      </c>
      <c r="Q635" s="42">
        <f>Q634*(1+E635)</f>
        <v/>
      </c>
      <c r="R635" s="42">
        <f>MAX(R634,Q635)</f>
        <v/>
      </c>
      <c r="S635" s="41">
        <f>IFERROR(Q635/R635-1,"")</f>
        <v/>
      </c>
      <c r="T635" s="41">
        <f>IFERROR(_xlfn.STDEV.S(E576:E635)*SQRT($D$7),"")</f>
        <v/>
      </c>
      <c r="U635" s="41">
        <f>IFERROR(MIN(E635-$D$6,0),"")</f>
        <v/>
      </c>
      <c r="V635" s="41">
        <f>IFERROR(E635-F635,"")</f>
        <v/>
      </c>
      <c r="W635" s="39">
        <f>B635</f>
        <v/>
      </c>
      <c r="X635" s="21" t="n"/>
    </row>
    <row r="636">
      <c r="A636" s="38" t="n">
        <v>45866</v>
      </c>
      <c r="B636" s="39" t="n">
        <v>270.11</v>
      </c>
      <c r="C636" s="39" t="n">
        <v>636.9400000000001</v>
      </c>
      <c r="D636" s="39" t="n">
        <v>45.515</v>
      </c>
      <c r="E636" s="41">
        <f>IFERROR(B636/B635-1,"")</f>
        <v/>
      </c>
      <c r="F636" s="41">
        <f>IFERROR(C636/C635-1,"")</f>
        <v/>
      </c>
      <c r="G636" s="41">
        <f>IFERROR(D636/D635-1,"")</f>
        <v/>
      </c>
      <c r="H636" s="41">
        <f>IFERROR((1+E636)*(1+H635)-1,"")</f>
        <v/>
      </c>
      <c r="I636" s="41">
        <f>IFERROR((1+F636)*(1+I635)-1,"")</f>
        <v/>
      </c>
      <c r="J636" s="41">
        <f>IFERROR((1+G636)*(1+J635)-1,"")</f>
        <v/>
      </c>
      <c r="K636" s="42">
        <f>IFERROR(B636/$B$36*100,"")</f>
        <v/>
      </c>
      <c r="L636" s="42">
        <f>IFERROR(C636/$C$36*100,"")</f>
        <v/>
      </c>
      <c r="M636" s="42">
        <f>IFERROR(D636/$D$36*100,"")</f>
        <v/>
      </c>
      <c r="N636" s="41">
        <f>IFERROR((1+H636)/(1+I636)-1,"")</f>
        <v/>
      </c>
      <c r="O636" s="41">
        <f>IFERROR((1+H636)/(1+J636)-1,"")</f>
        <v/>
      </c>
      <c r="P636" s="39">
        <f>IFERROR(B636*0.0099502487562189+P635*(1-0.0099502487562189),"")</f>
        <v/>
      </c>
      <c r="Q636" s="42">
        <f>Q635*(1+E636)</f>
        <v/>
      </c>
      <c r="R636" s="42">
        <f>MAX(R635,Q636)</f>
        <v/>
      </c>
      <c r="S636" s="41">
        <f>IFERROR(Q636/R636-1,"")</f>
        <v/>
      </c>
      <c r="T636" s="41">
        <f>IFERROR(_xlfn.STDEV.S(E577:E636)*SQRT($D$7),"")</f>
        <v/>
      </c>
      <c r="U636" s="41">
        <f>IFERROR(MIN(E636-$D$6,0),"")</f>
        <v/>
      </c>
      <c r="V636" s="41">
        <f>IFERROR(E636-F636,"")</f>
        <v/>
      </c>
      <c r="W636" s="39">
        <f>B636</f>
        <v/>
      </c>
      <c r="X636" s="21" t="n"/>
    </row>
    <row r="637">
      <c r="A637" s="38" t="n">
        <v>45867</v>
      </c>
      <c r="B637" s="39" t="n">
        <v>273.92</v>
      </c>
      <c r="C637" s="39" t="n">
        <v>635.26</v>
      </c>
      <c r="D637" s="39" t="n">
        <v>45.34</v>
      </c>
      <c r="E637" s="41">
        <f>IFERROR(B637/B636-1,"")</f>
        <v/>
      </c>
      <c r="F637" s="41">
        <f>IFERROR(C637/C636-1,"")</f>
        <v/>
      </c>
      <c r="G637" s="41">
        <f>IFERROR(D637/D636-1,"")</f>
        <v/>
      </c>
      <c r="H637" s="41">
        <f>IFERROR((1+E637)*(1+H636)-1,"")</f>
        <v/>
      </c>
      <c r="I637" s="41">
        <f>IFERROR((1+F637)*(1+I636)-1,"")</f>
        <v/>
      </c>
      <c r="J637" s="41">
        <f>IFERROR((1+G637)*(1+J636)-1,"")</f>
        <v/>
      </c>
      <c r="K637" s="42">
        <f>IFERROR(B637/$B$36*100,"")</f>
        <v/>
      </c>
      <c r="L637" s="42">
        <f>IFERROR(C637/$C$36*100,"")</f>
        <v/>
      </c>
      <c r="M637" s="42">
        <f>IFERROR(D637/$D$36*100,"")</f>
        <v/>
      </c>
      <c r="N637" s="41">
        <f>IFERROR((1+H637)/(1+I637)-1,"")</f>
        <v/>
      </c>
      <c r="O637" s="41">
        <f>IFERROR((1+H637)/(1+J637)-1,"")</f>
        <v/>
      </c>
      <c r="P637" s="39">
        <f>IFERROR(B637*0.0099502487562189+P636*(1-0.0099502487562189),"")</f>
        <v/>
      </c>
      <c r="Q637" s="42">
        <f>Q636*(1+E637)</f>
        <v/>
      </c>
      <c r="R637" s="42">
        <f>MAX(R636,Q637)</f>
        <v/>
      </c>
      <c r="S637" s="41">
        <f>IFERROR(Q637/R637-1,"")</f>
        <v/>
      </c>
      <c r="T637" s="41">
        <f>IFERROR(_xlfn.STDEV.S(E578:E637)*SQRT($D$7),"")</f>
        <v/>
      </c>
      <c r="U637" s="41">
        <f>IFERROR(MIN(E637-$D$6,0),"")</f>
        <v/>
      </c>
      <c r="V637" s="41">
        <f>IFERROR(E637-F637,"")</f>
        <v/>
      </c>
      <c r="W637" s="39">
        <f>B637</f>
        <v/>
      </c>
      <c r="X637" s="21" t="n"/>
    </row>
    <row r="638">
      <c r="A638" s="38" t="n">
        <v>45868</v>
      </c>
      <c r="B638" s="39" t="n">
        <v>272.77</v>
      </c>
      <c r="C638" s="39" t="n">
        <v>634.46</v>
      </c>
      <c r="D638" s="39" t="n">
        <v>44.425</v>
      </c>
      <c r="E638" s="41">
        <f>IFERROR(B638/B637-1,"")</f>
        <v/>
      </c>
      <c r="F638" s="41">
        <f>IFERROR(C638/C637-1,"")</f>
        <v/>
      </c>
      <c r="G638" s="41">
        <f>IFERROR(D638/D637-1,"")</f>
        <v/>
      </c>
      <c r="H638" s="41">
        <f>IFERROR((1+E638)*(1+H637)-1,"")</f>
        <v/>
      </c>
      <c r="I638" s="41">
        <f>IFERROR((1+F638)*(1+I637)-1,"")</f>
        <v/>
      </c>
      <c r="J638" s="41">
        <f>IFERROR((1+G638)*(1+J637)-1,"")</f>
        <v/>
      </c>
      <c r="K638" s="42">
        <f>IFERROR(B638/$B$36*100,"")</f>
        <v/>
      </c>
      <c r="L638" s="42">
        <f>IFERROR(C638/$C$36*100,"")</f>
        <v/>
      </c>
      <c r="M638" s="42">
        <f>IFERROR(D638/$D$36*100,"")</f>
        <v/>
      </c>
      <c r="N638" s="41">
        <f>IFERROR((1+H638)/(1+I638)-1,"")</f>
        <v/>
      </c>
      <c r="O638" s="41">
        <f>IFERROR((1+H638)/(1+J638)-1,"")</f>
        <v/>
      </c>
      <c r="P638" s="39">
        <f>IFERROR(B638*0.0099502487562189+P637*(1-0.0099502487562189),"")</f>
        <v/>
      </c>
      <c r="Q638" s="42">
        <f>Q637*(1+E638)</f>
        <v/>
      </c>
      <c r="R638" s="42">
        <f>MAX(R637,Q638)</f>
        <v/>
      </c>
      <c r="S638" s="41">
        <f>IFERROR(Q638/R638-1,"")</f>
        <v/>
      </c>
      <c r="T638" s="41">
        <f>IFERROR(_xlfn.STDEV.S(E579:E638)*SQRT($D$7),"")</f>
        <v/>
      </c>
      <c r="U638" s="41">
        <f>IFERROR(MIN(E638-$D$6,0),"")</f>
        <v/>
      </c>
      <c r="V638" s="41">
        <f>IFERROR(E638-F638,"")</f>
        <v/>
      </c>
      <c r="W638" s="39">
        <f>B638</f>
        <v/>
      </c>
      <c r="X638" s="21" t="n"/>
    </row>
    <row r="639">
      <c r="A639" s="38" t="n">
        <v>45869</v>
      </c>
      <c r="B639" s="39" t="n">
        <v>274.67</v>
      </c>
      <c r="C639" s="39" t="n">
        <v>632.08</v>
      </c>
      <c r="D639" s="39" t="n">
        <v>43.865</v>
      </c>
      <c r="E639" s="41">
        <f>IFERROR(B639/B638-1,"")</f>
        <v/>
      </c>
      <c r="F639" s="41">
        <f>IFERROR(C639/C638-1,"")</f>
        <v/>
      </c>
      <c r="G639" s="41">
        <f>IFERROR(D639/D638-1,"")</f>
        <v/>
      </c>
      <c r="H639" s="41">
        <f>IFERROR((1+E639)*(1+H638)-1,"")</f>
        <v/>
      </c>
      <c r="I639" s="41">
        <f>IFERROR((1+F639)*(1+I638)-1,"")</f>
        <v/>
      </c>
      <c r="J639" s="41">
        <f>IFERROR((1+G639)*(1+J638)-1,"")</f>
        <v/>
      </c>
      <c r="K639" s="42">
        <f>IFERROR(B639/$B$36*100,"")</f>
        <v/>
      </c>
      <c r="L639" s="42">
        <f>IFERROR(C639/$C$36*100,"")</f>
        <v/>
      </c>
      <c r="M639" s="42">
        <f>IFERROR(D639/$D$36*100,"")</f>
        <v/>
      </c>
      <c r="N639" s="41">
        <f>IFERROR((1+H639)/(1+I639)-1,"")</f>
        <v/>
      </c>
      <c r="O639" s="41">
        <f>IFERROR((1+H639)/(1+J639)-1,"")</f>
        <v/>
      </c>
      <c r="P639" s="39">
        <f>IFERROR(B639*0.0099502487562189+P638*(1-0.0099502487562189),"")</f>
        <v/>
      </c>
      <c r="Q639" s="42">
        <f>Q638*(1+E639)</f>
        <v/>
      </c>
      <c r="R639" s="42">
        <f>MAX(R638,Q639)</f>
        <v/>
      </c>
      <c r="S639" s="41">
        <f>IFERROR(Q639/R639-1,"")</f>
        <v/>
      </c>
      <c r="T639" s="41">
        <f>IFERROR(_xlfn.STDEV.S(E580:E639)*SQRT($D$7),"")</f>
        <v/>
      </c>
      <c r="U639" s="41">
        <f>IFERROR(MIN(E639-$D$6,0),"")</f>
        <v/>
      </c>
      <c r="V639" s="41">
        <f>IFERROR(E639-F639,"")</f>
        <v/>
      </c>
      <c r="W639" s="39">
        <f>B639</f>
        <v/>
      </c>
      <c r="X639" s="21" t="n"/>
    </row>
    <row r="640">
      <c r="A640" s="38" t="n">
        <v>45870</v>
      </c>
      <c r="B640" s="39" t="n">
        <v>274.94</v>
      </c>
      <c r="C640" s="39" t="n">
        <v>621.72</v>
      </c>
      <c r="D640" s="39" t="n">
        <v>43.36</v>
      </c>
      <c r="E640" s="41">
        <f>IFERROR(B640/B639-1,"")</f>
        <v/>
      </c>
      <c r="F640" s="41">
        <f>IFERROR(C640/C639-1,"")</f>
        <v/>
      </c>
      <c r="G640" s="41">
        <f>IFERROR(D640/D639-1,"")</f>
        <v/>
      </c>
      <c r="H640" s="41">
        <f>IFERROR((1+E640)*(1+H639)-1,"")</f>
        <v/>
      </c>
      <c r="I640" s="41">
        <f>IFERROR((1+F640)*(1+I639)-1,"")</f>
        <v/>
      </c>
      <c r="J640" s="41">
        <f>IFERROR((1+G640)*(1+J639)-1,"")</f>
        <v/>
      </c>
      <c r="K640" s="42">
        <f>IFERROR(B640/$B$36*100,"")</f>
        <v/>
      </c>
      <c r="L640" s="42">
        <f>IFERROR(C640/$C$36*100,"")</f>
        <v/>
      </c>
      <c r="M640" s="42">
        <f>IFERROR(D640/$D$36*100,"")</f>
        <v/>
      </c>
      <c r="N640" s="41">
        <f>IFERROR((1+H640)/(1+I640)-1,"")</f>
        <v/>
      </c>
      <c r="O640" s="41">
        <f>IFERROR((1+H640)/(1+J640)-1,"")</f>
        <v/>
      </c>
      <c r="P640" s="39">
        <f>IFERROR(B640*0.0099502487562189+P639*(1-0.0099502487562189),"")</f>
        <v/>
      </c>
      <c r="Q640" s="42">
        <f>Q639*(1+E640)</f>
        <v/>
      </c>
      <c r="R640" s="42">
        <f>MAX(R639,Q640)</f>
        <v/>
      </c>
      <c r="S640" s="41">
        <f>IFERROR(Q640/R640-1,"")</f>
        <v/>
      </c>
      <c r="T640" s="41">
        <f>IFERROR(_xlfn.STDEV.S(E581:E640)*SQRT($D$7),"")</f>
        <v/>
      </c>
      <c r="U640" s="41">
        <f>IFERROR(MIN(E640-$D$6,0),"")</f>
        <v/>
      </c>
      <c r="V640" s="41">
        <f>IFERROR(E640-F640,"")</f>
        <v/>
      </c>
      <c r="W640" s="39">
        <f>B640</f>
        <v/>
      </c>
      <c r="X640" s="21" t="n"/>
    </row>
    <row r="641">
      <c r="A641" s="38" t="n">
        <v>45873</v>
      </c>
      <c r="B641" s="39" t="n">
        <v>281.85</v>
      </c>
      <c r="C641" s="39" t="n">
        <v>631.17</v>
      </c>
      <c r="D641" s="39" t="n">
        <v>43.935</v>
      </c>
      <c r="E641" s="41">
        <f>IFERROR(B641/B640-1,"")</f>
        <v/>
      </c>
      <c r="F641" s="41">
        <f>IFERROR(C641/C640-1,"")</f>
        <v/>
      </c>
      <c r="G641" s="41">
        <f>IFERROR(D641/D640-1,"")</f>
        <v/>
      </c>
      <c r="H641" s="41">
        <f>IFERROR((1+E641)*(1+H640)-1,"")</f>
        <v/>
      </c>
      <c r="I641" s="41">
        <f>IFERROR((1+F641)*(1+I640)-1,"")</f>
        <v/>
      </c>
      <c r="J641" s="41">
        <f>IFERROR((1+G641)*(1+J640)-1,"")</f>
        <v/>
      </c>
      <c r="K641" s="42">
        <f>IFERROR(B641/$B$36*100,"")</f>
        <v/>
      </c>
      <c r="L641" s="42">
        <f>IFERROR(C641/$C$36*100,"")</f>
        <v/>
      </c>
      <c r="M641" s="42">
        <f>IFERROR(D641/$D$36*100,"")</f>
        <v/>
      </c>
      <c r="N641" s="41">
        <f>IFERROR((1+H641)/(1+I641)-1,"")</f>
        <v/>
      </c>
      <c r="O641" s="41">
        <f>IFERROR((1+H641)/(1+J641)-1,"")</f>
        <v/>
      </c>
      <c r="P641" s="39">
        <f>IFERROR(B641*0.0099502487562189+P640*(1-0.0099502487562189),"")</f>
        <v/>
      </c>
      <c r="Q641" s="42">
        <f>Q640*(1+E641)</f>
        <v/>
      </c>
      <c r="R641" s="42">
        <f>MAX(R640,Q641)</f>
        <v/>
      </c>
      <c r="S641" s="41">
        <f>IFERROR(Q641/R641-1,"")</f>
        <v/>
      </c>
      <c r="T641" s="41">
        <f>IFERROR(_xlfn.STDEV.S(E582:E641)*SQRT($D$7),"")</f>
        <v/>
      </c>
      <c r="U641" s="41">
        <f>IFERROR(MIN(E641-$D$6,0),"")</f>
        <v/>
      </c>
      <c r="V641" s="41">
        <f>IFERROR(E641-F641,"")</f>
        <v/>
      </c>
      <c r="W641" s="39">
        <f>B641</f>
        <v/>
      </c>
      <c r="X641" s="21" t="n"/>
    </row>
    <row r="642">
      <c r="A642" s="38" t="n">
        <v>45874</v>
      </c>
      <c r="B642" s="39" t="n">
        <v>283.17</v>
      </c>
      <c r="C642" s="39" t="n">
        <v>627.97</v>
      </c>
      <c r="D642" s="39" t="n">
        <v>44.245</v>
      </c>
      <c r="E642" s="41">
        <f>IFERROR(B642/B641-1,"")</f>
        <v/>
      </c>
      <c r="F642" s="41">
        <f>IFERROR(C642/C641-1,"")</f>
        <v/>
      </c>
      <c r="G642" s="41">
        <f>IFERROR(D642/D641-1,"")</f>
        <v/>
      </c>
      <c r="H642" s="41">
        <f>IFERROR((1+E642)*(1+H641)-1,"")</f>
        <v/>
      </c>
      <c r="I642" s="41">
        <f>IFERROR((1+F642)*(1+I641)-1,"")</f>
        <v/>
      </c>
      <c r="J642" s="41">
        <f>IFERROR((1+G642)*(1+J641)-1,"")</f>
        <v/>
      </c>
      <c r="K642" s="42">
        <f>IFERROR(B642/$B$36*100,"")</f>
        <v/>
      </c>
      <c r="L642" s="42">
        <f>IFERROR(C642/$C$36*100,"")</f>
        <v/>
      </c>
      <c r="M642" s="42">
        <f>IFERROR(D642/$D$36*100,"")</f>
        <v/>
      </c>
      <c r="N642" s="41">
        <f>IFERROR((1+H642)/(1+I642)-1,"")</f>
        <v/>
      </c>
      <c r="O642" s="41">
        <f>IFERROR((1+H642)/(1+J642)-1,"")</f>
        <v/>
      </c>
      <c r="P642" s="39">
        <f>IFERROR(B642*0.0099502487562189+P641*(1-0.0099502487562189),"")</f>
        <v/>
      </c>
      <c r="Q642" s="42">
        <f>Q641*(1+E642)</f>
        <v/>
      </c>
      <c r="R642" s="42">
        <f>MAX(R641,Q642)</f>
        <v/>
      </c>
      <c r="S642" s="41">
        <f>IFERROR(Q642/R642-1,"")</f>
        <v/>
      </c>
      <c r="T642" s="41">
        <f>IFERROR(_xlfn.STDEV.S(E583:E642)*SQRT($D$7),"")</f>
        <v/>
      </c>
      <c r="U642" s="41">
        <f>IFERROR(MIN(E642-$D$6,0),"")</f>
        <v/>
      </c>
      <c r="V642" s="41">
        <f>IFERROR(E642-F642,"")</f>
        <v/>
      </c>
      <c r="W642" s="39">
        <f>B642</f>
        <v/>
      </c>
      <c r="X642" s="21" t="n"/>
    </row>
    <row r="643">
      <c r="A643" s="38" t="n">
        <v>45875</v>
      </c>
      <c r="B643" s="39" t="n">
        <v>281.59</v>
      </c>
      <c r="C643" s="39" t="n">
        <v>632.78</v>
      </c>
      <c r="D643" s="39" t="n">
        <v>43.765</v>
      </c>
      <c r="E643" s="41">
        <f>IFERROR(B643/B642-1,"")</f>
        <v/>
      </c>
      <c r="F643" s="41">
        <f>IFERROR(C643/C642-1,"")</f>
        <v/>
      </c>
      <c r="G643" s="41">
        <f>IFERROR(D643/D642-1,"")</f>
        <v/>
      </c>
      <c r="H643" s="41">
        <f>IFERROR((1+E643)*(1+H642)-1,"")</f>
        <v/>
      </c>
      <c r="I643" s="41">
        <f>IFERROR((1+F643)*(1+I642)-1,"")</f>
        <v/>
      </c>
      <c r="J643" s="41">
        <f>IFERROR((1+G643)*(1+J642)-1,"")</f>
        <v/>
      </c>
      <c r="K643" s="42">
        <f>IFERROR(B643/$B$36*100,"")</f>
        <v/>
      </c>
      <c r="L643" s="42">
        <f>IFERROR(C643/$C$36*100,"")</f>
        <v/>
      </c>
      <c r="M643" s="42">
        <f>IFERROR(D643/$D$36*100,"")</f>
        <v/>
      </c>
      <c r="N643" s="41">
        <f>IFERROR((1+H643)/(1+I643)-1,"")</f>
        <v/>
      </c>
      <c r="O643" s="41">
        <f>IFERROR((1+H643)/(1+J643)-1,"")</f>
        <v/>
      </c>
      <c r="P643" s="39">
        <f>IFERROR(B643*0.0099502487562189+P642*(1-0.0099502487562189),"")</f>
        <v/>
      </c>
      <c r="Q643" s="42">
        <f>Q642*(1+E643)</f>
        <v/>
      </c>
      <c r="R643" s="42">
        <f>MAX(R642,Q643)</f>
        <v/>
      </c>
      <c r="S643" s="41">
        <f>IFERROR(Q643/R643-1,"")</f>
        <v/>
      </c>
      <c r="T643" s="41">
        <f>IFERROR(_xlfn.STDEV.S(E584:E643)*SQRT($D$7),"")</f>
        <v/>
      </c>
      <c r="U643" s="41">
        <f>IFERROR(MIN(E643-$D$6,0),"")</f>
        <v/>
      </c>
      <c r="V643" s="41">
        <f>IFERROR(E643-F643,"")</f>
        <v/>
      </c>
      <c r="W643" s="39">
        <f>B643</f>
        <v/>
      </c>
      <c r="X643" s="21" t="n"/>
    </row>
    <row r="644">
      <c r="A644" s="38" t="n">
        <v>45876</v>
      </c>
      <c r="B644" s="39" t="n">
        <v>282.1</v>
      </c>
      <c r="C644" s="39" t="n">
        <v>632.25</v>
      </c>
      <c r="D644" s="39" t="n">
        <v>43.955</v>
      </c>
      <c r="E644" s="41">
        <f>IFERROR(B644/B643-1,"")</f>
        <v/>
      </c>
      <c r="F644" s="41">
        <f>IFERROR(C644/C643-1,"")</f>
        <v/>
      </c>
      <c r="G644" s="41">
        <f>IFERROR(D644/D643-1,"")</f>
        <v/>
      </c>
      <c r="H644" s="41">
        <f>IFERROR((1+E644)*(1+H643)-1,"")</f>
        <v/>
      </c>
      <c r="I644" s="41">
        <f>IFERROR((1+F644)*(1+I643)-1,"")</f>
        <v/>
      </c>
      <c r="J644" s="41">
        <f>IFERROR((1+G644)*(1+J643)-1,"")</f>
        <v/>
      </c>
      <c r="K644" s="42">
        <f>IFERROR(B644/$B$36*100,"")</f>
        <v/>
      </c>
      <c r="L644" s="42">
        <f>IFERROR(C644/$C$36*100,"")</f>
        <v/>
      </c>
      <c r="M644" s="42">
        <f>IFERROR(D644/$D$36*100,"")</f>
        <v/>
      </c>
      <c r="N644" s="41">
        <f>IFERROR((1+H644)/(1+I644)-1,"")</f>
        <v/>
      </c>
      <c r="O644" s="41">
        <f>IFERROR((1+H644)/(1+J644)-1,"")</f>
        <v/>
      </c>
      <c r="P644" s="39">
        <f>IFERROR(B644*0.0099502487562189+P643*(1-0.0099502487562189),"")</f>
        <v/>
      </c>
      <c r="Q644" s="42">
        <f>Q643*(1+E644)</f>
        <v/>
      </c>
      <c r="R644" s="42">
        <f>MAX(R643,Q644)</f>
        <v/>
      </c>
      <c r="S644" s="41">
        <f>IFERROR(Q644/R644-1,"")</f>
        <v/>
      </c>
      <c r="T644" s="41">
        <f>IFERROR(_xlfn.STDEV.S(E585:E644)*SQRT($D$7),"")</f>
        <v/>
      </c>
      <c r="U644" s="41">
        <f>IFERROR(MIN(E644-$D$6,0),"")</f>
        <v/>
      </c>
      <c r="V644" s="41">
        <f>IFERROR(E644-F644,"")</f>
        <v/>
      </c>
      <c r="W644" s="39">
        <f>B644</f>
        <v/>
      </c>
      <c r="X644" s="21" t="n"/>
    </row>
    <row r="645">
      <c r="A645" s="38" t="n">
        <v>45877</v>
      </c>
      <c r="B645" s="39" t="n">
        <v>286.52</v>
      </c>
      <c r="C645" s="39" t="n">
        <v>637.1799999999999</v>
      </c>
      <c r="D645" s="39" t="n">
        <v>44.175</v>
      </c>
      <c r="E645" s="41">
        <f>IFERROR(B645/B644-1,"")</f>
        <v/>
      </c>
      <c r="F645" s="41">
        <f>IFERROR(C645/C644-1,"")</f>
        <v/>
      </c>
      <c r="G645" s="41">
        <f>IFERROR(D645/D644-1,"")</f>
        <v/>
      </c>
      <c r="H645" s="41">
        <f>IFERROR((1+E645)*(1+H644)-1,"")</f>
        <v/>
      </c>
      <c r="I645" s="41">
        <f>IFERROR((1+F645)*(1+I644)-1,"")</f>
        <v/>
      </c>
      <c r="J645" s="41">
        <f>IFERROR((1+G645)*(1+J644)-1,"")</f>
        <v/>
      </c>
      <c r="K645" s="42">
        <f>IFERROR(B645/$B$36*100,"")</f>
        <v/>
      </c>
      <c r="L645" s="42">
        <f>IFERROR(C645/$C$36*100,"")</f>
        <v/>
      </c>
      <c r="M645" s="42">
        <f>IFERROR(D645/$D$36*100,"")</f>
        <v/>
      </c>
      <c r="N645" s="41">
        <f>IFERROR((1+H645)/(1+I645)-1,"")</f>
        <v/>
      </c>
      <c r="O645" s="41">
        <f>IFERROR((1+H645)/(1+J645)-1,"")</f>
        <v/>
      </c>
      <c r="P645" s="39">
        <f>IFERROR(B645*0.0099502487562189+P644*(1-0.0099502487562189),"")</f>
        <v/>
      </c>
      <c r="Q645" s="42">
        <f>Q644*(1+E645)</f>
        <v/>
      </c>
      <c r="R645" s="42">
        <f>MAX(R644,Q645)</f>
        <v/>
      </c>
      <c r="S645" s="41">
        <f>IFERROR(Q645/R645-1,"")</f>
        <v/>
      </c>
      <c r="T645" s="41">
        <f>IFERROR(_xlfn.STDEV.S(E586:E645)*SQRT($D$7),"")</f>
        <v/>
      </c>
      <c r="U645" s="41">
        <f>IFERROR(MIN(E645-$D$6,0),"")</f>
        <v/>
      </c>
      <c r="V645" s="41">
        <f>IFERROR(E645-F645,"")</f>
        <v/>
      </c>
      <c r="W645" s="39">
        <f>B645</f>
        <v/>
      </c>
      <c r="X645" s="21" t="n"/>
    </row>
    <row r="646">
      <c r="A646" s="38" t="n">
        <v>45880</v>
      </c>
      <c r="B646" s="39" t="n">
        <v>285.24</v>
      </c>
      <c r="C646" s="39" t="n">
        <v>635.92</v>
      </c>
      <c r="D646" s="39" t="n">
        <v>44.075</v>
      </c>
      <c r="E646" s="41">
        <f>IFERROR(B646/B645-1,"")</f>
        <v/>
      </c>
      <c r="F646" s="41">
        <f>IFERROR(C646/C645-1,"")</f>
        <v/>
      </c>
      <c r="G646" s="41">
        <f>IFERROR(D646/D645-1,"")</f>
        <v/>
      </c>
      <c r="H646" s="41">
        <f>IFERROR((1+E646)*(1+H645)-1,"")</f>
        <v/>
      </c>
      <c r="I646" s="41">
        <f>IFERROR((1+F646)*(1+I645)-1,"")</f>
        <v/>
      </c>
      <c r="J646" s="41">
        <f>IFERROR((1+G646)*(1+J645)-1,"")</f>
        <v/>
      </c>
      <c r="K646" s="42">
        <f>IFERROR(B646/$B$36*100,"")</f>
        <v/>
      </c>
      <c r="L646" s="42">
        <f>IFERROR(C646/$C$36*100,"")</f>
        <v/>
      </c>
      <c r="M646" s="42">
        <f>IFERROR(D646/$D$36*100,"")</f>
        <v/>
      </c>
      <c r="N646" s="41">
        <f>IFERROR((1+H646)/(1+I646)-1,"")</f>
        <v/>
      </c>
      <c r="O646" s="41">
        <f>IFERROR((1+H646)/(1+J646)-1,"")</f>
        <v/>
      </c>
      <c r="P646" s="39">
        <f>IFERROR(B646*0.0099502487562189+P645*(1-0.0099502487562189),"")</f>
        <v/>
      </c>
      <c r="Q646" s="42">
        <f>Q645*(1+E646)</f>
        <v/>
      </c>
      <c r="R646" s="42">
        <f>MAX(R645,Q646)</f>
        <v/>
      </c>
      <c r="S646" s="41">
        <f>IFERROR(Q646/R646-1,"")</f>
        <v/>
      </c>
      <c r="T646" s="41">
        <f>IFERROR(_xlfn.STDEV.S(E587:E646)*SQRT($D$7),"")</f>
        <v/>
      </c>
      <c r="U646" s="41">
        <f>IFERROR(MIN(E646-$D$6,0),"")</f>
        <v/>
      </c>
      <c r="V646" s="41">
        <f>IFERROR(E646-F646,"")</f>
        <v/>
      </c>
      <c r="W646" s="39">
        <f>B646</f>
        <v/>
      </c>
      <c r="X646" s="21" t="n"/>
    </row>
    <row r="647">
      <c r="A647" s="38" t="n">
        <v>45881</v>
      </c>
      <c r="B647" s="39" t="n">
        <v>291.89</v>
      </c>
      <c r="C647" s="39" t="n">
        <v>642.6900000000001</v>
      </c>
      <c r="D647" s="39" t="n">
        <v>44.65</v>
      </c>
      <c r="E647" s="41">
        <f>IFERROR(B647/B646-1,"")</f>
        <v/>
      </c>
      <c r="F647" s="41">
        <f>IFERROR(C647/C646-1,"")</f>
        <v/>
      </c>
      <c r="G647" s="41">
        <f>IFERROR(D647/D646-1,"")</f>
        <v/>
      </c>
      <c r="H647" s="41">
        <f>IFERROR((1+E647)*(1+H646)-1,"")</f>
        <v/>
      </c>
      <c r="I647" s="41">
        <f>IFERROR((1+F647)*(1+I646)-1,"")</f>
        <v/>
      </c>
      <c r="J647" s="41">
        <f>IFERROR((1+G647)*(1+J646)-1,"")</f>
        <v/>
      </c>
      <c r="K647" s="42">
        <f>IFERROR(B647/$B$36*100,"")</f>
        <v/>
      </c>
      <c r="L647" s="42">
        <f>IFERROR(C647/$C$36*100,"")</f>
        <v/>
      </c>
      <c r="M647" s="42">
        <f>IFERROR(D647/$D$36*100,"")</f>
        <v/>
      </c>
      <c r="N647" s="41">
        <f>IFERROR((1+H647)/(1+I647)-1,"")</f>
        <v/>
      </c>
      <c r="O647" s="41">
        <f>IFERROR((1+H647)/(1+J647)-1,"")</f>
        <v/>
      </c>
      <c r="P647" s="39">
        <f>IFERROR(B647*0.0099502487562189+P646*(1-0.0099502487562189),"")</f>
        <v/>
      </c>
      <c r="Q647" s="42">
        <f>Q646*(1+E647)</f>
        <v/>
      </c>
      <c r="R647" s="42">
        <f>MAX(R646,Q647)</f>
        <v/>
      </c>
      <c r="S647" s="41">
        <f>IFERROR(Q647/R647-1,"")</f>
        <v/>
      </c>
      <c r="T647" s="41">
        <f>IFERROR(_xlfn.STDEV.S(E588:E647)*SQRT($D$7),"")</f>
        <v/>
      </c>
      <c r="U647" s="41">
        <f>IFERROR(MIN(E647-$D$6,0),"")</f>
        <v/>
      </c>
      <c r="V647" s="41">
        <f>IFERROR(E647-F647,"")</f>
        <v/>
      </c>
      <c r="W647" s="39">
        <f>B647</f>
        <v/>
      </c>
      <c r="X647" s="21" t="n"/>
    </row>
    <row r="648">
      <c r="A648" s="38" t="n">
        <v>45882</v>
      </c>
      <c r="B648" s="39" t="n">
        <v>295.64</v>
      </c>
      <c r="C648" s="39" t="n">
        <v>644.89</v>
      </c>
      <c r="D648" s="39" t="n">
        <v>45.49</v>
      </c>
      <c r="E648" s="41">
        <f>IFERROR(B648/B647-1,"")</f>
        <v/>
      </c>
      <c r="F648" s="41">
        <f>IFERROR(C648/C647-1,"")</f>
        <v/>
      </c>
      <c r="G648" s="41">
        <f>IFERROR(D648/D647-1,"")</f>
        <v/>
      </c>
      <c r="H648" s="41">
        <f>IFERROR((1+E648)*(1+H647)-1,"")</f>
        <v/>
      </c>
      <c r="I648" s="41">
        <f>IFERROR((1+F648)*(1+I647)-1,"")</f>
        <v/>
      </c>
      <c r="J648" s="41">
        <f>IFERROR((1+G648)*(1+J647)-1,"")</f>
        <v/>
      </c>
      <c r="K648" s="42">
        <f>IFERROR(B648/$B$36*100,"")</f>
        <v/>
      </c>
      <c r="L648" s="42">
        <f>IFERROR(C648/$C$36*100,"")</f>
        <v/>
      </c>
      <c r="M648" s="42">
        <f>IFERROR(D648/$D$36*100,"")</f>
        <v/>
      </c>
      <c r="N648" s="41">
        <f>IFERROR((1+H648)/(1+I648)-1,"")</f>
        <v/>
      </c>
      <c r="O648" s="41">
        <f>IFERROR((1+H648)/(1+J648)-1,"")</f>
        <v/>
      </c>
      <c r="P648" s="39">
        <f>IFERROR(B648*0.0099502487562189+P647*(1-0.0099502487562189),"")</f>
        <v/>
      </c>
      <c r="Q648" s="42">
        <f>Q647*(1+E648)</f>
        <v/>
      </c>
      <c r="R648" s="42">
        <f>MAX(R647,Q648)</f>
        <v/>
      </c>
      <c r="S648" s="41">
        <f>IFERROR(Q648/R648-1,"")</f>
        <v/>
      </c>
      <c r="T648" s="41">
        <f>IFERROR(_xlfn.STDEV.S(E589:E648)*SQRT($D$7),"")</f>
        <v/>
      </c>
      <c r="U648" s="41">
        <f>IFERROR(MIN(E648-$D$6,0),"")</f>
        <v/>
      </c>
      <c r="V648" s="41">
        <f>IFERROR(E648-F648,"")</f>
        <v/>
      </c>
      <c r="W648" s="39">
        <f>B648</f>
        <v/>
      </c>
      <c r="X648" s="21" t="n"/>
    </row>
    <row r="649">
      <c r="A649" s="38" t="n">
        <v>45883</v>
      </c>
      <c r="B649" s="39" t="n">
        <v>293.1</v>
      </c>
      <c r="C649" s="39" t="n">
        <v>644.95</v>
      </c>
      <c r="D649" s="39" t="n">
        <v>45.015</v>
      </c>
      <c r="E649" s="41">
        <f>IFERROR(B649/B648-1,"")</f>
        <v/>
      </c>
      <c r="F649" s="41">
        <f>IFERROR(C649/C648-1,"")</f>
        <v/>
      </c>
      <c r="G649" s="41">
        <f>IFERROR(D649/D648-1,"")</f>
        <v/>
      </c>
      <c r="H649" s="41">
        <f>IFERROR((1+E649)*(1+H648)-1,"")</f>
        <v/>
      </c>
      <c r="I649" s="41">
        <f>IFERROR((1+F649)*(1+I648)-1,"")</f>
        <v/>
      </c>
      <c r="J649" s="41">
        <f>IFERROR((1+G649)*(1+J648)-1,"")</f>
        <v/>
      </c>
      <c r="K649" s="42">
        <f>IFERROR(B649/$B$36*100,"")</f>
        <v/>
      </c>
      <c r="L649" s="42">
        <f>IFERROR(C649/$C$36*100,"")</f>
        <v/>
      </c>
      <c r="M649" s="42">
        <f>IFERROR(D649/$D$36*100,"")</f>
        <v/>
      </c>
      <c r="N649" s="41">
        <f>IFERROR((1+H649)/(1+I649)-1,"")</f>
        <v/>
      </c>
      <c r="O649" s="41">
        <f>IFERROR((1+H649)/(1+J649)-1,"")</f>
        <v/>
      </c>
      <c r="P649" s="39">
        <f>IFERROR(B649*0.0099502487562189+P648*(1-0.0099502487562189),"")</f>
        <v/>
      </c>
      <c r="Q649" s="42">
        <f>Q648*(1+E649)</f>
        <v/>
      </c>
      <c r="R649" s="42">
        <f>MAX(R648,Q649)</f>
        <v/>
      </c>
      <c r="S649" s="41">
        <f>IFERROR(Q649/R649-1,"")</f>
        <v/>
      </c>
      <c r="T649" s="41">
        <f>IFERROR(_xlfn.STDEV.S(E590:E649)*SQRT($D$7),"")</f>
        <v/>
      </c>
      <c r="U649" s="41">
        <f>IFERROR(MIN(E649-$D$6,0),"")</f>
        <v/>
      </c>
      <c r="V649" s="41">
        <f>IFERROR(E649-F649,"")</f>
        <v/>
      </c>
      <c r="W649" s="39">
        <f>B649</f>
        <v/>
      </c>
      <c r="X649" s="21" t="n"/>
    </row>
    <row r="650">
      <c r="A650" s="38" t="n">
        <v>45884</v>
      </c>
      <c r="B650" s="39" t="n">
        <v>291.62</v>
      </c>
      <c r="C650" s="39" t="n">
        <v>643.4400000000001</v>
      </c>
      <c r="D650" s="39" t="n">
        <v>45.015</v>
      </c>
      <c r="E650" s="41">
        <f>IFERROR(B650/B649-1,"")</f>
        <v/>
      </c>
      <c r="F650" s="41">
        <f>IFERROR(C650/C649-1,"")</f>
        <v/>
      </c>
      <c r="G650" s="41">
        <f>IFERROR(D650/D649-1,"")</f>
        <v/>
      </c>
      <c r="H650" s="41">
        <f>IFERROR((1+E650)*(1+H649)-1,"")</f>
        <v/>
      </c>
      <c r="I650" s="41">
        <f>IFERROR((1+F650)*(1+I649)-1,"")</f>
        <v/>
      </c>
      <c r="J650" s="41">
        <f>IFERROR((1+G650)*(1+J649)-1,"")</f>
        <v/>
      </c>
      <c r="K650" s="42">
        <f>IFERROR(B650/$B$36*100,"")</f>
        <v/>
      </c>
      <c r="L650" s="42">
        <f>IFERROR(C650/$C$36*100,"")</f>
        <v/>
      </c>
      <c r="M650" s="42">
        <f>IFERROR(D650/$D$36*100,"")</f>
        <v/>
      </c>
      <c r="N650" s="41">
        <f>IFERROR((1+H650)/(1+I650)-1,"")</f>
        <v/>
      </c>
      <c r="O650" s="41">
        <f>IFERROR((1+H650)/(1+J650)-1,"")</f>
        <v/>
      </c>
      <c r="P650" s="39">
        <f>IFERROR(B650*0.0099502487562189+P649*(1-0.0099502487562189),"")</f>
        <v/>
      </c>
      <c r="Q650" s="42">
        <f>Q649*(1+E650)</f>
        <v/>
      </c>
      <c r="R650" s="42">
        <f>MAX(R649,Q650)</f>
        <v/>
      </c>
      <c r="S650" s="41">
        <f>IFERROR(Q650/R650-1,"")</f>
        <v/>
      </c>
      <c r="T650" s="41">
        <f>IFERROR(_xlfn.STDEV.S(E591:E650)*SQRT($D$7),"")</f>
        <v/>
      </c>
      <c r="U650" s="41">
        <f>IFERROR(MIN(E650-$D$6,0),"")</f>
        <v/>
      </c>
      <c r="V650" s="41">
        <f>IFERROR(E650-F650,"")</f>
        <v/>
      </c>
      <c r="W650" s="39">
        <f>B650</f>
        <v/>
      </c>
      <c r="X650" s="21" t="n"/>
    </row>
    <row r="651">
      <c r="A651" s="38" t="n">
        <v>45887</v>
      </c>
      <c r="B651" s="39" t="n">
        <v>289.88</v>
      </c>
      <c r="C651" s="39" t="n">
        <v>643.3</v>
      </c>
      <c r="D651" s="39" t="n">
        <v>44.755</v>
      </c>
      <c r="E651" s="41">
        <f>IFERROR(B651/B650-1,"")</f>
        <v/>
      </c>
      <c r="F651" s="41">
        <f>IFERROR(C651/C650-1,"")</f>
        <v/>
      </c>
      <c r="G651" s="41">
        <f>IFERROR(D651/D650-1,"")</f>
        <v/>
      </c>
      <c r="H651" s="41">
        <f>IFERROR((1+E651)*(1+H650)-1,"")</f>
        <v/>
      </c>
      <c r="I651" s="41">
        <f>IFERROR((1+F651)*(1+I650)-1,"")</f>
        <v/>
      </c>
      <c r="J651" s="41">
        <f>IFERROR((1+G651)*(1+J650)-1,"")</f>
        <v/>
      </c>
      <c r="K651" s="42">
        <f>IFERROR(B651/$B$36*100,"")</f>
        <v/>
      </c>
      <c r="L651" s="42">
        <f>IFERROR(C651/$C$36*100,"")</f>
        <v/>
      </c>
      <c r="M651" s="42">
        <f>IFERROR(D651/$D$36*100,"")</f>
        <v/>
      </c>
      <c r="N651" s="41">
        <f>IFERROR((1+H651)/(1+I651)-1,"")</f>
        <v/>
      </c>
      <c r="O651" s="41">
        <f>IFERROR((1+H651)/(1+J651)-1,"")</f>
        <v/>
      </c>
      <c r="P651" s="39">
        <f>IFERROR(B651*0.0099502487562189+P650*(1-0.0099502487562189),"")</f>
        <v/>
      </c>
      <c r="Q651" s="42">
        <f>Q650*(1+E651)</f>
        <v/>
      </c>
      <c r="R651" s="42">
        <f>MAX(R650,Q651)</f>
        <v/>
      </c>
      <c r="S651" s="41">
        <f>IFERROR(Q651/R651-1,"")</f>
        <v/>
      </c>
      <c r="T651" s="41">
        <f>IFERROR(_xlfn.STDEV.S(E592:E651)*SQRT($D$7),"")</f>
        <v/>
      </c>
      <c r="U651" s="41">
        <f>IFERROR(MIN(E651-$D$6,0),"")</f>
        <v/>
      </c>
      <c r="V651" s="41">
        <f>IFERROR(E651-F651,"")</f>
        <v/>
      </c>
      <c r="W651" s="39">
        <f>B651</f>
        <v/>
      </c>
      <c r="X651" s="21" t="n"/>
    </row>
    <row r="652">
      <c r="A652" s="38" t="n">
        <v>45888</v>
      </c>
      <c r="B652" s="39" t="n">
        <v>292.84</v>
      </c>
      <c r="C652" s="39" t="n">
        <v>639.8099999999999</v>
      </c>
      <c r="D652" s="39" t="n">
        <v>45.025</v>
      </c>
      <c r="E652" s="41">
        <f>IFERROR(B652/B651-1,"")</f>
        <v/>
      </c>
      <c r="F652" s="41">
        <f>IFERROR(C652/C651-1,"")</f>
        <v/>
      </c>
      <c r="G652" s="41">
        <f>IFERROR(D652/D651-1,"")</f>
        <v/>
      </c>
      <c r="H652" s="41">
        <f>IFERROR((1+E652)*(1+H651)-1,"")</f>
        <v/>
      </c>
      <c r="I652" s="41">
        <f>IFERROR((1+F652)*(1+I651)-1,"")</f>
        <v/>
      </c>
      <c r="J652" s="41">
        <f>IFERROR((1+G652)*(1+J651)-1,"")</f>
        <v/>
      </c>
      <c r="K652" s="42">
        <f>IFERROR(B652/$B$36*100,"")</f>
        <v/>
      </c>
      <c r="L652" s="42">
        <f>IFERROR(C652/$C$36*100,"")</f>
        <v/>
      </c>
      <c r="M652" s="42">
        <f>IFERROR(D652/$D$36*100,"")</f>
        <v/>
      </c>
      <c r="N652" s="41">
        <f>IFERROR((1+H652)/(1+I652)-1,"")</f>
        <v/>
      </c>
      <c r="O652" s="41">
        <f>IFERROR((1+H652)/(1+J652)-1,"")</f>
        <v/>
      </c>
      <c r="P652" s="39">
        <f>IFERROR(B652*0.0099502487562189+P651*(1-0.0099502487562189),"")</f>
        <v/>
      </c>
      <c r="Q652" s="42">
        <f>Q651*(1+E652)</f>
        <v/>
      </c>
      <c r="R652" s="42">
        <f>MAX(R651,Q652)</f>
        <v/>
      </c>
      <c r="S652" s="41">
        <f>IFERROR(Q652/R652-1,"")</f>
        <v/>
      </c>
      <c r="T652" s="41">
        <f>IFERROR(_xlfn.STDEV.S(E593:E652)*SQRT($D$7),"")</f>
        <v/>
      </c>
      <c r="U652" s="41">
        <f>IFERROR(MIN(E652-$D$6,0),"")</f>
        <v/>
      </c>
      <c r="V652" s="41">
        <f>IFERROR(E652-F652,"")</f>
        <v/>
      </c>
      <c r="W652" s="39">
        <f>B652</f>
        <v/>
      </c>
      <c r="X652" s="21" t="n"/>
    </row>
    <row r="653">
      <c r="A653" s="38" t="n">
        <v>45889</v>
      </c>
      <c r="B653" s="39" t="n">
        <v>286.28</v>
      </c>
      <c r="C653" s="39" t="n">
        <v>638.11</v>
      </c>
      <c r="D653" s="39" t="n">
        <v>45.06</v>
      </c>
      <c r="E653" s="41">
        <f>IFERROR(B653/B652-1,"")</f>
        <v/>
      </c>
      <c r="F653" s="41">
        <f>IFERROR(C653/C652-1,"")</f>
        <v/>
      </c>
      <c r="G653" s="41">
        <f>IFERROR(D653/D652-1,"")</f>
        <v/>
      </c>
      <c r="H653" s="41">
        <f>IFERROR((1+E653)*(1+H652)-1,"")</f>
        <v/>
      </c>
      <c r="I653" s="41">
        <f>IFERROR((1+F653)*(1+I652)-1,"")</f>
        <v/>
      </c>
      <c r="J653" s="41">
        <f>IFERROR((1+G653)*(1+J652)-1,"")</f>
        <v/>
      </c>
      <c r="K653" s="42">
        <f>IFERROR(B653/$B$36*100,"")</f>
        <v/>
      </c>
      <c r="L653" s="42">
        <f>IFERROR(C653/$C$36*100,"")</f>
        <v/>
      </c>
      <c r="M653" s="42">
        <f>IFERROR(D653/$D$36*100,"")</f>
        <v/>
      </c>
      <c r="N653" s="41">
        <f>IFERROR((1+H653)/(1+I653)-1,"")</f>
        <v/>
      </c>
      <c r="O653" s="41">
        <f>IFERROR((1+H653)/(1+J653)-1,"")</f>
        <v/>
      </c>
      <c r="P653" s="39">
        <f>IFERROR(B653*0.0099502487562189+P652*(1-0.0099502487562189),"")</f>
        <v/>
      </c>
      <c r="Q653" s="42">
        <f>Q652*(1+E653)</f>
        <v/>
      </c>
      <c r="R653" s="42">
        <f>MAX(R652,Q653)</f>
        <v/>
      </c>
      <c r="S653" s="41">
        <f>IFERROR(Q653/R653-1,"")</f>
        <v/>
      </c>
      <c r="T653" s="41">
        <f>IFERROR(_xlfn.STDEV.S(E594:E653)*SQRT($D$7),"")</f>
        <v/>
      </c>
      <c r="U653" s="41">
        <f>IFERROR(MIN(E653-$D$6,0),"")</f>
        <v/>
      </c>
      <c r="V653" s="41">
        <f>IFERROR(E653-F653,"")</f>
        <v/>
      </c>
      <c r="W653" s="39">
        <f>B653</f>
        <v/>
      </c>
      <c r="X653" s="21" t="n"/>
    </row>
    <row r="654">
      <c r="A654" s="38" t="n">
        <v>45890</v>
      </c>
      <c r="B654" s="39" t="n">
        <v>288.28</v>
      </c>
      <c r="C654" s="39" t="n">
        <v>635.55</v>
      </c>
      <c r="D654" s="39" t="n">
        <v>45.195</v>
      </c>
      <c r="E654" s="41">
        <f>IFERROR(B654/B653-1,"")</f>
        <v/>
      </c>
      <c r="F654" s="41">
        <f>IFERROR(C654/C653-1,"")</f>
        <v/>
      </c>
      <c r="G654" s="41">
        <f>IFERROR(D654/D653-1,"")</f>
        <v/>
      </c>
      <c r="H654" s="41">
        <f>IFERROR((1+E654)*(1+H653)-1,"")</f>
        <v/>
      </c>
      <c r="I654" s="41">
        <f>IFERROR((1+F654)*(1+I653)-1,"")</f>
        <v/>
      </c>
      <c r="J654" s="41">
        <f>IFERROR((1+G654)*(1+J653)-1,"")</f>
        <v/>
      </c>
      <c r="K654" s="42">
        <f>IFERROR(B654/$B$36*100,"")</f>
        <v/>
      </c>
      <c r="L654" s="42">
        <f>IFERROR(C654/$C$36*100,"")</f>
        <v/>
      </c>
      <c r="M654" s="42">
        <f>IFERROR(D654/$D$36*100,"")</f>
        <v/>
      </c>
      <c r="N654" s="41">
        <f>IFERROR((1+H654)/(1+I654)-1,"")</f>
        <v/>
      </c>
      <c r="O654" s="41">
        <f>IFERROR((1+H654)/(1+J654)-1,"")</f>
        <v/>
      </c>
      <c r="P654" s="39">
        <f>IFERROR(B654*0.0099502487562189+P653*(1-0.0099502487562189),"")</f>
        <v/>
      </c>
      <c r="Q654" s="42">
        <f>Q653*(1+E654)</f>
        <v/>
      </c>
      <c r="R654" s="42">
        <f>MAX(R653,Q654)</f>
        <v/>
      </c>
      <c r="S654" s="41">
        <f>IFERROR(Q654/R654-1,"")</f>
        <v/>
      </c>
      <c r="T654" s="41">
        <f>IFERROR(_xlfn.STDEV.S(E595:E654)*SQRT($D$7),"")</f>
        <v/>
      </c>
      <c r="U654" s="41">
        <f>IFERROR(MIN(E654-$D$6,0),"")</f>
        <v/>
      </c>
      <c r="V654" s="41">
        <f>IFERROR(E654-F654,"")</f>
        <v/>
      </c>
      <c r="W654" s="39">
        <f>B654</f>
        <v/>
      </c>
      <c r="X654" s="21" t="n"/>
    </row>
    <row r="655">
      <c r="A655" s="38" t="n">
        <v>45891</v>
      </c>
      <c r="B655" s="39" t="n">
        <v>292.4</v>
      </c>
      <c r="C655" s="39" t="n">
        <v>645.3099999999999</v>
      </c>
      <c r="D655" s="39" t="n">
        <v>46.09</v>
      </c>
      <c r="E655" s="41">
        <f>IFERROR(B655/B654-1,"")</f>
        <v/>
      </c>
      <c r="F655" s="41">
        <f>IFERROR(C655/C654-1,"")</f>
        <v/>
      </c>
      <c r="G655" s="41">
        <f>IFERROR(D655/D654-1,"")</f>
        <v/>
      </c>
      <c r="H655" s="41">
        <f>IFERROR((1+E655)*(1+H654)-1,"")</f>
        <v/>
      </c>
      <c r="I655" s="41">
        <f>IFERROR((1+F655)*(1+I654)-1,"")</f>
        <v/>
      </c>
      <c r="J655" s="41">
        <f>IFERROR((1+G655)*(1+J654)-1,"")</f>
        <v/>
      </c>
      <c r="K655" s="42">
        <f>IFERROR(B655/$B$36*100,"")</f>
        <v/>
      </c>
      <c r="L655" s="42">
        <f>IFERROR(C655/$C$36*100,"")</f>
        <v/>
      </c>
      <c r="M655" s="42">
        <f>IFERROR(D655/$D$36*100,"")</f>
        <v/>
      </c>
      <c r="N655" s="41">
        <f>IFERROR((1+H655)/(1+I655)-1,"")</f>
        <v/>
      </c>
      <c r="O655" s="41">
        <f>IFERROR((1+H655)/(1+J655)-1,"")</f>
        <v/>
      </c>
      <c r="P655" s="39">
        <f>IFERROR(B655*0.0099502487562189+P654*(1-0.0099502487562189),"")</f>
        <v/>
      </c>
      <c r="Q655" s="42">
        <f>Q654*(1+E655)</f>
        <v/>
      </c>
      <c r="R655" s="42">
        <f>MAX(R654,Q655)</f>
        <v/>
      </c>
      <c r="S655" s="41">
        <f>IFERROR(Q655/R655-1,"")</f>
        <v/>
      </c>
      <c r="T655" s="41">
        <f>IFERROR(_xlfn.STDEV.S(E596:E655)*SQRT($D$7),"")</f>
        <v/>
      </c>
      <c r="U655" s="41">
        <f>IFERROR(MIN(E655-$D$6,0),"")</f>
        <v/>
      </c>
      <c r="V655" s="41">
        <f>IFERROR(E655-F655,"")</f>
        <v/>
      </c>
      <c r="W655" s="39">
        <f>B655</f>
        <v/>
      </c>
      <c r="X655" s="21" t="n"/>
    </row>
    <row r="656">
      <c r="A656" s="38" t="n">
        <v>45894</v>
      </c>
      <c r="B656" s="39" t="n">
        <v>290.3</v>
      </c>
      <c r="C656" s="39" t="n">
        <v>642.47</v>
      </c>
      <c r="D656" s="39" t="n">
        <v>45.835</v>
      </c>
      <c r="E656" s="41">
        <f>IFERROR(B656/B655-1,"")</f>
        <v/>
      </c>
      <c r="F656" s="41">
        <f>IFERROR(C656/C655-1,"")</f>
        <v/>
      </c>
      <c r="G656" s="41">
        <f>IFERROR(D656/D655-1,"")</f>
        <v/>
      </c>
      <c r="H656" s="41">
        <f>IFERROR((1+E656)*(1+H655)-1,"")</f>
        <v/>
      </c>
      <c r="I656" s="41">
        <f>IFERROR((1+F656)*(1+I655)-1,"")</f>
        <v/>
      </c>
      <c r="J656" s="41">
        <f>IFERROR((1+G656)*(1+J655)-1,"")</f>
        <v/>
      </c>
      <c r="K656" s="42">
        <f>IFERROR(B656/$B$36*100,"")</f>
        <v/>
      </c>
      <c r="L656" s="42">
        <f>IFERROR(C656/$C$36*100,"")</f>
        <v/>
      </c>
      <c r="M656" s="42">
        <f>IFERROR(D656/$D$36*100,"")</f>
        <v/>
      </c>
      <c r="N656" s="41">
        <f>IFERROR((1+H656)/(1+I656)-1,"")</f>
        <v/>
      </c>
      <c r="O656" s="41">
        <f>IFERROR((1+H656)/(1+J656)-1,"")</f>
        <v/>
      </c>
      <c r="P656" s="39">
        <f>IFERROR(B656*0.0099502487562189+P655*(1-0.0099502487562189),"")</f>
        <v/>
      </c>
      <c r="Q656" s="42">
        <f>Q655*(1+E656)</f>
        <v/>
      </c>
      <c r="R656" s="42">
        <f>MAX(R655,Q656)</f>
        <v/>
      </c>
      <c r="S656" s="41">
        <f>IFERROR(Q656/R656-1,"")</f>
        <v/>
      </c>
      <c r="T656" s="41">
        <f>IFERROR(_xlfn.STDEV.S(E597:E656)*SQRT($D$7),"")</f>
        <v/>
      </c>
      <c r="U656" s="41">
        <f>IFERROR(MIN(E656-$D$6,0),"")</f>
        <v/>
      </c>
      <c r="V656" s="41">
        <f>IFERROR(E656-F656,"")</f>
        <v/>
      </c>
      <c r="W656" s="39">
        <f>B656</f>
        <v/>
      </c>
      <c r="X656" s="21" t="n"/>
    </row>
    <row r="657">
      <c r="A657" s="38" t="n">
        <v>45895</v>
      </c>
      <c r="B657" s="39" t="n">
        <v>291.2</v>
      </c>
      <c r="C657" s="39" t="n">
        <v>645.16</v>
      </c>
      <c r="D657" s="39" t="n">
        <v>45.96</v>
      </c>
      <c r="E657" s="41">
        <f>IFERROR(B657/B656-1,"")</f>
        <v/>
      </c>
      <c r="F657" s="41">
        <f>IFERROR(C657/C656-1,"")</f>
        <v/>
      </c>
      <c r="G657" s="41">
        <f>IFERROR(D657/D656-1,"")</f>
        <v/>
      </c>
      <c r="H657" s="41">
        <f>IFERROR((1+E657)*(1+H656)-1,"")</f>
        <v/>
      </c>
      <c r="I657" s="41">
        <f>IFERROR((1+F657)*(1+I656)-1,"")</f>
        <v/>
      </c>
      <c r="J657" s="41">
        <f>IFERROR((1+G657)*(1+J656)-1,"")</f>
        <v/>
      </c>
      <c r="K657" s="42">
        <f>IFERROR(B657/$B$36*100,"")</f>
        <v/>
      </c>
      <c r="L657" s="42">
        <f>IFERROR(C657/$C$36*100,"")</f>
        <v/>
      </c>
      <c r="M657" s="42">
        <f>IFERROR(D657/$D$36*100,"")</f>
        <v/>
      </c>
      <c r="N657" s="41">
        <f>IFERROR((1+H657)/(1+I657)-1,"")</f>
        <v/>
      </c>
      <c r="O657" s="41">
        <f>IFERROR((1+H657)/(1+J657)-1,"")</f>
        <v/>
      </c>
      <c r="P657" s="39">
        <f>IFERROR(B657*0.0099502487562189+P656*(1-0.0099502487562189),"")</f>
        <v/>
      </c>
      <c r="Q657" s="42">
        <f>Q656*(1+E657)</f>
        <v/>
      </c>
      <c r="R657" s="42">
        <f>MAX(R656,Q657)</f>
        <v/>
      </c>
      <c r="S657" s="41">
        <f>IFERROR(Q657/R657-1,"")</f>
        <v/>
      </c>
      <c r="T657" s="41">
        <f>IFERROR(_xlfn.STDEV.S(E598:E657)*SQRT($D$7),"")</f>
        <v/>
      </c>
      <c r="U657" s="41">
        <f>IFERROR(MIN(E657-$D$6,0),"")</f>
        <v/>
      </c>
      <c r="V657" s="41">
        <f>IFERROR(E657-F657,"")</f>
        <v/>
      </c>
      <c r="W657" s="39">
        <f>B657</f>
        <v/>
      </c>
      <c r="X657" s="21" t="n"/>
    </row>
    <row r="658">
      <c r="A658" s="38" t="n">
        <v>45896</v>
      </c>
      <c r="B658" s="39" t="n">
        <v>291.15</v>
      </c>
      <c r="C658" s="39" t="n">
        <v>646.63</v>
      </c>
      <c r="D658" s="39" t="n">
        <v>46.075</v>
      </c>
      <c r="E658" s="41">
        <f>IFERROR(B658/B657-1,"")</f>
        <v/>
      </c>
      <c r="F658" s="41">
        <f>IFERROR(C658/C657-1,"")</f>
        <v/>
      </c>
      <c r="G658" s="41">
        <f>IFERROR(D658/D657-1,"")</f>
        <v/>
      </c>
      <c r="H658" s="41">
        <f>IFERROR((1+E658)*(1+H657)-1,"")</f>
        <v/>
      </c>
      <c r="I658" s="41">
        <f>IFERROR((1+F658)*(1+I657)-1,"")</f>
        <v/>
      </c>
      <c r="J658" s="41">
        <f>IFERROR((1+G658)*(1+J657)-1,"")</f>
        <v/>
      </c>
      <c r="K658" s="42">
        <f>IFERROR(B658/$B$36*100,"")</f>
        <v/>
      </c>
      <c r="L658" s="42">
        <f>IFERROR(C658/$C$36*100,"")</f>
        <v/>
      </c>
      <c r="M658" s="42">
        <f>IFERROR(D658/$D$36*100,"")</f>
        <v/>
      </c>
      <c r="N658" s="41">
        <f>IFERROR((1+H658)/(1+I658)-1,"")</f>
        <v/>
      </c>
      <c r="O658" s="41">
        <f>IFERROR((1+H658)/(1+J658)-1,"")</f>
        <v/>
      </c>
      <c r="P658" s="39">
        <f>IFERROR(B658*0.0099502487562189+P657*(1-0.0099502487562189),"")</f>
        <v/>
      </c>
      <c r="Q658" s="42">
        <f>Q657*(1+E658)</f>
        <v/>
      </c>
      <c r="R658" s="42">
        <f>MAX(R657,Q658)</f>
        <v/>
      </c>
      <c r="S658" s="41">
        <f>IFERROR(Q658/R658-1,"")</f>
        <v/>
      </c>
      <c r="T658" s="41">
        <f>IFERROR(_xlfn.STDEV.S(E599:E658)*SQRT($D$7),"")</f>
        <v/>
      </c>
      <c r="U658" s="41">
        <f>IFERROR(MIN(E658-$D$6,0),"")</f>
        <v/>
      </c>
      <c r="V658" s="41">
        <f>IFERROR(E658-F658,"")</f>
        <v/>
      </c>
      <c r="W658" s="39">
        <f>B658</f>
        <v/>
      </c>
      <c r="X658" s="21" t="n"/>
    </row>
    <row r="659">
      <c r="A659" s="38" t="n">
        <v>45897</v>
      </c>
      <c r="B659" s="39" t="n">
        <v>291.16</v>
      </c>
      <c r="C659" s="39" t="n">
        <v>648.92</v>
      </c>
      <c r="D659" s="39" t="n">
        <v>46.075</v>
      </c>
      <c r="E659" s="41">
        <f>IFERROR(B659/B658-1,"")</f>
        <v/>
      </c>
      <c r="F659" s="41">
        <f>IFERROR(C659/C658-1,"")</f>
        <v/>
      </c>
      <c r="G659" s="41">
        <f>IFERROR(D659/D658-1,"")</f>
        <v/>
      </c>
      <c r="H659" s="41">
        <f>IFERROR((1+E659)*(1+H658)-1,"")</f>
        <v/>
      </c>
      <c r="I659" s="41">
        <f>IFERROR((1+F659)*(1+I658)-1,"")</f>
        <v/>
      </c>
      <c r="J659" s="41">
        <f>IFERROR((1+G659)*(1+J658)-1,"")</f>
        <v/>
      </c>
      <c r="K659" s="42">
        <f>IFERROR(B659/$B$36*100,"")</f>
        <v/>
      </c>
      <c r="L659" s="42">
        <f>IFERROR(C659/$C$36*100,"")</f>
        <v/>
      </c>
      <c r="M659" s="42">
        <f>IFERROR(D659/$D$36*100,"")</f>
        <v/>
      </c>
      <c r="N659" s="41">
        <f>IFERROR((1+H659)/(1+I659)-1,"")</f>
        <v/>
      </c>
      <c r="O659" s="41">
        <f>IFERROR((1+H659)/(1+J659)-1,"")</f>
        <v/>
      </c>
      <c r="P659" s="39">
        <f>IFERROR(B659*0.0099502487562189+P658*(1-0.0099502487562189),"")</f>
        <v/>
      </c>
      <c r="Q659" s="42">
        <f>Q658*(1+E659)</f>
        <v/>
      </c>
      <c r="R659" s="42">
        <f>MAX(R658,Q659)</f>
        <v/>
      </c>
      <c r="S659" s="41">
        <f>IFERROR(Q659/R659-1,"")</f>
        <v/>
      </c>
      <c r="T659" s="41">
        <f>IFERROR(_xlfn.STDEV.S(E600:E659)*SQRT($D$7),"")</f>
        <v/>
      </c>
      <c r="U659" s="41">
        <f>IFERROR(MIN(E659-$D$6,0),"")</f>
        <v/>
      </c>
      <c r="V659" s="41">
        <f>IFERROR(E659-F659,"")</f>
        <v/>
      </c>
      <c r="W659" s="39">
        <f>B659</f>
        <v/>
      </c>
      <c r="X659" s="21" t="n"/>
    </row>
    <row r="660">
      <c r="A660" s="38" t="n">
        <v>45898</v>
      </c>
      <c r="B660" s="39" t="n">
        <v>291.16</v>
      </c>
      <c r="C660" s="39" t="n">
        <v>645.05</v>
      </c>
      <c r="D660" s="39" t="n">
        <v>46.14</v>
      </c>
      <c r="E660" s="41">
        <f>IFERROR(B660/B659-1,"")</f>
        <v/>
      </c>
      <c r="F660" s="41">
        <f>IFERROR(C660/C659-1,"")</f>
        <v/>
      </c>
      <c r="G660" s="41">
        <f>IFERROR(D660/D659-1,"")</f>
        <v/>
      </c>
      <c r="H660" s="41">
        <f>IFERROR((1+E660)*(1+H659)-1,"")</f>
        <v/>
      </c>
      <c r="I660" s="41">
        <f>IFERROR((1+F660)*(1+I659)-1,"")</f>
        <v/>
      </c>
      <c r="J660" s="41">
        <f>IFERROR((1+G660)*(1+J659)-1,"")</f>
        <v/>
      </c>
      <c r="K660" s="42">
        <f>IFERROR(B660/$B$36*100,"")</f>
        <v/>
      </c>
      <c r="L660" s="42">
        <f>IFERROR(C660/$C$36*100,"")</f>
        <v/>
      </c>
      <c r="M660" s="42">
        <f>IFERROR(D660/$D$36*100,"")</f>
        <v/>
      </c>
      <c r="N660" s="41">
        <f>IFERROR((1+H660)/(1+I660)-1,"")</f>
        <v/>
      </c>
      <c r="O660" s="41">
        <f>IFERROR((1+H660)/(1+J660)-1,"")</f>
        <v/>
      </c>
      <c r="P660" s="39">
        <f>IFERROR(B660*0.0099502487562189+P659*(1-0.0099502487562189),"")</f>
        <v/>
      </c>
      <c r="Q660" s="42">
        <f>Q659*(1+E660)</f>
        <v/>
      </c>
      <c r="R660" s="42">
        <f>MAX(R659,Q660)</f>
        <v/>
      </c>
      <c r="S660" s="41">
        <f>IFERROR(Q660/R660-1,"")</f>
        <v/>
      </c>
      <c r="T660" s="41">
        <f>IFERROR(_xlfn.STDEV.S(E601:E660)*SQRT($D$7),"")</f>
        <v/>
      </c>
      <c r="U660" s="41">
        <f>IFERROR(MIN(E660-$D$6,0),"")</f>
        <v/>
      </c>
      <c r="V660" s="41">
        <f>IFERROR(E660-F660,"")</f>
        <v/>
      </c>
      <c r="W660" s="39">
        <f>B660</f>
        <v/>
      </c>
      <c r="X660" s="21" t="n"/>
    </row>
    <row r="661">
      <c r="A661" s="38" t="n">
        <v>45902</v>
      </c>
      <c r="B661" s="39" t="n">
        <v>292.49</v>
      </c>
      <c r="C661" s="39" t="n">
        <v>640.27</v>
      </c>
      <c r="D661" s="39" t="n">
        <v>45.795</v>
      </c>
      <c r="E661" s="41">
        <f>IFERROR(B661/B660-1,"")</f>
        <v/>
      </c>
      <c r="F661" s="41">
        <f>IFERROR(C661/C660-1,"")</f>
        <v/>
      </c>
      <c r="G661" s="41">
        <f>IFERROR(D661/D660-1,"")</f>
        <v/>
      </c>
      <c r="H661" s="41">
        <f>IFERROR((1+E661)*(1+H660)-1,"")</f>
        <v/>
      </c>
      <c r="I661" s="41">
        <f>IFERROR((1+F661)*(1+I660)-1,"")</f>
        <v/>
      </c>
      <c r="J661" s="41">
        <f>IFERROR((1+G661)*(1+J660)-1,"")</f>
        <v/>
      </c>
      <c r="K661" s="42">
        <f>IFERROR(B661/$B$36*100,"")</f>
        <v/>
      </c>
      <c r="L661" s="42">
        <f>IFERROR(C661/$C$36*100,"")</f>
        <v/>
      </c>
      <c r="M661" s="42">
        <f>IFERROR(D661/$D$36*100,"")</f>
        <v/>
      </c>
      <c r="N661" s="41">
        <f>IFERROR((1+H661)/(1+I661)-1,"")</f>
        <v/>
      </c>
      <c r="O661" s="41">
        <f>IFERROR((1+H661)/(1+J661)-1,"")</f>
        <v/>
      </c>
      <c r="P661" s="39">
        <f>IFERROR(B661*0.0099502487562189+P660*(1-0.0099502487562189),"")</f>
        <v/>
      </c>
      <c r="Q661" s="42">
        <f>Q660*(1+E661)</f>
        <v/>
      </c>
      <c r="R661" s="42">
        <f>MAX(R660,Q661)</f>
        <v/>
      </c>
      <c r="S661" s="41">
        <f>IFERROR(Q661/R661-1,"")</f>
        <v/>
      </c>
      <c r="T661" s="41">
        <f>IFERROR(_xlfn.STDEV.S(E602:E661)*SQRT($D$7),"")</f>
        <v/>
      </c>
      <c r="U661" s="41">
        <f>IFERROR(MIN(E661-$D$6,0),"")</f>
        <v/>
      </c>
      <c r="V661" s="41">
        <f>IFERROR(E661-F661,"")</f>
        <v/>
      </c>
      <c r="W661" s="39">
        <f>B661</f>
        <v/>
      </c>
      <c r="X661" s="21" t="n"/>
    </row>
    <row r="662">
      <c r="A662" s="38" t="n">
        <v>45903</v>
      </c>
      <c r="B662" s="39" t="n">
        <v>288.05</v>
      </c>
      <c r="C662" s="39" t="n">
        <v>643.74</v>
      </c>
      <c r="D662" s="39" t="n">
        <v>45.485</v>
      </c>
      <c r="E662" s="41">
        <f>IFERROR(B662/B661-1,"")</f>
        <v/>
      </c>
      <c r="F662" s="41">
        <f>IFERROR(C662/C661-1,"")</f>
        <v/>
      </c>
      <c r="G662" s="41">
        <f>IFERROR(D662/D661-1,"")</f>
        <v/>
      </c>
      <c r="H662" s="41">
        <f>IFERROR((1+E662)*(1+H661)-1,"")</f>
        <v/>
      </c>
      <c r="I662" s="41">
        <f>IFERROR((1+F662)*(1+I661)-1,"")</f>
        <v/>
      </c>
      <c r="J662" s="41">
        <f>IFERROR((1+G662)*(1+J661)-1,"")</f>
        <v/>
      </c>
      <c r="K662" s="42">
        <f>IFERROR(B662/$B$36*100,"")</f>
        <v/>
      </c>
      <c r="L662" s="42">
        <f>IFERROR(C662/$C$36*100,"")</f>
        <v/>
      </c>
      <c r="M662" s="42">
        <f>IFERROR(D662/$D$36*100,"")</f>
        <v/>
      </c>
      <c r="N662" s="41">
        <f>IFERROR((1+H662)/(1+I662)-1,"")</f>
        <v/>
      </c>
      <c r="O662" s="41">
        <f>IFERROR((1+H662)/(1+J662)-1,"")</f>
        <v/>
      </c>
      <c r="P662" s="39">
        <f>IFERROR(B662*0.0099502487562189+P661*(1-0.0099502487562189),"")</f>
        <v/>
      </c>
      <c r="Q662" s="42">
        <f>Q661*(1+E662)</f>
        <v/>
      </c>
      <c r="R662" s="42">
        <f>MAX(R661,Q662)</f>
        <v/>
      </c>
      <c r="S662" s="41">
        <f>IFERROR(Q662/R662-1,"")</f>
        <v/>
      </c>
      <c r="T662" s="41">
        <f>IFERROR(_xlfn.STDEV.S(E603:E662)*SQRT($D$7),"")</f>
        <v/>
      </c>
      <c r="U662" s="41">
        <f>IFERROR(MIN(E662-$D$6,0),"")</f>
        <v/>
      </c>
      <c r="V662" s="41">
        <f>IFERROR(E662-F662,"")</f>
        <v/>
      </c>
      <c r="W662" s="39">
        <f>B662</f>
        <v/>
      </c>
      <c r="X662" s="21" t="n"/>
    </row>
    <row r="663">
      <c r="A663" s="38" t="n">
        <v>45904</v>
      </c>
      <c r="B663" s="39" t="n">
        <v>292.33</v>
      </c>
      <c r="C663" s="39" t="n">
        <v>649.12</v>
      </c>
      <c r="D663" s="39" t="n">
        <v>45.66</v>
      </c>
      <c r="E663" s="41">
        <f>IFERROR(B663/B662-1,"")</f>
        <v/>
      </c>
      <c r="F663" s="41">
        <f>IFERROR(C663/C662-1,"")</f>
        <v/>
      </c>
      <c r="G663" s="41">
        <f>IFERROR(D663/D662-1,"")</f>
        <v/>
      </c>
      <c r="H663" s="41">
        <f>IFERROR((1+E663)*(1+H662)-1,"")</f>
        <v/>
      </c>
      <c r="I663" s="41">
        <f>IFERROR((1+F663)*(1+I662)-1,"")</f>
        <v/>
      </c>
      <c r="J663" s="41">
        <f>IFERROR((1+G663)*(1+J662)-1,"")</f>
        <v/>
      </c>
      <c r="K663" s="42">
        <f>IFERROR(B663/$B$36*100,"")</f>
        <v/>
      </c>
      <c r="L663" s="42">
        <f>IFERROR(C663/$C$36*100,"")</f>
        <v/>
      </c>
      <c r="M663" s="42">
        <f>IFERROR(D663/$D$36*100,"")</f>
        <v/>
      </c>
      <c r="N663" s="41">
        <f>IFERROR((1+H663)/(1+I663)-1,"")</f>
        <v/>
      </c>
      <c r="O663" s="41">
        <f>IFERROR((1+H663)/(1+J663)-1,"")</f>
        <v/>
      </c>
      <c r="P663" s="39">
        <f>IFERROR(B663*0.0099502487562189+P662*(1-0.0099502487562189),"")</f>
        <v/>
      </c>
      <c r="Q663" s="42">
        <f>Q662*(1+E663)</f>
        <v/>
      </c>
      <c r="R663" s="42">
        <f>MAX(R662,Q663)</f>
        <v/>
      </c>
      <c r="S663" s="41">
        <f>IFERROR(Q663/R663-1,"")</f>
        <v/>
      </c>
      <c r="T663" s="41">
        <f>IFERROR(_xlfn.STDEV.S(E604:E663)*SQRT($D$7),"")</f>
        <v/>
      </c>
      <c r="U663" s="41">
        <f>IFERROR(MIN(E663-$D$6,0),"")</f>
        <v/>
      </c>
      <c r="V663" s="41">
        <f>IFERROR(E663-F663,"")</f>
        <v/>
      </c>
      <c r="W663" s="39">
        <f>B663</f>
        <v/>
      </c>
      <c r="X663" s="21" t="n"/>
    </row>
    <row r="664">
      <c r="A664" s="38" t="n">
        <v>45905</v>
      </c>
      <c r="B664" s="39" t="n">
        <v>294.81</v>
      </c>
      <c r="C664" s="39" t="n">
        <v>647.24</v>
      </c>
      <c r="D664" s="39" t="n">
        <v>45.98</v>
      </c>
      <c r="E664" s="41">
        <f>IFERROR(B664/B663-1,"")</f>
        <v/>
      </c>
      <c r="F664" s="41">
        <f>IFERROR(C664/C663-1,"")</f>
        <v/>
      </c>
      <c r="G664" s="41">
        <f>IFERROR(D664/D663-1,"")</f>
        <v/>
      </c>
      <c r="H664" s="41">
        <f>IFERROR((1+E664)*(1+H663)-1,"")</f>
        <v/>
      </c>
      <c r="I664" s="41">
        <f>IFERROR((1+F664)*(1+I663)-1,"")</f>
        <v/>
      </c>
      <c r="J664" s="41">
        <f>IFERROR((1+G664)*(1+J663)-1,"")</f>
        <v/>
      </c>
      <c r="K664" s="42">
        <f>IFERROR(B664/$B$36*100,"")</f>
        <v/>
      </c>
      <c r="L664" s="42">
        <f>IFERROR(C664/$C$36*100,"")</f>
        <v/>
      </c>
      <c r="M664" s="42">
        <f>IFERROR(D664/$D$36*100,"")</f>
        <v/>
      </c>
      <c r="N664" s="41">
        <f>IFERROR((1+H664)/(1+I664)-1,"")</f>
        <v/>
      </c>
      <c r="O664" s="41">
        <f>IFERROR((1+H664)/(1+J664)-1,"")</f>
        <v/>
      </c>
      <c r="P664" s="39">
        <f>IFERROR(B664*0.0099502487562189+P663*(1-0.0099502487562189),"")</f>
        <v/>
      </c>
      <c r="Q664" s="42">
        <f>Q663*(1+E664)</f>
        <v/>
      </c>
      <c r="R664" s="42">
        <f>MAX(R663,Q664)</f>
        <v/>
      </c>
      <c r="S664" s="41">
        <f>IFERROR(Q664/R664-1,"")</f>
        <v/>
      </c>
      <c r="T664" s="41">
        <f>IFERROR(_xlfn.STDEV.S(E605:E664)*SQRT($D$7),"")</f>
        <v/>
      </c>
      <c r="U664" s="41">
        <f>IFERROR(MIN(E664-$D$6,0),"")</f>
        <v/>
      </c>
      <c r="V664" s="41">
        <f>IFERROR(E664-F664,"")</f>
        <v/>
      </c>
      <c r="W664" s="39">
        <f>B664</f>
        <v/>
      </c>
      <c r="X664" s="21" t="n"/>
    </row>
    <row r="665">
      <c r="A665" s="38" t="n">
        <v>45908</v>
      </c>
      <c r="B665" s="39" t="n">
        <v>298.91</v>
      </c>
      <c r="C665" s="39" t="n">
        <v>648.83</v>
      </c>
      <c r="D665" s="39" t="n">
        <v>46.02</v>
      </c>
      <c r="E665" s="41">
        <f>IFERROR(B665/B664-1,"")</f>
        <v/>
      </c>
      <c r="F665" s="41">
        <f>IFERROR(C665/C664-1,"")</f>
        <v/>
      </c>
      <c r="G665" s="41">
        <f>IFERROR(D665/D664-1,"")</f>
        <v/>
      </c>
      <c r="H665" s="41">
        <f>IFERROR((1+E665)*(1+H664)-1,"")</f>
        <v/>
      </c>
      <c r="I665" s="41">
        <f>IFERROR((1+F665)*(1+I664)-1,"")</f>
        <v/>
      </c>
      <c r="J665" s="41">
        <f>IFERROR((1+G665)*(1+J664)-1,"")</f>
        <v/>
      </c>
      <c r="K665" s="42">
        <f>IFERROR(B665/$B$36*100,"")</f>
        <v/>
      </c>
      <c r="L665" s="42">
        <f>IFERROR(C665/$C$36*100,"")</f>
        <v/>
      </c>
      <c r="M665" s="42">
        <f>IFERROR(D665/$D$36*100,"")</f>
        <v/>
      </c>
      <c r="N665" s="41">
        <f>IFERROR((1+H665)/(1+I665)-1,"")</f>
        <v/>
      </c>
      <c r="O665" s="41">
        <f>IFERROR((1+H665)/(1+J665)-1,"")</f>
        <v/>
      </c>
      <c r="P665" s="39">
        <f>IFERROR(B665*0.0099502487562189+P664*(1-0.0099502487562189),"")</f>
        <v/>
      </c>
      <c r="Q665" s="42">
        <f>Q664*(1+E665)</f>
        <v/>
      </c>
      <c r="R665" s="42">
        <f>MAX(R664,Q665)</f>
        <v/>
      </c>
      <c r="S665" s="41">
        <f>IFERROR(Q665/R665-1,"")</f>
        <v/>
      </c>
      <c r="T665" s="41">
        <f>IFERROR(_xlfn.STDEV.S(E606:E665)*SQRT($D$7),"")</f>
        <v/>
      </c>
      <c r="U665" s="41">
        <f>IFERROR(MIN(E665-$D$6,0),"")</f>
        <v/>
      </c>
      <c r="V665" s="41">
        <f>IFERROR(E665-F665,"")</f>
        <v/>
      </c>
      <c r="W665" s="39">
        <f>B665</f>
        <v/>
      </c>
      <c r="X665" s="21" t="n"/>
    </row>
    <row r="666">
      <c r="A666" s="38" t="n">
        <v>45909</v>
      </c>
      <c r="B666" s="39" t="n">
        <v>292.44</v>
      </c>
      <c r="C666" s="39" t="n">
        <v>650.33</v>
      </c>
      <c r="D666" s="39" t="n">
        <v>45.27</v>
      </c>
      <c r="E666" s="41">
        <f>IFERROR(B666/B665-1,"")</f>
        <v/>
      </c>
      <c r="F666" s="41">
        <f>IFERROR(C666/C665-1,"")</f>
        <v/>
      </c>
      <c r="G666" s="41">
        <f>IFERROR(D666/D665-1,"")</f>
        <v/>
      </c>
      <c r="H666" s="41">
        <f>IFERROR((1+E666)*(1+H665)-1,"")</f>
        <v/>
      </c>
      <c r="I666" s="41">
        <f>IFERROR((1+F666)*(1+I665)-1,"")</f>
        <v/>
      </c>
      <c r="J666" s="41">
        <f>IFERROR((1+G666)*(1+J665)-1,"")</f>
        <v/>
      </c>
      <c r="K666" s="42">
        <f>IFERROR(B666/$B$36*100,"")</f>
        <v/>
      </c>
      <c r="L666" s="42">
        <f>IFERROR(C666/$C$36*100,"")</f>
        <v/>
      </c>
      <c r="M666" s="42">
        <f>IFERROR(D666/$D$36*100,"")</f>
        <v/>
      </c>
      <c r="N666" s="41">
        <f>IFERROR((1+H666)/(1+I666)-1,"")</f>
        <v/>
      </c>
      <c r="O666" s="41">
        <f>IFERROR((1+H666)/(1+J666)-1,"")</f>
        <v/>
      </c>
      <c r="P666" s="39">
        <f>IFERROR(B666*0.0099502487562189+P665*(1-0.0099502487562189),"")</f>
        <v/>
      </c>
      <c r="Q666" s="42">
        <f>Q665*(1+E666)</f>
        <v/>
      </c>
      <c r="R666" s="42">
        <f>MAX(R665,Q666)</f>
        <v/>
      </c>
      <c r="S666" s="41">
        <f>IFERROR(Q666/R666-1,"")</f>
        <v/>
      </c>
      <c r="T666" s="41">
        <f>IFERROR(_xlfn.STDEV.S(E607:E666)*SQRT($D$7),"")</f>
        <v/>
      </c>
      <c r="U666" s="41">
        <f>IFERROR(MIN(E666-$D$6,0),"")</f>
        <v/>
      </c>
      <c r="V666" s="41">
        <f>IFERROR(E666-F666,"")</f>
        <v/>
      </c>
      <c r="W666" s="39">
        <f>B666</f>
        <v/>
      </c>
      <c r="X666" s="21" t="n"/>
    </row>
    <row r="667">
      <c r="A667" s="38" t="n">
        <v>45910</v>
      </c>
      <c r="B667" s="39" t="n">
        <v>294.43</v>
      </c>
      <c r="C667" s="39" t="n">
        <v>652.21</v>
      </c>
      <c r="D667" s="39" t="n">
        <v>45.355</v>
      </c>
      <c r="E667" s="41">
        <f>IFERROR(B667/B666-1,"")</f>
        <v/>
      </c>
      <c r="F667" s="41">
        <f>IFERROR(C667/C666-1,"")</f>
        <v/>
      </c>
      <c r="G667" s="41">
        <f>IFERROR(D667/D666-1,"")</f>
        <v/>
      </c>
      <c r="H667" s="41">
        <f>IFERROR((1+E667)*(1+H666)-1,"")</f>
        <v/>
      </c>
      <c r="I667" s="41">
        <f>IFERROR((1+F667)*(1+I666)-1,"")</f>
        <v/>
      </c>
      <c r="J667" s="41">
        <f>IFERROR((1+G667)*(1+J666)-1,"")</f>
        <v/>
      </c>
      <c r="K667" s="42">
        <f>IFERROR(B667/$B$36*100,"")</f>
        <v/>
      </c>
      <c r="L667" s="42">
        <f>IFERROR(C667/$C$36*100,"")</f>
        <v/>
      </c>
      <c r="M667" s="42">
        <f>IFERROR(D667/$D$36*100,"")</f>
        <v/>
      </c>
      <c r="N667" s="41">
        <f>IFERROR((1+H667)/(1+I667)-1,"")</f>
        <v/>
      </c>
      <c r="O667" s="41">
        <f>IFERROR((1+H667)/(1+J667)-1,"")</f>
        <v/>
      </c>
      <c r="P667" s="39">
        <f>IFERROR(B667*0.0099502487562189+P666*(1-0.0099502487562189),"")</f>
        <v/>
      </c>
      <c r="Q667" s="42">
        <f>Q666*(1+E667)</f>
        <v/>
      </c>
      <c r="R667" s="42">
        <f>MAX(R666,Q667)</f>
        <v/>
      </c>
      <c r="S667" s="41">
        <f>IFERROR(Q667/R667-1,"")</f>
        <v/>
      </c>
      <c r="T667" s="41">
        <f>IFERROR(_xlfn.STDEV.S(E608:E667)*SQRT($D$7),"")</f>
        <v/>
      </c>
      <c r="U667" s="41">
        <f>IFERROR(MIN(E667-$D$6,0),"")</f>
        <v/>
      </c>
      <c r="V667" s="41">
        <f>IFERROR(E667-F667,"")</f>
        <v/>
      </c>
      <c r="W667" s="39">
        <f>B667</f>
        <v/>
      </c>
      <c r="X667" s="21" t="n"/>
    </row>
    <row r="668">
      <c r="A668" s="38" t="n">
        <v>45911</v>
      </c>
      <c r="B668" s="39" t="n">
        <v>301.65</v>
      </c>
      <c r="C668" s="39" t="n">
        <v>657.63</v>
      </c>
      <c r="D668" s="39" t="n">
        <v>46.305</v>
      </c>
      <c r="E668" s="41">
        <f>IFERROR(B668/B667-1,"")</f>
        <v/>
      </c>
      <c r="F668" s="41">
        <f>IFERROR(C668/C667-1,"")</f>
        <v/>
      </c>
      <c r="G668" s="41">
        <f>IFERROR(D668/D667-1,"")</f>
        <v/>
      </c>
      <c r="H668" s="41">
        <f>IFERROR((1+E668)*(1+H667)-1,"")</f>
        <v/>
      </c>
      <c r="I668" s="41">
        <f>IFERROR((1+F668)*(1+I667)-1,"")</f>
        <v/>
      </c>
      <c r="J668" s="41">
        <f>IFERROR((1+G668)*(1+J667)-1,"")</f>
        <v/>
      </c>
      <c r="K668" s="42">
        <f>IFERROR(B668/$B$36*100,"")</f>
        <v/>
      </c>
      <c r="L668" s="42">
        <f>IFERROR(C668/$C$36*100,"")</f>
        <v/>
      </c>
      <c r="M668" s="42">
        <f>IFERROR(D668/$D$36*100,"")</f>
        <v/>
      </c>
      <c r="N668" s="41">
        <f>IFERROR((1+H668)/(1+I668)-1,"")</f>
        <v/>
      </c>
      <c r="O668" s="41">
        <f>IFERROR((1+H668)/(1+J668)-1,"")</f>
        <v/>
      </c>
      <c r="P668" s="39">
        <f>IFERROR(B668*0.0099502487562189+P667*(1-0.0099502487562189),"")</f>
        <v/>
      </c>
      <c r="Q668" s="42">
        <f>Q667*(1+E668)</f>
        <v/>
      </c>
      <c r="R668" s="42">
        <f>MAX(R667,Q668)</f>
        <v/>
      </c>
      <c r="S668" s="41">
        <f>IFERROR(Q668/R668-1,"")</f>
        <v/>
      </c>
      <c r="T668" s="41">
        <f>IFERROR(_xlfn.STDEV.S(E609:E668)*SQRT($D$7),"")</f>
        <v/>
      </c>
      <c r="U668" s="41">
        <f>IFERROR(MIN(E668-$D$6,0),"")</f>
        <v/>
      </c>
      <c r="V668" s="41">
        <f>IFERROR(E668-F668,"")</f>
        <v/>
      </c>
      <c r="W668" s="39">
        <f>B668</f>
        <v/>
      </c>
      <c r="X668" s="21" t="n"/>
    </row>
    <row r="669">
      <c r="A669" s="38" t="n">
        <v>45912</v>
      </c>
      <c r="B669" s="39" t="n">
        <v>294.94</v>
      </c>
      <c r="C669" s="39" t="n">
        <v>657.41</v>
      </c>
      <c r="D669" s="39" t="n">
        <v>45.84</v>
      </c>
      <c r="E669" s="41">
        <f>IFERROR(B669/B668-1,"")</f>
        <v/>
      </c>
      <c r="F669" s="41">
        <f>IFERROR(C669/C668-1,"")</f>
        <v/>
      </c>
      <c r="G669" s="41">
        <f>IFERROR(D669/D668-1,"")</f>
        <v/>
      </c>
      <c r="H669" s="41">
        <f>IFERROR((1+E669)*(1+H668)-1,"")</f>
        <v/>
      </c>
      <c r="I669" s="41">
        <f>IFERROR((1+F669)*(1+I668)-1,"")</f>
        <v/>
      </c>
      <c r="J669" s="41">
        <f>IFERROR((1+G669)*(1+J668)-1,"")</f>
        <v/>
      </c>
      <c r="K669" s="42">
        <f>IFERROR(B669/$B$36*100,"")</f>
        <v/>
      </c>
      <c r="L669" s="42">
        <f>IFERROR(C669/$C$36*100,"")</f>
        <v/>
      </c>
      <c r="M669" s="42">
        <f>IFERROR(D669/$D$36*100,"")</f>
        <v/>
      </c>
      <c r="N669" s="41">
        <f>IFERROR((1+H669)/(1+I669)-1,"")</f>
        <v/>
      </c>
      <c r="O669" s="41">
        <f>IFERROR((1+H669)/(1+J669)-1,"")</f>
        <v/>
      </c>
      <c r="P669" s="39">
        <f>IFERROR(B669*0.0099502487562189+P668*(1-0.0099502487562189),"")</f>
        <v/>
      </c>
      <c r="Q669" s="42">
        <f>Q668*(1+E669)</f>
        <v/>
      </c>
      <c r="R669" s="42">
        <f>MAX(R668,Q669)</f>
        <v/>
      </c>
      <c r="S669" s="41">
        <f>IFERROR(Q669/R669-1,"")</f>
        <v/>
      </c>
      <c r="T669" s="41">
        <f>IFERROR(_xlfn.STDEV.S(E610:E669)*SQRT($D$7),"")</f>
        <v/>
      </c>
      <c r="U669" s="41">
        <f>IFERROR(MIN(E669-$D$6,0),"")</f>
        <v/>
      </c>
      <c r="V669" s="41">
        <f>IFERROR(E669-F669,"")</f>
        <v/>
      </c>
      <c r="W669" s="39">
        <f>B669</f>
        <v/>
      </c>
      <c r="X669" s="21" t="n"/>
    </row>
    <row r="670">
      <c r="A670" s="38" t="n">
        <v>45915</v>
      </c>
      <c r="B670" s="39" t="n">
        <v>294.03</v>
      </c>
      <c r="C670" s="39" t="n">
        <v>660.91</v>
      </c>
      <c r="D670" s="39" t="n">
        <v>45.47</v>
      </c>
      <c r="E670" s="41">
        <f>IFERROR(B670/B669-1,"")</f>
        <v/>
      </c>
      <c r="F670" s="41">
        <f>IFERROR(C670/C669-1,"")</f>
        <v/>
      </c>
      <c r="G670" s="41">
        <f>IFERROR(D670/D669-1,"")</f>
        <v/>
      </c>
      <c r="H670" s="41">
        <f>IFERROR((1+E670)*(1+H669)-1,"")</f>
        <v/>
      </c>
      <c r="I670" s="41">
        <f>IFERROR((1+F670)*(1+I669)-1,"")</f>
        <v/>
      </c>
      <c r="J670" s="41">
        <f>IFERROR((1+G670)*(1+J669)-1,"")</f>
        <v/>
      </c>
      <c r="K670" s="42">
        <f>IFERROR(B670/$B$36*100,"")</f>
        <v/>
      </c>
      <c r="L670" s="42">
        <f>IFERROR(C670/$C$36*100,"")</f>
        <v/>
      </c>
      <c r="M670" s="42">
        <f>IFERROR(D670/$D$36*100,"")</f>
        <v/>
      </c>
      <c r="N670" s="41">
        <f>IFERROR((1+H670)/(1+I670)-1,"")</f>
        <v/>
      </c>
      <c r="O670" s="41">
        <f>IFERROR((1+H670)/(1+J670)-1,"")</f>
        <v/>
      </c>
      <c r="P670" s="39">
        <f>IFERROR(B670*0.0099502487562189+P669*(1-0.0099502487562189),"")</f>
        <v/>
      </c>
      <c r="Q670" s="42">
        <f>Q669*(1+E670)</f>
        <v/>
      </c>
      <c r="R670" s="42">
        <f>MAX(R669,Q670)</f>
        <v/>
      </c>
      <c r="S670" s="41">
        <f>IFERROR(Q670/R670-1,"")</f>
        <v/>
      </c>
      <c r="T670" s="41">
        <f>IFERROR(_xlfn.STDEV.S(E611:E670)*SQRT($D$7),"")</f>
        <v/>
      </c>
      <c r="U670" s="41">
        <f>IFERROR(MIN(E670-$D$6,0),"")</f>
        <v/>
      </c>
      <c r="V670" s="41">
        <f>IFERROR(E670-F670,"")</f>
        <v/>
      </c>
      <c r="W670" s="39">
        <f>B670</f>
        <v/>
      </c>
      <c r="X670" s="21" t="n"/>
    </row>
    <row r="671">
      <c r="A671" s="38" t="n">
        <v>45916</v>
      </c>
      <c r="B671" s="39" t="n">
        <v>291.96</v>
      </c>
      <c r="C671" s="39" t="n">
        <v>660</v>
      </c>
      <c r="D671" s="39" t="n">
        <v>45.33</v>
      </c>
      <c r="E671" s="41">
        <f>IFERROR(B671/B670-1,"")</f>
        <v/>
      </c>
      <c r="F671" s="41">
        <f>IFERROR(C671/C670-1,"")</f>
        <v/>
      </c>
      <c r="G671" s="41">
        <f>IFERROR(D671/D670-1,"")</f>
        <v/>
      </c>
      <c r="H671" s="41">
        <f>IFERROR((1+E671)*(1+H670)-1,"")</f>
        <v/>
      </c>
      <c r="I671" s="41">
        <f>IFERROR((1+F671)*(1+I670)-1,"")</f>
        <v/>
      </c>
      <c r="J671" s="41">
        <f>IFERROR((1+G671)*(1+J670)-1,"")</f>
        <v/>
      </c>
      <c r="K671" s="42">
        <f>IFERROR(B671/$B$36*100,"")</f>
        <v/>
      </c>
      <c r="L671" s="42">
        <f>IFERROR(C671/$C$36*100,"")</f>
        <v/>
      </c>
      <c r="M671" s="42">
        <f>IFERROR(D671/$D$36*100,"")</f>
        <v/>
      </c>
      <c r="N671" s="41">
        <f>IFERROR((1+H671)/(1+I671)-1,"")</f>
        <v/>
      </c>
      <c r="O671" s="41">
        <f>IFERROR((1+H671)/(1+J671)-1,"")</f>
        <v/>
      </c>
      <c r="P671" s="39">
        <f>IFERROR(B671*0.0099502487562189+P670*(1-0.0099502487562189),"")</f>
        <v/>
      </c>
      <c r="Q671" s="42">
        <f>Q670*(1+E671)</f>
        <v/>
      </c>
      <c r="R671" s="42">
        <f>MAX(R670,Q671)</f>
        <v/>
      </c>
      <c r="S671" s="41">
        <f>IFERROR(Q671/R671-1,"")</f>
        <v/>
      </c>
      <c r="T671" s="41">
        <f>IFERROR(_xlfn.STDEV.S(E612:E671)*SQRT($D$7),"")</f>
        <v/>
      </c>
      <c r="U671" s="41">
        <f>IFERROR(MIN(E671-$D$6,0),"")</f>
        <v/>
      </c>
      <c r="V671" s="41">
        <f>IFERROR(E671-F671,"")</f>
        <v/>
      </c>
      <c r="W671" s="39">
        <f>B671</f>
        <v/>
      </c>
      <c r="X671" s="21" t="n"/>
    </row>
    <row r="672">
      <c r="A672" s="38" t="n">
        <v>45917</v>
      </c>
      <c r="B672" s="39" t="n">
        <v>292.25</v>
      </c>
      <c r="C672" s="39" t="n">
        <v>659.1799999999999</v>
      </c>
      <c r="D672" s="39" t="n">
        <v>45.435</v>
      </c>
      <c r="E672" s="41">
        <f>IFERROR(B672/B671-1,"")</f>
        <v/>
      </c>
      <c r="F672" s="41">
        <f>IFERROR(C672/C671-1,"")</f>
        <v/>
      </c>
      <c r="G672" s="41">
        <f>IFERROR(D672/D671-1,"")</f>
        <v/>
      </c>
      <c r="H672" s="41">
        <f>IFERROR((1+E672)*(1+H671)-1,"")</f>
        <v/>
      </c>
      <c r="I672" s="41">
        <f>IFERROR((1+F672)*(1+I671)-1,"")</f>
        <v/>
      </c>
      <c r="J672" s="41">
        <f>IFERROR((1+G672)*(1+J671)-1,"")</f>
        <v/>
      </c>
      <c r="K672" s="42">
        <f>IFERROR(B672/$B$36*100,"")</f>
        <v/>
      </c>
      <c r="L672" s="42">
        <f>IFERROR(C672/$C$36*100,"")</f>
        <v/>
      </c>
      <c r="M672" s="42">
        <f>IFERROR(D672/$D$36*100,"")</f>
        <v/>
      </c>
      <c r="N672" s="41">
        <f>IFERROR((1+H672)/(1+I672)-1,"")</f>
        <v/>
      </c>
      <c r="O672" s="41">
        <f>IFERROR((1+H672)/(1+J672)-1,"")</f>
        <v/>
      </c>
      <c r="P672" s="39">
        <f>IFERROR(B672*0.0099502487562189+P671*(1-0.0099502487562189),"")</f>
        <v/>
      </c>
      <c r="Q672" s="42">
        <f>Q671*(1+E672)</f>
        <v/>
      </c>
      <c r="R672" s="42">
        <f>MAX(R671,Q672)</f>
        <v/>
      </c>
      <c r="S672" s="41">
        <f>IFERROR(Q672/R672-1,"")</f>
        <v/>
      </c>
      <c r="T672" s="41">
        <f>IFERROR(_xlfn.STDEV.S(E613:E672)*SQRT($D$7),"")</f>
        <v/>
      </c>
      <c r="U672" s="41">
        <f>IFERROR(MIN(E672-$D$6,0),"")</f>
        <v/>
      </c>
      <c r="V672" s="41">
        <f>IFERROR(E672-F672,"")</f>
        <v/>
      </c>
      <c r="W672" s="39">
        <f>B672</f>
        <v/>
      </c>
      <c r="X672" s="21" t="n"/>
    </row>
    <row r="673">
      <c r="A673" s="38" t="n">
        <v>45918</v>
      </c>
      <c r="B673" s="39" t="n">
        <v>298.58</v>
      </c>
      <c r="C673" s="39" t="n">
        <v>662.26</v>
      </c>
      <c r="D673" s="39" t="n">
        <v>45.435</v>
      </c>
      <c r="E673" s="41">
        <f>IFERROR(B673/B672-1,"")</f>
        <v/>
      </c>
      <c r="F673" s="41">
        <f>IFERROR(C673/C672-1,"")</f>
        <v/>
      </c>
      <c r="G673" s="41">
        <f>IFERROR(D673/D672-1,"")</f>
        <v/>
      </c>
      <c r="H673" s="41">
        <f>IFERROR((1+E673)*(1+H672)-1,"")</f>
        <v/>
      </c>
      <c r="I673" s="41">
        <f>IFERROR((1+F673)*(1+I672)-1,"")</f>
        <v/>
      </c>
      <c r="J673" s="41">
        <f>IFERROR((1+G673)*(1+J672)-1,"")</f>
        <v/>
      </c>
      <c r="K673" s="42">
        <f>IFERROR(B673/$B$36*100,"")</f>
        <v/>
      </c>
      <c r="L673" s="42">
        <f>IFERROR(C673/$C$36*100,"")</f>
        <v/>
      </c>
      <c r="M673" s="42">
        <f>IFERROR(D673/$D$36*100,"")</f>
        <v/>
      </c>
      <c r="N673" s="41">
        <f>IFERROR((1+H673)/(1+I673)-1,"")</f>
        <v/>
      </c>
      <c r="O673" s="41">
        <f>IFERROR((1+H673)/(1+J673)-1,"")</f>
        <v/>
      </c>
      <c r="P673" s="39">
        <f>IFERROR(B673*0.0099502487562189+P672*(1-0.0099502487562189),"")</f>
        <v/>
      </c>
      <c r="Q673" s="42">
        <f>Q672*(1+E673)</f>
        <v/>
      </c>
      <c r="R673" s="42">
        <f>MAX(R672,Q673)</f>
        <v/>
      </c>
      <c r="S673" s="41">
        <f>IFERROR(Q673/R673-1,"")</f>
        <v/>
      </c>
      <c r="T673" s="41">
        <f>IFERROR(_xlfn.STDEV.S(E614:E673)*SQRT($D$7),"")</f>
        <v/>
      </c>
      <c r="U673" s="41">
        <f>IFERROR(MIN(E673-$D$6,0),"")</f>
        <v/>
      </c>
      <c r="V673" s="41">
        <f>IFERROR(E673-F673,"")</f>
        <v/>
      </c>
      <c r="W673" s="39">
        <f>B673</f>
        <v/>
      </c>
      <c r="X673" s="21" t="n"/>
    </row>
    <row r="674">
      <c r="A674" s="38" t="n">
        <v>45919</v>
      </c>
      <c r="B674" s="39" t="n">
        <v>297.79</v>
      </c>
      <c r="C674" s="39" t="n">
        <v>663.7</v>
      </c>
      <c r="D674" s="39" t="n">
        <v>45.415</v>
      </c>
      <c r="E674" s="41">
        <f>IFERROR(B674/B673-1,"")</f>
        <v/>
      </c>
      <c r="F674" s="41">
        <f>IFERROR(C674/C673-1,"")</f>
        <v/>
      </c>
      <c r="G674" s="41">
        <f>IFERROR(D674/D673-1,"")</f>
        <v/>
      </c>
      <c r="H674" s="41">
        <f>IFERROR((1+E674)*(1+H673)-1,"")</f>
        <v/>
      </c>
      <c r="I674" s="41">
        <f>IFERROR((1+F674)*(1+I673)-1,"")</f>
        <v/>
      </c>
      <c r="J674" s="41">
        <f>IFERROR((1+G674)*(1+J673)-1,"")</f>
        <v/>
      </c>
      <c r="K674" s="42">
        <f>IFERROR(B674/$B$36*100,"")</f>
        <v/>
      </c>
      <c r="L674" s="42">
        <f>IFERROR(C674/$C$36*100,"")</f>
        <v/>
      </c>
      <c r="M674" s="42">
        <f>IFERROR(D674/$D$36*100,"")</f>
        <v/>
      </c>
      <c r="N674" s="41">
        <f>IFERROR((1+H674)/(1+I674)-1,"")</f>
        <v/>
      </c>
      <c r="O674" s="41">
        <f>IFERROR((1+H674)/(1+J674)-1,"")</f>
        <v/>
      </c>
      <c r="P674" s="39">
        <f>IFERROR(B674*0.0099502487562189+P673*(1-0.0099502487562189),"")</f>
        <v/>
      </c>
      <c r="Q674" s="42">
        <f>Q673*(1+E674)</f>
        <v/>
      </c>
      <c r="R674" s="42">
        <f>MAX(R673,Q674)</f>
        <v/>
      </c>
      <c r="S674" s="41">
        <f>IFERROR(Q674/R674-1,"")</f>
        <v/>
      </c>
      <c r="T674" s="41">
        <f>IFERROR(_xlfn.STDEV.S(E615:E674)*SQRT($D$7),"")</f>
        <v/>
      </c>
      <c r="U674" s="41">
        <f>IFERROR(MIN(E674-$D$6,0),"")</f>
        <v/>
      </c>
      <c r="V674" s="41">
        <f>IFERROR(E674-F674,"")</f>
        <v/>
      </c>
      <c r="W674" s="39">
        <f>B674</f>
        <v/>
      </c>
      <c r="X674" s="21" t="n"/>
    </row>
    <row r="675">
      <c r="A675" s="38" t="n">
        <v>45922</v>
      </c>
      <c r="B675" s="39" t="n">
        <v>298.89</v>
      </c>
      <c r="C675" s="39" t="n">
        <v>666.84</v>
      </c>
      <c r="D675" s="39" t="n">
        <v>45.185</v>
      </c>
      <c r="E675" s="41">
        <f>IFERROR(B675/B674-1,"")</f>
        <v/>
      </c>
      <c r="F675" s="41">
        <f>IFERROR(C675/C674-1,"")</f>
        <v/>
      </c>
      <c r="G675" s="41">
        <f>IFERROR(D675/D674-1,"")</f>
        <v/>
      </c>
      <c r="H675" s="41">
        <f>IFERROR((1+E675)*(1+H674)-1,"")</f>
        <v/>
      </c>
      <c r="I675" s="41">
        <f>IFERROR((1+F675)*(1+I674)-1,"")</f>
        <v/>
      </c>
      <c r="J675" s="41">
        <f>IFERROR((1+G675)*(1+J674)-1,"")</f>
        <v/>
      </c>
      <c r="K675" s="42">
        <f>IFERROR(B675/$B$36*100,"")</f>
        <v/>
      </c>
      <c r="L675" s="42">
        <f>IFERROR(C675/$C$36*100,"")</f>
        <v/>
      </c>
      <c r="M675" s="42">
        <f>IFERROR(D675/$D$36*100,"")</f>
        <v/>
      </c>
      <c r="N675" s="41">
        <f>IFERROR((1+H675)/(1+I675)-1,"")</f>
        <v/>
      </c>
      <c r="O675" s="41">
        <f>IFERROR((1+H675)/(1+J675)-1,"")</f>
        <v/>
      </c>
      <c r="P675" s="39">
        <f>IFERROR(B675*0.0099502487562189+P674*(1-0.0099502487562189),"")</f>
        <v/>
      </c>
      <c r="Q675" s="42">
        <f>Q674*(1+E675)</f>
        <v/>
      </c>
      <c r="R675" s="42">
        <f>MAX(R674,Q675)</f>
        <v/>
      </c>
      <c r="S675" s="41">
        <f>IFERROR(Q675/R675-1,"")</f>
        <v/>
      </c>
      <c r="T675" s="41">
        <f>IFERROR(_xlfn.STDEV.S(E616:E675)*SQRT($D$7),"")</f>
        <v/>
      </c>
      <c r="U675" s="41">
        <f>IFERROR(MIN(E675-$D$6,0),"")</f>
        <v/>
      </c>
      <c r="V675" s="41">
        <f>IFERROR(E675-F675,"")</f>
        <v/>
      </c>
      <c r="W675" s="39">
        <f>B675</f>
        <v/>
      </c>
      <c r="X675" s="21" t="n"/>
    </row>
    <row r="676">
      <c r="A676" s="38" t="n">
        <v>45923</v>
      </c>
      <c r="B676" s="39" t="n">
        <v>297.59</v>
      </c>
      <c r="C676" s="39" t="n">
        <v>663.21</v>
      </c>
      <c r="D676" s="39" t="n">
        <v>45.04</v>
      </c>
      <c r="E676" s="41">
        <f>IFERROR(B676/B675-1,"")</f>
        <v/>
      </c>
      <c r="F676" s="41">
        <f>IFERROR(C676/C675-1,"")</f>
        <v/>
      </c>
      <c r="G676" s="41">
        <f>IFERROR(D676/D675-1,"")</f>
        <v/>
      </c>
      <c r="H676" s="41">
        <f>IFERROR((1+E676)*(1+H675)-1,"")</f>
        <v/>
      </c>
      <c r="I676" s="41">
        <f>IFERROR((1+F676)*(1+I675)-1,"")</f>
        <v/>
      </c>
      <c r="J676" s="41">
        <f>IFERROR((1+G676)*(1+J675)-1,"")</f>
        <v/>
      </c>
      <c r="K676" s="42">
        <f>IFERROR(B676/$B$36*100,"")</f>
        <v/>
      </c>
      <c r="L676" s="42">
        <f>IFERROR(C676/$C$36*100,"")</f>
        <v/>
      </c>
      <c r="M676" s="42">
        <f>IFERROR(D676/$D$36*100,"")</f>
        <v/>
      </c>
      <c r="N676" s="41">
        <f>IFERROR((1+H676)/(1+I676)-1,"")</f>
        <v/>
      </c>
      <c r="O676" s="41">
        <f>IFERROR((1+H676)/(1+J676)-1,"")</f>
        <v/>
      </c>
      <c r="P676" s="39">
        <f>IFERROR(B676*0.0099502487562189+P675*(1-0.0099502487562189),"")</f>
        <v/>
      </c>
      <c r="Q676" s="42">
        <f>Q675*(1+E676)</f>
        <v/>
      </c>
      <c r="R676" s="42">
        <f>MAX(R675,Q676)</f>
        <v/>
      </c>
      <c r="S676" s="41">
        <f>IFERROR(Q676/R676-1,"")</f>
        <v/>
      </c>
      <c r="T676" s="41">
        <f>IFERROR(_xlfn.STDEV.S(E617:E676)*SQRT($D$7),"")</f>
        <v/>
      </c>
      <c r="U676" s="41">
        <f>IFERROR(MIN(E676-$D$6,0),"")</f>
        <v/>
      </c>
      <c r="V676" s="41">
        <f>IFERROR(E676-F676,"")</f>
        <v/>
      </c>
      <c r="W676" s="39">
        <f>B676</f>
        <v/>
      </c>
      <c r="X676" s="21" t="n"/>
    </row>
    <row r="677">
      <c r="A677" s="38" t="n">
        <v>45924</v>
      </c>
      <c r="B677" s="39" t="n">
        <v>293.81</v>
      </c>
      <c r="C677" s="39" t="n">
        <v>661.1</v>
      </c>
      <c r="D677" s="39" t="n">
        <v>44.49</v>
      </c>
      <c r="E677" s="41">
        <f>IFERROR(B677/B676-1,"")</f>
        <v/>
      </c>
      <c r="F677" s="41">
        <f>IFERROR(C677/C676-1,"")</f>
        <v/>
      </c>
      <c r="G677" s="41">
        <f>IFERROR(D677/D676-1,"")</f>
        <v/>
      </c>
      <c r="H677" s="41">
        <f>IFERROR((1+E677)*(1+H676)-1,"")</f>
        <v/>
      </c>
      <c r="I677" s="41">
        <f>IFERROR((1+F677)*(1+I676)-1,"")</f>
        <v/>
      </c>
      <c r="J677" s="41">
        <f>IFERROR((1+G677)*(1+J676)-1,"")</f>
        <v/>
      </c>
      <c r="K677" s="42">
        <f>IFERROR(B677/$B$36*100,"")</f>
        <v/>
      </c>
      <c r="L677" s="42">
        <f>IFERROR(C677/$C$36*100,"")</f>
        <v/>
      </c>
      <c r="M677" s="42">
        <f>IFERROR(D677/$D$36*100,"")</f>
        <v/>
      </c>
      <c r="N677" s="41">
        <f>IFERROR((1+H677)/(1+I677)-1,"")</f>
        <v/>
      </c>
      <c r="O677" s="41">
        <f>IFERROR((1+H677)/(1+J677)-1,"")</f>
        <v/>
      </c>
      <c r="P677" s="39">
        <f>IFERROR(B677*0.0099502487562189+P676*(1-0.0099502487562189),"")</f>
        <v/>
      </c>
      <c r="Q677" s="42">
        <f>Q676*(1+E677)</f>
        <v/>
      </c>
      <c r="R677" s="42">
        <f>MAX(R676,Q677)</f>
        <v/>
      </c>
      <c r="S677" s="41">
        <f>IFERROR(Q677/R677-1,"")</f>
        <v/>
      </c>
      <c r="T677" s="41">
        <f>IFERROR(_xlfn.STDEV.S(E618:E677)*SQRT($D$7),"")</f>
        <v/>
      </c>
      <c r="U677" s="41">
        <f>IFERROR(MIN(E677-$D$6,0),"")</f>
        <v/>
      </c>
      <c r="V677" s="41">
        <f>IFERROR(E677-F677,"")</f>
        <v/>
      </c>
      <c r="W677" s="39">
        <f>B677</f>
        <v/>
      </c>
      <c r="X677" s="21" t="n"/>
    </row>
    <row r="678">
      <c r="A678" s="38" t="n">
        <v>45925</v>
      </c>
      <c r="B678" s="39" t="n">
        <v>294.76</v>
      </c>
      <c r="C678" s="39" t="n">
        <v>658.05</v>
      </c>
      <c r="D678" s="39" t="n">
        <v>43.91</v>
      </c>
      <c r="E678" s="41">
        <f>IFERROR(B678/B677-1,"")</f>
        <v/>
      </c>
      <c r="F678" s="41">
        <f>IFERROR(C678/C677-1,"")</f>
        <v/>
      </c>
      <c r="G678" s="41">
        <f>IFERROR(D678/D677-1,"")</f>
        <v/>
      </c>
      <c r="H678" s="41">
        <f>IFERROR((1+E678)*(1+H677)-1,"")</f>
        <v/>
      </c>
      <c r="I678" s="41">
        <f>IFERROR((1+F678)*(1+I677)-1,"")</f>
        <v/>
      </c>
      <c r="J678" s="41">
        <f>IFERROR((1+G678)*(1+J677)-1,"")</f>
        <v/>
      </c>
      <c r="K678" s="42">
        <f>IFERROR(B678/$B$36*100,"")</f>
        <v/>
      </c>
      <c r="L678" s="42">
        <f>IFERROR(C678/$C$36*100,"")</f>
        <v/>
      </c>
      <c r="M678" s="42">
        <f>IFERROR(D678/$D$36*100,"")</f>
        <v/>
      </c>
      <c r="N678" s="41">
        <f>IFERROR((1+H678)/(1+I678)-1,"")</f>
        <v/>
      </c>
      <c r="O678" s="41">
        <f>IFERROR((1+H678)/(1+J678)-1,"")</f>
        <v/>
      </c>
      <c r="P678" s="39">
        <f>IFERROR(B678*0.0099502487562189+P677*(1-0.0099502487562189),"")</f>
        <v/>
      </c>
      <c r="Q678" s="42">
        <f>Q677*(1+E678)</f>
        <v/>
      </c>
      <c r="R678" s="42">
        <f>MAX(R677,Q678)</f>
        <v/>
      </c>
      <c r="S678" s="41">
        <f>IFERROR(Q678/R678-1,"")</f>
        <v/>
      </c>
      <c r="T678" s="41">
        <f>IFERROR(_xlfn.STDEV.S(E619:E678)*SQRT($D$7),"")</f>
        <v/>
      </c>
      <c r="U678" s="41">
        <f>IFERROR(MIN(E678-$D$6,0),"")</f>
        <v/>
      </c>
      <c r="V678" s="41">
        <f>IFERROR(E678-F678,"")</f>
        <v/>
      </c>
      <c r="W678" s="39">
        <f>B678</f>
        <v/>
      </c>
      <c r="X678" s="21" t="n"/>
    </row>
    <row r="679">
      <c r="A679" s="38" t="n">
        <v>45926</v>
      </c>
      <c r="B679" s="39" t="n">
        <v>299.29</v>
      </c>
      <c r="C679" s="39" t="n">
        <v>661.8200000000001</v>
      </c>
      <c r="D679" s="39" t="n">
        <v>44.42</v>
      </c>
      <c r="E679" s="41">
        <f>IFERROR(B679/B678-1,"")</f>
        <v/>
      </c>
      <c r="F679" s="41">
        <f>IFERROR(C679/C678-1,"")</f>
        <v/>
      </c>
      <c r="G679" s="41">
        <f>IFERROR(D679/D678-1,"")</f>
        <v/>
      </c>
      <c r="H679" s="41">
        <f>IFERROR((1+E679)*(1+H678)-1,"")</f>
        <v/>
      </c>
      <c r="I679" s="41">
        <f>IFERROR((1+F679)*(1+I678)-1,"")</f>
        <v/>
      </c>
      <c r="J679" s="41">
        <f>IFERROR((1+G679)*(1+J678)-1,"")</f>
        <v/>
      </c>
      <c r="K679" s="42">
        <f>IFERROR(B679/$B$36*100,"")</f>
        <v/>
      </c>
      <c r="L679" s="42">
        <f>IFERROR(C679/$C$36*100,"")</f>
        <v/>
      </c>
      <c r="M679" s="42">
        <f>IFERROR(D679/$D$36*100,"")</f>
        <v/>
      </c>
      <c r="N679" s="41">
        <f>IFERROR((1+H679)/(1+I679)-1,"")</f>
        <v/>
      </c>
      <c r="O679" s="41">
        <f>IFERROR((1+H679)/(1+J679)-1,"")</f>
        <v/>
      </c>
      <c r="P679" s="39">
        <f>IFERROR(B679*0.0099502487562189+P678*(1-0.0099502487562189),"")</f>
        <v/>
      </c>
      <c r="Q679" s="42">
        <f>Q678*(1+E679)</f>
        <v/>
      </c>
      <c r="R679" s="42">
        <f>MAX(R678,Q679)</f>
        <v/>
      </c>
      <c r="S679" s="41">
        <f>IFERROR(Q679/R679-1,"")</f>
        <v/>
      </c>
      <c r="T679" s="41">
        <f>IFERROR(_xlfn.STDEV.S(E620:E679)*SQRT($D$7),"")</f>
        <v/>
      </c>
      <c r="U679" s="41">
        <f>IFERROR(MIN(E679-$D$6,0),"")</f>
        <v/>
      </c>
      <c r="V679" s="41">
        <f>IFERROR(E679-F679,"")</f>
        <v/>
      </c>
      <c r="W679" s="39">
        <f>B679</f>
        <v/>
      </c>
      <c r="X679" s="21" t="n"/>
    </row>
    <row r="680">
      <c r="A680" s="38" t="n">
        <v>45929</v>
      </c>
      <c r="B680" s="39" t="n">
        <v>303.02</v>
      </c>
      <c r="C680" s="39" t="n">
        <v>663.6799999999999</v>
      </c>
      <c r="D680" s="39" t="n">
        <v>44.59</v>
      </c>
      <c r="E680" s="41">
        <f>IFERROR(B680/B679-1,"")</f>
        <v/>
      </c>
      <c r="F680" s="41">
        <f>IFERROR(C680/C679-1,"")</f>
        <v/>
      </c>
      <c r="G680" s="41">
        <f>IFERROR(D680/D679-1,"")</f>
        <v/>
      </c>
      <c r="H680" s="41">
        <f>IFERROR((1+E680)*(1+H679)-1,"")</f>
        <v/>
      </c>
      <c r="I680" s="41">
        <f>IFERROR((1+F680)*(1+I679)-1,"")</f>
        <v/>
      </c>
      <c r="J680" s="41">
        <f>IFERROR((1+G680)*(1+J679)-1,"")</f>
        <v/>
      </c>
      <c r="K680" s="42">
        <f>IFERROR(B680/$B$36*100,"")</f>
        <v/>
      </c>
      <c r="L680" s="42">
        <f>IFERROR(C680/$C$36*100,"")</f>
        <v/>
      </c>
      <c r="M680" s="42">
        <f>IFERROR(D680/$D$36*100,"")</f>
        <v/>
      </c>
      <c r="N680" s="41">
        <f>IFERROR((1+H680)/(1+I680)-1,"")</f>
        <v/>
      </c>
      <c r="O680" s="41">
        <f>IFERROR((1+H680)/(1+J680)-1,"")</f>
        <v/>
      </c>
      <c r="P680" s="39">
        <f>IFERROR(B680*0.0099502487562189+P679*(1-0.0099502487562189),"")</f>
        <v/>
      </c>
      <c r="Q680" s="42">
        <f>Q679*(1+E680)</f>
        <v/>
      </c>
      <c r="R680" s="42">
        <f>MAX(R679,Q680)</f>
        <v/>
      </c>
      <c r="S680" s="41">
        <f>IFERROR(Q680/R680-1,"")</f>
        <v/>
      </c>
      <c r="T680" s="41">
        <f>IFERROR(_xlfn.STDEV.S(E621:E680)*SQRT($D$7),"")</f>
        <v/>
      </c>
      <c r="U680" s="41">
        <f>IFERROR(MIN(E680-$D$6,0),"")</f>
        <v/>
      </c>
      <c r="V680" s="41">
        <f>IFERROR(E680-F680,"")</f>
        <v/>
      </c>
      <c r="W680" s="39">
        <f>B680</f>
        <v/>
      </c>
      <c r="X680" s="21" t="n"/>
    </row>
    <row r="681">
      <c r="A681" s="38" t="n">
        <v>45930</v>
      </c>
      <c r="B681" s="39" t="n">
        <v>307.62</v>
      </c>
      <c r="C681" s="39" t="n">
        <v>666.1799999999999</v>
      </c>
      <c r="D681" s="39" t="n">
        <v>44.81</v>
      </c>
      <c r="E681" s="41">
        <f>IFERROR(B681/B680-1,"")</f>
        <v/>
      </c>
      <c r="F681" s="41">
        <f>IFERROR(C681/C680-1,"")</f>
        <v/>
      </c>
      <c r="G681" s="41">
        <f>IFERROR(D681/D680-1,"")</f>
        <v/>
      </c>
      <c r="H681" s="41">
        <f>IFERROR((1+E681)*(1+H680)-1,"")</f>
        <v/>
      </c>
      <c r="I681" s="41">
        <f>IFERROR((1+F681)*(1+I680)-1,"")</f>
        <v/>
      </c>
      <c r="J681" s="41">
        <f>IFERROR((1+G681)*(1+J680)-1,"")</f>
        <v/>
      </c>
      <c r="K681" s="42">
        <f>IFERROR(B681/$B$36*100,"")</f>
        <v/>
      </c>
      <c r="L681" s="42">
        <f>IFERROR(C681/$C$36*100,"")</f>
        <v/>
      </c>
      <c r="M681" s="42">
        <f>IFERROR(D681/$D$36*100,"")</f>
        <v/>
      </c>
      <c r="N681" s="41">
        <f>IFERROR((1+H681)/(1+I681)-1,"")</f>
        <v/>
      </c>
      <c r="O681" s="41">
        <f>IFERROR((1+H681)/(1+J681)-1,"")</f>
        <v/>
      </c>
      <c r="P681" s="39">
        <f>IFERROR(B681*0.0099502487562189+P680*(1-0.0099502487562189),"")</f>
        <v/>
      </c>
      <c r="Q681" s="42">
        <f>Q680*(1+E681)</f>
        <v/>
      </c>
      <c r="R681" s="42">
        <f>MAX(R680,Q681)</f>
        <v/>
      </c>
      <c r="S681" s="41">
        <f>IFERROR(Q681/R681-1,"")</f>
        <v/>
      </c>
      <c r="T681" s="41">
        <f>IFERROR(_xlfn.STDEV.S(E622:E681)*SQRT($D$7),"")</f>
        <v/>
      </c>
      <c r="U681" s="41">
        <f>IFERROR(MIN(E681-$D$6,0),"")</f>
        <v/>
      </c>
      <c r="V681" s="41">
        <f>IFERROR(E681-F681,"")</f>
        <v/>
      </c>
      <c r="W681" s="39">
        <f>B681</f>
        <v/>
      </c>
      <c r="X681" s="21" t="n"/>
    </row>
    <row r="682">
      <c r="A682" s="38" t="n">
        <v>45931</v>
      </c>
      <c r="B682" s="39" t="n">
        <v>301.64</v>
      </c>
      <c r="C682" s="39" t="n">
        <v>668.45</v>
      </c>
      <c r="D682" s="39" t="n">
        <v>44.34</v>
      </c>
      <c r="E682" s="41">
        <f>IFERROR(B682/B681-1,"")</f>
        <v/>
      </c>
      <c r="F682" s="41">
        <f>IFERROR(C682/C681-1,"")</f>
        <v/>
      </c>
      <c r="G682" s="41">
        <f>IFERROR(D682/D681-1,"")</f>
        <v/>
      </c>
      <c r="H682" s="41">
        <f>IFERROR((1+E682)*(1+H681)-1,"")</f>
        <v/>
      </c>
      <c r="I682" s="41">
        <f>IFERROR((1+F682)*(1+I681)-1,"")</f>
        <v/>
      </c>
      <c r="J682" s="41">
        <f>IFERROR((1+G682)*(1+J681)-1,"")</f>
        <v/>
      </c>
      <c r="K682" s="42">
        <f>IFERROR(B682/$B$36*100,"")</f>
        <v/>
      </c>
      <c r="L682" s="42">
        <f>IFERROR(C682/$C$36*100,"")</f>
        <v/>
      </c>
      <c r="M682" s="42">
        <f>IFERROR(D682/$D$36*100,"")</f>
        <v/>
      </c>
      <c r="N682" s="41">
        <f>IFERROR((1+H682)/(1+I682)-1,"")</f>
        <v/>
      </c>
      <c r="O682" s="41">
        <f>IFERROR((1+H682)/(1+J682)-1,"")</f>
        <v/>
      </c>
      <c r="P682" s="39">
        <f>IFERROR(B682*0.0099502487562189+P681*(1-0.0099502487562189),"")</f>
        <v/>
      </c>
      <c r="Q682" s="42">
        <f>Q681*(1+E682)</f>
        <v/>
      </c>
      <c r="R682" s="42">
        <f>MAX(R681,Q682)</f>
        <v/>
      </c>
      <c r="S682" s="41">
        <f>IFERROR(Q682/R682-1,"")</f>
        <v/>
      </c>
      <c r="T682" s="41">
        <f>IFERROR(_xlfn.STDEV.S(E623:E682)*SQRT($D$7),"")</f>
        <v/>
      </c>
      <c r="U682" s="41">
        <f>IFERROR(MIN(E682-$D$6,0),"")</f>
        <v/>
      </c>
      <c r="V682" s="41">
        <f>IFERROR(E682-F682,"")</f>
        <v/>
      </c>
      <c r="W682" s="39">
        <f>B682</f>
        <v/>
      </c>
      <c r="X682" s="21" t="n"/>
    </row>
    <row r="683">
      <c r="A683" s="38" t="n">
        <v>45932</v>
      </c>
      <c r="B683" s="39" t="n">
        <v>303.37</v>
      </c>
      <c r="C683" s="39" t="n">
        <v>669.22</v>
      </c>
      <c r="D683" s="39" t="n">
        <v>44.855</v>
      </c>
      <c r="E683" s="41">
        <f>IFERROR(B683/B682-1,"")</f>
        <v/>
      </c>
      <c r="F683" s="41">
        <f>IFERROR(C683/C682-1,"")</f>
        <v/>
      </c>
      <c r="G683" s="41">
        <f>IFERROR(D683/D682-1,"")</f>
        <v/>
      </c>
      <c r="H683" s="41">
        <f>IFERROR((1+E683)*(1+H682)-1,"")</f>
        <v/>
      </c>
      <c r="I683" s="41">
        <f>IFERROR((1+F683)*(1+I682)-1,"")</f>
        <v/>
      </c>
      <c r="J683" s="41">
        <f>IFERROR((1+G683)*(1+J682)-1,"")</f>
        <v/>
      </c>
      <c r="K683" s="42">
        <f>IFERROR(B683/$B$36*100,"")</f>
        <v/>
      </c>
      <c r="L683" s="42">
        <f>IFERROR(C683/$C$36*100,"")</f>
        <v/>
      </c>
      <c r="M683" s="42">
        <f>IFERROR(D683/$D$36*100,"")</f>
        <v/>
      </c>
      <c r="N683" s="41">
        <f>IFERROR((1+H683)/(1+I683)-1,"")</f>
        <v/>
      </c>
      <c r="O683" s="41">
        <f>IFERROR((1+H683)/(1+J683)-1,"")</f>
        <v/>
      </c>
      <c r="P683" s="39">
        <f>IFERROR(B683*0.0099502487562189+P682*(1-0.0099502487562189),"")</f>
        <v/>
      </c>
      <c r="Q683" s="42">
        <f>Q682*(1+E683)</f>
        <v/>
      </c>
      <c r="R683" s="42">
        <f>MAX(R682,Q683)</f>
        <v/>
      </c>
      <c r="S683" s="41">
        <f>IFERROR(Q683/R683-1,"")</f>
        <v/>
      </c>
      <c r="T683" s="41">
        <f>IFERROR(_xlfn.STDEV.S(E624:E683)*SQRT($D$7),"")</f>
        <v/>
      </c>
      <c r="U683" s="41">
        <f>IFERROR(MIN(E683-$D$6,0),"")</f>
        <v/>
      </c>
      <c r="V683" s="41">
        <f>IFERROR(E683-F683,"")</f>
        <v/>
      </c>
      <c r="W683" s="39">
        <f>B683</f>
        <v/>
      </c>
      <c r="X683" s="21" t="n"/>
    </row>
    <row r="684">
      <c r="A684" s="38" t="n">
        <v>45933</v>
      </c>
      <c r="B684" s="39" t="n">
        <v>304.7</v>
      </c>
      <c r="C684" s="39" t="n">
        <v>669.21</v>
      </c>
      <c r="D684" s="39" t="n">
        <v>44.93</v>
      </c>
      <c r="E684" s="41">
        <f>IFERROR(B684/B683-1,"")</f>
        <v/>
      </c>
      <c r="F684" s="41">
        <f>IFERROR(C684/C683-1,"")</f>
        <v/>
      </c>
      <c r="G684" s="41">
        <f>IFERROR(D684/D683-1,"")</f>
        <v/>
      </c>
      <c r="H684" s="41">
        <f>IFERROR((1+E684)*(1+H683)-1,"")</f>
        <v/>
      </c>
      <c r="I684" s="41">
        <f>IFERROR((1+F684)*(1+I683)-1,"")</f>
        <v/>
      </c>
      <c r="J684" s="41">
        <f>IFERROR((1+G684)*(1+J683)-1,"")</f>
        <v/>
      </c>
      <c r="K684" s="42">
        <f>IFERROR(B684/$B$36*100,"")</f>
        <v/>
      </c>
      <c r="L684" s="42">
        <f>IFERROR(C684/$C$36*100,"")</f>
        <v/>
      </c>
      <c r="M684" s="42">
        <f>IFERROR(D684/$D$36*100,"")</f>
        <v/>
      </c>
      <c r="N684" s="41">
        <f>IFERROR((1+H684)/(1+I684)-1,"")</f>
        <v/>
      </c>
      <c r="O684" s="41">
        <f>IFERROR((1+H684)/(1+J684)-1,"")</f>
        <v/>
      </c>
      <c r="P684" s="39">
        <f>IFERROR(B684*0.0099502487562189+P683*(1-0.0099502487562189),"")</f>
        <v/>
      </c>
      <c r="Q684" s="42">
        <f>Q683*(1+E684)</f>
        <v/>
      </c>
      <c r="R684" s="42">
        <f>MAX(R683,Q684)</f>
        <v/>
      </c>
      <c r="S684" s="41">
        <f>IFERROR(Q684/R684-1,"")</f>
        <v/>
      </c>
      <c r="T684" s="41">
        <f>IFERROR(_xlfn.STDEV.S(E625:E684)*SQRT($D$7),"")</f>
        <v/>
      </c>
      <c r="U684" s="41">
        <f>IFERROR(MIN(E684-$D$6,0),"")</f>
        <v/>
      </c>
      <c r="V684" s="41">
        <f>IFERROR(E684-F684,"")</f>
        <v/>
      </c>
      <c r="W684" s="39">
        <f>B684</f>
        <v/>
      </c>
      <c r="X684" s="21" t="n"/>
    </row>
    <row r="685">
      <c r="A685" s="38" t="n">
        <v>45936</v>
      </c>
      <c r="B685" s="39" t="n">
        <v>304.67</v>
      </c>
      <c r="C685" s="39" t="n">
        <v>671.61</v>
      </c>
      <c r="D685" s="39" t="n">
        <v>44.89</v>
      </c>
      <c r="E685" s="41">
        <f>IFERROR(B685/B684-1,"")</f>
        <v/>
      </c>
      <c r="F685" s="41">
        <f>IFERROR(C685/C684-1,"")</f>
        <v/>
      </c>
      <c r="G685" s="41">
        <f>IFERROR(D685/D684-1,"")</f>
        <v/>
      </c>
      <c r="H685" s="41">
        <f>IFERROR((1+E685)*(1+H684)-1,"")</f>
        <v/>
      </c>
      <c r="I685" s="41">
        <f>IFERROR((1+F685)*(1+I684)-1,"")</f>
        <v/>
      </c>
      <c r="J685" s="41">
        <f>IFERROR((1+G685)*(1+J684)-1,"")</f>
        <v/>
      </c>
      <c r="K685" s="42">
        <f>IFERROR(B685/$B$36*100,"")</f>
        <v/>
      </c>
      <c r="L685" s="42">
        <f>IFERROR(C685/$C$36*100,"")</f>
        <v/>
      </c>
      <c r="M685" s="42">
        <f>IFERROR(D685/$D$36*100,"")</f>
        <v/>
      </c>
      <c r="N685" s="41">
        <f>IFERROR((1+H685)/(1+I685)-1,"")</f>
        <v/>
      </c>
      <c r="O685" s="41">
        <f>IFERROR((1+H685)/(1+J685)-1,"")</f>
        <v/>
      </c>
      <c r="P685" s="39">
        <f>IFERROR(B685*0.0099502487562189+P684*(1-0.0099502487562189),"")</f>
        <v/>
      </c>
      <c r="Q685" s="42">
        <f>Q684*(1+E685)</f>
        <v/>
      </c>
      <c r="R685" s="42">
        <f>MAX(R684,Q685)</f>
        <v/>
      </c>
      <c r="S685" s="41">
        <f>IFERROR(Q685/R685-1,"")</f>
        <v/>
      </c>
      <c r="T685" s="41">
        <f>IFERROR(_xlfn.STDEV.S(E626:E685)*SQRT($D$7),"")</f>
        <v/>
      </c>
      <c r="U685" s="41">
        <f>IFERROR(MIN(E685-$D$6,0),"")</f>
        <v/>
      </c>
      <c r="V685" s="41">
        <f>IFERROR(E685-F685,"")</f>
        <v/>
      </c>
      <c r="W685" s="39">
        <f>B685</f>
        <v/>
      </c>
      <c r="X685" s="21" t="n"/>
    </row>
    <row r="686">
      <c r="A686" s="38" t="n">
        <v>45937</v>
      </c>
      <c r="B686" s="39" t="n">
        <v>300.9</v>
      </c>
      <c r="C686" s="39" t="n">
        <v>669.12</v>
      </c>
      <c r="D686" s="39" t="n">
        <v>44.71</v>
      </c>
      <c r="E686" s="41">
        <f>IFERROR(B686/B685-1,"")</f>
        <v/>
      </c>
      <c r="F686" s="41">
        <f>IFERROR(C686/C685-1,"")</f>
        <v/>
      </c>
      <c r="G686" s="41">
        <f>IFERROR(D686/D685-1,"")</f>
        <v/>
      </c>
      <c r="H686" s="41">
        <f>IFERROR((1+E686)*(1+H685)-1,"")</f>
        <v/>
      </c>
      <c r="I686" s="41">
        <f>IFERROR((1+F686)*(1+I685)-1,"")</f>
        <v/>
      </c>
      <c r="J686" s="41">
        <f>IFERROR((1+G686)*(1+J685)-1,"")</f>
        <v/>
      </c>
      <c r="K686" s="42">
        <f>IFERROR(B686/$B$36*100,"")</f>
        <v/>
      </c>
      <c r="L686" s="42">
        <f>IFERROR(C686/$C$36*100,"")</f>
        <v/>
      </c>
      <c r="M686" s="42">
        <f>IFERROR(D686/$D$36*100,"")</f>
        <v/>
      </c>
      <c r="N686" s="41">
        <f>IFERROR((1+H686)/(1+I686)-1,"")</f>
        <v/>
      </c>
      <c r="O686" s="41">
        <f>IFERROR((1+H686)/(1+J686)-1,"")</f>
        <v/>
      </c>
      <c r="P686" s="39">
        <f>IFERROR(B686*0.0099502487562189+P685*(1-0.0099502487562189),"")</f>
        <v/>
      </c>
      <c r="Q686" s="42">
        <f>Q685*(1+E686)</f>
        <v/>
      </c>
      <c r="R686" s="42">
        <f>MAX(R685,Q686)</f>
        <v/>
      </c>
      <c r="S686" s="41">
        <f>IFERROR(Q686/R686-1,"")</f>
        <v/>
      </c>
      <c r="T686" s="41">
        <f>IFERROR(_xlfn.STDEV.S(E627:E686)*SQRT($D$7),"")</f>
        <v/>
      </c>
      <c r="U686" s="41">
        <f>IFERROR(MIN(E686-$D$6,0),"")</f>
        <v/>
      </c>
      <c r="V686" s="41">
        <f>IFERROR(E686-F686,"")</f>
        <v/>
      </c>
      <c r="W686" s="39">
        <f>B686</f>
        <v/>
      </c>
      <c r="X686" s="21" t="n"/>
    </row>
    <row r="687">
      <c r="A687" s="38" t="n">
        <v>45938</v>
      </c>
      <c r="B687" s="39" t="n">
        <v>304.43</v>
      </c>
      <c r="C687" s="39" t="n">
        <v>673.11</v>
      </c>
      <c r="D687" s="39" t="n">
        <v>44.95</v>
      </c>
      <c r="E687" s="41">
        <f>IFERROR(B687/B686-1,"")</f>
        <v/>
      </c>
      <c r="F687" s="41">
        <f>IFERROR(C687/C686-1,"")</f>
        <v/>
      </c>
      <c r="G687" s="41">
        <f>IFERROR(D687/D686-1,"")</f>
        <v/>
      </c>
      <c r="H687" s="41">
        <f>IFERROR((1+E687)*(1+H686)-1,"")</f>
        <v/>
      </c>
      <c r="I687" s="41">
        <f>IFERROR((1+F687)*(1+I686)-1,"")</f>
        <v/>
      </c>
      <c r="J687" s="41">
        <f>IFERROR((1+G687)*(1+J686)-1,"")</f>
        <v/>
      </c>
      <c r="K687" s="42">
        <f>IFERROR(B687/$B$36*100,"")</f>
        <v/>
      </c>
      <c r="L687" s="42">
        <f>IFERROR(C687/$C$36*100,"")</f>
        <v/>
      </c>
      <c r="M687" s="42">
        <f>IFERROR(D687/$D$36*100,"")</f>
        <v/>
      </c>
      <c r="N687" s="41">
        <f>IFERROR((1+H687)/(1+I687)-1,"")</f>
        <v/>
      </c>
      <c r="O687" s="41">
        <f>IFERROR((1+H687)/(1+J687)-1,"")</f>
        <v/>
      </c>
      <c r="P687" s="39">
        <f>IFERROR(B687*0.0099502487562189+P686*(1-0.0099502487562189),"")</f>
        <v/>
      </c>
      <c r="Q687" s="42">
        <f>Q686*(1+E687)</f>
        <v/>
      </c>
      <c r="R687" s="42">
        <f>MAX(R686,Q687)</f>
        <v/>
      </c>
      <c r="S687" s="41">
        <f>IFERROR(Q687/R687-1,"")</f>
        <v/>
      </c>
      <c r="T687" s="41">
        <f>IFERROR(_xlfn.STDEV.S(E628:E687)*SQRT($D$7),"")</f>
        <v/>
      </c>
      <c r="U687" s="41">
        <f>IFERROR(MIN(E687-$D$6,0),"")</f>
        <v/>
      </c>
      <c r="V687" s="41">
        <f>IFERROR(E687-F687,"")</f>
        <v/>
      </c>
      <c r="W687" s="39">
        <f>B687</f>
        <v/>
      </c>
      <c r="X687" s="21" t="n"/>
    </row>
    <row r="688">
      <c r="A688" s="38" t="n">
        <v>45939</v>
      </c>
      <c r="B688" s="39" t="n">
        <v>302.9</v>
      </c>
      <c r="C688" s="39" t="n">
        <v>671.16</v>
      </c>
      <c r="D688" s="39" t="n">
        <v>44.335</v>
      </c>
      <c r="E688" s="41">
        <f>IFERROR(B688/B687-1,"")</f>
        <v/>
      </c>
      <c r="F688" s="41">
        <f>IFERROR(C688/C687-1,"")</f>
        <v/>
      </c>
      <c r="G688" s="41">
        <f>IFERROR(D688/D687-1,"")</f>
        <v/>
      </c>
      <c r="H688" s="41">
        <f>IFERROR((1+E688)*(1+H687)-1,"")</f>
        <v/>
      </c>
      <c r="I688" s="41">
        <f>IFERROR((1+F688)*(1+I687)-1,"")</f>
        <v/>
      </c>
      <c r="J688" s="41">
        <f>IFERROR((1+G688)*(1+J687)-1,"")</f>
        <v/>
      </c>
      <c r="K688" s="42">
        <f>IFERROR(B688/$B$36*100,"")</f>
        <v/>
      </c>
      <c r="L688" s="42">
        <f>IFERROR(C688/$C$36*100,"")</f>
        <v/>
      </c>
      <c r="M688" s="42">
        <f>IFERROR(D688/$D$36*100,"")</f>
        <v/>
      </c>
      <c r="N688" s="41">
        <f>IFERROR((1+H688)/(1+I688)-1,"")</f>
        <v/>
      </c>
      <c r="O688" s="41">
        <f>IFERROR((1+H688)/(1+J688)-1,"")</f>
        <v/>
      </c>
      <c r="P688" s="39">
        <f>IFERROR(B688*0.0099502487562189+P687*(1-0.0099502487562189),"")</f>
        <v/>
      </c>
      <c r="Q688" s="42">
        <f>Q687*(1+E688)</f>
        <v/>
      </c>
      <c r="R688" s="42">
        <f>MAX(R687,Q688)</f>
        <v/>
      </c>
      <c r="S688" s="41">
        <f>IFERROR(Q688/R688-1,"")</f>
        <v/>
      </c>
      <c r="T688" s="41">
        <f>IFERROR(_xlfn.STDEV.S(E629:E688)*SQRT($D$7),"")</f>
        <v/>
      </c>
      <c r="U688" s="41">
        <f>IFERROR(MIN(E688-$D$6,0),"")</f>
        <v/>
      </c>
      <c r="V688" s="41">
        <f>IFERROR(E688-F688,"")</f>
        <v/>
      </c>
      <c r="W688" s="39">
        <f>B688</f>
        <v/>
      </c>
      <c r="X688" s="21" t="n"/>
    </row>
    <row r="689">
      <c r="A689" s="38" t="n">
        <v>45940</v>
      </c>
      <c r="B689" s="39" t="n">
        <v>301.43</v>
      </c>
      <c r="C689" s="39" t="n">
        <v>653.02</v>
      </c>
      <c r="D689" s="39" t="n">
        <v>43.425</v>
      </c>
      <c r="E689" s="41">
        <f>IFERROR(B689/B688-1,"")</f>
        <v/>
      </c>
      <c r="F689" s="41">
        <f>IFERROR(C689/C688-1,"")</f>
        <v/>
      </c>
      <c r="G689" s="41">
        <f>IFERROR(D689/D688-1,"")</f>
        <v/>
      </c>
      <c r="H689" s="41">
        <f>IFERROR((1+E689)*(1+H688)-1,"")</f>
        <v/>
      </c>
      <c r="I689" s="41">
        <f>IFERROR((1+F689)*(1+I688)-1,"")</f>
        <v/>
      </c>
      <c r="J689" s="41">
        <f>IFERROR((1+G689)*(1+J688)-1,"")</f>
        <v/>
      </c>
      <c r="K689" s="42">
        <f>IFERROR(B689/$B$36*100,"")</f>
        <v/>
      </c>
      <c r="L689" s="42">
        <f>IFERROR(C689/$C$36*100,"")</f>
        <v/>
      </c>
      <c r="M689" s="42">
        <f>IFERROR(D689/$D$36*100,"")</f>
        <v/>
      </c>
      <c r="N689" s="41">
        <f>IFERROR((1+H689)/(1+I689)-1,"")</f>
        <v/>
      </c>
      <c r="O689" s="41">
        <f>IFERROR((1+H689)/(1+J689)-1,"")</f>
        <v/>
      </c>
      <c r="P689" s="39">
        <f>IFERROR(B689*0.0099502487562189+P688*(1-0.0099502487562189),"")</f>
        <v/>
      </c>
      <c r="Q689" s="42">
        <f>Q688*(1+E689)</f>
        <v/>
      </c>
      <c r="R689" s="42">
        <f>MAX(R688,Q689)</f>
        <v/>
      </c>
      <c r="S689" s="41">
        <f>IFERROR(Q689/R689-1,"")</f>
        <v/>
      </c>
      <c r="T689" s="41">
        <f>IFERROR(_xlfn.STDEV.S(E630:E689)*SQRT($D$7),"")</f>
        <v/>
      </c>
      <c r="U689" s="41">
        <f>IFERROR(MIN(E689-$D$6,0),"")</f>
        <v/>
      </c>
      <c r="V689" s="41">
        <f>IFERROR(E689-F689,"")</f>
        <v/>
      </c>
      <c r="W689" s="39">
        <f>B689</f>
        <v/>
      </c>
      <c r="X689" s="21" t="n"/>
    </row>
    <row r="690">
      <c r="A690" s="38" t="n">
        <v>45943</v>
      </c>
      <c r="B690" s="39" t="n">
        <v>302.75</v>
      </c>
      <c r="C690" s="39" t="n">
        <v>663.04</v>
      </c>
      <c r="D690" s="39" t="n">
        <v>44.115</v>
      </c>
      <c r="E690" s="41">
        <f>IFERROR(B690/B689-1,"")</f>
        <v/>
      </c>
      <c r="F690" s="41">
        <f>IFERROR(C690/C689-1,"")</f>
        <v/>
      </c>
      <c r="G690" s="41">
        <f>IFERROR(D690/D689-1,"")</f>
        <v/>
      </c>
      <c r="H690" s="41">
        <f>IFERROR((1+E690)*(1+H689)-1,"")</f>
        <v/>
      </c>
      <c r="I690" s="41">
        <f>IFERROR((1+F690)*(1+I689)-1,"")</f>
        <v/>
      </c>
      <c r="J690" s="41">
        <f>IFERROR((1+G690)*(1+J689)-1,"")</f>
        <v/>
      </c>
      <c r="K690" s="42">
        <f>IFERROR(B690/$B$36*100,"")</f>
        <v/>
      </c>
      <c r="L690" s="42">
        <f>IFERROR(C690/$C$36*100,"")</f>
        <v/>
      </c>
      <c r="M690" s="42">
        <f>IFERROR(D690/$D$36*100,"")</f>
        <v/>
      </c>
      <c r="N690" s="41">
        <f>IFERROR((1+H690)/(1+I690)-1,"")</f>
        <v/>
      </c>
      <c r="O690" s="41">
        <f>IFERROR((1+H690)/(1+J690)-1,"")</f>
        <v/>
      </c>
      <c r="P690" s="39">
        <f>IFERROR(B690*0.0099502487562189+P689*(1-0.0099502487562189),"")</f>
        <v/>
      </c>
      <c r="Q690" s="42">
        <f>Q689*(1+E690)</f>
        <v/>
      </c>
      <c r="R690" s="42">
        <f>MAX(R689,Q690)</f>
        <v/>
      </c>
      <c r="S690" s="41">
        <f>IFERROR(Q690/R690-1,"")</f>
        <v/>
      </c>
      <c r="T690" s="41">
        <f>IFERROR(_xlfn.STDEV.S(E631:E690)*SQRT($D$7),"")</f>
        <v/>
      </c>
      <c r="U690" s="41">
        <f>IFERROR(MIN(E690-$D$6,0),"")</f>
        <v/>
      </c>
      <c r="V690" s="41">
        <f>IFERROR(E690-F690,"")</f>
        <v/>
      </c>
      <c r="W690" s="39">
        <f>B690</f>
        <v/>
      </c>
      <c r="X690" s="21" t="n"/>
    </row>
    <row r="691">
      <c r="A691" s="38" t="n">
        <v>45944</v>
      </c>
      <c r="B691" s="39" t="n">
        <v>309.07</v>
      </c>
      <c r="C691" s="39" t="n">
        <v>662.23</v>
      </c>
      <c r="D691" s="39" t="n">
        <v>44.555</v>
      </c>
      <c r="E691" s="41">
        <f>IFERROR(B691/B690-1,"")</f>
        <v/>
      </c>
      <c r="F691" s="41">
        <f>IFERROR(C691/C690-1,"")</f>
        <v/>
      </c>
      <c r="G691" s="41">
        <f>IFERROR(D691/D690-1,"")</f>
        <v/>
      </c>
      <c r="H691" s="41">
        <f>IFERROR((1+E691)*(1+H690)-1,"")</f>
        <v/>
      </c>
      <c r="I691" s="41">
        <f>IFERROR((1+F691)*(1+I690)-1,"")</f>
        <v/>
      </c>
      <c r="J691" s="41">
        <f>IFERROR((1+G691)*(1+J690)-1,"")</f>
        <v/>
      </c>
      <c r="K691" s="42">
        <f>IFERROR(B691/$B$36*100,"")</f>
        <v/>
      </c>
      <c r="L691" s="42">
        <f>IFERROR(C691/$C$36*100,"")</f>
        <v/>
      </c>
      <c r="M691" s="42">
        <f>IFERROR(D691/$D$36*100,"")</f>
        <v/>
      </c>
      <c r="N691" s="41">
        <f>IFERROR((1+H691)/(1+I691)-1,"")</f>
        <v/>
      </c>
      <c r="O691" s="41">
        <f>IFERROR((1+H691)/(1+J691)-1,"")</f>
        <v/>
      </c>
      <c r="P691" s="39">
        <f>IFERROR(B691*0.0099502487562189+P690*(1-0.0099502487562189),"")</f>
        <v/>
      </c>
      <c r="Q691" s="42">
        <f>Q690*(1+E691)</f>
        <v/>
      </c>
      <c r="R691" s="42">
        <f>MAX(R690,Q691)</f>
        <v/>
      </c>
      <c r="S691" s="41">
        <f>IFERROR(Q691/R691-1,"")</f>
        <v/>
      </c>
      <c r="T691" s="41">
        <f>IFERROR(_xlfn.STDEV.S(E632:E691)*SQRT($D$7),"")</f>
        <v/>
      </c>
      <c r="U691" s="41">
        <f>IFERROR(MIN(E691-$D$6,0),"")</f>
        <v/>
      </c>
      <c r="V691" s="41">
        <f>IFERROR(E691-F691,"")</f>
        <v/>
      </c>
      <c r="W691" s="39">
        <f>B691</f>
        <v/>
      </c>
      <c r="X691" s="21" t="n"/>
    </row>
    <row r="692">
      <c r="A692" s="38" t="n">
        <v>45945</v>
      </c>
      <c r="B692" s="39" t="n">
        <v>303.1</v>
      </c>
      <c r="C692" s="39" t="n">
        <v>665.17</v>
      </c>
      <c r="D692" s="39" t="n">
        <v>44.355</v>
      </c>
      <c r="E692" s="41">
        <f>IFERROR(B692/B691-1,"")</f>
        <v/>
      </c>
      <c r="F692" s="41">
        <f>IFERROR(C692/C691-1,"")</f>
        <v/>
      </c>
      <c r="G692" s="41">
        <f>IFERROR(D692/D691-1,"")</f>
        <v/>
      </c>
      <c r="H692" s="41">
        <f>IFERROR((1+E692)*(1+H691)-1,"")</f>
        <v/>
      </c>
      <c r="I692" s="41">
        <f>IFERROR((1+F692)*(1+I691)-1,"")</f>
        <v/>
      </c>
      <c r="J692" s="41">
        <f>IFERROR((1+G692)*(1+J691)-1,"")</f>
        <v/>
      </c>
      <c r="K692" s="42">
        <f>IFERROR(B692/$B$36*100,"")</f>
        <v/>
      </c>
      <c r="L692" s="42">
        <f>IFERROR(C692/$C$36*100,"")</f>
        <v/>
      </c>
      <c r="M692" s="42">
        <f>IFERROR(D692/$D$36*100,"")</f>
        <v/>
      </c>
      <c r="N692" s="41">
        <f>IFERROR((1+H692)/(1+I692)-1,"")</f>
        <v/>
      </c>
      <c r="O692" s="41">
        <f>IFERROR((1+H692)/(1+J692)-1,"")</f>
        <v/>
      </c>
      <c r="P692" s="39">
        <f>IFERROR(B692*0.0099502487562189+P691*(1-0.0099502487562189),"")</f>
        <v/>
      </c>
      <c r="Q692" s="42">
        <f>Q691*(1+E692)</f>
        <v/>
      </c>
      <c r="R692" s="42">
        <f>MAX(R691,Q692)</f>
        <v/>
      </c>
      <c r="S692" s="41">
        <f>IFERROR(Q692/R692-1,"")</f>
        <v/>
      </c>
      <c r="T692" s="41">
        <f>IFERROR(_xlfn.STDEV.S(E633:E692)*SQRT($D$7),"")</f>
        <v/>
      </c>
      <c r="U692" s="41">
        <f>IFERROR(MIN(E692-$D$6,0),"")</f>
        <v/>
      </c>
      <c r="V692" s="41">
        <f>IFERROR(E692-F692,"")</f>
        <v/>
      </c>
      <c r="W692" s="39">
        <f>B692</f>
        <v/>
      </c>
      <c r="X692" s="21" t="n"/>
    </row>
    <row r="693">
      <c r="A693" s="38" t="n">
        <v>45946</v>
      </c>
      <c r="B693" s="39" t="n">
        <v>296.23</v>
      </c>
      <c r="C693" s="39" t="n">
        <v>660.64</v>
      </c>
      <c r="D693" s="39" t="n">
        <v>44.025</v>
      </c>
      <c r="E693" s="41">
        <f>IFERROR(B693/B692-1,"")</f>
        <v/>
      </c>
      <c r="F693" s="41">
        <f>IFERROR(C693/C692-1,"")</f>
        <v/>
      </c>
      <c r="G693" s="41">
        <f>IFERROR(D693/D692-1,"")</f>
        <v/>
      </c>
      <c r="H693" s="41">
        <f>IFERROR((1+E693)*(1+H692)-1,"")</f>
        <v/>
      </c>
      <c r="I693" s="41">
        <f>IFERROR((1+F693)*(1+I692)-1,"")</f>
        <v/>
      </c>
      <c r="J693" s="41">
        <f>IFERROR((1+G693)*(1+J692)-1,"")</f>
        <v/>
      </c>
      <c r="K693" s="42">
        <f>IFERROR(B693/$B$36*100,"")</f>
        <v/>
      </c>
      <c r="L693" s="42">
        <f>IFERROR(C693/$C$36*100,"")</f>
        <v/>
      </c>
      <c r="M693" s="42">
        <f>IFERROR(D693/$D$36*100,"")</f>
        <v/>
      </c>
      <c r="N693" s="41">
        <f>IFERROR((1+H693)/(1+I693)-1,"")</f>
        <v/>
      </c>
      <c r="O693" s="41">
        <f>IFERROR((1+H693)/(1+J693)-1,"")</f>
        <v/>
      </c>
      <c r="P693" s="39">
        <f>IFERROR(B693*0.0099502487562189+P692*(1-0.0099502487562189),"")</f>
        <v/>
      </c>
      <c r="Q693" s="42">
        <f>Q692*(1+E693)</f>
        <v/>
      </c>
      <c r="R693" s="42">
        <f>MAX(R692,Q693)</f>
        <v/>
      </c>
      <c r="S693" s="41">
        <f>IFERROR(Q693/R693-1,"")</f>
        <v/>
      </c>
      <c r="T693" s="41">
        <f>IFERROR(_xlfn.STDEV.S(E634:E693)*SQRT($D$7),"")</f>
        <v/>
      </c>
      <c r="U693" s="41">
        <f>IFERROR(MIN(E693-$D$6,0),"")</f>
        <v/>
      </c>
      <c r="V693" s="41">
        <f>IFERROR(E693-F693,"")</f>
        <v/>
      </c>
      <c r="W693" s="39">
        <f>B693</f>
        <v/>
      </c>
      <c r="X693" s="21" t="n"/>
    </row>
    <row r="694">
      <c r="A694" s="38" t="n">
        <v>45947</v>
      </c>
      <c r="B694" s="39" t="n">
        <v>295.35</v>
      </c>
      <c r="C694" s="39" t="n">
        <v>664.39</v>
      </c>
      <c r="D694" s="39" t="n">
        <v>43.94</v>
      </c>
      <c r="E694" s="41">
        <f>IFERROR(B694/B693-1,"")</f>
        <v/>
      </c>
      <c r="F694" s="41">
        <f>IFERROR(C694/C693-1,"")</f>
        <v/>
      </c>
      <c r="G694" s="41">
        <f>IFERROR(D694/D693-1,"")</f>
        <v/>
      </c>
      <c r="H694" s="41">
        <f>IFERROR((1+E694)*(1+H693)-1,"")</f>
        <v/>
      </c>
      <c r="I694" s="41">
        <f>IFERROR((1+F694)*(1+I693)-1,"")</f>
        <v/>
      </c>
      <c r="J694" s="41">
        <f>IFERROR((1+G694)*(1+J693)-1,"")</f>
        <v/>
      </c>
      <c r="K694" s="42">
        <f>IFERROR(B694/$B$36*100,"")</f>
        <v/>
      </c>
      <c r="L694" s="42">
        <f>IFERROR(C694/$C$36*100,"")</f>
        <v/>
      </c>
      <c r="M694" s="42">
        <f>IFERROR(D694/$D$36*100,"")</f>
        <v/>
      </c>
      <c r="N694" s="41">
        <f>IFERROR((1+H694)/(1+I694)-1,"")</f>
        <v/>
      </c>
      <c r="O694" s="41">
        <f>IFERROR((1+H694)/(1+J694)-1,"")</f>
        <v/>
      </c>
      <c r="P694" s="39">
        <f>IFERROR(B694*0.0099502487562189+P693*(1-0.0099502487562189),"")</f>
        <v/>
      </c>
      <c r="Q694" s="42">
        <f>Q693*(1+E694)</f>
        <v/>
      </c>
      <c r="R694" s="42">
        <f>MAX(R693,Q694)</f>
        <v/>
      </c>
      <c r="S694" s="41">
        <f>IFERROR(Q694/R694-1,"")</f>
        <v/>
      </c>
      <c r="T694" s="41">
        <f>IFERROR(_xlfn.STDEV.S(E635:E694)*SQRT($D$7),"")</f>
        <v/>
      </c>
      <c r="U694" s="41">
        <f>IFERROR(MIN(E694-$D$6,0),"")</f>
        <v/>
      </c>
      <c r="V694" s="41">
        <f>IFERROR(E694-F694,"")</f>
        <v/>
      </c>
      <c r="W694" s="39">
        <f>B694</f>
        <v/>
      </c>
      <c r="X694" s="21" t="n"/>
    </row>
    <row r="695">
      <c r="A695" s="38" t="n">
        <v>45950</v>
      </c>
      <c r="B695" s="39" t="n">
        <v>295.47</v>
      </c>
      <c r="C695" s="39" t="n">
        <v>671.3</v>
      </c>
      <c r="D695" s="39" t="n">
        <v>44.465</v>
      </c>
      <c r="E695" s="41">
        <f>IFERROR(B695/B694-1,"")</f>
        <v/>
      </c>
      <c r="F695" s="41">
        <f>IFERROR(C695/C694-1,"")</f>
        <v/>
      </c>
      <c r="G695" s="41">
        <f>IFERROR(D695/D694-1,"")</f>
        <v/>
      </c>
      <c r="H695" s="41">
        <f>IFERROR((1+E695)*(1+H694)-1,"")</f>
        <v/>
      </c>
      <c r="I695" s="41">
        <f>IFERROR((1+F695)*(1+I694)-1,"")</f>
        <v/>
      </c>
      <c r="J695" s="41">
        <f>IFERROR((1+G695)*(1+J694)-1,"")</f>
        <v/>
      </c>
      <c r="K695" s="42">
        <f>IFERROR(B695/$B$36*100,"")</f>
        <v/>
      </c>
      <c r="L695" s="42">
        <f>IFERROR(C695/$C$36*100,"")</f>
        <v/>
      </c>
      <c r="M695" s="42">
        <f>IFERROR(D695/$D$36*100,"")</f>
        <v/>
      </c>
      <c r="N695" s="41">
        <f>IFERROR((1+H695)/(1+I695)-1,"")</f>
        <v/>
      </c>
      <c r="O695" s="41">
        <f>IFERROR((1+H695)/(1+J695)-1,"")</f>
        <v/>
      </c>
      <c r="P695" s="39">
        <f>IFERROR(B695*0.0099502487562189+P694*(1-0.0099502487562189),"")</f>
        <v/>
      </c>
      <c r="Q695" s="42">
        <f>Q694*(1+E695)</f>
        <v/>
      </c>
      <c r="R695" s="42">
        <f>MAX(R694,Q695)</f>
        <v/>
      </c>
      <c r="S695" s="41">
        <f>IFERROR(Q695/R695-1,"")</f>
        <v/>
      </c>
      <c r="T695" s="41">
        <f>IFERROR(_xlfn.STDEV.S(E636:E695)*SQRT($D$7),"")</f>
        <v/>
      </c>
      <c r="U695" s="41">
        <f>IFERROR(MIN(E695-$D$6,0),"")</f>
        <v/>
      </c>
      <c r="V695" s="41">
        <f>IFERROR(E695-F695,"")</f>
        <v/>
      </c>
      <c r="W695" s="39">
        <f>B695</f>
        <v/>
      </c>
      <c r="X695" s="21" t="n"/>
    </row>
    <row r="696">
      <c r="A696" s="38" t="n">
        <v>45951</v>
      </c>
      <c r="B696" s="39" t="n">
        <v>297.57</v>
      </c>
      <c r="C696" s="39" t="n">
        <v>671.29</v>
      </c>
      <c r="D696" s="39" t="n">
        <v>44.295</v>
      </c>
      <c r="E696" s="41">
        <f>IFERROR(B696/B695-1,"")</f>
        <v/>
      </c>
      <c r="F696" s="41">
        <f>IFERROR(C696/C695-1,"")</f>
        <v/>
      </c>
      <c r="G696" s="41">
        <f>IFERROR(D696/D695-1,"")</f>
        <v/>
      </c>
      <c r="H696" s="41">
        <f>IFERROR((1+E696)*(1+H695)-1,"")</f>
        <v/>
      </c>
      <c r="I696" s="41">
        <f>IFERROR((1+F696)*(1+I695)-1,"")</f>
        <v/>
      </c>
      <c r="J696" s="41">
        <f>IFERROR((1+G696)*(1+J695)-1,"")</f>
        <v/>
      </c>
      <c r="K696" s="42">
        <f>IFERROR(B696/$B$36*100,"")</f>
        <v/>
      </c>
      <c r="L696" s="42">
        <f>IFERROR(C696/$C$36*100,"")</f>
        <v/>
      </c>
      <c r="M696" s="42">
        <f>IFERROR(D696/$D$36*100,"")</f>
        <v/>
      </c>
      <c r="N696" s="41">
        <f>IFERROR((1+H696)/(1+I696)-1,"")</f>
        <v/>
      </c>
      <c r="O696" s="41">
        <f>IFERROR((1+H696)/(1+J696)-1,"")</f>
        <v/>
      </c>
      <c r="P696" s="39">
        <f>IFERROR(B696*0.0099502487562189+P695*(1-0.0099502487562189),"")</f>
        <v/>
      </c>
      <c r="Q696" s="42">
        <f>Q695*(1+E696)</f>
        <v/>
      </c>
      <c r="R696" s="42">
        <f>MAX(R695,Q696)</f>
        <v/>
      </c>
      <c r="S696" s="41">
        <f>IFERROR(Q696/R696-1,"")</f>
        <v/>
      </c>
      <c r="T696" s="41">
        <f>IFERROR(_xlfn.STDEV.S(E637:E696)*SQRT($D$7),"")</f>
        <v/>
      </c>
      <c r="U696" s="41">
        <f>IFERROR(MIN(E696-$D$6,0),"")</f>
        <v/>
      </c>
      <c r="V696" s="41">
        <f>IFERROR(E696-F696,"")</f>
        <v/>
      </c>
      <c r="W696" s="39">
        <f>B696</f>
        <v/>
      </c>
      <c r="X696" s="21" t="n"/>
    </row>
    <row r="697">
      <c r="A697" s="38" t="n">
        <v>45952</v>
      </c>
      <c r="B697" s="39" t="n">
        <v>293.67</v>
      </c>
      <c r="C697" s="39" t="n">
        <v>667.8</v>
      </c>
      <c r="D697" s="39" t="n">
        <v>44.16</v>
      </c>
      <c r="E697" s="41">
        <f>IFERROR(B697/B696-1,"")</f>
        <v/>
      </c>
      <c r="F697" s="41">
        <f>IFERROR(C697/C696-1,"")</f>
        <v/>
      </c>
      <c r="G697" s="41">
        <f>IFERROR(D697/D696-1,"")</f>
        <v/>
      </c>
      <c r="H697" s="41">
        <f>IFERROR((1+E697)*(1+H696)-1,"")</f>
        <v/>
      </c>
      <c r="I697" s="41">
        <f>IFERROR((1+F697)*(1+I696)-1,"")</f>
        <v/>
      </c>
      <c r="J697" s="41">
        <f>IFERROR((1+G697)*(1+J696)-1,"")</f>
        <v/>
      </c>
      <c r="K697" s="42">
        <f>IFERROR(B697/$B$36*100,"")</f>
        <v/>
      </c>
      <c r="L697" s="42">
        <f>IFERROR(C697/$C$36*100,"")</f>
        <v/>
      </c>
      <c r="M697" s="42">
        <f>IFERROR(D697/$D$36*100,"")</f>
        <v/>
      </c>
      <c r="N697" s="41">
        <f>IFERROR((1+H697)/(1+I697)-1,"")</f>
        <v/>
      </c>
      <c r="O697" s="41">
        <f>IFERROR((1+H697)/(1+J697)-1,"")</f>
        <v/>
      </c>
      <c r="P697" s="39">
        <f>IFERROR(B697*0.0099502487562189+P696*(1-0.0099502487562189),"")</f>
        <v/>
      </c>
      <c r="Q697" s="42">
        <f>Q696*(1+E697)</f>
        <v/>
      </c>
      <c r="R697" s="42">
        <f>MAX(R696,Q697)</f>
        <v/>
      </c>
      <c r="S697" s="41">
        <f>IFERROR(Q697/R697-1,"")</f>
        <v/>
      </c>
      <c r="T697" s="41">
        <f>IFERROR(_xlfn.STDEV.S(E638:E697)*SQRT($D$7),"")</f>
        <v/>
      </c>
      <c r="U697" s="41">
        <f>IFERROR(MIN(E697-$D$6,0),"")</f>
        <v/>
      </c>
      <c r="V697" s="41">
        <f>IFERROR(E697-F697,"")</f>
        <v/>
      </c>
      <c r="W697" s="39">
        <f>B697</f>
        <v/>
      </c>
      <c r="X697" s="21" t="n"/>
    </row>
    <row r="698">
      <c r="A698" s="38" t="n">
        <v>45953</v>
      </c>
      <c r="B698" s="39" t="n">
        <v>292.06</v>
      </c>
      <c r="C698" s="39" t="n">
        <v>671.76</v>
      </c>
      <c r="D698" s="39" t="n">
        <v>44.69</v>
      </c>
      <c r="E698" s="41">
        <f>IFERROR(B698/B697-1,"")</f>
        <v/>
      </c>
      <c r="F698" s="41">
        <f>IFERROR(C698/C697-1,"")</f>
        <v/>
      </c>
      <c r="G698" s="41">
        <f>IFERROR(D698/D697-1,"")</f>
        <v/>
      </c>
      <c r="H698" s="41">
        <f>IFERROR((1+E698)*(1+H697)-1,"")</f>
        <v/>
      </c>
      <c r="I698" s="41">
        <f>IFERROR((1+F698)*(1+I697)-1,"")</f>
        <v/>
      </c>
      <c r="J698" s="41">
        <f>IFERROR((1+G698)*(1+J697)-1,"")</f>
        <v/>
      </c>
      <c r="K698" s="42">
        <f>IFERROR(B698/$B$36*100,"")</f>
        <v/>
      </c>
      <c r="L698" s="42">
        <f>IFERROR(C698/$C$36*100,"")</f>
        <v/>
      </c>
      <c r="M698" s="42">
        <f>IFERROR(D698/$D$36*100,"")</f>
        <v/>
      </c>
      <c r="N698" s="41">
        <f>IFERROR((1+H698)/(1+I698)-1,"")</f>
        <v/>
      </c>
      <c r="O698" s="41">
        <f>IFERROR((1+H698)/(1+J698)-1,"")</f>
        <v/>
      </c>
      <c r="P698" s="39">
        <f>IFERROR(B698*0.0099502487562189+P697*(1-0.0099502487562189),"")</f>
        <v/>
      </c>
      <c r="Q698" s="42">
        <f>Q697*(1+E698)</f>
        <v/>
      </c>
      <c r="R698" s="42">
        <f>MAX(R697,Q698)</f>
        <v/>
      </c>
      <c r="S698" s="41">
        <f>IFERROR(Q698/R698-1,"")</f>
        <v/>
      </c>
      <c r="T698" s="41">
        <f>IFERROR(_xlfn.STDEV.S(E639:E698)*SQRT($D$7),"")</f>
        <v/>
      </c>
      <c r="U698" s="41">
        <f>IFERROR(MIN(E698-$D$6,0),"")</f>
        <v/>
      </c>
      <c r="V698" s="41">
        <f>IFERROR(E698-F698,"")</f>
        <v/>
      </c>
      <c r="W698" s="39">
        <f>B698</f>
        <v/>
      </c>
      <c r="X698" s="21" t="n"/>
    </row>
    <row r="699">
      <c r="A699" s="38" t="n">
        <v>45954</v>
      </c>
      <c r="B699" s="39" t="n">
        <v>292.74</v>
      </c>
      <c r="C699" s="39" t="n">
        <v>677.25</v>
      </c>
      <c r="D699" s="39" t="n">
        <v>44.505</v>
      </c>
      <c r="E699" s="41">
        <f>IFERROR(B699/B698-1,"")</f>
        <v/>
      </c>
      <c r="F699" s="41">
        <f>IFERROR(C699/C698-1,"")</f>
        <v/>
      </c>
      <c r="G699" s="41">
        <f>IFERROR(D699/D698-1,"")</f>
        <v/>
      </c>
      <c r="H699" s="41">
        <f>IFERROR((1+E699)*(1+H698)-1,"")</f>
        <v/>
      </c>
      <c r="I699" s="41">
        <f>IFERROR((1+F699)*(1+I698)-1,"")</f>
        <v/>
      </c>
      <c r="J699" s="41">
        <f>IFERROR((1+G699)*(1+J698)-1,"")</f>
        <v/>
      </c>
      <c r="K699" s="42">
        <f>IFERROR(B699/$B$36*100,"")</f>
        <v/>
      </c>
      <c r="L699" s="42">
        <f>IFERROR(C699/$C$36*100,"")</f>
        <v/>
      </c>
      <c r="M699" s="42">
        <f>IFERROR(D699/$D$36*100,"")</f>
        <v/>
      </c>
      <c r="N699" s="41">
        <f>IFERROR((1+H699)/(1+I699)-1,"")</f>
        <v/>
      </c>
      <c r="O699" s="41">
        <f>IFERROR((1+H699)/(1+J699)-1,"")</f>
        <v/>
      </c>
      <c r="P699" s="39">
        <f>IFERROR(B699*0.0099502487562189+P698*(1-0.0099502487562189),"")</f>
        <v/>
      </c>
      <c r="Q699" s="42">
        <f>Q698*(1+E699)</f>
        <v/>
      </c>
      <c r="R699" s="42">
        <f>MAX(R698,Q699)</f>
        <v/>
      </c>
      <c r="S699" s="41">
        <f>IFERROR(Q699/R699-1,"")</f>
        <v/>
      </c>
      <c r="T699" s="41">
        <f>IFERROR(_xlfn.STDEV.S(E640:E699)*SQRT($D$7),"")</f>
        <v/>
      </c>
      <c r="U699" s="41">
        <f>IFERROR(MIN(E699-$D$6,0),"")</f>
        <v/>
      </c>
      <c r="V699" s="41">
        <f>IFERROR(E699-F699,"")</f>
        <v/>
      </c>
      <c r="W699" s="39">
        <f>B699</f>
        <v/>
      </c>
      <c r="X699" s="21" t="n"/>
    </row>
    <row r="700">
      <c r="A700" s="38" t="n">
        <v>45957</v>
      </c>
      <c r="B700" s="39" t="n">
        <v>292.01</v>
      </c>
      <c r="C700" s="39" t="n">
        <v>685.24</v>
      </c>
      <c r="D700" s="39" t="n">
        <v>44.485</v>
      </c>
      <c r="E700" s="41">
        <f>IFERROR(B700/B699-1,"")</f>
        <v/>
      </c>
      <c r="F700" s="41">
        <f>IFERROR(C700/C699-1,"")</f>
        <v/>
      </c>
      <c r="G700" s="41">
        <f>IFERROR(D700/D699-1,"")</f>
        <v/>
      </c>
      <c r="H700" s="41">
        <f>IFERROR((1+E700)*(1+H699)-1,"")</f>
        <v/>
      </c>
      <c r="I700" s="41">
        <f>IFERROR((1+F700)*(1+I699)-1,"")</f>
        <v/>
      </c>
      <c r="J700" s="41">
        <f>IFERROR((1+G700)*(1+J699)-1,"")</f>
        <v/>
      </c>
      <c r="K700" s="42">
        <f>IFERROR(B700/$B$36*100,"")</f>
        <v/>
      </c>
      <c r="L700" s="42">
        <f>IFERROR(C700/$C$36*100,"")</f>
        <v/>
      </c>
      <c r="M700" s="42">
        <f>IFERROR(D700/$D$36*100,"")</f>
        <v/>
      </c>
      <c r="N700" s="41">
        <f>IFERROR((1+H700)/(1+I700)-1,"")</f>
        <v/>
      </c>
      <c r="O700" s="41">
        <f>IFERROR((1+H700)/(1+J700)-1,"")</f>
        <v/>
      </c>
      <c r="P700" s="39">
        <f>IFERROR(B700*0.0099502487562189+P699*(1-0.0099502487562189),"")</f>
        <v/>
      </c>
      <c r="Q700" s="42">
        <f>Q699*(1+E700)</f>
        <v/>
      </c>
      <c r="R700" s="42">
        <f>MAX(R699,Q700)</f>
        <v/>
      </c>
      <c r="S700" s="41">
        <f>IFERROR(Q700/R700-1,"")</f>
        <v/>
      </c>
      <c r="T700" s="41">
        <f>IFERROR(_xlfn.STDEV.S(E641:E700)*SQRT($D$7),"")</f>
        <v/>
      </c>
      <c r="U700" s="41">
        <f>IFERROR(MIN(E700-$D$6,0),"")</f>
        <v/>
      </c>
      <c r="V700" s="41">
        <f>IFERROR(E700-F700,"")</f>
        <v/>
      </c>
      <c r="W700" s="39">
        <f>B700</f>
        <v/>
      </c>
      <c r="X700" s="21" t="n"/>
    </row>
    <row r="701">
      <c r="A701" s="38" t="n">
        <v>45958</v>
      </c>
      <c r="B701" s="39" t="n">
        <v>292.59</v>
      </c>
      <c r="C701" s="39" t="n">
        <v>687.0599999999999</v>
      </c>
      <c r="D701" s="39" t="n">
        <v>44.545</v>
      </c>
      <c r="E701" s="41">
        <f>IFERROR(B701/B700-1,"")</f>
        <v/>
      </c>
      <c r="F701" s="41">
        <f>IFERROR(C701/C700-1,"")</f>
        <v/>
      </c>
      <c r="G701" s="41">
        <f>IFERROR(D701/D700-1,"")</f>
        <v/>
      </c>
      <c r="H701" s="41">
        <f>IFERROR((1+E701)*(1+H700)-1,"")</f>
        <v/>
      </c>
      <c r="I701" s="41">
        <f>IFERROR((1+F701)*(1+I700)-1,"")</f>
        <v/>
      </c>
      <c r="J701" s="41">
        <f>IFERROR((1+G701)*(1+J700)-1,"")</f>
        <v/>
      </c>
      <c r="K701" s="42">
        <f>IFERROR(B701/$B$36*100,"")</f>
        <v/>
      </c>
      <c r="L701" s="42">
        <f>IFERROR(C701/$C$36*100,"")</f>
        <v/>
      </c>
      <c r="M701" s="42">
        <f>IFERROR(D701/$D$36*100,"")</f>
        <v/>
      </c>
      <c r="N701" s="41">
        <f>IFERROR((1+H701)/(1+I701)-1,"")</f>
        <v/>
      </c>
      <c r="O701" s="41">
        <f>IFERROR((1+H701)/(1+J701)-1,"")</f>
        <v/>
      </c>
      <c r="P701" s="39">
        <f>IFERROR(B701*0.0099502487562189+P700*(1-0.0099502487562189),"")</f>
        <v/>
      </c>
      <c r="Q701" s="42">
        <f>Q700*(1+E701)</f>
        <v/>
      </c>
      <c r="R701" s="42">
        <f>MAX(R700,Q701)</f>
        <v/>
      </c>
      <c r="S701" s="41">
        <f>IFERROR(Q701/R701-1,"")</f>
        <v/>
      </c>
      <c r="T701" s="41">
        <f>IFERROR(_xlfn.STDEV.S(E642:E701)*SQRT($D$7),"")</f>
        <v/>
      </c>
      <c r="U701" s="41">
        <f>IFERROR(MIN(E701-$D$6,0),"")</f>
        <v/>
      </c>
      <c r="V701" s="41">
        <f>IFERROR(E701-F701,"")</f>
        <v/>
      </c>
      <c r="W701" s="39">
        <f>B701</f>
        <v/>
      </c>
      <c r="X701" s="21" t="n"/>
    </row>
    <row r="702">
      <c r="A702" s="38" t="n">
        <v>45959</v>
      </c>
      <c r="B702" s="39" t="n">
        <v>294.97</v>
      </c>
      <c r="C702" s="39" t="n">
        <v>687.39</v>
      </c>
      <c r="D702" s="39" t="n">
        <v>43.67</v>
      </c>
      <c r="E702" s="41">
        <f>IFERROR(B702/B701-1,"")</f>
        <v/>
      </c>
      <c r="F702" s="41">
        <f>IFERROR(C702/C701-1,"")</f>
        <v/>
      </c>
      <c r="G702" s="41">
        <f>IFERROR(D702/D701-1,"")</f>
        <v/>
      </c>
      <c r="H702" s="41">
        <f>IFERROR((1+E702)*(1+H701)-1,"")</f>
        <v/>
      </c>
      <c r="I702" s="41">
        <f>IFERROR((1+F702)*(1+I701)-1,"")</f>
        <v/>
      </c>
      <c r="J702" s="41">
        <f>IFERROR((1+G702)*(1+J701)-1,"")</f>
        <v/>
      </c>
      <c r="K702" s="42">
        <f>IFERROR(B702/$B$36*100,"")</f>
        <v/>
      </c>
      <c r="L702" s="42">
        <f>IFERROR(C702/$C$36*100,"")</f>
        <v/>
      </c>
      <c r="M702" s="42">
        <f>IFERROR(D702/$D$36*100,"")</f>
        <v/>
      </c>
      <c r="N702" s="41">
        <f>IFERROR((1+H702)/(1+I702)-1,"")</f>
        <v/>
      </c>
      <c r="O702" s="41">
        <f>IFERROR((1+H702)/(1+J702)-1,"")</f>
        <v/>
      </c>
      <c r="P702" s="39">
        <f>IFERROR(B702*0.0099502487562189+P701*(1-0.0099502487562189),"")</f>
        <v/>
      </c>
      <c r="Q702" s="42">
        <f>Q701*(1+E702)</f>
        <v/>
      </c>
      <c r="R702" s="42">
        <f>MAX(R701,Q702)</f>
        <v/>
      </c>
      <c r="S702" s="41">
        <f>IFERROR(Q702/R702-1,"")</f>
        <v/>
      </c>
      <c r="T702" s="41">
        <f>IFERROR(_xlfn.STDEV.S(E643:E702)*SQRT($D$7),"")</f>
        <v/>
      </c>
      <c r="U702" s="41">
        <f>IFERROR(MIN(E702-$D$6,0),"")</f>
        <v/>
      </c>
      <c r="V702" s="41">
        <f>IFERROR(E702-F702,"")</f>
        <v/>
      </c>
      <c r="W702" s="39">
        <f>B702</f>
        <v/>
      </c>
      <c r="X702" s="21" t="n"/>
    </row>
    <row r="703">
      <c r="A703" s="38" t="n">
        <v>45960</v>
      </c>
      <c r="B703" s="39" t="n">
        <v>290</v>
      </c>
      <c r="C703" s="39" t="n">
        <v>679.83</v>
      </c>
      <c r="D703" s="39" t="n">
        <v>43.085</v>
      </c>
      <c r="E703" s="41">
        <f>IFERROR(B703/B702-1,"")</f>
        <v/>
      </c>
      <c r="F703" s="41">
        <f>IFERROR(C703/C702-1,"")</f>
        <v/>
      </c>
      <c r="G703" s="41">
        <f>IFERROR(D703/D702-1,"")</f>
        <v/>
      </c>
      <c r="H703" s="41">
        <f>IFERROR((1+E703)*(1+H702)-1,"")</f>
        <v/>
      </c>
      <c r="I703" s="41">
        <f>IFERROR((1+F703)*(1+I702)-1,"")</f>
        <v/>
      </c>
      <c r="J703" s="41">
        <f>IFERROR((1+G703)*(1+J702)-1,"")</f>
        <v/>
      </c>
      <c r="K703" s="42">
        <f>IFERROR(B703/$B$36*100,"")</f>
        <v/>
      </c>
      <c r="L703" s="42">
        <f>IFERROR(C703/$C$36*100,"")</f>
        <v/>
      </c>
      <c r="M703" s="42">
        <f>IFERROR(D703/$D$36*100,"")</f>
        <v/>
      </c>
      <c r="N703" s="41">
        <f>IFERROR((1+H703)/(1+I703)-1,"")</f>
        <v/>
      </c>
      <c r="O703" s="41">
        <f>IFERROR((1+H703)/(1+J703)-1,"")</f>
        <v/>
      </c>
      <c r="P703" s="39">
        <f>IFERROR(B703*0.0099502487562189+P702*(1-0.0099502487562189),"")</f>
        <v/>
      </c>
      <c r="Q703" s="42">
        <f>Q702*(1+E703)</f>
        <v/>
      </c>
      <c r="R703" s="42">
        <f>MAX(R702,Q703)</f>
        <v/>
      </c>
      <c r="S703" s="41">
        <f>IFERROR(Q703/R703-1,"")</f>
        <v/>
      </c>
      <c r="T703" s="41">
        <f>IFERROR(_xlfn.STDEV.S(E644:E703)*SQRT($D$7),"")</f>
        <v/>
      </c>
      <c r="U703" s="41">
        <f>IFERROR(MIN(E703-$D$6,0),"")</f>
        <v/>
      </c>
      <c r="V703" s="41">
        <f>IFERROR(E703-F703,"")</f>
        <v/>
      </c>
      <c r="W703" s="39">
        <f>B703</f>
        <v/>
      </c>
      <c r="X703" s="21" t="n"/>
    </row>
    <row r="704">
      <c r="A704" s="38" t="n">
        <v>45961</v>
      </c>
      <c r="B704" s="39" t="n">
        <v>289.5</v>
      </c>
      <c r="C704" s="39" t="n">
        <v>682.0599999999999</v>
      </c>
      <c r="D704" s="39" t="n">
        <v>42.835</v>
      </c>
      <c r="E704" s="41">
        <f>IFERROR(B704/B703-1,"")</f>
        <v/>
      </c>
      <c r="F704" s="41">
        <f>IFERROR(C704/C703-1,"")</f>
        <v/>
      </c>
      <c r="G704" s="41">
        <f>IFERROR(D704/D703-1,"")</f>
        <v/>
      </c>
      <c r="H704" s="41">
        <f>IFERROR((1+E704)*(1+H703)-1,"")</f>
        <v/>
      </c>
      <c r="I704" s="41">
        <f>IFERROR((1+F704)*(1+I703)-1,"")</f>
        <v/>
      </c>
      <c r="J704" s="41">
        <f>IFERROR((1+G704)*(1+J703)-1,"")</f>
        <v/>
      </c>
      <c r="K704" s="42">
        <f>IFERROR(B704/$B$36*100,"")</f>
        <v/>
      </c>
      <c r="L704" s="42">
        <f>IFERROR(C704/$C$36*100,"")</f>
        <v/>
      </c>
      <c r="M704" s="42">
        <f>IFERROR(D704/$D$36*100,"")</f>
        <v/>
      </c>
      <c r="N704" s="41">
        <f>IFERROR((1+H704)/(1+I704)-1,"")</f>
        <v/>
      </c>
      <c r="O704" s="41">
        <f>IFERROR((1+H704)/(1+J704)-1,"")</f>
        <v/>
      </c>
      <c r="P704" s="39">
        <f>IFERROR(B704*0.0099502487562189+P703*(1-0.0099502487562189),"")</f>
        <v/>
      </c>
      <c r="Q704" s="42">
        <f>Q703*(1+E704)</f>
        <v/>
      </c>
      <c r="R704" s="42">
        <f>MAX(R703,Q704)</f>
        <v/>
      </c>
      <c r="S704" s="41">
        <f>IFERROR(Q704/R704-1,"")</f>
        <v/>
      </c>
      <c r="T704" s="41">
        <f>IFERROR(_xlfn.STDEV.S(E645:E704)*SQRT($D$7),"")</f>
        <v/>
      </c>
      <c r="U704" s="41">
        <f>IFERROR(MIN(E704-$D$6,0),"")</f>
        <v/>
      </c>
      <c r="V704" s="41">
        <f>IFERROR(E704-F704,"")</f>
        <v/>
      </c>
      <c r="W704" s="39">
        <f>B704</f>
        <v/>
      </c>
      <c r="X704" s="21" t="n"/>
    </row>
    <row r="705">
      <c r="A705" s="38" t="n">
        <v>45964</v>
      </c>
      <c r="B705" s="39" t="n">
        <v>288.55</v>
      </c>
      <c r="C705" s="39" t="n">
        <v>683.34</v>
      </c>
      <c r="D705" s="39" t="n">
        <v>42.57</v>
      </c>
      <c r="E705" s="41">
        <f>IFERROR(B705/B704-1,"")</f>
        <v/>
      </c>
      <c r="F705" s="41">
        <f>IFERROR(C705/C704-1,"")</f>
        <v/>
      </c>
      <c r="G705" s="41">
        <f>IFERROR(D705/D704-1,"")</f>
        <v/>
      </c>
      <c r="H705" s="41">
        <f>IFERROR((1+E705)*(1+H704)-1,"")</f>
        <v/>
      </c>
      <c r="I705" s="41">
        <f>IFERROR((1+F705)*(1+I704)-1,"")</f>
        <v/>
      </c>
      <c r="J705" s="41">
        <f>IFERROR((1+G705)*(1+J704)-1,"")</f>
        <v/>
      </c>
      <c r="K705" s="42">
        <f>IFERROR(B705/$B$36*100,"")</f>
        <v/>
      </c>
      <c r="L705" s="42">
        <f>IFERROR(C705/$C$36*100,"")</f>
        <v/>
      </c>
      <c r="M705" s="42">
        <f>IFERROR(D705/$D$36*100,"")</f>
        <v/>
      </c>
      <c r="N705" s="41">
        <f>IFERROR((1+H705)/(1+I705)-1,"")</f>
        <v/>
      </c>
      <c r="O705" s="41">
        <f>IFERROR((1+H705)/(1+J705)-1,"")</f>
        <v/>
      </c>
      <c r="P705" s="39">
        <f>IFERROR(B705*0.0099502487562189+P704*(1-0.0099502487562189),"")</f>
        <v/>
      </c>
      <c r="Q705" s="42">
        <f>Q704*(1+E705)</f>
        <v/>
      </c>
      <c r="R705" s="42">
        <f>MAX(R704,Q705)</f>
        <v/>
      </c>
      <c r="S705" s="41">
        <f>IFERROR(Q705/R705-1,"")</f>
        <v/>
      </c>
      <c r="T705" s="41">
        <f>IFERROR(_xlfn.STDEV.S(E646:E705)*SQRT($D$7),"")</f>
        <v/>
      </c>
      <c r="U705" s="41">
        <f>IFERROR(MIN(E705-$D$6,0),"")</f>
        <v/>
      </c>
      <c r="V705" s="41">
        <f>IFERROR(E705-F705,"")</f>
        <v/>
      </c>
      <c r="W705" s="39">
        <f>B705</f>
        <v/>
      </c>
      <c r="X705" s="21" t="n"/>
    </row>
    <row r="706">
      <c r="A706" s="38" t="n">
        <v>45965</v>
      </c>
      <c r="B706" s="39" t="n">
        <v>292.26</v>
      </c>
      <c r="C706" s="39" t="n">
        <v>675.24</v>
      </c>
      <c r="D706" s="39" t="n">
        <v>42.36</v>
      </c>
      <c r="E706" s="41">
        <f>IFERROR(B706/B705-1,"")</f>
        <v/>
      </c>
      <c r="F706" s="41">
        <f>IFERROR(C706/C705-1,"")</f>
        <v/>
      </c>
      <c r="G706" s="41">
        <f>IFERROR(D706/D705-1,"")</f>
        <v/>
      </c>
      <c r="H706" s="41">
        <f>IFERROR((1+E706)*(1+H705)-1,"")</f>
        <v/>
      </c>
      <c r="I706" s="41">
        <f>IFERROR((1+F706)*(1+I705)-1,"")</f>
        <v/>
      </c>
      <c r="J706" s="41">
        <f>IFERROR((1+G706)*(1+J705)-1,"")</f>
        <v/>
      </c>
      <c r="K706" s="42">
        <f>IFERROR(B706/$B$36*100,"")</f>
        <v/>
      </c>
      <c r="L706" s="42">
        <f>IFERROR(C706/$C$36*100,"")</f>
        <v/>
      </c>
      <c r="M706" s="42">
        <f>IFERROR(D706/$D$36*100,"")</f>
        <v/>
      </c>
      <c r="N706" s="41">
        <f>IFERROR((1+H706)/(1+I706)-1,"")</f>
        <v/>
      </c>
      <c r="O706" s="41">
        <f>IFERROR((1+H706)/(1+J706)-1,"")</f>
        <v/>
      </c>
      <c r="P706" s="39">
        <f>IFERROR(B706*0.0099502487562189+P705*(1-0.0099502487562189),"")</f>
        <v/>
      </c>
      <c r="Q706" s="42">
        <f>Q705*(1+E706)</f>
        <v/>
      </c>
      <c r="R706" s="42">
        <f>MAX(R705,Q706)</f>
        <v/>
      </c>
      <c r="S706" s="41">
        <f>IFERROR(Q706/R706-1,"")</f>
        <v/>
      </c>
      <c r="T706" s="41">
        <f>IFERROR(_xlfn.STDEV.S(E647:E706)*SQRT($D$7),"")</f>
        <v/>
      </c>
      <c r="U706" s="41">
        <f>IFERROR(MIN(E706-$D$6,0),"")</f>
        <v/>
      </c>
      <c r="V706" s="41">
        <f>IFERROR(E706-F706,"")</f>
        <v/>
      </c>
      <c r="W706" s="39">
        <f>B706</f>
        <v/>
      </c>
      <c r="X706" s="21" t="n"/>
    </row>
    <row r="707">
      <c r="A707" s="38" t="n">
        <v>45966</v>
      </c>
      <c r="B707" s="39" t="n">
        <v>285.1</v>
      </c>
      <c r="C707" s="39" t="n">
        <v>677.58</v>
      </c>
      <c r="D707" s="39" t="n">
        <v>42.61</v>
      </c>
      <c r="E707" s="41">
        <f>IFERROR(B707/B706-1,"")</f>
        <v/>
      </c>
      <c r="F707" s="41">
        <f>IFERROR(C707/C706-1,"")</f>
        <v/>
      </c>
      <c r="G707" s="41">
        <f>IFERROR(D707/D706-1,"")</f>
        <v/>
      </c>
      <c r="H707" s="41">
        <f>IFERROR((1+E707)*(1+H706)-1,"")</f>
        <v/>
      </c>
      <c r="I707" s="41">
        <f>IFERROR((1+F707)*(1+I706)-1,"")</f>
        <v/>
      </c>
      <c r="J707" s="41">
        <f>IFERROR((1+G707)*(1+J706)-1,"")</f>
        <v/>
      </c>
      <c r="K707" s="42">
        <f>IFERROR(B707/$B$36*100,"")</f>
        <v/>
      </c>
      <c r="L707" s="42">
        <f>IFERROR(C707/$C$36*100,"")</f>
        <v/>
      </c>
      <c r="M707" s="42">
        <f>IFERROR(D707/$D$36*100,"")</f>
        <v/>
      </c>
      <c r="N707" s="41">
        <f>IFERROR((1+H707)/(1+I707)-1,"")</f>
        <v/>
      </c>
      <c r="O707" s="41">
        <f>IFERROR((1+H707)/(1+J707)-1,"")</f>
        <v/>
      </c>
      <c r="P707" s="39">
        <f>IFERROR(B707*0.0099502487562189+P706*(1-0.0099502487562189),"")</f>
        <v/>
      </c>
      <c r="Q707" s="42">
        <f>Q706*(1+E707)</f>
        <v/>
      </c>
      <c r="R707" s="42">
        <f>MAX(R706,Q707)</f>
        <v/>
      </c>
      <c r="S707" s="41">
        <f>IFERROR(Q707/R707-1,"")</f>
        <v/>
      </c>
      <c r="T707" s="41">
        <f>IFERROR(_xlfn.STDEV.S(E648:E707)*SQRT($D$7),"")</f>
        <v/>
      </c>
      <c r="U707" s="41">
        <f>IFERROR(MIN(E707-$D$6,0),"")</f>
        <v/>
      </c>
      <c r="V707" s="41">
        <f>IFERROR(E707-F707,"")</f>
        <v/>
      </c>
      <c r="W707" s="39">
        <f>B707</f>
        <v/>
      </c>
      <c r="X707" s="21" t="n"/>
    </row>
    <row r="708">
      <c r="A708" s="38" t="n">
        <v>45967</v>
      </c>
      <c r="B708" s="39" t="n">
        <v>286.3</v>
      </c>
      <c r="C708" s="39" t="n">
        <v>670.3099999999999</v>
      </c>
      <c r="D708" s="39" t="n">
        <v>42.4</v>
      </c>
      <c r="E708" s="41">
        <f>IFERROR(B708/B707-1,"")</f>
        <v/>
      </c>
      <c r="F708" s="41">
        <f>IFERROR(C708/C707-1,"")</f>
        <v/>
      </c>
      <c r="G708" s="41">
        <f>IFERROR(D708/D707-1,"")</f>
        <v/>
      </c>
      <c r="H708" s="41">
        <f>IFERROR((1+E708)*(1+H707)-1,"")</f>
        <v/>
      </c>
      <c r="I708" s="41">
        <f>IFERROR((1+F708)*(1+I707)-1,"")</f>
        <v/>
      </c>
      <c r="J708" s="41">
        <f>IFERROR((1+G708)*(1+J707)-1,"")</f>
        <v/>
      </c>
      <c r="K708" s="42">
        <f>IFERROR(B708/$B$36*100,"")</f>
        <v/>
      </c>
      <c r="L708" s="42">
        <f>IFERROR(C708/$C$36*100,"")</f>
        <v/>
      </c>
      <c r="M708" s="42">
        <f>IFERROR(D708/$D$36*100,"")</f>
        <v/>
      </c>
      <c r="N708" s="41">
        <f>IFERROR((1+H708)/(1+I708)-1,"")</f>
        <v/>
      </c>
      <c r="O708" s="41">
        <f>IFERROR((1+H708)/(1+J708)-1,"")</f>
        <v/>
      </c>
      <c r="P708" s="39">
        <f>IFERROR(B708*0.0099502487562189+P707*(1-0.0099502487562189),"")</f>
        <v/>
      </c>
      <c r="Q708" s="42">
        <f>Q707*(1+E708)</f>
        <v/>
      </c>
      <c r="R708" s="42">
        <f>MAX(R707,Q708)</f>
        <v/>
      </c>
      <c r="S708" s="41">
        <f>IFERROR(Q708/R708-1,"")</f>
        <v/>
      </c>
      <c r="T708" s="41">
        <f>IFERROR(_xlfn.STDEV.S(E649:E708)*SQRT($D$7),"")</f>
        <v/>
      </c>
      <c r="U708" s="41">
        <f>IFERROR(MIN(E708-$D$6,0),"")</f>
        <v/>
      </c>
      <c r="V708" s="41">
        <f>IFERROR(E708-F708,"")</f>
        <v/>
      </c>
      <c r="W708" s="39">
        <f>B708</f>
        <v/>
      </c>
      <c r="X708" s="21" t="n"/>
    </row>
    <row r="709">
      <c r="A709" s="38" t="n">
        <v>45968</v>
      </c>
      <c r="B709" s="39" t="n">
        <v>287.3</v>
      </c>
      <c r="C709" s="39" t="n">
        <v>670.97</v>
      </c>
      <c r="D709" s="39" t="n">
        <v>42.91</v>
      </c>
      <c r="E709" s="41">
        <f>IFERROR(B709/B708-1,"")</f>
        <v/>
      </c>
      <c r="F709" s="41">
        <f>IFERROR(C709/C708-1,"")</f>
        <v/>
      </c>
      <c r="G709" s="41">
        <f>IFERROR(D709/D708-1,"")</f>
        <v/>
      </c>
      <c r="H709" s="41">
        <f>IFERROR((1+E709)*(1+H708)-1,"")</f>
        <v/>
      </c>
      <c r="I709" s="41">
        <f>IFERROR((1+F709)*(1+I708)-1,"")</f>
        <v/>
      </c>
      <c r="J709" s="41">
        <f>IFERROR((1+G709)*(1+J708)-1,"")</f>
        <v/>
      </c>
      <c r="K709" s="42">
        <f>IFERROR(B709/$B$36*100,"")</f>
        <v/>
      </c>
      <c r="L709" s="42">
        <f>IFERROR(C709/$C$36*100,"")</f>
        <v/>
      </c>
      <c r="M709" s="42">
        <f>IFERROR(D709/$D$36*100,"")</f>
        <v/>
      </c>
      <c r="N709" s="41">
        <f>IFERROR((1+H709)/(1+I709)-1,"")</f>
        <v/>
      </c>
      <c r="O709" s="41">
        <f>IFERROR((1+H709)/(1+J709)-1,"")</f>
        <v/>
      </c>
      <c r="P709" s="39">
        <f>IFERROR(B709*0.0099502487562189+P708*(1-0.0099502487562189),"")</f>
        <v/>
      </c>
      <c r="Q709" s="42">
        <f>Q708*(1+E709)</f>
        <v/>
      </c>
      <c r="R709" s="42">
        <f>MAX(R708,Q709)</f>
        <v/>
      </c>
      <c r="S709" s="41">
        <f>IFERROR(Q709/R709-1,"")</f>
        <v/>
      </c>
      <c r="T709" s="41">
        <f>IFERROR(_xlfn.STDEV.S(E650:E709)*SQRT($D$7),"")</f>
        <v/>
      </c>
      <c r="U709" s="41">
        <f>IFERROR(MIN(E709-$D$6,0),"")</f>
        <v/>
      </c>
      <c r="V709" s="41">
        <f>IFERROR(E709-F709,"")</f>
        <v/>
      </c>
      <c r="W709" s="39">
        <f>B709</f>
        <v/>
      </c>
      <c r="X709" s="21" t="n"/>
    </row>
    <row r="710">
      <c r="A710" s="38" t="n">
        <v>45971</v>
      </c>
      <c r="B710" s="39" t="n">
        <v>292.84</v>
      </c>
      <c r="C710" s="39" t="n">
        <v>681.4400000000001</v>
      </c>
      <c r="D710" s="39" t="n">
        <v>43.315</v>
      </c>
      <c r="E710" s="41">
        <f>IFERROR(B710/B709-1,"")</f>
        <v/>
      </c>
      <c r="F710" s="41">
        <f>IFERROR(C710/C709-1,"")</f>
        <v/>
      </c>
      <c r="G710" s="41">
        <f>IFERROR(D710/D709-1,"")</f>
        <v/>
      </c>
      <c r="H710" s="41">
        <f>IFERROR((1+E710)*(1+H709)-1,"")</f>
        <v/>
      </c>
      <c r="I710" s="41">
        <f>IFERROR((1+F710)*(1+I709)-1,"")</f>
        <v/>
      </c>
      <c r="J710" s="41">
        <f>IFERROR((1+G710)*(1+J709)-1,"")</f>
        <v/>
      </c>
      <c r="K710" s="42">
        <f>IFERROR(B710/$B$36*100,"")</f>
        <v/>
      </c>
      <c r="L710" s="42">
        <f>IFERROR(C710/$C$36*100,"")</f>
        <v/>
      </c>
      <c r="M710" s="42">
        <f>IFERROR(D710/$D$36*100,"")</f>
        <v/>
      </c>
      <c r="N710" s="41">
        <f>IFERROR((1+H710)/(1+I710)-1,"")</f>
        <v/>
      </c>
      <c r="O710" s="41">
        <f>IFERROR((1+H710)/(1+J710)-1,"")</f>
        <v/>
      </c>
      <c r="P710" s="39">
        <f>IFERROR(B710*0.0099502487562189+P709*(1-0.0099502487562189),"")</f>
        <v/>
      </c>
      <c r="Q710" s="42">
        <f>Q709*(1+E710)</f>
        <v/>
      </c>
      <c r="R710" s="42">
        <f>MAX(R709,Q710)</f>
        <v/>
      </c>
      <c r="S710" s="41">
        <f>IFERROR(Q710/R710-1,"")</f>
        <v/>
      </c>
      <c r="T710" s="41">
        <f>IFERROR(_xlfn.STDEV.S(E651:E710)*SQRT($D$7),"")</f>
        <v/>
      </c>
      <c r="U710" s="41">
        <f>IFERROR(MIN(E710-$D$6,0),"")</f>
        <v/>
      </c>
      <c r="V710" s="41">
        <f>IFERROR(E710-F710,"")</f>
        <v/>
      </c>
      <c r="W710" s="39">
        <f>B710</f>
        <v/>
      </c>
      <c r="X710" s="21" t="n"/>
    </row>
    <row r="711">
      <c r="A711" s="38" t="n">
        <v>45972</v>
      </c>
      <c r="B711" s="39" t="n">
        <v>295.1</v>
      </c>
      <c r="C711" s="39" t="n">
        <v>683</v>
      </c>
      <c r="D711" s="39" t="n">
        <v>43.765</v>
      </c>
      <c r="E711" s="41">
        <f>IFERROR(B711/B710-1,"")</f>
        <v/>
      </c>
      <c r="F711" s="41">
        <f>IFERROR(C711/C710-1,"")</f>
        <v/>
      </c>
      <c r="G711" s="41">
        <f>IFERROR(D711/D710-1,"")</f>
        <v/>
      </c>
      <c r="H711" s="41">
        <f>IFERROR((1+E711)*(1+H710)-1,"")</f>
        <v/>
      </c>
      <c r="I711" s="41">
        <f>IFERROR((1+F711)*(1+I710)-1,"")</f>
        <v/>
      </c>
      <c r="J711" s="41">
        <f>IFERROR((1+G711)*(1+J710)-1,"")</f>
        <v/>
      </c>
      <c r="K711" s="42">
        <f>IFERROR(B711/$B$36*100,"")</f>
        <v/>
      </c>
      <c r="L711" s="42">
        <f>IFERROR(C711/$C$36*100,"")</f>
        <v/>
      </c>
      <c r="M711" s="42">
        <f>IFERROR(D711/$D$36*100,"")</f>
        <v/>
      </c>
      <c r="N711" s="41">
        <f>IFERROR((1+H711)/(1+I711)-1,"")</f>
        <v/>
      </c>
      <c r="O711" s="41">
        <f>IFERROR((1+H711)/(1+J711)-1,"")</f>
        <v/>
      </c>
      <c r="P711" s="39">
        <f>IFERROR(B711*0.0099502487562189+P710*(1-0.0099502487562189),"")</f>
        <v/>
      </c>
      <c r="Q711" s="42">
        <f>Q710*(1+E711)</f>
        <v/>
      </c>
      <c r="R711" s="42">
        <f>MAX(R710,Q711)</f>
        <v/>
      </c>
      <c r="S711" s="41">
        <f>IFERROR(Q711/R711-1,"")</f>
        <v/>
      </c>
      <c r="T711" s="41">
        <f>IFERROR(_xlfn.STDEV.S(E652:E711)*SQRT($D$7),"")</f>
        <v/>
      </c>
      <c r="U711" s="41">
        <f>IFERROR(MIN(E711-$D$6,0),"")</f>
        <v/>
      </c>
      <c r="V711" s="41">
        <f>IFERROR(E711-F711,"")</f>
        <v/>
      </c>
      <c r="W711" s="39">
        <f>B711</f>
        <v/>
      </c>
      <c r="X711" s="21" t="n"/>
    </row>
    <row r="712">
      <c r="A712" s="38" t="n">
        <v>45973</v>
      </c>
      <c r="B712" s="39" t="n">
        <v>295.09</v>
      </c>
      <c r="C712" s="39" t="n">
        <v>683.38</v>
      </c>
      <c r="D712" s="39" t="n">
        <v>44.075</v>
      </c>
      <c r="E712" s="41">
        <f>IFERROR(B712/B711-1,"")</f>
        <v/>
      </c>
      <c r="F712" s="41">
        <f>IFERROR(C712/C711-1,"")</f>
        <v/>
      </c>
      <c r="G712" s="41">
        <f>IFERROR(D712/D711-1,"")</f>
        <v/>
      </c>
      <c r="H712" s="41">
        <f>IFERROR((1+E712)*(1+H711)-1,"")</f>
        <v/>
      </c>
      <c r="I712" s="41">
        <f>IFERROR((1+F712)*(1+I711)-1,"")</f>
        <v/>
      </c>
      <c r="J712" s="41">
        <f>IFERROR((1+G712)*(1+J711)-1,"")</f>
        <v/>
      </c>
      <c r="K712" s="42">
        <f>IFERROR(B712/$B$36*100,"")</f>
        <v/>
      </c>
      <c r="L712" s="42">
        <f>IFERROR(C712/$C$36*100,"")</f>
        <v/>
      </c>
      <c r="M712" s="42">
        <f>IFERROR(D712/$D$36*100,"")</f>
        <v/>
      </c>
      <c r="N712" s="41">
        <f>IFERROR((1+H712)/(1+I712)-1,"")</f>
        <v/>
      </c>
      <c r="O712" s="41">
        <f>IFERROR((1+H712)/(1+J712)-1,"")</f>
        <v/>
      </c>
      <c r="P712" s="39">
        <f>IFERROR(B712*0.0099502487562189+P711*(1-0.0099502487562189),"")</f>
        <v/>
      </c>
      <c r="Q712" s="42">
        <f>Q711*(1+E712)</f>
        <v/>
      </c>
      <c r="R712" s="42">
        <f>MAX(R711,Q712)</f>
        <v/>
      </c>
      <c r="S712" s="41">
        <f>IFERROR(Q712/R712-1,"")</f>
        <v/>
      </c>
      <c r="T712" s="41">
        <f>IFERROR(_xlfn.STDEV.S(E653:E712)*SQRT($D$7),"")</f>
        <v/>
      </c>
      <c r="U712" s="41">
        <f>IFERROR(MIN(E712-$D$6,0),"")</f>
        <v/>
      </c>
      <c r="V712" s="41">
        <f>IFERROR(E712-F712,"")</f>
        <v/>
      </c>
      <c r="W712" s="39">
        <f>B712</f>
        <v/>
      </c>
      <c r="X712" s="21" t="n"/>
    </row>
    <row r="713">
      <c r="A713" s="38" t="n">
        <v>45974</v>
      </c>
      <c r="B713" s="39" t="n">
        <v>284.09</v>
      </c>
      <c r="C713" s="39" t="n">
        <v>672.04</v>
      </c>
      <c r="D713" s="39" t="n">
        <v>43.785</v>
      </c>
      <c r="E713" s="41">
        <f>IFERROR(B713/B712-1,"")</f>
        <v/>
      </c>
      <c r="F713" s="41">
        <f>IFERROR(C713/C712-1,"")</f>
        <v/>
      </c>
      <c r="G713" s="41">
        <f>IFERROR(D713/D712-1,"")</f>
        <v/>
      </c>
      <c r="H713" s="41">
        <f>IFERROR((1+E713)*(1+H712)-1,"")</f>
        <v/>
      </c>
      <c r="I713" s="41">
        <f>IFERROR((1+F713)*(1+I712)-1,"")</f>
        <v/>
      </c>
      <c r="J713" s="41">
        <f>IFERROR((1+G713)*(1+J712)-1,"")</f>
        <v/>
      </c>
      <c r="K713" s="42">
        <f>IFERROR(B713/$B$36*100,"")</f>
        <v/>
      </c>
      <c r="L713" s="42">
        <f>IFERROR(C713/$C$36*100,"")</f>
        <v/>
      </c>
      <c r="M713" s="42">
        <f>IFERROR(D713/$D$36*100,"")</f>
        <v/>
      </c>
      <c r="N713" s="41">
        <f>IFERROR((1+H713)/(1+I713)-1,"")</f>
        <v/>
      </c>
      <c r="O713" s="41">
        <f>IFERROR((1+H713)/(1+J713)-1,"")</f>
        <v/>
      </c>
      <c r="P713" s="39">
        <f>IFERROR(B713*0.0099502487562189+P712*(1-0.0099502487562189),"")</f>
        <v/>
      </c>
      <c r="Q713" s="42">
        <f>Q712*(1+E713)</f>
        <v/>
      </c>
      <c r="R713" s="42">
        <f>MAX(R712,Q713)</f>
        <v/>
      </c>
      <c r="S713" s="41">
        <f>IFERROR(Q713/R713-1,"")</f>
        <v/>
      </c>
      <c r="T713" s="41">
        <f>IFERROR(_xlfn.STDEV.S(E654:E713)*SQRT($D$7),"")</f>
        <v/>
      </c>
      <c r="U713" s="41">
        <f>IFERROR(MIN(E713-$D$6,0),"")</f>
        <v/>
      </c>
      <c r="V713" s="41">
        <f>IFERROR(E713-F713,"")</f>
        <v/>
      </c>
      <c r="W713" s="39">
        <f>B713</f>
        <v/>
      </c>
      <c r="X713" s="21" t="n"/>
    </row>
    <row r="714">
      <c r="A714" s="38" t="n">
        <v>45975</v>
      </c>
      <c r="B714" s="39" t="n">
        <v>280.58</v>
      </c>
      <c r="C714" s="39" t="n">
        <v>671.9299999999999</v>
      </c>
      <c r="D714" s="39" t="n">
        <v>43.385</v>
      </c>
      <c r="E714" s="41">
        <f>IFERROR(B714/B713-1,"")</f>
        <v/>
      </c>
      <c r="F714" s="41">
        <f>IFERROR(C714/C713-1,"")</f>
        <v/>
      </c>
      <c r="G714" s="41">
        <f>IFERROR(D714/D713-1,"")</f>
        <v/>
      </c>
      <c r="H714" s="41">
        <f>IFERROR((1+E714)*(1+H713)-1,"")</f>
        <v/>
      </c>
      <c r="I714" s="41">
        <f>IFERROR((1+F714)*(1+I713)-1,"")</f>
        <v/>
      </c>
      <c r="J714" s="41">
        <f>IFERROR((1+G714)*(1+J713)-1,"")</f>
        <v/>
      </c>
      <c r="K714" s="42">
        <f>IFERROR(B714/$B$36*100,"")</f>
        <v/>
      </c>
      <c r="L714" s="42">
        <f>IFERROR(C714/$C$36*100,"")</f>
        <v/>
      </c>
      <c r="M714" s="42">
        <f>IFERROR(D714/$D$36*100,"")</f>
        <v/>
      </c>
      <c r="N714" s="41">
        <f>IFERROR((1+H714)/(1+I714)-1,"")</f>
        <v/>
      </c>
      <c r="O714" s="41">
        <f>IFERROR((1+H714)/(1+J714)-1,"")</f>
        <v/>
      </c>
      <c r="P714" s="39">
        <f>IFERROR(B714*0.0099502487562189+P713*(1-0.0099502487562189),"")</f>
        <v/>
      </c>
      <c r="Q714" s="42">
        <f>Q713*(1+E714)</f>
        <v/>
      </c>
      <c r="R714" s="42">
        <f>MAX(R713,Q714)</f>
        <v/>
      </c>
      <c r="S714" s="41">
        <f>IFERROR(Q714/R714-1,"")</f>
        <v/>
      </c>
      <c r="T714" s="41">
        <f>IFERROR(_xlfn.STDEV.S(E655:E714)*SQRT($D$7),"")</f>
        <v/>
      </c>
      <c r="U714" s="41">
        <f>IFERROR(MIN(E714-$D$6,0),"")</f>
        <v/>
      </c>
      <c r="V714" s="41">
        <f>IFERROR(E714-F714,"")</f>
        <v/>
      </c>
      <c r="W714" s="39">
        <f>B714</f>
        <v/>
      </c>
      <c r="X714" s="21" t="n"/>
    </row>
    <row r="715">
      <c r="A715" s="38" t="n">
        <v>45978</v>
      </c>
      <c r="B715" s="39" t="n">
        <v>280.08</v>
      </c>
      <c r="C715" s="39" t="n">
        <v>665.67</v>
      </c>
      <c r="D715" s="39" t="n">
        <v>42.725</v>
      </c>
      <c r="E715" s="41">
        <f>IFERROR(B715/B714-1,"")</f>
        <v/>
      </c>
      <c r="F715" s="41">
        <f>IFERROR(C715/C714-1,"")</f>
        <v/>
      </c>
      <c r="G715" s="41">
        <f>IFERROR(D715/D714-1,"")</f>
        <v/>
      </c>
      <c r="H715" s="41">
        <f>IFERROR((1+E715)*(1+H714)-1,"")</f>
        <v/>
      </c>
      <c r="I715" s="41">
        <f>IFERROR((1+F715)*(1+I714)-1,"")</f>
        <v/>
      </c>
      <c r="J715" s="41">
        <f>IFERROR((1+G715)*(1+J714)-1,"")</f>
        <v/>
      </c>
      <c r="K715" s="42">
        <f>IFERROR(B715/$B$36*100,"")</f>
        <v/>
      </c>
      <c r="L715" s="42">
        <f>IFERROR(C715/$C$36*100,"")</f>
        <v/>
      </c>
      <c r="M715" s="42">
        <f>IFERROR(D715/$D$36*100,"")</f>
        <v/>
      </c>
      <c r="N715" s="41">
        <f>IFERROR((1+H715)/(1+I715)-1,"")</f>
        <v/>
      </c>
      <c r="O715" s="41">
        <f>IFERROR((1+H715)/(1+J715)-1,"")</f>
        <v/>
      </c>
      <c r="P715" s="39">
        <f>IFERROR(B715*0.0099502487562189+P714*(1-0.0099502487562189),"")</f>
        <v/>
      </c>
      <c r="Q715" s="42">
        <f>Q714*(1+E715)</f>
        <v/>
      </c>
      <c r="R715" s="42">
        <f>MAX(R714,Q715)</f>
        <v/>
      </c>
      <c r="S715" s="41">
        <f>IFERROR(Q715/R715-1,"")</f>
        <v/>
      </c>
      <c r="T715" s="41">
        <f>IFERROR(_xlfn.STDEV.S(E656:E715)*SQRT($D$7),"")</f>
        <v/>
      </c>
      <c r="U715" s="41">
        <f>IFERROR(MIN(E715-$D$6,0),"")</f>
        <v/>
      </c>
      <c r="V715" s="41">
        <f>IFERROR(E715-F715,"")</f>
        <v/>
      </c>
      <c r="W715" s="39">
        <f>B715</f>
        <v/>
      </c>
      <c r="X715" s="21" t="n"/>
    </row>
    <row r="716">
      <c r="A716" s="38" t="n">
        <v>45979</v>
      </c>
      <c r="B716" s="39" t="n">
        <v>281.87</v>
      </c>
      <c r="C716" s="39" t="n">
        <v>660.08</v>
      </c>
      <c r="D716" s="39" t="n">
        <v>42.76</v>
      </c>
      <c r="E716" s="41">
        <f>IFERROR(B716/B715-1,"")</f>
        <v/>
      </c>
      <c r="F716" s="41">
        <f>IFERROR(C716/C715-1,"")</f>
        <v/>
      </c>
      <c r="G716" s="41">
        <f>IFERROR(D716/D715-1,"")</f>
        <v/>
      </c>
      <c r="H716" s="41">
        <f>IFERROR((1+E716)*(1+H715)-1,"")</f>
        <v/>
      </c>
      <c r="I716" s="41">
        <f>IFERROR((1+F716)*(1+I715)-1,"")</f>
        <v/>
      </c>
      <c r="J716" s="41">
        <f>IFERROR((1+G716)*(1+J715)-1,"")</f>
        <v/>
      </c>
      <c r="K716" s="42">
        <f>IFERROR(B716/$B$36*100,"")</f>
        <v/>
      </c>
      <c r="L716" s="42">
        <f>IFERROR(C716/$C$36*100,"")</f>
        <v/>
      </c>
      <c r="M716" s="42">
        <f>IFERROR(D716/$D$36*100,"")</f>
        <v/>
      </c>
      <c r="N716" s="41">
        <f>IFERROR((1+H716)/(1+I716)-1,"")</f>
        <v/>
      </c>
      <c r="O716" s="41">
        <f>IFERROR((1+H716)/(1+J716)-1,"")</f>
        <v/>
      </c>
      <c r="P716" s="39">
        <f>IFERROR(B716*0.0099502487562189+P715*(1-0.0099502487562189),"")</f>
        <v/>
      </c>
      <c r="Q716" s="42">
        <f>Q715*(1+E716)</f>
        <v/>
      </c>
      <c r="R716" s="42">
        <f>MAX(R715,Q716)</f>
        <v/>
      </c>
      <c r="S716" s="41">
        <f>IFERROR(Q716/R716-1,"")</f>
        <v/>
      </c>
      <c r="T716" s="41">
        <f>IFERROR(_xlfn.STDEV.S(E657:E716)*SQRT($D$7),"")</f>
        <v/>
      </c>
      <c r="U716" s="41">
        <f>IFERROR(MIN(E716-$D$6,0),"")</f>
        <v/>
      </c>
      <c r="V716" s="41">
        <f>IFERROR(E716-F716,"")</f>
        <v/>
      </c>
      <c r="W716" s="39">
        <f>B716</f>
        <v/>
      </c>
      <c r="X716" s="21" t="n"/>
    </row>
    <row r="717">
      <c r="A717" s="38" t="n">
        <v>45980</v>
      </c>
      <c r="B717" s="39" t="n">
        <v>284.23</v>
      </c>
      <c r="C717" s="39" t="n">
        <v>662.63</v>
      </c>
      <c r="D717" s="39" t="n">
        <v>42.87</v>
      </c>
      <c r="E717" s="41">
        <f>IFERROR(B717/B716-1,"")</f>
        <v/>
      </c>
      <c r="F717" s="41">
        <f>IFERROR(C717/C716-1,"")</f>
        <v/>
      </c>
      <c r="G717" s="41">
        <f>IFERROR(D717/D716-1,"")</f>
        <v/>
      </c>
      <c r="H717" s="41">
        <f>IFERROR((1+E717)*(1+H716)-1,"")</f>
        <v/>
      </c>
      <c r="I717" s="41">
        <f>IFERROR((1+F717)*(1+I716)-1,"")</f>
        <v/>
      </c>
      <c r="J717" s="41">
        <f>IFERROR((1+G717)*(1+J716)-1,"")</f>
        <v/>
      </c>
      <c r="K717" s="42">
        <f>IFERROR(B717/$B$36*100,"")</f>
        <v/>
      </c>
      <c r="L717" s="42">
        <f>IFERROR(C717/$C$36*100,"")</f>
        <v/>
      </c>
      <c r="M717" s="42">
        <f>IFERROR(D717/$D$36*100,"")</f>
        <v/>
      </c>
      <c r="N717" s="41">
        <f>IFERROR((1+H717)/(1+I717)-1,"")</f>
        <v/>
      </c>
      <c r="O717" s="41">
        <f>IFERROR((1+H717)/(1+J717)-1,"")</f>
        <v/>
      </c>
      <c r="P717" s="39">
        <f>IFERROR(B717*0.0099502487562189+P716*(1-0.0099502487562189),"")</f>
        <v/>
      </c>
      <c r="Q717" s="42">
        <f>Q716*(1+E717)</f>
        <v/>
      </c>
      <c r="R717" s="42">
        <f>MAX(R716,Q717)</f>
        <v/>
      </c>
      <c r="S717" s="41">
        <f>IFERROR(Q717/R717-1,"")</f>
        <v/>
      </c>
      <c r="T717" s="41">
        <f>IFERROR(_xlfn.STDEV.S(E658:E717)*SQRT($D$7),"")</f>
        <v/>
      </c>
      <c r="U717" s="41">
        <f>IFERROR(MIN(E717-$D$6,0),"")</f>
        <v/>
      </c>
      <c r="V717" s="41">
        <f>IFERROR(E717-F717,"")</f>
        <v/>
      </c>
      <c r="W717" s="39">
        <f>B717</f>
        <v/>
      </c>
      <c r="X717" s="21" t="n"/>
    </row>
    <row r="718">
      <c r="A718" s="38" t="n">
        <v>45981</v>
      </c>
      <c r="B718" s="39" t="n">
        <v>285.97</v>
      </c>
      <c r="C718" s="39" t="n">
        <v>652.53</v>
      </c>
      <c r="D718" s="39" t="n">
        <v>42.23</v>
      </c>
      <c r="E718" s="41">
        <f>IFERROR(B718/B717-1,"")</f>
        <v/>
      </c>
      <c r="F718" s="41">
        <f>IFERROR(C718/C717-1,"")</f>
        <v/>
      </c>
      <c r="G718" s="41">
        <f>IFERROR(D718/D717-1,"")</f>
        <v/>
      </c>
      <c r="H718" s="41">
        <f>IFERROR((1+E718)*(1+H717)-1,"")</f>
        <v/>
      </c>
      <c r="I718" s="41">
        <f>IFERROR((1+F718)*(1+I717)-1,"")</f>
        <v/>
      </c>
      <c r="J718" s="41">
        <f>IFERROR((1+G718)*(1+J717)-1,"")</f>
        <v/>
      </c>
      <c r="K718" s="42">
        <f>IFERROR(B718/$B$36*100,"")</f>
        <v/>
      </c>
      <c r="L718" s="42">
        <f>IFERROR(C718/$C$36*100,"")</f>
        <v/>
      </c>
      <c r="M718" s="42">
        <f>IFERROR(D718/$D$36*100,"")</f>
        <v/>
      </c>
      <c r="N718" s="41">
        <f>IFERROR((1+H718)/(1+I718)-1,"")</f>
        <v/>
      </c>
      <c r="O718" s="41">
        <f>IFERROR((1+H718)/(1+J718)-1,"")</f>
        <v/>
      </c>
      <c r="P718" s="39">
        <f>IFERROR(B718*0.0099502487562189+P717*(1-0.0099502487562189),"")</f>
        <v/>
      </c>
      <c r="Q718" s="42">
        <f>Q717*(1+E718)</f>
        <v/>
      </c>
      <c r="R718" s="42">
        <f>MAX(R717,Q718)</f>
        <v/>
      </c>
      <c r="S718" s="41">
        <f>IFERROR(Q718/R718-1,"")</f>
        <v/>
      </c>
      <c r="T718" s="41">
        <f>IFERROR(_xlfn.STDEV.S(E659:E718)*SQRT($D$7),"")</f>
        <v/>
      </c>
      <c r="U718" s="41">
        <f>IFERROR(MIN(E718-$D$6,0),"")</f>
        <v/>
      </c>
      <c r="V718" s="41">
        <f>IFERROR(E718-F718,"")</f>
        <v/>
      </c>
      <c r="W718" s="39">
        <f>B718</f>
        <v/>
      </c>
      <c r="X718" s="21" t="n"/>
    </row>
    <row r="719">
      <c r="A719" s="38" t="n">
        <v>45982</v>
      </c>
      <c r="B719" s="39" t="n">
        <v>287.83</v>
      </c>
      <c r="C719" s="39" t="n">
        <v>659.03</v>
      </c>
      <c r="D719" s="39" t="n">
        <v>43.175</v>
      </c>
      <c r="E719" s="41">
        <f>IFERROR(B719/B718-1,"")</f>
        <v/>
      </c>
      <c r="F719" s="41">
        <f>IFERROR(C719/C718-1,"")</f>
        <v/>
      </c>
      <c r="G719" s="41">
        <f>IFERROR(D719/D718-1,"")</f>
        <v/>
      </c>
      <c r="H719" s="41">
        <f>IFERROR((1+E719)*(1+H718)-1,"")</f>
        <v/>
      </c>
      <c r="I719" s="41">
        <f>IFERROR((1+F719)*(1+I718)-1,"")</f>
        <v/>
      </c>
      <c r="J719" s="41">
        <f>IFERROR((1+G719)*(1+J718)-1,"")</f>
        <v/>
      </c>
      <c r="K719" s="42">
        <f>IFERROR(B719/$B$36*100,"")</f>
        <v/>
      </c>
      <c r="L719" s="42">
        <f>IFERROR(C719/$C$36*100,"")</f>
        <v/>
      </c>
      <c r="M719" s="42">
        <f>IFERROR(D719/$D$36*100,"")</f>
        <v/>
      </c>
      <c r="N719" s="41">
        <f>IFERROR((1+H719)/(1+I719)-1,"")</f>
        <v/>
      </c>
      <c r="O719" s="41">
        <f>IFERROR((1+H719)/(1+J719)-1,"")</f>
        <v/>
      </c>
      <c r="P719" s="39">
        <f>IFERROR(B719*0.0099502487562189+P718*(1-0.0099502487562189),"")</f>
        <v/>
      </c>
      <c r="Q719" s="42">
        <f>Q718*(1+E719)</f>
        <v/>
      </c>
      <c r="R719" s="42">
        <f>MAX(R718,Q719)</f>
        <v/>
      </c>
      <c r="S719" s="41">
        <f>IFERROR(Q719/R719-1,"")</f>
        <v/>
      </c>
      <c r="T719" s="41">
        <f>IFERROR(_xlfn.STDEV.S(E660:E719)*SQRT($D$7),"")</f>
        <v/>
      </c>
      <c r="U719" s="41">
        <f>IFERROR(MIN(E719-$D$6,0),"")</f>
        <v/>
      </c>
      <c r="V719" s="41">
        <f>IFERROR(E719-F719,"")</f>
        <v/>
      </c>
      <c r="W719" s="39">
        <f>B719</f>
        <v/>
      </c>
      <c r="X719" s="21" t="n"/>
    </row>
    <row r="720">
      <c r="A720" s="38" t="n">
        <v>45985</v>
      </c>
      <c r="B720" s="39" t="n">
        <v>287.19</v>
      </c>
      <c r="C720" s="39" t="n">
        <v>668.73</v>
      </c>
      <c r="D720" s="39" t="n">
        <v>43.26</v>
      </c>
      <c r="E720" s="41">
        <f>IFERROR(B720/B719-1,"")</f>
        <v/>
      </c>
      <c r="F720" s="41">
        <f>IFERROR(C720/C719-1,"")</f>
        <v/>
      </c>
      <c r="G720" s="41">
        <f>IFERROR(D720/D719-1,"")</f>
        <v/>
      </c>
      <c r="H720" s="41">
        <f>IFERROR((1+E720)*(1+H719)-1,"")</f>
        <v/>
      </c>
      <c r="I720" s="41">
        <f>IFERROR((1+F720)*(1+I719)-1,"")</f>
        <v/>
      </c>
      <c r="J720" s="41">
        <f>IFERROR((1+G720)*(1+J719)-1,"")</f>
        <v/>
      </c>
      <c r="K720" s="42">
        <f>IFERROR(B720/$B$36*100,"")</f>
        <v/>
      </c>
      <c r="L720" s="42">
        <f>IFERROR(C720/$C$36*100,"")</f>
        <v/>
      </c>
      <c r="M720" s="42">
        <f>IFERROR(D720/$D$36*100,"")</f>
        <v/>
      </c>
      <c r="N720" s="41">
        <f>IFERROR((1+H720)/(1+I720)-1,"")</f>
        <v/>
      </c>
      <c r="O720" s="41">
        <f>IFERROR((1+H720)/(1+J720)-1,"")</f>
        <v/>
      </c>
      <c r="P720" s="39">
        <f>IFERROR(B720*0.0099502487562189+P719*(1-0.0099502487562189),"")</f>
        <v/>
      </c>
      <c r="Q720" s="42">
        <f>Q719*(1+E720)</f>
        <v/>
      </c>
      <c r="R720" s="42">
        <f>MAX(R719,Q720)</f>
        <v/>
      </c>
      <c r="S720" s="41">
        <f>IFERROR(Q720/R720-1,"")</f>
        <v/>
      </c>
      <c r="T720" s="41">
        <f>IFERROR(_xlfn.STDEV.S(E661:E720)*SQRT($D$7),"")</f>
        <v/>
      </c>
      <c r="U720" s="41">
        <f>IFERROR(MIN(E720-$D$6,0),"")</f>
        <v/>
      </c>
      <c r="V720" s="41">
        <f>IFERROR(E720-F720,"")</f>
        <v/>
      </c>
      <c r="W720" s="39">
        <f>B720</f>
        <v/>
      </c>
      <c r="X720" s="21" t="n"/>
    </row>
    <row r="721">
      <c r="A721" s="38" t="n">
        <v>45986</v>
      </c>
      <c r="B721" s="39" t="n">
        <v>292.72</v>
      </c>
      <c r="C721" s="39" t="n">
        <v>675.02</v>
      </c>
      <c r="D721" s="39" t="n">
        <v>43.905</v>
      </c>
      <c r="E721" s="41">
        <f>IFERROR(B721/B720-1,"")</f>
        <v/>
      </c>
      <c r="F721" s="41">
        <f>IFERROR(C721/C720-1,"")</f>
        <v/>
      </c>
      <c r="G721" s="41">
        <f>IFERROR(D721/D720-1,"")</f>
        <v/>
      </c>
      <c r="H721" s="41">
        <f>IFERROR((1+E721)*(1+H720)-1,"")</f>
        <v/>
      </c>
      <c r="I721" s="41">
        <f>IFERROR((1+F721)*(1+I720)-1,"")</f>
        <v/>
      </c>
      <c r="J721" s="41">
        <f>IFERROR((1+G721)*(1+J720)-1,"")</f>
        <v/>
      </c>
      <c r="K721" s="42">
        <f>IFERROR(B721/$B$36*100,"")</f>
        <v/>
      </c>
      <c r="L721" s="42">
        <f>IFERROR(C721/$C$36*100,"")</f>
        <v/>
      </c>
      <c r="M721" s="42">
        <f>IFERROR(D721/$D$36*100,"")</f>
        <v/>
      </c>
      <c r="N721" s="41">
        <f>IFERROR((1+H721)/(1+I721)-1,"")</f>
        <v/>
      </c>
      <c r="O721" s="41">
        <f>IFERROR((1+H721)/(1+J721)-1,"")</f>
        <v/>
      </c>
      <c r="P721" s="39">
        <f>IFERROR(B721*0.0099502487562189+P720*(1-0.0099502487562189),"")</f>
        <v/>
      </c>
      <c r="Q721" s="42">
        <f>Q720*(1+E721)</f>
        <v/>
      </c>
      <c r="R721" s="42">
        <f>MAX(R720,Q721)</f>
        <v/>
      </c>
      <c r="S721" s="41">
        <f>IFERROR(Q721/R721-1,"")</f>
        <v/>
      </c>
      <c r="T721" s="41">
        <f>IFERROR(_xlfn.STDEV.S(E662:E721)*SQRT($D$7),"")</f>
        <v/>
      </c>
      <c r="U721" s="41">
        <f>IFERROR(MIN(E721-$D$6,0),"")</f>
        <v/>
      </c>
      <c r="V721" s="41">
        <f>IFERROR(E721-F721,"")</f>
        <v/>
      </c>
      <c r="W721" s="39">
        <f>B721</f>
        <v/>
      </c>
      <c r="X721" s="21" t="n"/>
    </row>
    <row r="722">
      <c r="A722" s="38" t="n">
        <v>45987</v>
      </c>
      <c r="B722" s="39" t="n">
        <v>295.08</v>
      </c>
      <c r="C722" s="39" t="n">
        <v>679.6799999999999</v>
      </c>
      <c r="D722" s="39" t="n">
        <v>44.445</v>
      </c>
      <c r="E722" s="41">
        <f>IFERROR(B722/B721-1,"")</f>
        <v/>
      </c>
      <c r="F722" s="41">
        <f>IFERROR(C722/C721-1,"")</f>
        <v/>
      </c>
      <c r="G722" s="41">
        <f>IFERROR(D722/D721-1,"")</f>
        <v/>
      </c>
      <c r="H722" s="41">
        <f>IFERROR((1+E722)*(1+H721)-1,"")</f>
        <v/>
      </c>
      <c r="I722" s="41">
        <f>IFERROR((1+F722)*(1+I721)-1,"")</f>
        <v/>
      </c>
      <c r="J722" s="41">
        <f>IFERROR((1+G722)*(1+J721)-1,"")</f>
        <v/>
      </c>
      <c r="K722" s="42">
        <f>IFERROR(B722/$B$36*100,"")</f>
        <v/>
      </c>
      <c r="L722" s="42">
        <f>IFERROR(C722/$C$36*100,"")</f>
        <v/>
      </c>
      <c r="M722" s="42">
        <f>IFERROR(D722/$D$36*100,"")</f>
        <v/>
      </c>
      <c r="N722" s="41">
        <f>IFERROR((1+H722)/(1+I722)-1,"")</f>
        <v/>
      </c>
      <c r="O722" s="41">
        <f>IFERROR((1+H722)/(1+J722)-1,"")</f>
        <v/>
      </c>
      <c r="P722" s="39">
        <f>IFERROR(B722*0.0099502487562189+P721*(1-0.0099502487562189),"")</f>
        <v/>
      </c>
      <c r="Q722" s="42">
        <f>Q721*(1+E722)</f>
        <v/>
      </c>
      <c r="R722" s="42">
        <f>MAX(R721,Q722)</f>
        <v/>
      </c>
      <c r="S722" s="41">
        <f>IFERROR(Q722/R722-1,"")</f>
        <v/>
      </c>
      <c r="T722" s="41">
        <f>IFERROR(_xlfn.STDEV.S(E663:E722)*SQRT($D$7),"")</f>
        <v/>
      </c>
      <c r="U722" s="41">
        <f>IFERROR(MIN(E722-$D$6,0),"")</f>
        <v/>
      </c>
      <c r="V722" s="41">
        <f>IFERROR(E722-F722,"")</f>
        <v/>
      </c>
      <c r="W722" s="39">
        <f>B722</f>
        <v/>
      </c>
      <c r="X722" s="21" t="n"/>
    </row>
    <row r="723">
      <c r="A723" s="38" t="n">
        <v>45989</v>
      </c>
      <c r="B723" s="39" t="n">
        <v>297.24</v>
      </c>
      <c r="C723" s="39" t="n">
        <v>683.39</v>
      </c>
      <c r="D723" s="39" t="n">
        <v>44.7</v>
      </c>
      <c r="E723" s="41">
        <f>IFERROR(B723/B722-1,"")</f>
        <v/>
      </c>
      <c r="F723" s="41">
        <f>IFERROR(C723/C722-1,"")</f>
        <v/>
      </c>
      <c r="G723" s="41">
        <f>IFERROR(D723/D722-1,"")</f>
        <v/>
      </c>
      <c r="H723" s="41">
        <f>IFERROR((1+E723)*(1+H722)-1,"")</f>
        <v/>
      </c>
      <c r="I723" s="41">
        <f>IFERROR((1+F723)*(1+I722)-1,"")</f>
        <v/>
      </c>
      <c r="J723" s="41">
        <f>IFERROR((1+G723)*(1+J722)-1,"")</f>
        <v/>
      </c>
      <c r="K723" s="42">
        <f>IFERROR(B723/$B$36*100,"")</f>
        <v/>
      </c>
      <c r="L723" s="42">
        <f>IFERROR(C723/$C$36*100,"")</f>
        <v/>
      </c>
      <c r="M723" s="42">
        <f>IFERROR(D723/$D$36*100,"")</f>
        <v/>
      </c>
      <c r="N723" s="41">
        <f>IFERROR((1+H723)/(1+I723)-1,"")</f>
        <v/>
      </c>
      <c r="O723" s="41">
        <f>IFERROR((1+H723)/(1+J723)-1,"")</f>
        <v/>
      </c>
      <c r="P723" s="39">
        <f>IFERROR(B723*0.0099502487562189+P722*(1-0.0099502487562189),"")</f>
        <v/>
      </c>
      <c r="Q723" s="42">
        <f>Q722*(1+E723)</f>
        <v/>
      </c>
      <c r="R723" s="42">
        <f>MAX(R722,Q723)</f>
        <v/>
      </c>
      <c r="S723" s="41">
        <f>IFERROR(Q723/R723-1,"")</f>
        <v/>
      </c>
      <c r="T723" s="41">
        <f>IFERROR(_xlfn.STDEV.S(E664:E723)*SQRT($D$7),"")</f>
        <v/>
      </c>
      <c r="U723" s="41">
        <f>IFERROR(MIN(E723-$D$6,0),"")</f>
        <v/>
      </c>
      <c r="V723" s="41">
        <f>IFERROR(E723-F723,"")</f>
        <v/>
      </c>
      <c r="W723" s="39">
        <f>B723</f>
        <v/>
      </c>
      <c r="X723" s="21" t="n"/>
    </row>
    <row r="724">
      <c r="A724" s="38" t="n">
        <v>45992</v>
      </c>
      <c r="B724" s="39" t="n">
        <v>291.85</v>
      </c>
      <c r="C724" s="39" t="n">
        <v>680.27</v>
      </c>
      <c r="D724" s="39" t="n">
        <v>44.59</v>
      </c>
      <c r="E724" s="41">
        <f>IFERROR(B724/B723-1,"")</f>
        <v/>
      </c>
      <c r="F724" s="41">
        <f>IFERROR(C724/C723-1,"")</f>
        <v/>
      </c>
      <c r="G724" s="41">
        <f>IFERROR(D724/D723-1,"")</f>
        <v/>
      </c>
      <c r="H724" s="41">
        <f>IFERROR((1+E724)*(1+H723)-1,"")</f>
        <v/>
      </c>
      <c r="I724" s="41">
        <f>IFERROR((1+F724)*(1+I723)-1,"")</f>
        <v/>
      </c>
      <c r="J724" s="41">
        <f>IFERROR((1+G724)*(1+J723)-1,"")</f>
        <v/>
      </c>
      <c r="K724" s="42">
        <f>IFERROR(B724/$B$36*100,"")</f>
        <v/>
      </c>
      <c r="L724" s="42">
        <f>IFERROR(C724/$C$36*100,"")</f>
        <v/>
      </c>
      <c r="M724" s="42">
        <f>IFERROR(D724/$D$36*100,"")</f>
        <v/>
      </c>
      <c r="N724" s="41">
        <f>IFERROR((1+H724)/(1+I724)-1,"")</f>
        <v/>
      </c>
      <c r="O724" s="41">
        <f>IFERROR((1+H724)/(1+J724)-1,"")</f>
        <v/>
      </c>
      <c r="P724" s="39">
        <f>IFERROR(B724*0.0099502487562189+P723*(1-0.0099502487562189),"")</f>
        <v/>
      </c>
      <c r="Q724" s="42">
        <f>Q723*(1+E724)</f>
        <v/>
      </c>
      <c r="R724" s="42">
        <f>MAX(R723,Q724)</f>
        <v/>
      </c>
      <c r="S724" s="41">
        <f>IFERROR(Q724/R724-1,"")</f>
        <v/>
      </c>
      <c r="T724" s="41">
        <f>IFERROR(_xlfn.STDEV.S(E665:E724)*SQRT($D$7),"")</f>
        <v/>
      </c>
      <c r="U724" s="41">
        <f>IFERROR(MIN(E724-$D$6,0),"")</f>
        <v/>
      </c>
      <c r="V724" s="41">
        <f>IFERROR(E724-F724,"")</f>
        <v/>
      </c>
      <c r="W724" s="39">
        <f>B724</f>
        <v/>
      </c>
      <c r="X724" s="21" t="n"/>
    </row>
    <row r="725">
      <c r="A725" s="38" t="n">
        <v>45993</v>
      </c>
      <c r="B725" s="39" t="n">
        <v>289.84</v>
      </c>
      <c r="C725" s="39" t="n">
        <v>681.53</v>
      </c>
      <c r="D725" s="39" t="n">
        <v>44.185</v>
      </c>
      <c r="E725" s="41">
        <f>IFERROR(B725/B724-1,"")</f>
        <v/>
      </c>
      <c r="F725" s="41">
        <f>IFERROR(C725/C724-1,"")</f>
        <v/>
      </c>
      <c r="G725" s="41">
        <f>IFERROR(D725/D724-1,"")</f>
        <v/>
      </c>
      <c r="H725" s="41">
        <f>IFERROR((1+E725)*(1+H724)-1,"")</f>
        <v/>
      </c>
      <c r="I725" s="41">
        <f>IFERROR((1+F725)*(1+I724)-1,"")</f>
        <v/>
      </c>
      <c r="J725" s="41">
        <f>IFERROR((1+G725)*(1+J724)-1,"")</f>
        <v/>
      </c>
      <c r="K725" s="42">
        <f>IFERROR(B725/$B$36*100,"")</f>
        <v/>
      </c>
      <c r="L725" s="42">
        <f>IFERROR(C725/$C$36*100,"")</f>
        <v/>
      </c>
      <c r="M725" s="42">
        <f>IFERROR(D725/$D$36*100,"")</f>
        <v/>
      </c>
      <c r="N725" s="41">
        <f>IFERROR((1+H725)/(1+I725)-1,"")</f>
        <v/>
      </c>
      <c r="O725" s="41">
        <f>IFERROR((1+H725)/(1+J725)-1,"")</f>
        <v/>
      </c>
      <c r="P725" s="39">
        <f>IFERROR(B725*0.0099502487562189+P724*(1-0.0099502487562189),"")</f>
        <v/>
      </c>
      <c r="Q725" s="42">
        <f>Q724*(1+E725)</f>
        <v/>
      </c>
      <c r="R725" s="42">
        <f>MAX(R724,Q725)</f>
        <v/>
      </c>
      <c r="S725" s="41">
        <f>IFERROR(Q725/R725-1,"")</f>
        <v/>
      </c>
      <c r="T725" s="41">
        <f>IFERROR(_xlfn.STDEV.S(E666:E725)*SQRT($D$7),"")</f>
        <v/>
      </c>
      <c r="U725" s="41">
        <f>IFERROR(MIN(E725-$D$6,0),"")</f>
        <v/>
      </c>
      <c r="V725" s="41">
        <f>IFERROR(E725-F725,"")</f>
        <v/>
      </c>
      <c r="W725" s="39">
        <f>B725</f>
        <v/>
      </c>
      <c r="X725" s="21" t="n"/>
    </row>
    <row r="726">
      <c r="A726" s="38" t="n">
        <v>45994</v>
      </c>
      <c r="B726" s="39" t="n">
        <v>292.59</v>
      </c>
      <c r="C726" s="39" t="n">
        <v>683.89</v>
      </c>
      <c r="D726" s="39" t="n">
        <v>44.495</v>
      </c>
      <c r="E726" s="41">
        <f>IFERROR(B726/B725-1,"")</f>
        <v/>
      </c>
      <c r="F726" s="41">
        <f>IFERROR(C726/C725-1,"")</f>
        <v/>
      </c>
      <c r="G726" s="41">
        <f>IFERROR(D726/D725-1,"")</f>
        <v/>
      </c>
      <c r="H726" s="41">
        <f>IFERROR((1+E726)*(1+H725)-1,"")</f>
        <v/>
      </c>
      <c r="I726" s="41">
        <f>IFERROR((1+F726)*(1+I725)-1,"")</f>
        <v/>
      </c>
      <c r="J726" s="41">
        <f>IFERROR((1+G726)*(1+J725)-1,"")</f>
        <v/>
      </c>
      <c r="K726" s="42">
        <f>IFERROR(B726/$B$36*100,"")</f>
        <v/>
      </c>
      <c r="L726" s="42">
        <f>IFERROR(C726/$C$36*100,"")</f>
        <v/>
      </c>
      <c r="M726" s="42">
        <f>IFERROR(D726/$D$36*100,"")</f>
        <v/>
      </c>
      <c r="N726" s="41">
        <f>IFERROR((1+H726)/(1+I726)-1,"")</f>
        <v/>
      </c>
      <c r="O726" s="41">
        <f>IFERROR((1+H726)/(1+J726)-1,"")</f>
        <v/>
      </c>
      <c r="P726" s="39">
        <f>IFERROR(B726*0.0099502487562189+P725*(1-0.0099502487562189),"")</f>
        <v/>
      </c>
      <c r="Q726" s="42">
        <f>Q725*(1+E726)</f>
        <v/>
      </c>
      <c r="R726" s="42">
        <f>MAX(R725,Q726)</f>
        <v/>
      </c>
      <c r="S726" s="41">
        <f>IFERROR(Q726/R726-1,"")</f>
        <v/>
      </c>
      <c r="T726" s="41">
        <f>IFERROR(_xlfn.STDEV.S(E667:E726)*SQRT($D$7),"")</f>
        <v/>
      </c>
      <c r="U726" s="41">
        <f>IFERROR(MIN(E726-$D$6,0),"")</f>
        <v/>
      </c>
      <c r="V726" s="41">
        <f>IFERROR(E726-F726,"")</f>
        <v/>
      </c>
      <c r="W726" s="39">
        <f>B726</f>
        <v/>
      </c>
      <c r="X726" s="21" t="n"/>
    </row>
    <row r="727">
      <c r="A727" s="38" t="n">
        <v>45995</v>
      </c>
      <c r="B727" s="39" t="n">
        <v>293.65</v>
      </c>
      <c r="C727" s="39" t="n">
        <v>684.39</v>
      </c>
      <c r="D727" s="39" t="n">
        <v>44.235</v>
      </c>
      <c r="E727" s="41">
        <f>IFERROR(B727/B726-1,"")</f>
        <v/>
      </c>
      <c r="F727" s="41">
        <f>IFERROR(C727/C726-1,"")</f>
        <v/>
      </c>
      <c r="G727" s="41">
        <f>IFERROR(D727/D726-1,"")</f>
        <v/>
      </c>
      <c r="H727" s="41">
        <f>IFERROR((1+E727)*(1+H726)-1,"")</f>
        <v/>
      </c>
      <c r="I727" s="41">
        <f>IFERROR((1+F727)*(1+I726)-1,"")</f>
        <v/>
      </c>
      <c r="J727" s="41">
        <f>IFERROR((1+G727)*(1+J726)-1,"")</f>
        <v/>
      </c>
      <c r="K727" s="42">
        <f>IFERROR(B727/$B$36*100,"")</f>
        <v/>
      </c>
      <c r="L727" s="42">
        <f>IFERROR(C727/$C$36*100,"")</f>
        <v/>
      </c>
      <c r="M727" s="42">
        <f>IFERROR(D727/$D$36*100,"")</f>
        <v/>
      </c>
      <c r="N727" s="41">
        <f>IFERROR((1+H727)/(1+I727)-1,"")</f>
        <v/>
      </c>
      <c r="O727" s="41">
        <f>IFERROR((1+H727)/(1+J727)-1,"")</f>
        <v/>
      </c>
      <c r="P727" s="39">
        <f>IFERROR(B727*0.0099502487562189+P726*(1-0.0099502487562189),"")</f>
        <v/>
      </c>
      <c r="Q727" s="42">
        <f>Q726*(1+E727)</f>
        <v/>
      </c>
      <c r="R727" s="42">
        <f>MAX(R726,Q727)</f>
        <v/>
      </c>
      <c r="S727" s="41">
        <f>IFERROR(Q727/R727-1,"")</f>
        <v/>
      </c>
      <c r="T727" s="41">
        <f>IFERROR(_xlfn.STDEV.S(E668:E727)*SQRT($D$7),"")</f>
        <v/>
      </c>
      <c r="U727" s="41">
        <f>IFERROR(MIN(E727-$D$6,0),"")</f>
        <v/>
      </c>
      <c r="V727" s="41">
        <f>IFERROR(E727-F727,"")</f>
        <v/>
      </c>
      <c r="W727" s="39">
        <f>B727</f>
        <v/>
      </c>
      <c r="X727" s="21" t="n"/>
    </row>
    <row r="728">
      <c r="A728" s="38" t="n">
        <v>45996</v>
      </c>
      <c r="B728" s="39" t="n">
        <v>294.87</v>
      </c>
      <c r="C728" s="39" t="n">
        <v>685.6900000000001</v>
      </c>
      <c r="D728" s="39" t="n">
        <v>44.09</v>
      </c>
      <c r="E728" s="41">
        <f>IFERROR(B728/B727-1,"")</f>
        <v/>
      </c>
      <c r="F728" s="41">
        <f>IFERROR(C728/C727-1,"")</f>
        <v/>
      </c>
      <c r="G728" s="41">
        <f>IFERROR(D728/D727-1,"")</f>
        <v/>
      </c>
      <c r="H728" s="41">
        <f>IFERROR((1+E728)*(1+H727)-1,"")</f>
        <v/>
      </c>
      <c r="I728" s="41">
        <f>IFERROR((1+F728)*(1+I727)-1,"")</f>
        <v/>
      </c>
      <c r="J728" s="41">
        <f>IFERROR((1+G728)*(1+J727)-1,"")</f>
        <v/>
      </c>
      <c r="K728" s="42">
        <f>IFERROR(B728/$B$36*100,"")</f>
        <v/>
      </c>
      <c r="L728" s="42">
        <f>IFERROR(C728/$C$36*100,"")</f>
        <v/>
      </c>
      <c r="M728" s="42">
        <f>IFERROR(D728/$D$36*100,"")</f>
        <v/>
      </c>
      <c r="N728" s="41">
        <f>IFERROR((1+H728)/(1+I728)-1,"")</f>
        <v/>
      </c>
      <c r="O728" s="41">
        <f>IFERROR((1+H728)/(1+J728)-1,"")</f>
        <v/>
      </c>
      <c r="P728" s="39">
        <f>IFERROR(B728*0.0099502487562189+P727*(1-0.0099502487562189),"")</f>
        <v/>
      </c>
      <c r="Q728" s="42">
        <f>Q727*(1+E728)</f>
        <v/>
      </c>
      <c r="R728" s="42">
        <f>MAX(R727,Q728)</f>
        <v/>
      </c>
      <c r="S728" s="41">
        <f>IFERROR(Q728/R728-1,"")</f>
        <v/>
      </c>
      <c r="T728" s="41">
        <f>IFERROR(_xlfn.STDEV.S(E669:E728)*SQRT($D$7),"")</f>
        <v/>
      </c>
      <c r="U728" s="41">
        <f>IFERROR(MIN(E728-$D$6,0),"")</f>
        <v/>
      </c>
      <c r="V728" s="41">
        <f>IFERROR(E728-F728,"")</f>
        <v/>
      </c>
      <c r="W728" s="39">
        <f>B728</f>
        <v/>
      </c>
      <c r="X728" s="21" t="n"/>
    </row>
    <row r="729">
      <c r="A729" s="38" t="n">
        <v>45999</v>
      </c>
      <c r="B729" s="39" t="n">
        <v>295.78</v>
      </c>
      <c r="C729" s="39" t="n">
        <v>683.63</v>
      </c>
      <c r="D729" s="39" t="n">
        <v>43.48</v>
      </c>
      <c r="E729" s="41">
        <f>IFERROR(B729/B728-1,"")</f>
        <v/>
      </c>
      <c r="F729" s="41">
        <f>IFERROR(C729/C728-1,"")</f>
        <v/>
      </c>
      <c r="G729" s="41">
        <f>IFERROR(D729/D728-1,"")</f>
        <v/>
      </c>
      <c r="H729" s="41">
        <f>IFERROR((1+E729)*(1+H728)-1,"")</f>
        <v/>
      </c>
      <c r="I729" s="41">
        <f>IFERROR((1+F729)*(1+I728)-1,"")</f>
        <v/>
      </c>
      <c r="J729" s="41">
        <f>IFERROR((1+G729)*(1+J728)-1,"")</f>
        <v/>
      </c>
      <c r="K729" s="42">
        <f>IFERROR(B729/$B$36*100,"")</f>
        <v/>
      </c>
      <c r="L729" s="42">
        <f>IFERROR(C729/$C$36*100,"")</f>
        <v/>
      </c>
      <c r="M729" s="42">
        <f>IFERROR(D729/$D$36*100,"")</f>
        <v/>
      </c>
      <c r="N729" s="41">
        <f>IFERROR((1+H729)/(1+I729)-1,"")</f>
        <v/>
      </c>
      <c r="O729" s="41">
        <f>IFERROR((1+H729)/(1+J729)-1,"")</f>
        <v/>
      </c>
      <c r="P729" s="39">
        <f>IFERROR(B729*0.0099502487562189+P728*(1-0.0099502487562189),"")</f>
        <v/>
      </c>
      <c r="Q729" s="42">
        <f>Q728*(1+E729)</f>
        <v/>
      </c>
      <c r="R729" s="42">
        <f>MAX(R728,Q729)</f>
        <v/>
      </c>
      <c r="S729" s="41">
        <f>IFERROR(Q729/R729-1,"")</f>
        <v/>
      </c>
      <c r="T729" s="41">
        <f>IFERROR(_xlfn.STDEV.S(E670:E729)*SQRT($D$7),"")</f>
        <v/>
      </c>
      <c r="U729" s="41">
        <f>IFERROR(MIN(E729-$D$6,0),"")</f>
        <v/>
      </c>
      <c r="V729" s="41">
        <f>IFERROR(E729-F729,"")</f>
        <v/>
      </c>
      <c r="W729" s="39">
        <f>B729</f>
        <v/>
      </c>
      <c r="X729" s="21" t="n"/>
    </row>
    <row r="730">
      <c r="A730" s="38" t="n">
        <v>46000</v>
      </c>
      <c r="B730" s="39" t="n">
        <v>291.04</v>
      </c>
      <c r="C730" s="39" t="n">
        <v>683.04</v>
      </c>
      <c r="D730" s="39" t="n">
        <v>43.39</v>
      </c>
      <c r="E730" s="41">
        <f>IFERROR(B730/B729-1,"")</f>
        <v/>
      </c>
      <c r="F730" s="41">
        <f>IFERROR(C730/C729-1,"")</f>
        <v/>
      </c>
      <c r="G730" s="41">
        <f>IFERROR(D730/D729-1,"")</f>
        <v/>
      </c>
      <c r="H730" s="41">
        <f>IFERROR((1+E730)*(1+H729)-1,"")</f>
        <v/>
      </c>
      <c r="I730" s="41">
        <f>IFERROR((1+F730)*(1+I729)-1,"")</f>
        <v/>
      </c>
      <c r="J730" s="41">
        <f>IFERROR((1+G730)*(1+J729)-1,"")</f>
        <v/>
      </c>
      <c r="K730" s="42">
        <f>IFERROR(B730/$B$36*100,"")</f>
        <v/>
      </c>
      <c r="L730" s="42">
        <f>IFERROR(C730/$C$36*100,"")</f>
        <v/>
      </c>
      <c r="M730" s="42">
        <f>IFERROR(D730/$D$36*100,"")</f>
        <v/>
      </c>
      <c r="N730" s="41">
        <f>IFERROR((1+H730)/(1+I730)-1,"")</f>
        <v/>
      </c>
      <c r="O730" s="41">
        <f>IFERROR((1+H730)/(1+J730)-1,"")</f>
        <v/>
      </c>
      <c r="P730" s="39">
        <f>IFERROR(B730*0.0099502487562189+P729*(1-0.0099502487562189),"")</f>
        <v/>
      </c>
      <c r="Q730" s="42">
        <f>Q729*(1+E730)</f>
        <v/>
      </c>
      <c r="R730" s="42">
        <f>MAX(R729,Q730)</f>
        <v/>
      </c>
      <c r="S730" s="41">
        <f>IFERROR(Q730/R730-1,"")</f>
        <v/>
      </c>
      <c r="T730" s="41">
        <f>IFERROR(_xlfn.STDEV.S(E671:E730)*SQRT($D$7),"")</f>
        <v/>
      </c>
      <c r="U730" s="41">
        <f>IFERROR(MIN(E730-$D$6,0),"")</f>
        <v/>
      </c>
      <c r="V730" s="41">
        <f>IFERROR(E730-F730,"")</f>
        <v/>
      </c>
      <c r="W730" s="39">
        <f>B730</f>
        <v/>
      </c>
      <c r="X730" s="21" t="n"/>
    </row>
    <row r="731">
      <c r="A731" s="38" t="n">
        <v>46001</v>
      </c>
      <c r="B731" s="39" t="n">
        <v>296.77</v>
      </c>
      <c r="C731" s="39" t="n">
        <v>687.5700000000001</v>
      </c>
      <c r="D731" s="39" t="n">
        <v>44.24</v>
      </c>
      <c r="E731" s="41">
        <f>IFERROR(B731/B730-1,"")</f>
        <v/>
      </c>
      <c r="F731" s="41">
        <f>IFERROR(C731/C730-1,"")</f>
        <v/>
      </c>
      <c r="G731" s="41">
        <f>IFERROR(D731/D730-1,"")</f>
        <v/>
      </c>
      <c r="H731" s="41">
        <f>IFERROR((1+E731)*(1+H730)-1,"")</f>
        <v/>
      </c>
      <c r="I731" s="41">
        <f>IFERROR((1+F731)*(1+I730)-1,"")</f>
        <v/>
      </c>
      <c r="J731" s="41">
        <f>IFERROR((1+G731)*(1+J730)-1,"")</f>
        <v/>
      </c>
      <c r="K731" s="42">
        <f>IFERROR(B731/$B$36*100,"")</f>
        <v/>
      </c>
      <c r="L731" s="42">
        <f>IFERROR(C731/$C$36*100,"")</f>
        <v/>
      </c>
      <c r="M731" s="42">
        <f>IFERROR(D731/$D$36*100,"")</f>
        <v/>
      </c>
      <c r="N731" s="41">
        <f>IFERROR((1+H731)/(1+I731)-1,"")</f>
        <v/>
      </c>
      <c r="O731" s="41">
        <f>IFERROR((1+H731)/(1+J731)-1,"")</f>
        <v/>
      </c>
      <c r="P731" s="39">
        <f>IFERROR(B731*0.0099502487562189+P730*(1-0.0099502487562189),"")</f>
        <v/>
      </c>
      <c r="Q731" s="42">
        <f>Q730*(1+E731)</f>
        <v/>
      </c>
      <c r="R731" s="42">
        <f>MAX(R730,Q731)</f>
        <v/>
      </c>
      <c r="S731" s="41">
        <f>IFERROR(Q731/R731-1,"")</f>
        <v/>
      </c>
      <c r="T731" s="41">
        <f>IFERROR(_xlfn.STDEV.S(E672:E731)*SQRT($D$7),"")</f>
        <v/>
      </c>
      <c r="U731" s="41">
        <f>IFERROR(MIN(E731-$D$6,0),"")</f>
        <v/>
      </c>
      <c r="V731" s="41">
        <f>IFERROR(E731-F731,"")</f>
        <v/>
      </c>
      <c r="W731" s="39">
        <f>B731</f>
        <v/>
      </c>
      <c r="X731" s="21" t="n"/>
    </row>
    <row r="732">
      <c r="A732" s="38" t="n">
        <v>46002</v>
      </c>
      <c r="B732" s="39" t="n">
        <v>299.27</v>
      </c>
      <c r="C732" s="39" t="n">
        <v>689.17</v>
      </c>
      <c r="D732" s="39" t="n">
        <v>45.12</v>
      </c>
      <c r="E732" s="41">
        <f>IFERROR(B732/B731-1,"")</f>
        <v/>
      </c>
      <c r="F732" s="41">
        <f>IFERROR(C732/C731-1,"")</f>
        <v/>
      </c>
      <c r="G732" s="41">
        <f>IFERROR(D732/D731-1,"")</f>
        <v/>
      </c>
      <c r="H732" s="41">
        <f>IFERROR((1+E732)*(1+H731)-1,"")</f>
        <v/>
      </c>
      <c r="I732" s="41">
        <f>IFERROR((1+F732)*(1+I731)-1,"")</f>
        <v/>
      </c>
      <c r="J732" s="41">
        <f>IFERROR((1+G732)*(1+J731)-1,"")</f>
        <v/>
      </c>
      <c r="K732" s="42">
        <f>IFERROR(B732/$B$36*100,"")</f>
        <v/>
      </c>
      <c r="L732" s="42">
        <f>IFERROR(C732/$C$36*100,"")</f>
        <v/>
      </c>
      <c r="M732" s="42">
        <f>IFERROR(D732/$D$36*100,"")</f>
        <v/>
      </c>
      <c r="N732" s="41">
        <f>IFERROR((1+H732)/(1+I732)-1,"")</f>
        <v/>
      </c>
      <c r="O732" s="41">
        <f>IFERROR((1+H732)/(1+J732)-1,"")</f>
        <v/>
      </c>
      <c r="P732" s="39">
        <f>IFERROR(B732*0.0099502487562189+P731*(1-0.0099502487562189),"")</f>
        <v/>
      </c>
      <c r="Q732" s="42">
        <f>Q731*(1+E732)</f>
        <v/>
      </c>
      <c r="R732" s="42">
        <f>MAX(R731,Q732)</f>
        <v/>
      </c>
      <c r="S732" s="41">
        <f>IFERROR(Q732/R732-1,"")</f>
        <v/>
      </c>
      <c r="T732" s="41">
        <f>IFERROR(_xlfn.STDEV.S(E673:E732)*SQRT($D$7),"")</f>
        <v/>
      </c>
      <c r="U732" s="41">
        <f>IFERROR(MIN(E732-$D$6,0),"")</f>
        <v/>
      </c>
      <c r="V732" s="41">
        <f>IFERROR(E732-F732,"")</f>
        <v/>
      </c>
      <c r="W732" s="39">
        <f>B732</f>
        <v/>
      </c>
      <c r="X732" s="21" t="n"/>
    </row>
    <row r="733">
      <c r="A733" s="38" t="n">
        <v>46003</v>
      </c>
      <c r="B733" s="39" t="n">
        <v>295.94</v>
      </c>
      <c r="C733" s="39" t="n">
        <v>681.76</v>
      </c>
      <c r="D733" s="39" t="n">
        <v>45.15</v>
      </c>
      <c r="E733" s="41">
        <f>IFERROR(B733/B732-1,"")</f>
        <v/>
      </c>
      <c r="F733" s="41">
        <f>IFERROR(C733/C732-1,"")</f>
        <v/>
      </c>
      <c r="G733" s="41">
        <f>IFERROR(D733/D732-1,"")</f>
        <v/>
      </c>
      <c r="H733" s="41">
        <f>IFERROR((1+E733)*(1+H732)-1,"")</f>
        <v/>
      </c>
      <c r="I733" s="41">
        <f>IFERROR((1+F733)*(1+I732)-1,"")</f>
        <v/>
      </c>
      <c r="J733" s="41">
        <f>IFERROR((1+G733)*(1+J732)-1,"")</f>
        <v/>
      </c>
      <c r="K733" s="42">
        <f>IFERROR(B733/$B$36*100,"")</f>
        <v/>
      </c>
      <c r="L733" s="42">
        <f>IFERROR(C733/$C$36*100,"")</f>
        <v/>
      </c>
      <c r="M733" s="42">
        <f>IFERROR(D733/$D$36*100,"")</f>
        <v/>
      </c>
      <c r="N733" s="41">
        <f>IFERROR((1+H733)/(1+I733)-1,"")</f>
        <v/>
      </c>
      <c r="O733" s="41">
        <f>IFERROR((1+H733)/(1+J733)-1,"")</f>
        <v/>
      </c>
      <c r="P733" s="39">
        <f>IFERROR(B733*0.0099502487562189+P732*(1-0.0099502487562189),"")</f>
        <v/>
      </c>
      <c r="Q733" s="42">
        <f>Q732*(1+E733)</f>
        <v/>
      </c>
      <c r="R733" s="42">
        <f>MAX(R732,Q733)</f>
        <v/>
      </c>
      <c r="S733" s="41">
        <f>IFERROR(Q733/R733-1,"")</f>
        <v/>
      </c>
      <c r="T733" s="41">
        <f>IFERROR(_xlfn.STDEV.S(E674:E733)*SQRT($D$7),"")</f>
        <v/>
      </c>
      <c r="U733" s="41">
        <f>IFERROR(MIN(E733-$D$6,0),"")</f>
        <v/>
      </c>
      <c r="V733" s="41">
        <f>IFERROR(E733-F733,"")</f>
        <v/>
      </c>
      <c r="W733" s="39">
        <f>B733</f>
        <v/>
      </c>
      <c r="X733" s="21" t="n"/>
    </row>
    <row r="734">
      <c r="A734" s="38" t="n">
        <v>46006</v>
      </c>
      <c r="B734" s="39" t="n">
        <v>296.68</v>
      </c>
      <c r="C734" s="39" t="n">
        <v>680.73</v>
      </c>
      <c r="D734" s="39" t="n">
        <v>45.12</v>
      </c>
      <c r="E734" s="41">
        <f>IFERROR(B734/B733-1,"")</f>
        <v/>
      </c>
      <c r="F734" s="41">
        <f>IFERROR(C734/C733-1,"")</f>
        <v/>
      </c>
      <c r="G734" s="41">
        <f>IFERROR(D734/D733-1,"")</f>
        <v/>
      </c>
      <c r="H734" s="41">
        <f>IFERROR((1+E734)*(1+H733)-1,"")</f>
        <v/>
      </c>
      <c r="I734" s="41">
        <f>IFERROR((1+F734)*(1+I733)-1,"")</f>
        <v/>
      </c>
      <c r="J734" s="41">
        <f>IFERROR((1+G734)*(1+J733)-1,"")</f>
        <v/>
      </c>
      <c r="K734" s="42">
        <f>IFERROR(B734/$B$36*100,"")</f>
        <v/>
      </c>
      <c r="L734" s="42">
        <f>IFERROR(C734/$C$36*100,"")</f>
        <v/>
      </c>
      <c r="M734" s="42">
        <f>IFERROR(D734/$D$36*100,"")</f>
        <v/>
      </c>
      <c r="N734" s="41">
        <f>IFERROR((1+H734)/(1+I734)-1,"")</f>
        <v/>
      </c>
      <c r="O734" s="41">
        <f>IFERROR((1+H734)/(1+J734)-1,"")</f>
        <v/>
      </c>
      <c r="P734" s="39">
        <f>IFERROR(B734*0.0099502487562189+P733*(1-0.0099502487562189),"")</f>
        <v/>
      </c>
      <c r="Q734" s="42">
        <f>Q733*(1+E734)</f>
        <v/>
      </c>
      <c r="R734" s="42">
        <f>MAX(R733,Q734)</f>
        <v/>
      </c>
      <c r="S734" s="41">
        <f>IFERROR(Q734/R734-1,"")</f>
        <v/>
      </c>
      <c r="T734" s="41">
        <f>IFERROR(_xlfn.STDEV.S(E675:E734)*SQRT($D$7),"")</f>
        <v/>
      </c>
      <c r="U734" s="41">
        <f>IFERROR(MIN(E734-$D$6,0),"")</f>
        <v/>
      </c>
      <c r="V734" s="41">
        <f>IFERROR(E734-F734,"")</f>
        <v/>
      </c>
      <c r="W734" s="39">
        <f>B734</f>
        <v/>
      </c>
      <c r="X734" s="21" t="n"/>
    </row>
    <row r="735">
      <c r="A735" s="38" t="n">
        <v>46007</v>
      </c>
      <c r="B735" s="39" t="n">
        <v>292.01</v>
      </c>
      <c r="C735" s="39" t="n">
        <v>678.87</v>
      </c>
      <c r="D735" s="39" t="n">
        <v>45</v>
      </c>
      <c r="E735" s="41">
        <f>IFERROR(B735/B734-1,"")</f>
        <v/>
      </c>
      <c r="F735" s="41">
        <f>IFERROR(C735/C734-1,"")</f>
        <v/>
      </c>
      <c r="G735" s="41">
        <f>IFERROR(D735/D734-1,"")</f>
        <v/>
      </c>
      <c r="H735" s="41">
        <f>IFERROR((1+E735)*(1+H734)-1,"")</f>
        <v/>
      </c>
      <c r="I735" s="41">
        <f>IFERROR((1+F735)*(1+I734)-1,"")</f>
        <v/>
      </c>
      <c r="J735" s="41">
        <f>IFERROR((1+G735)*(1+J734)-1,"")</f>
        <v/>
      </c>
      <c r="K735" s="42">
        <f>IFERROR(B735/$B$36*100,"")</f>
        <v/>
      </c>
      <c r="L735" s="42">
        <f>IFERROR(C735/$C$36*100,"")</f>
        <v/>
      </c>
      <c r="M735" s="42">
        <f>IFERROR(D735/$D$36*100,"")</f>
        <v/>
      </c>
      <c r="N735" s="41">
        <f>IFERROR((1+H735)/(1+I735)-1,"")</f>
        <v/>
      </c>
      <c r="O735" s="41">
        <f>IFERROR((1+H735)/(1+J735)-1,"")</f>
        <v/>
      </c>
      <c r="P735" s="39">
        <f>IFERROR(B735*0.0099502487562189+P734*(1-0.0099502487562189),"")</f>
        <v/>
      </c>
      <c r="Q735" s="42">
        <f>Q734*(1+E735)</f>
        <v/>
      </c>
      <c r="R735" s="42">
        <f>MAX(R734,Q735)</f>
        <v/>
      </c>
      <c r="S735" s="41">
        <f>IFERROR(Q735/R735-1,"")</f>
        <v/>
      </c>
      <c r="T735" s="41">
        <f>IFERROR(_xlfn.STDEV.S(E676:E735)*SQRT($D$7),"")</f>
        <v/>
      </c>
      <c r="U735" s="41">
        <f>IFERROR(MIN(E735-$D$6,0),"")</f>
        <v/>
      </c>
      <c r="V735" s="41">
        <f>IFERROR(E735-F735,"")</f>
        <v/>
      </c>
      <c r="W735" s="39">
        <f>B735</f>
        <v/>
      </c>
      <c r="X735" s="21" t="n"/>
    </row>
    <row r="736">
      <c r="A736" s="38" t="n">
        <v>46008</v>
      </c>
      <c r="B736" s="39" t="n">
        <v>285.41</v>
      </c>
      <c r="C736" s="39" t="n">
        <v>671.4</v>
      </c>
      <c r="D736" s="39" t="n">
        <v>45.19</v>
      </c>
      <c r="E736" s="41">
        <f>IFERROR(B736/B735-1,"")</f>
        <v/>
      </c>
      <c r="F736" s="41">
        <f>IFERROR(C736/C735-1,"")</f>
        <v/>
      </c>
      <c r="G736" s="41">
        <f>IFERROR(D736/D735-1,"")</f>
        <v/>
      </c>
      <c r="H736" s="41">
        <f>IFERROR((1+E736)*(1+H735)-1,"")</f>
        <v/>
      </c>
      <c r="I736" s="41">
        <f>IFERROR((1+F736)*(1+I735)-1,"")</f>
        <v/>
      </c>
      <c r="J736" s="41">
        <f>IFERROR((1+G736)*(1+J735)-1,"")</f>
        <v/>
      </c>
      <c r="K736" s="42">
        <f>IFERROR(B736/$B$36*100,"")</f>
        <v/>
      </c>
      <c r="L736" s="42">
        <f>IFERROR(C736/$C$36*100,"")</f>
        <v/>
      </c>
      <c r="M736" s="42">
        <f>IFERROR(D736/$D$36*100,"")</f>
        <v/>
      </c>
      <c r="N736" s="41">
        <f>IFERROR((1+H736)/(1+I736)-1,"")</f>
        <v/>
      </c>
      <c r="O736" s="41">
        <f>IFERROR((1+H736)/(1+J736)-1,"")</f>
        <v/>
      </c>
      <c r="P736" s="39">
        <f>IFERROR(B736*0.0099502487562189+P735*(1-0.0099502487562189),"")</f>
        <v/>
      </c>
      <c r="Q736" s="42">
        <f>Q735*(1+E736)</f>
        <v/>
      </c>
      <c r="R736" s="42">
        <f>MAX(R735,Q736)</f>
        <v/>
      </c>
      <c r="S736" s="41">
        <f>IFERROR(Q736/R736-1,"")</f>
        <v/>
      </c>
      <c r="T736" s="41">
        <f>IFERROR(_xlfn.STDEV.S(E677:E736)*SQRT($D$7),"")</f>
        <v/>
      </c>
      <c r="U736" s="41">
        <f>IFERROR(MIN(E736-$D$6,0),"")</f>
        <v/>
      </c>
      <c r="V736" s="41">
        <f>IFERROR(E736-F736,"")</f>
        <v/>
      </c>
      <c r="W736" s="39">
        <f>B736</f>
        <v/>
      </c>
      <c r="X736" s="21" t="n"/>
    </row>
    <row r="737">
      <c r="A737" s="38" t="n">
        <v>46009</v>
      </c>
      <c r="B737" s="39" t="n">
        <v>288.34</v>
      </c>
      <c r="C737" s="39" t="n">
        <v>676.47</v>
      </c>
      <c r="D737" s="39" t="n">
        <v>45.17</v>
      </c>
      <c r="E737" s="41">
        <f>IFERROR(B737/B736-1,"")</f>
        <v/>
      </c>
      <c r="F737" s="41">
        <f>IFERROR(C737/C736-1,"")</f>
        <v/>
      </c>
      <c r="G737" s="41">
        <f>IFERROR(D737/D736-1,"")</f>
        <v/>
      </c>
      <c r="H737" s="41">
        <f>IFERROR((1+E737)*(1+H736)-1,"")</f>
        <v/>
      </c>
      <c r="I737" s="41">
        <f>IFERROR((1+F737)*(1+I736)-1,"")</f>
        <v/>
      </c>
      <c r="J737" s="41">
        <f>IFERROR((1+G737)*(1+J736)-1,"")</f>
        <v/>
      </c>
      <c r="K737" s="42">
        <f>IFERROR(B737/$B$36*100,"")</f>
        <v/>
      </c>
      <c r="L737" s="42">
        <f>IFERROR(C737/$C$36*100,"")</f>
        <v/>
      </c>
      <c r="M737" s="42">
        <f>IFERROR(D737/$D$36*100,"")</f>
        <v/>
      </c>
      <c r="N737" s="41">
        <f>IFERROR((1+H737)/(1+I737)-1,"")</f>
        <v/>
      </c>
      <c r="O737" s="41">
        <f>IFERROR((1+H737)/(1+J737)-1,"")</f>
        <v/>
      </c>
      <c r="P737" s="39">
        <f>IFERROR(B737*0.0099502487562189+P736*(1-0.0099502487562189),"")</f>
        <v/>
      </c>
      <c r="Q737" s="42">
        <f>Q736*(1+E737)</f>
        <v/>
      </c>
      <c r="R737" s="42">
        <f>MAX(R736,Q737)</f>
        <v/>
      </c>
      <c r="S737" s="41">
        <f>IFERROR(Q737/R737-1,"")</f>
        <v/>
      </c>
      <c r="T737" s="41">
        <f>IFERROR(_xlfn.STDEV.S(E678:E737)*SQRT($D$7),"")</f>
        <v/>
      </c>
      <c r="U737" s="41">
        <f>IFERROR(MIN(E737-$D$6,0),"")</f>
        <v/>
      </c>
      <c r="V737" s="41">
        <f>IFERROR(E737-F737,"")</f>
        <v/>
      </c>
      <c r="W737" s="39">
        <f>B737</f>
        <v/>
      </c>
      <c r="X737" s="21" t="n"/>
    </row>
    <row r="738">
      <c r="A738" s="38" t="n">
        <v>46010</v>
      </c>
      <c r="B738" s="39" t="n">
        <v>291.87</v>
      </c>
      <c r="C738" s="39" t="n">
        <v>680.59</v>
      </c>
      <c r="D738" s="39" t="n">
        <v>45.37</v>
      </c>
      <c r="E738" s="41">
        <f>IFERROR(B738/B737-1,"")</f>
        <v/>
      </c>
      <c r="F738" s="41">
        <f>IFERROR(C738/C737-1,"")</f>
        <v/>
      </c>
      <c r="G738" s="41">
        <f>IFERROR(D738/D737-1,"")</f>
        <v/>
      </c>
      <c r="H738" s="41">
        <f>IFERROR((1+E738)*(1+H737)-1,"")</f>
        <v/>
      </c>
      <c r="I738" s="41">
        <f>IFERROR((1+F738)*(1+I737)-1,"")</f>
        <v/>
      </c>
      <c r="J738" s="41">
        <f>IFERROR((1+G738)*(1+J737)-1,"")</f>
        <v/>
      </c>
      <c r="K738" s="42">
        <f>IFERROR(B738/$B$36*100,"")</f>
        <v/>
      </c>
      <c r="L738" s="42">
        <f>IFERROR(C738/$C$36*100,"")</f>
        <v/>
      </c>
      <c r="M738" s="42">
        <f>IFERROR(D738/$D$36*100,"")</f>
        <v/>
      </c>
      <c r="N738" s="41">
        <f>IFERROR((1+H738)/(1+I738)-1,"")</f>
        <v/>
      </c>
      <c r="O738" s="41">
        <f>IFERROR((1+H738)/(1+J738)-1,"")</f>
        <v/>
      </c>
      <c r="P738" s="39">
        <f>IFERROR(B738*0.0099502487562189+P737*(1-0.0099502487562189),"")</f>
        <v/>
      </c>
      <c r="Q738" s="42">
        <f>Q737*(1+E738)</f>
        <v/>
      </c>
      <c r="R738" s="42">
        <f>MAX(R737,Q738)</f>
        <v/>
      </c>
      <c r="S738" s="41">
        <f>IFERROR(Q738/R738-1,"")</f>
        <v/>
      </c>
      <c r="T738" s="41">
        <f>IFERROR(_xlfn.STDEV.S(E679:E738)*SQRT($D$7),"")</f>
        <v/>
      </c>
      <c r="U738" s="41">
        <f>IFERROR(MIN(E738-$D$6,0),"")</f>
        <v/>
      </c>
      <c r="V738" s="41">
        <f>IFERROR(E738-F738,"")</f>
        <v/>
      </c>
      <c r="W738" s="39">
        <f>B738</f>
        <v/>
      </c>
      <c r="X738" s="21" t="n"/>
    </row>
    <row r="739">
      <c r="A739" s="38" t="n">
        <v>46013</v>
      </c>
      <c r="B739" s="39" t="n">
        <v>291.88</v>
      </c>
      <c r="C739" s="39" t="n">
        <v>684.83</v>
      </c>
      <c r="D739" s="39" t="n">
        <v>45.67</v>
      </c>
      <c r="E739" s="41">
        <f>IFERROR(B739/B738-1,"")</f>
        <v/>
      </c>
      <c r="F739" s="41">
        <f>IFERROR(C739/C738-1,"")</f>
        <v/>
      </c>
      <c r="G739" s="41">
        <f>IFERROR(D739/D738-1,"")</f>
        <v/>
      </c>
      <c r="H739" s="41">
        <f>IFERROR((1+E739)*(1+H738)-1,"")</f>
        <v/>
      </c>
      <c r="I739" s="41">
        <f>IFERROR((1+F739)*(1+I738)-1,"")</f>
        <v/>
      </c>
      <c r="J739" s="41">
        <f>IFERROR((1+G739)*(1+J738)-1,"")</f>
        <v/>
      </c>
      <c r="K739" s="42">
        <f>IFERROR(B739/$B$36*100,"")</f>
        <v/>
      </c>
      <c r="L739" s="42">
        <f>IFERROR(C739/$C$36*100,"")</f>
        <v/>
      </c>
      <c r="M739" s="42">
        <f>IFERROR(D739/$D$36*100,"")</f>
        <v/>
      </c>
      <c r="N739" s="41">
        <f>IFERROR((1+H739)/(1+I739)-1,"")</f>
        <v/>
      </c>
      <c r="O739" s="41">
        <f>IFERROR((1+H739)/(1+J739)-1,"")</f>
        <v/>
      </c>
      <c r="P739" s="39">
        <f>IFERROR(B739*0.0099502487562189+P738*(1-0.0099502487562189),"")</f>
        <v/>
      </c>
      <c r="Q739" s="42">
        <f>Q738*(1+E739)</f>
        <v/>
      </c>
      <c r="R739" s="42">
        <f>MAX(R738,Q739)</f>
        <v/>
      </c>
      <c r="S739" s="41">
        <f>IFERROR(Q739/R739-1,"")</f>
        <v/>
      </c>
      <c r="T739" s="41">
        <f>IFERROR(_xlfn.STDEV.S(E680:E739)*SQRT($D$7),"")</f>
        <v/>
      </c>
      <c r="U739" s="41">
        <f>IFERROR(MIN(E739-$D$6,0),"")</f>
        <v/>
      </c>
      <c r="V739" s="41">
        <f>IFERROR(E739-F739,"")</f>
        <v/>
      </c>
      <c r="W739" s="39">
        <f>B739</f>
        <v/>
      </c>
      <c r="X739" s="21" t="n"/>
    </row>
    <row r="740">
      <c r="A740" s="38" t="n">
        <v>46014</v>
      </c>
      <c r="B740" s="39" t="n">
        <v>292.84</v>
      </c>
      <c r="C740" s="39" t="n">
        <v>687.96</v>
      </c>
      <c r="D740" s="39" t="n">
        <v>45.75</v>
      </c>
      <c r="E740" s="41">
        <f>IFERROR(B740/B739-1,"")</f>
        <v/>
      </c>
      <c r="F740" s="41">
        <f>IFERROR(C740/C739-1,"")</f>
        <v/>
      </c>
      <c r="G740" s="41">
        <f>IFERROR(D740/D739-1,"")</f>
        <v/>
      </c>
      <c r="H740" s="41">
        <f>IFERROR((1+E740)*(1+H739)-1,"")</f>
        <v/>
      </c>
      <c r="I740" s="41">
        <f>IFERROR((1+F740)*(1+I739)-1,"")</f>
        <v/>
      </c>
      <c r="J740" s="41">
        <f>IFERROR((1+G740)*(1+J739)-1,"")</f>
        <v/>
      </c>
      <c r="K740" s="42">
        <f>IFERROR(B740/$B$36*100,"")</f>
        <v/>
      </c>
      <c r="L740" s="42">
        <f>IFERROR(C740/$C$36*100,"")</f>
        <v/>
      </c>
      <c r="M740" s="42">
        <f>IFERROR(D740/$D$36*100,"")</f>
        <v/>
      </c>
      <c r="N740" s="41">
        <f>IFERROR((1+H740)/(1+I740)-1,"")</f>
        <v/>
      </c>
      <c r="O740" s="41">
        <f>IFERROR((1+H740)/(1+J740)-1,"")</f>
        <v/>
      </c>
      <c r="P740" s="39">
        <f>IFERROR(B740*0.0099502487562189+P739*(1-0.0099502487562189),"")</f>
        <v/>
      </c>
      <c r="Q740" s="42">
        <f>Q739*(1+E740)</f>
        <v/>
      </c>
      <c r="R740" s="42">
        <f>MAX(R739,Q740)</f>
        <v/>
      </c>
      <c r="S740" s="41">
        <f>IFERROR(Q740/R740-1,"")</f>
        <v/>
      </c>
      <c r="T740" s="41">
        <f>IFERROR(_xlfn.STDEV.S(E681:E740)*SQRT($D$7),"")</f>
        <v/>
      </c>
      <c r="U740" s="41">
        <f>IFERROR(MIN(E740-$D$6,0),"")</f>
        <v/>
      </c>
      <c r="V740" s="41">
        <f>IFERROR(E740-F740,"")</f>
        <v/>
      </c>
      <c r="W740" s="39">
        <f>B740</f>
        <v/>
      </c>
      <c r="X740" s="21" t="n"/>
    </row>
    <row r="741">
      <c r="A741" s="38" t="n">
        <v>46015</v>
      </c>
      <c r="B741" s="39" t="n">
        <v>293.64</v>
      </c>
      <c r="C741" s="39" t="n">
        <v>690.38</v>
      </c>
      <c r="D741" s="39" t="n">
        <v>45.84</v>
      </c>
      <c r="E741" s="41">
        <f>IFERROR(B741/B740-1,"")</f>
        <v/>
      </c>
      <c r="F741" s="41">
        <f>IFERROR(C741/C740-1,"")</f>
        <v/>
      </c>
      <c r="G741" s="41">
        <f>IFERROR(D741/D740-1,"")</f>
        <v/>
      </c>
      <c r="H741" s="41">
        <f>IFERROR((1+E741)*(1+H740)-1,"")</f>
        <v/>
      </c>
      <c r="I741" s="41">
        <f>IFERROR((1+F741)*(1+I740)-1,"")</f>
        <v/>
      </c>
      <c r="J741" s="41">
        <f>IFERROR((1+G741)*(1+J740)-1,"")</f>
        <v/>
      </c>
      <c r="K741" s="42">
        <f>IFERROR(B741/$B$36*100,"")</f>
        <v/>
      </c>
      <c r="L741" s="42">
        <f>IFERROR(C741/$C$36*100,"")</f>
        <v/>
      </c>
      <c r="M741" s="42">
        <f>IFERROR(D741/$D$36*100,"")</f>
        <v/>
      </c>
      <c r="N741" s="41">
        <f>IFERROR((1+H741)/(1+I741)-1,"")</f>
        <v/>
      </c>
      <c r="O741" s="41">
        <f>IFERROR((1+H741)/(1+J741)-1,"")</f>
        <v/>
      </c>
      <c r="P741" s="39">
        <f>IFERROR(B741*0.0099502487562189+P740*(1-0.0099502487562189),"")</f>
        <v/>
      </c>
      <c r="Q741" s="42">
        <f>Q740*(1+E741)</f>
        <v/>
      </c>
      <c r="R741" s="42">
        <f>MAX(R740,Q741)</f>
        <v/>
      </c>
      <c r="S741" s="41">
        <f>IFERROR(Q741/R741-1,"")</f>
        <v/>
      </c>
      <c r="T741" s="41">
        <f>IFERROR(_xlfn.STDEV.S(E682:E741)*SQRT($D$7),"")</f>
        <v/>
      </c>
      <c r="U741" s="41">
        <f>IFERROR(MIN(E741-$D$6,0),"")</f>
        <v/>
      </c>
      <c r="V741" s="41">
        <f>IFERROR(E741-F741,"")</f>
        <v/>
      </c>
      <c r="W741" s="39">
        <f>B741</f>
        <v/>
      </c>
      <c r="X741" s="21" t="n"/>
    </row>
    <row r="742">
      <c r="A742" s="38" t="n">
        <v>46017</v>
      </c>
      <c r="B742" s="39" t="n">
        <v>294.2</v>
      </c>
      <c r="C742" s="39" t="n">
        <v>690.3099999999999</v>
      </c>
      <c r="D742" s="39" t="n">
        <v>46.11</v>
      </c>
      <c r="E742" s="41">
        <f>IFERROR(B742/B741-1,"")</f>
        <v/>
      </c>
      <c r="F742" s="41">
        <f>IFERROR(C742/C741-1,"")</f>
        <v/>
      </c>
      <c r="G742" s="41">
        <f>IFERROR(D742/D741-1,"")</f>
        <v/>
      </c>
      <c r="H742" s="41">
        <f>IFERROR((1+E742)*(1+H741)-1,"")</f>
        <v/>
      </c>
      <c r="I742" s="41">
        <f>IFERROR((1+F742)*(1+I741)-1,"")</f>
        <v/>
      </c>
      <c r="J742" s="41">
        <f>IFERROR((1+G742)*(1+J741)-1,"")</f>
        <v/>
      </c>
      <c r="K742" s="42">
        <f>IFERROR(B742/$B$36*100,"")</f>
        <v/>
      </c>
      <c r="L742" s="42">
        <f>IFERROR(C742/$C$36*100,"")</f>
        <v/>
      </c>
      <c r="M742" s="42">
        <f>IFERROR(D742/$D$36*100,"")</f>
        <v/>
      </c>
      <c r="N742" s="41">
        <f>IFERROR((1+H742)/(1+I742)-1,"")</f>
        <v/>
      </c>
      <c r="O742" s="41">
        <f>IFERROR((1+H742)/(1+J742)-1,"")</f>
        <v/>
      </c>
      <c r="P742" s="39">
        <f>IFERROR(B742*0.0099502487562189+P741*(1-0.0099502487562189),"")</f>
        <v/>
      </c>
      <c r="Q742" s="42">
        <f>Q741*(1+E742)</f>
        <v/>
      </c>
      <c r="R742" s="42">
        <f>MAX(R741,Q742)</f>
        <v/>
      </c>
      <c r="S742" s="41">
        <f>IFERROR(Q742/R742-1,"")</f>
        <v/>
      </c>
      <c r="T742" s="41">
        <f>IFERROR(_xlfn.STDEV.S(E683:E742)*SQRT($D$7),"")</f>
        <v/>
      </c>
      <c r="U742" s="41">
        <f>IFERROR(MIN(E742-$D$6,0),"")</f>
        <v/>
      </c>
      <c r="V742" s="41">
        <f>IFERROR(E742-F742,"")</f>
        <v/>
      </c>
      <c r="W742" s="39">
        <f>B742</f>
        <v/>
      </c>
      <c r="X742" s="21" t="n"/>
    </row>
    <row r="743">
      <c r="A743" s="38" t="n">
        <v>46020</v>
      </c>
      <c r="B743" s="39" t="n">
        <v>292.02</v>
      </c>
      <c r="C743" s="39" t="n">
        <v>687.85</v>
      </c>
      <c r="D743" s="39" t="n">
        <v>45.74</v>
      </c>
      <c r="E743" s="41">
        <f>IFERROR(B743/B742-1,"")</f>
        <v/>
      </c>
      <c r="F743" s="41">
        <f>IFERROR(C743/C742-1,"")</f>
        <v/>
      </c>
      <c r="G743" s="41">
        <f>IFERROR(D743/D742-1,"")</f>
        <v/>
      </c>
      <c r="H743" s="41">
        <f>IFERROR((1+E743)*(1+H742)-1,"")</f>
        <v/>
      </c>
      <c r="I743" s="41">
        <f>IFERROR((1+F743)*(1+I742)-1,"")</f>
        <v/>
      </c>
      <c r="J743" s="41">
        <f>IFERROR((1+G743)*(1+J742)-1,"")</f>
        <v/>
      </c>
      <c r="K743" s="42">
        <f>IFERROR(B743/$B$36*100,"")</f>
        <v/>
      </c>
      <c r="L743" s="42">
        <f>IFERROR(C743/$C$36*100,"")</f>
        <v/>
      </c>
      <c r="M743" s="42">
        <f>IFERROR(D743/$D$36*100,"")</f>
        <v/>
      </c>
      <c r="N743" s="41">
        <f>IFERROR((1+H743)/(1+I743)-1,"")</f>
        <v/>
      </c>
      <c r="O743" s="41">
        <f>IFERROR((1+H743)/(1+J743)-1,"")</f>
        <v/>
      </c>
      <c r="P743" s="39">
        <f>IFERROR(B743*0.0099502487562189+P742*(1-0.0099502487562189),"")</f>
        <v/>
      </c>
      <c r="Q743" s="42">
        <f>Q742*(1+E743)</f>
        <v/>
      </c>
      <c r="R743" s="42">
        <f>MAX(R742,Q743)</f>
        <v/>
      </c>
      <c r="S743" s="41">
        <f>IFERROR(Q743/R743-1,"")</f>
        <v/>
      </c>
      <c r="T743" s="41">
        <f>IFERROR(_xlfn.STDEV.S(E684:E743)*SQRT($D$7),"")</f>
        <v/>
      </c>
      <c r="U743" s="41">
        <f>IFERROR(MIN(E743-$D$6,0),"")</f>
        <v/>
      </c>
      <c r="V743" s="41">
        <f>IFERROR(E743-F743,"")</f>
        <v/>
      </c>
      <c r="W743" s="39">
        <f>B743</f>
        <v/>
      </c>
      <c r="X743" s="21" t="n"/>
    </row>
    <row r="744">
      <c r="A744" s="38" t="n">
        <v>46021</v>
      </c>
      <c r="B744" s="39" t="n">
        <v>288.88</v>
      </c>
      <c r="C744" s="39" t="n">
        <v>687.01</v>
      </c>
      <c r="D744" s="39" t="n">
        <v>45.73</v>
      </c>
      <c r="E744" s="41">
        <f>IFERROR(B744/B743-1,"")</f>
        <v/>
      </c>
      <c r="F744" s="41">
        <f>IFERROR(C744/C743-1,"")</f>
        <v/>
      </c>
      <c r="G744" s="41">
        <f>IFERROR(D744/D743-1,"")</f>
        <v/>
      </c>
      <c r="H744" s="41">
        <f>IFERROR((1+E744)*(1+H743)-1,"")</f>
        <v/>
      </c>
      <c r="I744" s="41">
        <f>IFERROR((1+F744)*(1+I743)-1,"")</f>
        <v/>
      </c>
      <c r="J744" s="41">
        <f>IFERROR((1+G744)*(1+J743)-1,"")</f>
        <v/>
      </c>
      <c r="K744" s="42">
        <f>IFERROR(B744/$B$36*100,"")</f>
        <v/>
      </c>
      <c r="L744" s="42">
        <f>IFERROR(C744/$C$36*100,"")</f>
        <v/>
      </c>
      <c r="M744" s="42">
        <f>IFERROR(D744/$D$36*100,"")</f>
        <v/>
      </c>
      <c r="N744" s="41">
        <f>IFERROR((1+H744)/(1+I744)-1,"")</f>
        <v/>
      </c>
      <c r="O744" s="41">
        <f>IFERROR((1+H744)/(1+J744)-1,"")</f>
        <v/>
      </c>
      <c r="P744" s="39">
        <f>IFERROR(B744*0.0099502487562189+P743*(1-0.0099502487562189),"")</f>
        <v/>
      </c>
      <c r="Q744" s="42">
        <f>Q743*(1+E744)</f>
        <v/>
      </c>
      <c r="R744" s="42">
        <f>MAX(R743,Q744)</f>
        <v/>
      </c>
      <c r="S744" s="41">
        <f>IFERROR(Q744/R744-1,"")</f>
        <v/>
      </c>
      <c r="T744" s="41">
        <f>IFERROR(_xlfn.STDEV.S(E685:E744)*SQRT($D$7),"")</f>
        <v/>
      </c>
      <c r="U744" s="41">
        <f>IFERROR(MIN(E744-$D$6,0),"")</f>
        <v/>
      </c>
      <c r="V744" s="41">
        <f>IFERROR(E744-F744,"")</f>
        <v/>
      </c>
      <c r="W744" s="39">
        <f>B744</f>
        <v/>
      </c>
      <c r="X744" s="21" t="n"/>
    </row>
    <row r="745">
      <c r="A745" s="38" t="n">
        <v>46022</v>
      </c>
      <c r="B745" s="39" t="n">
        <v>285.22</v>
      </c>
      <c r="C745" s="39" t="n">
        <v>681.92</v>
      </c>
      <c r="D745" s="39" t="n">
        <v>45.35</v>
      </c>
      <c r="E745" s="41">
        <f>IFERROR(B745/B744-1,"")</f>
        <v/>
      </c>
      <c r="F745" s="41">
        <f>IFERROR(C745/C744-1,"")</f>
        <v/>
      </c>
      <c r="G745" s="41">
        <f>IFERROR(D745/D744-1,"")</f>
        <v/>
      </c>
      <c r="H745" s="41">
        <f>IFERROR((1+E745)*(1+H744)-1,"")</f>
        <v/>
      </c>
      <c r="I745" s="41">
        <f>IFERROR((1+F745)*(1+I744)-1,"")</f>
        <v/>
      </c>
      <c r="J745" s="41">
        <f>IFERROR((1+G745)*(1+J744)-1,"")</f>
        <v/>
      </c>
      <c r="K745" s="42">
        <f>IFERROR(B745/$B$36*100,"")</f>
        <v/>
      </c>
      <c r="L745" s="42">
        <f>IFERROR(C745/$C$36*100,"")</f>
        <v/>
      </c>
      <c r="M745" s="42">
        <f>IFERROR(D745/$D$36*100,"")</f>
        <v/>
      </c>
      <c r="N745" s="41">
        <f>IFERROR((1+H745)/(1+I745)-1,"")</f>
        <v/>
      </c>
      <c r="O745" s="41">
        <f>IFERROR((1+H745)/(1+J745)-1,"")</f>
        <v/>
      </c>
      <c r="P745" s="39">
        <f>IFERROR(B745*0.0099502487562189+P744*(1-0.0099502487562189),"")</f>
        <v/>
      </c>
      <c r="Q745" s="42">
        <f>Q744*(1+E745)</f>
        <v/>
      </c>
      <c r="R745" s="42">
        <f>MAX(R744,Q745)</f>
        <v/>
      </c>
      <c r="S745" s="41">
        <f>IFERROR(Q745/R745-1,"")</f>
        <v/>
      </c>
      <c r="T745" s="41">
        <f>IFERROR(_xlfn.STDEV.S(E686:E745)*SQRT($D$7),"")</f>
        <v/>
      </c>
      <c r="U745" s="41">
        <f>IFERROR(MIN(E745-$D$6,0),"")</f>
        <v/>
      </c>
      <c r="V745" s="41">
        <f>IFERROR(E745-F745,"")</f>
        <v/>
      </c>
      <c r="W745" s="39">
        <f>B745</f>
        <v/>
      </c>
      <c r="X745" s="21" t="n"/>
    </row>
    <row r="746">
      <c r="A746" s="38" t="n">
        <v>46024</v>
      </c>
      <c r="B746" s="39" t="n">
        <v>292.65</v>
      </c>
      <c r="C746" s="39" t="n">
        <v>683.17</v>
      </c>
      <c r="D746" s="39" t="n">
        <v>46.12</v>
      </c>
      <c r="E746" s="41">
        <f>IFERROR(B746/B745-1,"")</f>
        <v/>
      </c>
      <c r="F746" s="41">
        <f>IFERROR(C746/C745-1,"")</f>
        <v/>
      </c>
      <c r="G746" s="41">
        <f>IFERROR(D746/D745-1,"")</f>
        <v/>
      </c>
      <c r="H746" s="41">
        <f>IFERROR((1+E746)*(1+H745)-1,"")</f>
        <v/>
      </c>
      <c r="I746" s="41">
        <f>IFERROR((1+F746)*(1+I745)-1,"")</f>
        <v/>
      </c>
      <c r="J746" s="41">
        <f>IFERROR((1+G746)*(1+J745)-1,"")</f>
        <v/>
      </c>
      <c r="K746" s="42">
        <f>IFERROR(B746/$B$36*100,"")</f>
        <v/>
      </c>
      <c r="L746" s="42">
        <f>IFERROR(C746/$C$36*100,"")</f>
        <v/>
      </c>
      <c r="M746" s="42">
        <f>IFERROR(D746/$D$36*100,"")</f>
        <v/>
      </c>
      <c r="N746" s="41">
        <f>IFERROR((1+H746)/(1+I746)-1,"")</f>
        <v/>
      </c>
      <c r="O746" s="41">
        <f>IFERROR((1+H746)/(1+J746)-1,"")</f>
        <v/>
      </c>
      <c r="P746" s="39">
        <f>IFERROR(B746*0.0099502487562189+P745*(1-0.0099502487562189),"")</f>
        <v/>
      </c>
      <c r="Q746" s="42">
        <f>Q745*(1+E746)</f>
        <v/>
      </c>
      <c r="R746" s="42">
        <f>MAX(R745,Q746)</f>
        <v/>
      </c>
      <c r="S746" s="41">
        <f>IFERROR(Q746/R746-1,"")</f>
        <v/>
      </c>
      <c r="T746" s="41">
        <f>IFERROR(_xlfn.STDEV.S(E687:E746)*SQRT($D$7),"")</f>
        <v/>
      </c>
      <c r="U746" s="41">
        <f>IFERROR(MIN(E746-$D$6,0),"")</f>
        <v/>
      </c>
      <c r="V746" s="41">
        <f>IFERROR(E746-F746,"")</f>
        <v/>
      </c>
      <c r="W746" s="39">
        <f>B746</f>
        <v/>
      </c>
      <c r="X746" s="21" t="n"/>
    </row>
    <row r="747">
      <c r="A747" s="38" t="n">
        <v>46027</v>
      </c>
      <c r="B747" s="39" t="n">
        <v>296.67</v>
      </c>
      <c r="C747" s="39" t="n">
        <v>687.72</v>
      </c>
      <c r="D747" s="39" t="n">
        <v>46.58</v>
      </c>
      <c r="E747" s="41">
        <f>IFERROR(B747/B746-1,"")</f>
        <v/>
      </c>
      <c r="F747" s="41">
        <f>IFERROR(C747/C746-1,"")</f>
        <v/>
      </c>
      <c r="G747" s="41">
        <f>IFERROR(D747/D746-1,"")</f>
        <v/>
      </c>
      <c r="H747" s="41">
        <f>IFERROR((1+E747)*(1+H746)-1,"")</f>
        <v/>
      </c>
      <c r="I747" s="41">
        <f>IFERROR((1+F747)*(1+I746)-1,"")</f>
        <v/>
      </c>
      <c r="J747" s="41">
        <f>IFERROR((1+G747)*(1+J746)-1,"")</f>
        <v/>
      </c>
      <c r="K747" s="42">
        <f>IFERROR(B747/$B$36*100,"")</f>
        <v/>
      </c>
      <c r="L747" s="42">
        <f>IFERROR(C747/$C$36*100,"")</f>
        <v/>
      </c>
      <c r="M747" s="42">
        <f>IFERROR(D747/$D$36*100,"")</f>
        <v/>
      </c>
      <c r="N747" s="41">
        <f>IFERROR((1+H747)/(1+I747)-1,"")</f>
        <v/>
      </c>
      <c r="O747" s="41">
        <f>IFERROR((1+H747)/(1+J747)-1,"")</f>
        <v/>
      </c>
      <c r="P747" s="39">
        <f>IFERROR(B747*0.0099502487562189+P746*(1-0.0099502487562189),"")</f>
        <v/>
      </c>
      <c r="Q747" s="42">
        <f>Q746*(1+E747)</f>
        <v/>
      </c>
      <c r="R747" s="42">
        <f>MAX(R746,Q747)</f>
        <v/>
      </c>
      <c r="S747" s="41">
        <f>IFERROR(Q747/R747-1,"")</f>
        <v/>
      </c>
      <c r="T747" s="41">
        <f>IFERROR(_xlfn.STDEV.S(E688:E747)*SQRT($D$7),"")</f>
        <v/>
      </c>
      <c r="U747" s="41">
        <f>IFERROR(MIN(E747-$D$6,0),"")</f>
        <v/>
      </c>
      <c r="V747" s="41">
        <f>IFERROR(E747-F747,"")</f>
        <v/>
      </c>
      <c r="W747" s="39">
        <f>B747</f>
        <v/>
      </c>
      <c r="X747" s="21" t="n"/>
    </row>
    <row r="748">
      <c r="A748" s="38" t="n">
        <v>46028</v>
      </c>
      <c r="B748" s="39" t="n">
        <v>299.85</v>
      </c>
      <c r="C748" s="39" t="n">
        <v>691.8099999999999</v>
      </c>
      <c r="D748" s="39" t="n">
        <v>47.5</v>
      </c>
      <c r="E748" s="41">
        <f>IFERROR(B748/B747-1,"")</f>
        <v/>
      </c>
      <c r="F748" s="41">
        <f>IFERROR(C748/C747-1,"")</f>
        <v/>
      </c>
      <c r="G748" s="41">
        <f>IFERROR(D748/D747-1,"")</f>
        <v/>
      </c>
      <c r="H748" s="41">
        <f>IFERROR((1+E748)*(1+H747)-1,"")</f>
        <v/>
      </c>
      <c r="I748" s="41">
        <f>IFERROR((1+F748)*(1+I747)-1,"")</f>
        <v/>
      </c>
      <c r="J748" s="41">
        <f>IFERROR((1+G748)*(1+J747)-1,"")</f>
        <v/>
      </c>
      <c r="K748" s="42">
        <f>IFERROR(B748/$B$36*100,"")</f>
        <v/>
      </c>
      <c r="L748" s="42">
        <f>IFERROR(C748/$C$36*100,"")</f>
        <v/>
      </c>
      <c r="M748" s="42">
        <f>IFERROR(D748/$D$36*100,"")</f>
        <v/>
      </c>
      <c r="N748" s="41">
        <f>IFERROR((1+H748)/(1+I748)-1,"")</f>
        <v/>
      </c>
      <c r="O748" s="41">
        <f>IFERROR((1+H748)/(1+J748)-1,"")</f>
        <v/>
      </c>
      <c r="P748" s="39">
        <f>IFERROR(B748*0.0099502487562189+P747*(1-0.0099502487562189),"")</f>
        <v/>
      </c>
      <c r="Q748" s="42">
        <f>Q747*(1+E748)</f>
        <v/>
      </c>
      <c r="R748" s="42">
        <f>MAX(R747,Q748)</f>
        <v/>
      </c>
      <c r="S748" s="41">
        <f>IFERROR(Q748/R748-1,"")</f>
        <v/>
      </c>
      <c r="T748" s="41">
        <f>IFERROR(_xlfn.STDEV.S(E689:E748)*SQRT($D$7),"")</f>
        <v/>
      </c>
      <c r="U748" s="41">
        <f>IFERROR(MIN(E748-$D$6,0),"")</f>
        <v/>
      </c>
      <c r="V748" s="41">
        <f>IFERROR(E748-F748,"")</f>
        <v/>
      </c>
      <c r="W748" s="39">
        <f>B748</f>
        <v/>
      </c>
      <c r="X748" s="21" t="n"/>
    </row>
    <row r="749">
      <c r="A749" s="38" t="n">
        <v>46029</v>
      </c>
      <c r="B749" s="39" t="n">
        <v>292.12</v>
      </c>
      <c r="C749" s="39" t="n">
        <v>689.58</v>
      </c>
      <c r="D749" s="39" t="n">
        <v>46.68</v>
      </c>
      <c r="E749" s="41">
        <f>IFERROR(B749/B748-1,"")</f>
        <v/>
      </c>
      <c r="F749" s="41">
        <f>IFERROR(C749/C748-1,"")</f>
        <v/>
      </c>
      <c r="G749" s="41">
        <f>IFERROR(D749/D748-1,"")</f>
        <v/>
      </c>
      <c r="H749" s="41">
        <f>IFERROR((1+E749)*(1+H748)-1,"")</f>
        <v/>
      </c>
      <c r="I749" s="41">
        <f>IFERROR((1+F749)*(1+I748)-1,"")</f>
        <v/>
      </c>
      <c r="J749" s="41">
        <f>IFERROR((1+G749)*(1+J748)-1,"")</f>
        <v/>
      </c>
      <c r="K749" s="42">
        <f>IFERROR(B749/$B$36*100,"")</f>
        <v/>
      </c>
      <c r="L749" s="42">
        <f>IFERROR(C749/$C$36*100,"")</f>
        <v/>
      </c>
      <c r="M749" s="42">
        <f>IFERROR(D749/$D$36*100,"")</f>
        <v/>
      </c>
      <c r="N749" s="41">
        <f>IFERROR((1+H749)/(1+I749)-1,"")</f>
        <v/>
      </c>
      <c r="O749" s="41">
        <f>IFERROR((1+H749)/(1+J749)-1,"")</f>
        <v/>
      </c>
      <c r="P749" s="39">
        <f>IFERROR(B749*0.0099502487562189+P748*(1-0.0099502487562189),"")</f>
        <v/>
      </c>
      <c r="Q749" s="42">
        <f>Q748*(1+E749)</f>
        <v/>
      </c>
      <c r="R749" s="42">
        <f>MAX(R748,Q749)</f>
        <v/>
      </c>
      <c r="S749" s="41">
        <f>IFERROR(Q749/R749-1,"")</f>
        <v/>
      </c>
      <c r="T749" s="41">
        <f>IFERROR(_xlfn.STDEV.S(E690:E749)*SQRT($D$7),"")</f>
        <v/>
      </c>
      <c r="U749" s="41">
        <f>IFERROR(MIN(E749-$D$6,0),"")</f>
        <v/>
      </c>
      <c r="V749" s="41">
        <f>IFERROR(E749-F749,"")</f>
        <v/>
      </c>
      <c r="W749" s="39">
        <f>B749</f>
        <v/>
      </c>
      <c r="X749" s="21" t="n"/>
    </row>
    <row r="750">
      <c r="A750" s="38" t="n">
        <v>46030</v>
      </c>
      <c r="B750" s="39" t="n">
        <v>299.13</v>
      </c>
      <c r="C750" s="39" t="n">
        <v>689.51</v>
      </c>
      <c r="D750" s="39" t="n">
        <v>47.5</v>
      </c>
      <c r="E750" s="41">
        <f>IFERROR(B750/B749-1,"")</f>
        <v/>
      </c>
      <c r="F750" s="41">
        <f>IFERROR(C750/C749-1,"")</f>
        <v/>
      </c>
      <c r="G750" s="41">
        <f>IFERROR(D750/D749-1,"")</f>
        <v/>
      </c>
      <c r="H750" s="41">
        <f>IFERROR((1+E750)*(1+H749)-1,"")</f>
        <v/>
      </c>
      <c r="I750" s="41">
        <f>IFERROR((1+F750)*(1+I749)-1,"")</f>
        <v/>
      </c>
      <c r="J750" s="41">
        <f>IFERROR((1+G750)*(1+J749)-1,"")</f>
        <v/>
      </c>
      <c r="K750" s="42">
        <f>IFERROR(B750/$B$36*100,"")</f>
        <v/>
      </c>
      <c r="L750" s="42">
        <f>IFERROR(C750/$C$36*100,"")</f>
        <v/>
      </c>
      <c r="M750" s="42">
        <f>IFERROR(D750/$D$36*100,"")</f>
        <v/>
      </c>
      <c r="N750" s="41">
        <f>IFERROR((1+H750)/(1+I750)-1,"")</f>
        <v/>
      </c>
      <c r="O750" s="41">
        <f>IFERROR((1+H750)/(1+J750)-1,"")</f>
        <v/>
      </c>
      <c r="P750" s="39">
        <f>IFERROR(B750*0.0099502487562189+P749*(1-0.0099502487562189),"")</f>
        <v/>
      </c>
      <c r="Q750" s="42">
        <f>Q749*(1+E750)</f>
        <v/>
      </c>
      <c r="R750" s="42">
        <f>MAX(R749,Q750)</f>
        <v/>
      </c>
      <c r="S750" s="41">
        <f>IFERROR(Q750/R750-1,"")</f>
        <v/>
      </c>
      <c r="T750" s="41">
        <f>IFERROR(_xlfn.STDEV.S(E691:E750)*SQRT($D$7),"")</f>
        <v/>
      </c>
      <c r="U750" s="41">
        <f>IFERROR(MIN(E750-$D$6,0),"")</f>
        <v/>
      </c>
      <c r="V750" s="41">
        <f>IFERROR(E750-F750,"")</f>
        <v/>
      </c>
      <c r="W750" s="39">
        <f>B750</f>
        <v/>
      </c>
      <c r="X750" s="21" t="n"/>
    </row>
    <row r="751">
      <c r="A751" s="38" t="n">
        <v>46031</v>
      </c>
      <c r="B751" s="39" t="n">
        <v>311.62</v>
      </c>
      <c r="C751" s="39" t="n">
        <v>694.0700000000001</v>
      </c>
      <c r="D751" s="39" t="n">
        <v>48.26</v>
      </c>
      <c r="E751" s="41">
        <f>IFERROR(B751/B750-1,"")</f>
        <v/>
      </c>
      <c r="F751" s="41">
        <f>IFERROR(C751/C750-1,"")</f>
        <v/>
      </c>
      <c r="G751" s="41">
        <f>IFERROR(D751/D750-1,"")</f>
        <v/>
      </c>
      <c r="H751" s="41">
        <f>IFERROR((1+E751)*(1+H750)-1,"")</f>
        <v/>
      </c>
      <c r="I751" s="41">
        <f>IFERROR((1+F751)*(1+I750)-1,"")</f>
        <v/>
      </c>
      <c r="J751" s="41">
        <f>IFERROR((1+G751)*(1+J750)-1,"")</f>
        <v/>
      </c>
      <c r="K751" s="42">
        <f>IFERROR(B751/$B$36*100,"")</f>
        <v/>
      </c>
      <c r="L751" s="42">
        <f>IFERROR(C751/$C$36*100,"")</f>
        <v/>
      </c>
      <c r="M751" s="42">
        <f>IFERROR(D751/$D$36*100,"")</f>
        <v/>
      </c>
      <c r="N751" s="41">
        <f>IFERROR((1+H751)/(1+I751)-1,"")</f>
        <v/>
      </c>
      <c r="O751" s="41">
        <f>IFERROR((1+H751)/(1+J751)-1,"")</f>
        <v/>
      </c>
      <c r="P751" s="39">
        <f>IFERROR(B751*0.0099502487562189+P750*(1-0.0099502487562189),"")</f>
        <v/>
      </c>
      <c r="Q751" s="42">
        <f>Q750*(1+E751)</f>
        <v/>
      </c>
      <c r="R751" s="42">
        <f>MAX(R750,Q751)</f>
        <v/>
      </c>
      <c r="S751" s="41">
        <f>IFERROR(Q751/R751-1,"")</f>
        <v/>
      </c>
      <c r="T751" s="41">
        <f>IFERROR(_xlfn.STDEV.S(E692:E751)*SQRT($D$7),"")</f>
        <v/>
      </c>
      <c r="U751" s="41">
        <f>IFERROR(MIN(E751-$D$6,0),"")</f>
        <v/>
      </c>
      <c r="V751" s="41">
        <f>IFERROR(E751-F751,"")</f>
        <v/>
      </c>
      <c r="W751" s="39">
        <f>B751</f>
        <v/>
      </c>
      <c r="X751" s="21" t="n"/>
    </row>
    <row r="752">
      <c r="A752" s="38" t="n">
        <v>46034</v>
      </c>
      <c r="B752" s="39" t="n">
        <v>309.62</v>
      </c>
      <c r="C752" s="39" t="n">
        <v>695.16</v>
      </c>
      <c r="D752" s="39" t="n">
        <v>48.52</v>
      </c>
      <c r="E752" s="41">
        <f>IFERROR(B752/B751-1,"")</f>
        <v/>
      </c>
      <c r="F752" s="41">
        <f>IFERROR(C752/C751-1,"")</f>
        <v/>
      </c>
      <c r="G752" s="41">
        <f>IFERROR(D752/D751-1,"")</f>
        <v/>
      </c>
      <c r="H752" s="41">
        <f>IFERROR((1+E752)*(1+H751)-1,"")</f>
        <v/>
      </c>
      <c r="I752" s="41">
        <f>IFERROR((1+F752)*(1+I751)-1,"")</f>
        <v/>
      </c>
      <c r="J752" s="41">
        <f>IFERROR((1+G752)*(1+J751)-1,"")</f>
        <v/>
      </c>
      <c r="K752" s="42">
        <f>IFERROR(B752/$B$36*100,"")</f>
        <v/>
      </c>
      <c r="L752" s="42">
        <f>IFERROR(C752/$C$36*100,"")</f>
        <v/>
      </c>
      <c r="M752" s="42">
        <f>IFERROR(D752/$D$36*100,"")</f>
        <v/>
      </c>
      <c r="N752" s="41">
        <f>IFERROR((1+H752)/(1+I752)-1,"")</f>
        <v/>
      </c>
      <c r="O752" s="41">
        <f>IFERROR((1+H752)/(1+J752)-1,"")</f>
        <v/>
      </c>
      <c r="P752" s="39">
        <f>IFERROR(B752*0.0099502487562189+P751*(1-0.0099502487562189),"")</f>
        <v/>
      </c>
      <c r="Q752" s="42">
        <f>Q751*(1+E752)</f>
        <v/>
      </c>
      <c r="R752" s="42">
        <f>MAX(R751,Q752)</f>
        <v/>
      </c>
      <c r="S752" s="41">
        <f>IFERROR(Q752/R752-1,"")</f>
        <v/>
      </c>
      <c r="T752" s="41">
        <f>IFERROR(_xlfn.STDEV.S(E693:E752)*SQRT($D$7),"")</f>
        <v/>
      </c>
      <c r="U752" s="41">
        <f>IFERROR(MIN(E752-$D$6,0),"")</f>
        <v/>
      </c>
      <c r="V752" s="41">
        <f>IFERROR(E752-F752,"")</f>
        <v/>
      </c>
      <c r="W752" s="39">
        <f>B752</f>
        <v/>
      </c>
      <c r="X752" s="21" t="n"/>
    </row>
    <row r="753">
      <c r="A753" s="38" t="n">
        <v>46035</v>
      </c>
      <c r="B753" s="39" t="n">
        <v>311.04</v>
      </c>
      <c r="C753" s="39" t="n">
        <v>693.77</v>
      </c>
      <c r="D753" s="39" t="n">
        <v>48.73</v>
      </c>
      <c r="E753" s="41">
        <f>IFERROR(B753/B752-1,"")</f>
        <v/>
      </c>
      <c r="F753" s="41">
        <f>IFERROR(C753/C752-1,"")</f>
        <v/>
      </c>
      <c r="G753" s="41">
        <f>IFERROR(D753/D752-1,"")</f>
        <v/>
      </c>
      <c r="H753" s="41">
        <f>IFERROR((1+E753)*(1+H752)-1,"")</f>
        <v/>
      </c>
      <c r="I753" s="41">
        <f>IFERROR((1+F753)*(1+I752)-1,"")</f>
        <v/>
      </c>
      <c r="J753" s="41">
        <f>IFERROR((1+G753)*(1+J752)-1,"")</f>
        <v/>
      </c>
      <c r="K753" s="42">
        <f>IFERROR(B753/$B$36*100,"")</f>
        <v/>
      </c>
      <c r="L753" s="42">
        <f>IFERROR(C753/$C$36*100,"")</f>
        <v/>
      </c>
      <c r="M753" s="42">
        <f>IFERROR(D753/$D$36*100,"")</f>
        <v/>
      </c>
      <c r="N753" s="41">
        <f>IFERROR((1+H753)/(1+I753)-1,"")</f>
        <v/>
      </c>
      <c r="O753" s="41">
        <f>IFERROR((1+H753)/(1+J753)-1,"")</f>
        <v/>
      </c>
      <c r="P753" s="39">
        <f>IFERROR(B753*0.0099502487562189+P752*(1-0.0099502487562189),"")</f>
        <v/>
      </c>
      <c r="Q753" s="42">
        <f>Q752*(1+E753)</f>
        <v/>
      </c>
      <c r="R753" s="42">
        <f>MAX(R752,Q753)</f>
        <v/>
      </c>
      <c r="S753" s="41">
        <f>IFERROR(Q753/R753-1,"")</f>
        <v/>
      </c>
      <c r="T753" s="41">
        <f>IFERROR(_xlfn.STDEV.S(E694:E753)*SQRT($D$7),"")</f>
        <v/>
      </c>
      <c r="U753" s="41">
        <f>IFERROR(MIN(E753-$D$6,0),"")</f>
        <v/>
      </c>
      <c r="V753" s="41">
        <f>IFERROR(E753-F753,"")</f>
        <v/>
      </c>
      <c r="W753" s="39">
        <f>B753</f>
        <v/>
      </c>
      <c r="X753" s="21" t="n"/>
    </row>
    <row r="754">
      <c r="A754" s="38" t="n">
        <v>46036</v>
      </c>
      <c r="B754" s="39" t="n">
        <v>298.48</v>
      </c>
      <c r="C754" s="39" t="n">
        <v>690.36</v>
      </c>
      <c r="D754" s="39" t="n">
        <v>48.75</v>
      </c>
      <c r="E754" s="41">
        <f>IFERROR(B754/B753-1,"")</f>
        <v/>
      </c>
      <c r="F754" s="41">
        <f>IFERROR(C754/C753-1,"")</f>
        <v/>
      </c>
      <c r="G754" s="41">
        <f>IFERROR(D754/D753-1,"")</f>
        <v/>
      </c>
      <c r="H754" s="41">
        <f>IFERROR((1+E754)*(1+H753)-1,"")</f>
        <v/>
      </c>
      <c r="I754" s="41">
        <f>IFERROR((1+F754)*(1+I753)-1,"")</f>
        <v/>
      </c>
      <c r="J754" s="41">
        <f>IFERROR((1+G754)*(1+J753)-1,"")</f>
        <v/>
      </c>
      <c r="K754" s="42">
        <f>IFERROR(B754/$B$36*100,"")</f>
        <v/>
      </c>
      <c r="L754" s="42">
        <f>IFERROR(C754/$C$36*100,"")</f>
        <v/>
      </c>
      <c r="M754" s="42">
        <f>IFERROR(D754/$D$36*100,"")</f>
        <v/>
      </c>
      <c r="N754" s="41">
        <f>IFERROR((1+H754)/(1+I754)-1,"")</f>
        <v/>
      </c>
      <c r="O754" s="41">
        <f>IFERROR((1+H754)/(1+J754)-1,"")</f>
        <v/>
      </c>
      <c r="P754" s="39">
        <f>IFERROR(B754*0.0099502487562189+P753*(1-0.0099502487562189),"")</f>
        <v/>
      </c>
      <c r="Q754" s="42">
        <f>Q753*(1+E754)</f>
        <v/>
      </c>
      <c r="R754" s="42">
        <f>MAX(R753,Q754)</f>
        <v/>
      </c>
      <c r="S754" s="41">
        <f>IFERROR(Q754/R754-1,"")</f>
        <v/>
      </c>
      <c r="T754" s="41">
        <f>IFERROR(_xlfn.STDEV.S(E695:E754)*SQRT($D$7),"")</f>
        <v/>
      </c>
      <c r="U754" s="41">
        <f>IFERROR(MIN(E754-$D$6,0),"")</f>
        <v/>
      </c>
      <c r="V754" s="41">
        <f>IFERROR(E754-F754,"")</f>
        <v/>
      </c>
      <c r="W754" s="39">
        <f>B754</f>
        <v/>
      </c>
      <c r="X754" s="21" t="n"/>
    </row>
    <row r="755">
      <c r="A755" s="38" t="n">
        <v>46037</v>
      </c>
      <c r="B755" s="39" t="n">
        <v>301.71</v>
      </c>
      <c r="C755" s="39" t="n">
        <v>692.24</v>
      </c>
      <c r="D755" s="39" t="n">
        <v>48.96</v>
      </c>
      <c r="E755" s="41">
        <f>IFERROR(B755/B754-1,"")</f>
        <v/>
      </c>
      <c r="F755" s="41">
        <f>IFERROR(C755/C754-1,"")</f>
        <v/>
      </c>
      <c r="G755" s="41">
        <f>IFERROR(D755/D754-1,"")</f>
        <v/>
      </c>
      <c r="H755" s="41">
        <f>IFERROR((1+E755)*(1+H754)-1,"")</f>
        <v/>
      </c>
      <c r="I755" s="41">
        <f>IFERROR((1+F755)*(1+I754)-1,"")</f>
        <v/>
      </c>
      <c r="J755" s="41">
        <f>IFERROR((1+G755)*(1+J754)-1,"")</f>
        <v/>
      </c>
      <c r="K755" s="42">
        <f>IFERROR(B755/$B$36*100,"")</f>
        <v/>
      </c>
      <c r="L755" s="42">
        <f>IFERROR(C755/$C$36*100,"")</f>
        <v/>
      </c>
      <c r="M755" s="42">
        <f>IFERROR(D755/$D$36*100,"")</f>
        <v/>
      </c>
      <c r="N755" s="41">
        <f>IFERROR((1+H755)/(1+I755)-1,"")</f>
        <v/>
      </c>
      <c r="O755" s="41">
        <f>IFERROR((1+H755)/(1+J755)-1,"")</f>
        <v/>
      </c>
      <c r="P755" s="39">
        <f>IFERROR(B755*0.0099502487562189+P754*(1-0.0099502487562189),"")</f>
        <v/>
      </c>
      <c r="Q755" s="42">
        <f>Q754*(1+E755)</f>
        <v/>
      </c>
      <c r="R755" s="42">
        <f>MAX(R754,Q755)</f>
        <v/>
      </c>
      <c r="S755" s="41">
        <f>IFERROR(Q755/R755-1,"")</f>
        <v/>
      </c>
      <c r="T755" s="41">
        <f>IFERROR(_xlfn.STDEV.S(E696:E755)*SQRT($D$7),"")</f>
        <v/>
      </c>
      <c r="U755" s="41">
        <f>IFERROR(MIN(E755-$D$6,0),"")</f>
        <v/>
      </c>
      <c r="V755" s="41">
        <f>IFERROR(E755-F755,"")</f>
        <v/>
      </c>
      <c r="W755" s="39">
        <f>B755</f>
        <v/>
      </c>
      <c r="X755" s="21" t="n"/>
    </row>
    <row r="756">
      <c r="A756" s="38" t="n">
        <v>46038</v>
      </c>
      <c r="B756" s="39" t="n">
        <v>305.97</v>
      </c>
      <c r="C756" s="39" t="n">
        <v>691.66</v>
      </c>
      <c r="D756" s="39" t="n">
        <v>48.68</v>
      </c>
      <c r="E756" s="41">
        <f>IFERROR(B756/B755-1,"")</f>
        <v/>
      </c>
      <c r="F756" s="41">
        <f>IFERROR(C756/C755-1,"")</f>
        <v/>
      </c>
      <c r="G756" s="41">
        <f>IFERROR(D756/D755-1,"")</f>
        <v/>
      </c>
      <c r="H756" s="41">
        <f>IFERROR((1+E756)*(1+H755)-1,"")</f>
        <v/>
      </c>
      <c r="I756" s="41">
        <f>IFERROR((1+F756)*(1+I755)-1,"")</f>
        <v/>
      </c>
      <c r="J756" s="41">
        <f>IFERROR((1+G756)*(1+J755)-1,"")</f>
        <v/>
      </c>
      <c r="K756" s="42">
        <f>IFERROR(B756/$B$36*100,"")</f>
        <v/>
      </c>
      <c r="L756" s="42">
        <f>IFERROR(C756/$C$36*100,"")</f>
        <v/>
      </c>
      <c r="M756" s="42">
        <f>IFERROR(D756/$D$36*100,"")</f>
        <v/>
      </c>
      <c r="N756" s="41">
        <f>IFERROR((1+H756)/(1+I756)-1,"")</f>
        <v/>
      </c>
      <c r="O756" s="41">
        <f>IFERROR((1+H756)/(1+J756)-1,"")</f>
        <v/>
      </c>
      <c r="P756" s="39">
        <f>IFERROR(B756*0.0099502487562189+P755*(1-0.0099502487562189),"")</f>
        <v/>
      </c>
      <c r="Q756" s="42">
        <f>Q755*(1+E756)</f>
        <v/>
      </c>
      <c r="R756" s="42">
        <f>MAX(R755,Q756)</f>
        <v/>
      </c>
      <c r="S756" s="41">
        <f>IFERROR(Q756/R756-1,"")</f>
        <v/>
      </c>
      <c r="T756" s="41">
        <f>IFERROR(_xlfn.STDEV.S(E697:E756)*SQRT($D$7),"")</f>
        <v/>
      </c>
      <c r="U756" s="41">
        <f>IFERROR(MIN(E756-$D$6,0),"")</f>
        <v/>
      </c>
      <c r="V756" s="41">
        <f>IFERROR(E756-F756,"")</f>
        <v/>
      </c>
      <c r="W756" s="39">
        <f>B756</f>
        <v/>
      </c>
      <c r="X756" s="21" t="n"/>
    </row>
    <row r="757">
      <c r="A757" s="38" t="n">
        <v>46042</v>
      </c>
      <c r="B757" s="39" t="n">
        <v>296.15</v>
      </c>
      <c r="C757" s="39" t="n">
        <v>677.58</v>
      </c>
      <c r="D757" s="39" t="n">
        <v>48.19</v>
      </c>
      <c r="E757" s="41">
        <f>IFERROR(B757/B756-1,"")</f>
        <v/>
      </c>
      <c r="F757" s="41">
        <f>IFERROR(C757/C756-1,"")</f>
        <v/>
      </c>
      <c r="G757" s="41">
        <f>IFERROR(D757/D756-1,"")</f>
        <v/>
      </c>
      <c r="H757" s="41">
        <f>IFERROR((1+E757)*(1+H756)-1,"")</f>
        <v/>
      </c>
      <c r="I757" s="41">
        <f>IFERROR((1+F757)*(1+I756)-1,"")</f>
        <v/>
      </c>
      <c r="J757" s="41">
        <f>IFERROR((1+G757)*(1+J756)-1,"")</f>
        <v/>
      </c>
      <c r="K757" s="42">
        <f>IFERROR(B757/$B$36*100,"")</f>
        <v/>
      </c>
      <c r="L757" s="42">
        <f>IFERROR(C757/$C$36*100,"")</f>
        <v/>
      </c>
      <c r="M757" s="42">
        <f>IFERROR(D757/$D$36*100,"")</f>
        <v/>
      </c>
      <c r="N757" s="41">
        <f>IFERROR((1+H757)/(1+I757)-1,"")</f>
        <v/>
      </c>
      <c r="O757" s="41">
        <f>IFERROR((1+H757)/(1+J757)-1,"")</f>
        <v/>
      </c>
      <c r="P757" s="39">
        <f>IFERROR(B757*0.0099502487562189+P756*(1-0.0099502487562189),"")</f>
        <v/>
      </c>
      <c r="Q757" s="42">
        <f>Q756*(1+E757)</f>
        <v/>
      </c>
      <c r="R757" s="42">
        <f>MAX(R756,Q757)</f>
        <v/>
      </c>
      <c r="S757" s="41">
        <f>IFERROR(Q757/R757-1,"")</f>
        <v/>
      </c>
      <c r="T757" s="41">
        <f>IFERROR(_xlfn.STDEV.S(E698:E757)*SQRT($D$7),"")</f>
        <v/>
      </c>
      <c r="U757" s="41">
        <f>IFERROR(MIN(E757-$D$6,0),"")</f>
        <v/>
      </c>
      <c r="V757" s="41">
        <f>IFERROR(E757-F757,"")</f>
        <v/>
      </c>
      <c r="W757" s="39">
        <f>B757</f>
        <v/>
      </c>
      <c r="X757" s="21" t="n"/>
    </row>
    <row r="758">
      <c r="A758" s="38" t="n">
        <v>46043</v>
      </c>
      <c r="B758" s="39" t="n">
        <v>299.01</v>
      </c>
      <c r="C758" s="39" t="n">
        <v>685.4</v>
      </c>
      <c r="D758" s="39" t="n">
        <v>49.24</v>
      </c>
      <c r="E758" s="41">
        <f>IFERROR(B758/B757-1,"")</f>
        <v/>
      </c>
      <c r="F758" s="41">
        <f>IFERROR(C758/C757-1,"")</f>
        <v/>
      </c>
      <c r="G758" s="41">
        <f>IFERROR(D758/D757-1,"")</f>
        <v/>
      </c>
      <c r="H758" s="41">
        <f>IFERROR((1+E758)*(1+H757)-1,"")</f>
        <v/>
      </c>
      <c r="I758" s="41">
        <f>IFERROR((1+F758)*(1+I757)-1,"")</f>
        <v/>
      </c>
      <c r="J758" s="41">
        <f>IFERROR((1+G758)*(1+J757)-1,"")</f>
        <v/>
      </c>
      <c r="K758" s="42">
        <f>IFERROR(B758/$B$36*100,"")</f>
        <v/>
      </c>
      <c r="L758" s="42">
        <f>IFERROR(C758/$C$36*100,"")</f>
        <v/>
      </c>
      <c r="M758" s="42">
        <f>IFERROR(D758/$D$36*100,"")</f>
        <v/>
      </c>
      <c r="N758" s="41">
        <f>IFERROR((1+H758)/(1+I758)-1,"")</f>
        <v/>
      </c>
      <c r="O758" s="41">
        <f>IFERROR((1+H758)/(1+J758)-1,"")</f>
        <v/>
      </c>
      <c r="P758" s="39">
        <f>IFERROR(B758*0.0099502487562189+P757*(1-0.0099502487562189),"")</f>
        <v/>
      </c>
      <c r="Q758" s="42">
        <f>Q757*(1+E758)</f>
        <v/>
      </c>
      <c r="R758" s="42">
        <f>MAX(R757,Q758)</f>
        <v/>
      </c>
      <c r="S758" s="41">
        <f>IFERROR(Q758/R758-1,"")</f>
        <v/>
      </c>
      <c r="T758" s="41">
        <f>IFERROR(_xlfn.STDEV.S(E699:E758)*SQRT($D$7),"")</f>
        <v/>
      </c>
      <c r="U758" s="41">
        <f>IFERROR(MIN(E758-$D$6,0),"")</f>
        <v/>
      </c>
      <c r="V758" s="41">
        <f>IFERROR(E758-F758,"")</f>
        <v/>
      </c>
      <c r="W758" s="39">
        <f>B758</f>
        <v/>
      </c>
      <c r="X758" s="21" t="n"/>
    </row>
    <row r="759">
      <c r="A759" s="38" t="n">
        <v>46044</v>
      </c>
      <c r="B759" s="39" t="n">
        <v>303.27</v>
      </c>
      <c r="C759" s="39" t="n">
        <v>688.98</v>
      </c>
      <c r="D759" s="39" t="n">
        <v>49.52</v>
      </c>
      <c r="E759" s="41">
        <f>IFERROR(B759/B758-1,"")</f>
        <v/>
      </c>
      <c r="F759" s="41">
        <f>IFERROR(C759/C758-1,"")</f>
        <v/>
      </c>
      <c r="G759" s="41">
        <f>IFERROR(D759/D758-1,"")</f>
        <v/>
      </c>
      <c r="H759" s="41">
        <f>IFERROR((1+E759)*(1+H758)-1,"")</f>
        <v/>
      </c>
      <c r="I759" s="41">
        <f>IFERROR((1+F759)*(1+I758)-1,"")</f>
        <v/>
      </c>
      <c r="J759" s="41">
        <f>IFERROR((1+G759)*(1+J758)-1,"")</f>
        <v/>
      </c>
      <c r="K759" s="42">
        <f>IFERROR(B759/$B$36*100,"")</f>
        <v/>
      </c>
      <c r="L759" s="42">
        <f>IFERROR(C759/$C$36*100,"")</f>
        <v/>
      </c>
      <c r="M759" s="42">
        <f>IFERROR(D759/$D$36*100,"")</f>
        <v/>
      </c>
      <c r="N759" s="41">
        <f>IFERROR((1+H759)/(1+I759)-1,"")</f>
        <v/>
      </c>
      <c r="O759" s="41">
        <f>IFERROR((1+H759)/(1+J759)-1,"")</f>
        <v/>
      </c>
      <c r="P759" s="39">
        <f>IFERROR(B759*0.0099502487562189+P758*(1-0.0099502487562189),"")</f>
        <v/>
      </c>
      <c r="Q759" s="42">
        <f>Q758*(1+E759)</f>
        <v/>
      </c>
      <c r="R759" s="42">
        <f>MAX(R758,Q759)</f>
        <v/>
      </c>
      <c r="S759" s="41">
        <f>IFERROR(Q759/R759-1,"")</f>
        <v/>
      </c>
      <c r="T759" s="41">
        <f>IFERROR(_xlfn.STDEV.S(E700:E759)*SQRT($D$7),"")</f>
        <v/>
      </c>
      <c r="U759" s="41">
        <f>IFERROR(MIN(E759-$D$6,0),"")</f>
        <v/>
      </c>
      <c r="V759" s="41">
        <f>IFERROR(E759-F759,"")</f>
        <v/>
      </c>
      <c r="W759" s="39">
        <f>B759</f>
        <v/>
      </c>
      <c r="X759" s="21" t="n"/>
    </row>
    <row r="760">
      <c r="A760" s="38" t="n">
        <v>46045</v>
      </c>
      <c r="B760" s="39" t="n">
        <v>300.07</v>
      </c>
      <c r="C760" s="39" t="n">
        <v>689.23</v>
      </c>
      <c r="D760" s="39" t="n">
        <v>49.97</v>
      </c>
      <c r="E760" s="41">
        <f>IFERROR(B760/B759-1,"")</f>
        <v/>
      </c>
      <c r="F760" s="41">
        <f>IFERROR(C760/C759-1,"")</f>
        <v/>
      </c>
      <c r="G760" s="41">
        <f>IFERROR(D760/D759-1,"")</f>
        <v/>
      </c>
      <c r="H760" s="41">
        <f>IFERROR((1+E760)*(1+H759)-1,"")</f>
        <v/>
      </c>
      <c r="I760" s="41">
        <f>IFERROR((1+F760)*(1+I759)-1,"")</f>
        <v/>
      </c>
      <c r="J760" s="41">
        <f>IFERROR((1+G760)*(1+J759)-1,"")</f>
        <v/>
      </c>
      <c r="K760" s="42">
        <f>IFERROR(B760/$B$36*100,"")</f>
        <v/>
      </c>
      <c r="L760" s="42">
        <f>IFERROR(C760/$C$36*100,"")</f>
        <v/>
      </c>
      <c r="M760" s="42">
        <f>IFERROR(D760/$D$36*100,"")</f>
        <v/>
      </c>
      <c r="N760" s="41">
        <f>IFERROR((1+H760)/(1+I760)-1,"")</f>
        <v/>
      </c>
      <c r="O760" s="41">
        <f>IFERROR((1+H760)/(1+J760)-1,"")</f>
        <v/>
      </c>
      <c r="P760" s="39">
        <f>IFERROR(B760*0.0099502487562189+P759*(1-0.0099502487562189),"")</f>
        <v/>
      </c>
      <c r="Q760" s="42">
        <f>Q759*(1+E760)</f>
        <v/>
      </c>
      <c r="R760" s="42">
        <f>MAX(R759,Q760)</f>
        <v/>
      </c>
      <c r="S760" s="41">
        <f>IFERROR(Q760/R760-1,"")</f>
        <v/>
      </c>
      <c r="T760" s="41">
        <f>IFERROR(_xlfn.STDEV.S(E701:E760)*SQRT($D$7),"")</f>
        <v/>
      </c>
      <c r="U760" s="41">
        <f>IFERROR(MIN(E760-$D$6,0),"")</f>
        <v/>
      </c>
      <c r="V760" s="41">
        <f>IFERROR(E760-F760,"")</f>
        <v/>
      </c>
      <c r="W760" s="39">
        <f>B760</f>
        <v/>
      </c>
      <c r="X760" s="21" t="n"/>
    </row>
    <row r="761">
      <c r="A761" s="38" t="n">
        <v>46048</v>
      </c>
      <c r="B761" s="39" t="n">
        <v>300.4</v>
      </c>
      <c r="C761" s="39" t="n">
        <v>692.73</v>
      </c>
      <c r="D761" s="39" t="n">
        <v>50.03</v>
      </c>
      <c r="E761" s="41">
        <f>IFERROR(B761/B760-1,"")</f>
        <v/>
      </c>
      <c r="F761" s="41">
        <f>IFERROR(C761/C760-1,"")</f>
        <v/>
      </c>
      <c r="G761" s="41">
        <f>IFERROR(D761/D760-1,"")</f>
        <v/>
      </c>
      <c r="H761" s="41">
        <f>IFERROR((1+E761)*(1+H760)-1,"")</f>
        <v/>
      </c>
      <c r="I761" s="41">
        <f>IFERROR((1+F761)*(1+I760)-1,"")</f>
        <v/>
      </c>
      <c r="J761" s="41">
        <f>IFERROR((1+G761)*(1+J760)-1,"")</f>
        <v/>
      </c>
      <c r="K761" s="42">
        <f>IFERROR(B761/$B$36*100,"")</f>
        <v/>
      </c>
      <c r="L761" s="42">
        <f>IFERROR(C761/$C$36*100,"")</f>
        <v/>
      </c>
      <c r="M761" s="42">
        <f>IFERROR(D761/$D$36*100,"")</f>
        <v/>
      </c>
      <c r="N761" s="41">
        <f>IFERROR((1+H761)/(1+I761)-1,"")</f>
        <v/>
      </c>
      <c r="O761" s="41">
        <f>IFERROR((1+H761)/(1+J761)-1,"")</f>
        <v/>
      </c>
      <c r="P761" s="39">
        <f>IFERROR(B761*0.0099502487562189+P760*(1-0.0099502487562189),"")</f>
        <v/>
      </c>
      <c r="Q761" s="42">
        <f>Q760*(1+E761)</f>
        <v/>
      </c>
      <c r="R761" s="42">
        <f>MAX(R760,Q761)</f>
        <v/>
      </c>
      <c r="S761" s="41">
        <f>IFERROR(Q761/R761-1,"")</f>
        <v/>
      </c>
      <c r="T761" s="41">
        <f>IFERROR(_xlfn.STDEV.S(E702:E761)*SQRT($D$7),"")</f>
        <v/>
      </c>
      <c r="U761" s="41">
        <f>IFERROR(MIN(E761-$D$6,0),"")</f>
        <v/>
      </c>
      <c r="V761" s="41">
        <f>IFERROR(E761-F761,"")</f>
        <v/>
      </c>
      <c r="W761" s="39">
        <f>B761</f>
        <v/>
      </c>
      <c r="X761" s="21" t="n"/>
    </row>
    <row r="762">
      <c r="A762" s="38" t="n">
        <v>46049</v>
      </c>
      <c r="B762" s="39" t="n">
        <v>298.67</v>
      </c>
      <c r="C762" s="39" t="n">
        <v>695.49</v>
      </c>
      <c r="D762" s="39" t="n">
        <v>49.98</v>
      </c>
      <c r="E762" s="41">
        <f>IFERROR(B762/B761-1,"")</f>
        <v/>
      </c>
      <c r="F762" s="41">
        <f>IFERROR(C762/C761-1,"")</f>
        <v/>
      </c>
      <c r="G762" s="41">
        <f>IFERROR(D762/D761-1,"")</f>
        <v/>
      </c>
      <c r="H762" s="41">
        <f>IFERROR((1+E762)*(1+H761)-1,"")</f>
        <v/>
      </c>
      <c r="I762" s="41">
        <f>IFERROR((1+F762)*(1+I761)-1,"")</f>
        <v/>
      </c>
      <c r="J762" s="41">
        <f>IFERROR((1+G762)*(1+J761)-1,"")</f>
        <v/>
      </c>
      <c r="K762" s="42">
        <f>IFERROR(B762/$B$36*100,"")</f>
        <v/>
      </c>
      <c r="L762" s="42">
        <f>IFERROR(C762/$C$36*100,"")</f>
        <v/>
      </c>
      <c r="M762" s="42">
        <f>IFERROR(D762/$D$36*100,"")</f>
        <v/>
      </c>
      <c r="N762" s="41">
        <f>IFERROR((1+H762)/(1+I762)-1,"")</f>
        <v/>
      </c>
      <c r="O762" s="41">
        <f>IFERROR((1+H762)/(1+J762)-1,"")</f>
        <v/>
      </c>
      <c r="P762" s="39">
        <f>IFERROR(B762*0.0099502487562189+P761*(1-0.0099502487562189),"")</f>
        <v/>
      </c>
      <c r="Q762" s="42">
        <f>Q761*(1+E762)</f>
        <v/>
      </c>
      <c r="R762" s="42">
        <f>MAX(R761,Q762)</f>
        <v/>
      </c>
      <c r="S762" s="41">
        <f>IFERROR(Q762/R762-1,"")</f>
        <v/>
      </c>
      <c r="T762" s="41">
        <f>IFERROR(_xlfn.STDEV.S(E703:E762)*SQRT($D$7),"")</f>
        <v/>
      </c>
      <c r="U762" s="41">
        <f>IFERROR(MIN(E762-$D$6,0),"")</f>
        <v/>
      </c>
      <c r="V762" s="41">
        <f>IFERROR(E762-F762,"")</f>
        <v/>
      </c>
      <c r="W762" s="39">
        <f>B762</f>
        <v/>
      </c>
      <c r="X762" s="21" t="n"/>
    </row>
    <row r="763">
      <c r="A763" s="38" t="n">
        <v>46050</v>
      </c>
      <c r="B763" s="39" t="n">
        <v>299.73</v>
      </c>
      <c r="C763" s="39" t="n">
        <v>695.42</v>
      </c>
      <c r="D763" s="39" t="n">
        <v>49.95</v>
      </c>
      <c r="E763" s="41">
        <f>IFERROR(B763/B762-1,"")</f>
        <v/>
      </c>
      <c r="F763" s="41">
        <f>IFERROR(C763/C762-1,"")</f>
        <v/>
      </c>
      <c r="G763" s="41">
        <f>IFERROR(D763/D762-1,"")</f>
        <v/>
      </c>
      <c r="H763" s="41">
        <f>IFERROR((1+E763)*(1+H762)-1,"")</f>
        <v/>
      </c>
      <c r="I763" s="41">
        <f>IFERROR((1+F763)*(1+I762)-1,"")</f>
        <v/>
      </c>
      <c r="J763" s="41">
        <f>IFERROR((1+G763)*(1+J762)-1,"")</f>
        <v/>
      </c>
      <c r="K763" s="42">
        <f>IFERROR(B763/$B$36*100,"")</f>
        <v/>
      </c>
      <c r="L763" s="42">
        <f>IFERROR(C763/$C$36*100,"")</f>
        <v/>
      </c>
      <c r="M763" s="42">
        <f>IFERROR(D763/$D$36*100,"")</f>
        <v/>
      </c>
      <c r="N763" s="41">
        <f>IFERROR((1+H763)/(1+I763)-1,"")</f>
        <v/>
      </c>
      <c r="O763" s="41">
        <f>IFERROR((1+H763)/(1+J763)-1,"")</f>
        <v/>
      </c>
      <c r="P763" s="39">
        <f>IFERROR(B763*0.0099502487562189+P762*(1-0.0099502487562189),"")</f>
        <v/>
      </c>
      <c r="Q763" s="42">
        <f>Q762*(1+E763)</f>
        <v/>
      </c>
      <c r="R763" s="42">
        <f>MAX(R762,Q763)</f>
        <v/>
      </c>
      <c r="S763" s="41">
        <f>IFERROR(Q763/R763-1,"")</f>
        <v/>
      </c>
      <c r="T763" s="41">
        <f>IFERROR(_xlfn.STDEV.S(E704:E763)*SQRT($D$7),"")</f>
        <v/>
      </c>
      <c r="U763" s="41">
        <f>IFERROR(MIN(E763-$D$6,0),"")</f>
        <v/>
      </c>
      <c r="V763" s="41">
        <f>IFERROR(E763-F763,"")</f>
        <v/>
      </c>
      <c r="W763" s="39">
        <f>B763</f>
        <v/>
      </c>
      <c r="X763" s="21" t="n"/>
    </row>
    <row r="764">
      <c r="A764" s="38" t="n">
        <v>46051</v>
      </c>
      <c r="B764" s="39" t="n">
        <v>299.47</v>
      </c>
      <c r="C764" s="39" t="n">
        <v>694.04</v>
      </c>
      <c r="D764" s="39" t="n">
        <v>50</v>
      </c>
      <c r="E764" s="41">
        <f>IFERROR(B764/B763-1,"")</f>
        <v/>
      </c>
      <c r="F764" s="41">
        <f>IFERROR(C764/C763-1,"")</f>
        <v/>
      </c>
      <c r="G764" s="41">
        <f>IFERROR(D764/D763-1,"")</f>
        <v/>
      </c>
      <c r="H764" s="41">
        <f>IFERROR((1+E764)*(1+H763)-1,"")</f>
        <v/>
      </c>
      <c r="I764" s="41">
        <f>IFERROR((1+F764)*(1+I763)-1,"")</f>
        <v/>
      </c>
      <c r="J764" s="41">
        <f>IFERROR((1+G764)*(1+J763)-1,"")</f>
        <v/>
      </c>
      <c r="K764" s="42">
        <f>IFERROR(B764/$B$36*100,"")</f>
        <v/>
      </c>
      <c r="L764" s="42">
        <f>IFERROR(C764/$C$36*100,"")</f>
        <v/>
      </c>
      <c r="M764" s="42">
        <f>IFERROR(D764/$D$36*100,"")</f>
        <v/>
      </c>
      <c r="N764" s="41">
        <f>IFERROR((1+H764)/(1+I764)-1,"")</f>
        <v/>
      </c>
      <c r="O764" s="41">
        <f>IFERROR((1+H764)/(1+J764)-1,"")</f>
        <v/>
      </c>
      <c r="P764" s="39">
        <f>IFERROR(B764*0.0099502487562189+P763*(1-0.0099502487562189),"")</f>
        <v/>
      </c>
      <c r="Q764" s="42">
        <f>Q763*(1+E764)</f>
        <v/>
      </c>
      <c r="R764" s="42">
        <f>MAX(R763,Q764)</f>
        <v/>
      </c>
      <c r="S764" s="41">
        <f>IFERROR(Q764/R764-1,"")</f>
        <v/>
      </c>
      <c r="T764" s="41">
        <f>IFERROR(_xlfn.STDEV.S(E705:E764)*SQRT($D$7),"")</f>
        <v/>
      </c>
      <c r="U764" s="41">
        <f>IFERROR(MIN(E764-$D$6,0),"")</f>
        <v/>
      </c>
      <c r="V764" s="41">
        <f>IFERROR(E764-F764,"")</f>
        <v/>
      </c>
      <c r="W764" s="39">
        <f>B764</f>
        <v/>
      </c>
      <c r="X764" s="21" t="n"/>
    </row>
    <row r="765">
      <c r="A765" s="38" t="n">
        <v>46052</v>
      </c>
      <c r="B765" s="39" t="n">
        <v>300.54</v>
      </c>
      <c r="C765" s="39" t="n">
        <v>691.97</v>
      </c>
      <c r="D765" s="39" t="n">
        <v>49.27</v>
      </c>
      <c r="E765" s="41">
        <f>IFERROR(B765/B764-1,"")</f>
        <v/>
      </c>
      <c r="F765" s="41">
        <f>IFERROR(C765/C764-1,"")</f>
        <v/>
      </c>
      <c r="G765" s="41">
        <f>IFERROR(D765/D764-1,"")</f>
        <v/>
      </c>
      <c r="H765" s="41">
        <f>IFERROR((1+E765)*(1+H764)-1,"")</f>
        <v/>
      </c>
      <c r="I765" s="41">
        <f>IFERROR((1+F765)*(1+I764)-1,"")</f>
        <v/>
      </c>
      <c r="J765" s="41">
        <f>IFERROR((1+G765)*(1+J764)-1,"")</f>
        <v/>
      </c>
      <c r="K765" s="42">
        <f>IFERROR(B765/$B$36*100,"")</f>
        <v/>
      </c>
      <c r="L765" s="42">
        <f>IFERROR(C765/$C$36*100,"")</f>
        <v/>
      </c>
      <c r="M765" s="42">
        <f>IFERROR(D765/$D$36*100,"")</f>
        <v/>
      </c>
      <c r="N765" s="41">
        <f>IFERROR((1+H765)/(1+I765)-1,"")</f>
        <v/>
      </c>
      <c r="O765" s="41">
        <f>IFERROR((1+H765)/(1+J765)-1,"")</f>
        <v/>
      </c>
      <c r="P765" s="39">
        <f>IFERROR(B765*0.0099502487562189+P764*(1-0.0099502487562189),"")</f>
        <v/>
      </c>
      <c r="Q765" s="42">
        <f>Q764*(1+E765)</f>
        <v/>
      </c>
      <c r="R765" s="42">
        <f>MAX(R764,Q765)</f>
        <v/>
      </c>
      <c r="S765" s="41">
        <f>IFERROR(Q765/R765-1,"")</f>
        <v/>
      </c>
      <c r="T765" s="41">
        <f>IFERROR(_xlfn.STDEV.S(E706:E765)*SQRT($D$7),"")</f>
        <v/>
      </c>
      <c r="U765" s="41">
        <f>IFERROR(MIN(E765-$D$6,0),"")</f>
        <v/>
      </c>
      <c r="V765" s="41">
        <f>IFERROR(E765-F765,"")</f>
        <v/>
      </c>
      <c r="W765" s="39">
        <f>B765</f>
        <v/>
      </c>
      <c r="X765" s="21" t="n"/>
    </row>
    <row r="766">
      <c r="A766" s="38" t="n">
        <v>46055</v>
      </c>
      <c r="B766" s="39" t="n">
        <v>305.92</v>
      </c>
      <c r="C766" s="39" t="n">
        <v>695.41</v>
      </c>
      <c r="D766" s="39" t="n">
        <v>49.65</v>
      </c>
      <c r="E766" s="41">
        <f>IFERROR(B766/B765-1,"")</f>
        <v/>
      </c>
      <c r="F766" s="41">
        <f>IFERROR(C766/C765-1,"")</f>
        <v/>
      </c>
      <c r="G766" s="41">
        <f>IFERROR(D766/D765-1,"")</f>
        <v/>
      </c>
      <c r="H766" s="41">
        <f>IFERROR((1+E766)*(1+H765)-1,"")</f>
        <v/>
      </c>
      <c r="I766" s="41">
        <f>IFERROR((1+F766)*(1+I765)-1,"")</f>
        <v/>
      </c>
      <c r="J766" s="41">
        <f>IFERROR((1+G766)*(1+J765)-1,"")</f>
        <v/>
      </c>
      <c r="K766" s="42">
        <f>IFERROR(B766/$B$36*100,"")</f>
        <v/>
      </c>
      <c r="L766" s="42">
        <f>IFERROR(C766/$C$36*100,"")</f>
        <v/>
      </c>
      <c r="M766" s="42">
        <f>IFERROR(D766/$D$36*100,"")</f>
        <v/>
      </c>
      <c r="N766" s="41">
        <f>IFERROR((1+H766)/(1+I766)-1,"")</f>
        <v/>
      </c>
      <c r="O766" s="41">
        <f>IFERROR((1+H766)/(1+J766)-1,"")</f>
        <v/>
      </c>
      <c r="P766" s="39">
        <f>IFERROR(B766*0.0099502487562189+P765*(1-0.0099502487562189),"")</f>
        <v/>
      </c>
      <c r="Q766" s="42">
        <f>Q765*(1+E766)</f>
        <v/>
      </c>
      <c r="R766" s="42">
        <f>MAX(R765,Q766)</f>
        <v/>
      </c>
      <c r="S766" s="41">
        <f>IFERROR(Q766/R766-1,"")</f>
        <v/>
      </c>
      <c r="T766" s="41">
        <f>IFERROR(_xlfn.STDEV.S(E707:E766)*SQRT($D$7),"")</f>
        <v/>
      </c>
      <c r="U766" s="41">
        <f>IFERROR(MIN(E766-$D$6,0),"")</f>
        <v/>
      </c>
      <c r="V766" s="41">
        <f>IFERROR(E766-F766,"")</f>
        <v/>
      </c>
      <c r="W766" s="39">
        <f>B766</f>
        <v/>
      </c>
      <c r="X766" s="21" t="n"/>
    </row>
    <row r="767">
      <c r="A767" s="38" t="n">
        <v>46056</v>
      </c>
      <c r="B767" s="39" t="n">
        <v>311.01</v>
      </c>
      <c r="C767" s="39" t="n">
        <v>689.53</v>
      </c>
      <c r="D767" s="39" t="n">
        <v>50.7</v>
      </c>
      <c r="E767" s="41">
        <f>IFERROR(B767/B766-1,"")</f>
        <v/>
      </c>
      <c r="F767" s="41">
        <f>IFERROR(C767/C766-1,"")</f>
        <v/>
      </c>
      <c r="G767" s="41">
        <f>IFERROR(D767/D766-1,"")</f>
        <v/>
      </c>
      <c r="H767" s="41">
        <f>IFERROR((1+E767)*(1+H766)-1,"")</f>
        <v/>
      </c>
      <c r="I767" s="41">
        <f>IFERROR((1+F767)*(1+I766)-1,"")</f>
        <v/>
      </c>
      <c r="J767" s="41">
        <f>IFERROR((1+G767)*(1+J766)-1,"")</f>
        <v/>
      </c>
      <c r="K767" s="42">
        <f>IFERROR(B767/$B$36*100,"")</f>
        <v/>
      </c>
      <c r="L767" s="42">
        <f>IFERROR(C767/$C$36*100,"")</f>
        <v/>
      </c>
      <c r="M767" s="42">
        <f>IFERROR(D767/$D$36*100,"")</f>
        <v/>
      </c>
      <c r="N767" s="41">
        <f>IFERROR((1+H767)/(1+I767)-1,"")</f>
        <v/>
      </c>
      <c r="O767" s="41">
        <f>IFERROR((1+H767)/(1+J767)-1,"")</f>
        <v/>
      </c>
      <c r="P767" s="39">
        <f>IFERROR(B767*0.0099502487562189+P766*(1-0.0099502487562189),"")</f>
        <v/>
      </c>
      <c r="Q767" s="42">
        <f>Q766*(1+E767)</f>
        <v/>
      </c>
      <c r="R767" s="42">
        <f>MAX(R766,Q767)</f>
        <v/>
      </c>
      <c r="S767" s="41">
        <f>IFERROR(Q767/R767-1,"")</f>
        <v/>
      </c>
      <c r="T767" s="41">
        <f>IFERROR(_xlfn.STDEV.S(E708:E767)*SQRT($D$7),"")</f>
        <v/>
      </c>
      <c r="U767" s="41">
        <f>IFERROR(MIN(E767-$D$6,0),"")</f>
        <v/>
      </c>
      <c r="V767" s="41">
        <f>IFERROR(E767-F767,"")</f>
        <v/>
      </c>
      <c r="W767" s="39">
        <f>B767</f>
        <v/>
      </c>
      <c r="X767" s="21" t="n"/>
    </row>
    <row r="768">
      <c r="A768" s="38" t="n">
        <v>46057</v>
      </c>
      <c r="B768" s="39" t="n">
        <v>311.49</v>
      </c>
      <c r="C768" s="39" t="n">
        <v>686.1900000000001</v>
      </c>
      <c r="D768" s="39" t="n">
        <v>51.89</v>
      </c>
      <c r="E768" s="41">
        <f>IFERROR(B768/B767-1,"")</f>
        <v/>
      </c>
      <c r="F768" s="41">
        <f>IFERROR(C768/C767-1,"")</f>
        <v/>
      </c>
      <c r="G768" s="41">
        <f>IFERROR(D768/D767-1,"")</f>
        <v/>
      </c>
      <c r="H768" s="41">
        <f>IFERROR((1+E768)*(1+H767)-1,"")</f>
        <v/>
      </c>
      <c r="I768" s="41">
        <f>IFERROR((1+F768)*(1+I767)-1,"")</f>
        <v/>
      </c>
      <c r="J768" s="41">
        <f>IFERROR((1+G768)*(1+J767)-1,"")</f>
        <v/>
      </c>
      <c r="K768" s="42">
        <f>IFERROR(B768/$B$36*100,"")</f>
        <v/>
      </c>
      <c r="L768" s="42">
        <f>IFERROR(C768/$C$36*100,"")</f>
        <v/>
      </c>
      <c r="M768" s="42">
        <f>IFERROR(D768/$D$36*100,"")</f>
        <v/>
      </c>
      <c r="N768" s="41">
        <f>IFERROR((1+H768)/(1+I768)-1,"")</f>
        <v/>
      </c>
      <c r="O768" s="41">
        <f>IFERROR((1+H768)/(1+J768)-1,"")</f>
        <v/>
      </c>
      <c r="P768" s="39">
        <f>IFERROR(B768*0.0099502487562189+P767*(1-0.0099502487562189),"")</f>
        <v/>
      </c>
      <c r="Q768" s="42">
        <f>Q767*(1+E768)</f>
        <v/>
      </c>
      <c r="R768" s="42">
        <f>MAX(R767,Q768)</f>
        <v/>
      </c>
      <c r="S768" s="41">
        <f>IFERROR(Q768/R768-1,"")</f>
        <v/>
      </c>
      <c r="T768" s="41">
        <f>IFERROR(_xlfn.STDEV.S(E709:E768)*SQRT($D$7),"")</f>
        <v/>
      </c>
      <c r="U768" s="41">
        <f>IFERROR(MIN(E768-$D$6,0),"")</f>
        <v/>
      </c>
      <c r="V768" s="41">
        <f>IFERROR(E768-F768,"")</f>
        <v/>
      </c>
      <c r="W768" s="39">
        <f>B768</f>
        <v/>
      </c>
      <c r="X768" s="21" t="n"/>
    </row>
    <row r="769">
      <c r="A769" s="38" t="n">
        <v>46058</v>
      </c>
      <c r="B769" s="39" t="n">
        <v>310.76</v>
      </c>
      <c r="C769" s="39" t="n">
        <v>677.62</v>
      </c>
      <c r="D769" s="39" t="n">
        <v>50.5</v>
      </c>
      <c r="E769" s="41">
        <f>IFERROR(B769/B768-1,"")</f>
        <v/>
      </c>
      <c r="F769" s="41">
        <f>IFERROR(C769/C768-1,"")</f>
        <v/>
      </c>
      <c r="G769" s="41">
        <f>IFERROR(D769/D768-1,"")</f>
        <v/>
      </c>
      <c r="H769" s="41">
        <f>IFERROR((1+E769)*(1+H768)-1,"")</f>
        <v/>
      </c>
      <c r="I769" s="41">
        <f>IFERROR((1+F769)*(1+I768)-1,"")</f>
        <v/>
      </c>
      <c r="J769" s="41">
        <f>IFERROR((1+G769)*(1+J768)-1,"")</f>
        <v/>
      </c>
      <c r="K769" s="42">
        <f>IFERROR(B769/$B$36*100,"")</f>
        <v/>
      </c>
      <c r="L769" s="42">
        <f>IFERROR(C769/$C$36*100,"")</f>
        <v/>
      </c>
      <c r="M769" s="42">
        <f>IFERROR(D769/$D$36*100,"")</f>
        <v/>
      </c>
      <c r="N769" s="41">
        <f>IFERROR((1+H769)/(1+I769)-1,"")</f>
        <v/>
      </c>
      <c r="O769" s="41">
        <f>IFERROR((1+H769)/(1+J769)-1,"")</f>
        <v/>
      </c>
      <c r="P769" s="39">
        <f>IFERROR(B769*0.0099502487562189+P768*(1-0.0099502487562189),"")</f>
        <v/>
      </c>
      <c r="Q769" s="42">
        <f>Q768*(1+E769)</f>
        <v/>
      </c>
      <c r="R769" s="42">
        <f>MAX(R768,Q769)</f>
        <v/>
      </c>
      <c r="S769" s="41">
        <f>IFERROR(Q769/R769-1,"")</f>
        <v/>
      </c>
      <c r="T769" s="41">
        <f>IFERROR(_xlfn.STDEV.S(E710:E769)*SQRT($D$7),"")</f>
        <v/>
      </c>
      <c r="U769" s="41">
        <f>IFERROR(MIN(E769-$D$6,0),"")</f>
        <v/>
      </c>
      <c r="V769" s="41">
        <f>IFERROR(E769-F769,"")</f>
        <v/>
      </c>
      <c r="W769" s="39">
        <f>B769</f>
        <v/>
      </c>
      <c r="X769" s="21" t="n"/>
    </row>
    <row r="770">
      <c r="A770" s="38" t="n">
        <v>46059</v>
      </c>
      <c r="B770" s="39" t="n">
        <v>323.72</v>
      </c>
      <c r="C770" s="39" t="n">
        <v>690.62</v>
      </c>
      <c r="D770" s="39" t="n">
        <v>51.51</v>
      </c>
      <c r="E770" s="41">
        <f>IFERROR(B770/B769-1,"")</f>
        <v/>
      </c>
      <c r="F770" s="41">
        <f>IFERROR(C770/C769-1,"")</f>
        <v/>
      </c>
      <c r="G770" s="41">
        <f>IFERROR(D770/D769-1,"")</f>
        <v/>
      </c>
      <c r="H770" s="41">
        <f>IFERROR((1+E770)*(1+H769)-1,"")</f>
        <v/>
      </c>
      <c r="I770" s="41">
        <f>IFERROR((1+F770)*(1+I769)-1,"")</f>
        <v/>
      </c>
      <c r="J770" s="41">
        <f>IFERROR((1+G770)*(1+J769)-1,"")</f>
        <v/>
      </c>
      <c r="K770" s="42">
        <f>IFERROR(B770/$B$36*100,"")</f>
        <v/>
      </c>
      <c r="L770" s="42">
        <f>IFERROR(C770/$C$36*100,"")</f>
        <v/>
      </c>
      <c r="M770" s="42">
        <f>IFERROR(D770/$D$36*100,"")</f>
        <v/>
      </c>
      <c r="N770" s="41">
        <f>IFERROR((1+H770)/(1+I770)-1,"")</f>
        <v/>
      </c>
      <c r="O770" s="41">
        <f>IFERROR((1+H770)/(1+J770)-1,"")</f>
        <v/>
      </c>
      <c r="P770" s="39">
        <f>IFERROR(B770*0.0099502487562189+P769*(1-0.0099502487562189),"")</f>
        <v/>
      </c>
      <c r="Q770" s="42">
        <f>Q769*(1+E770)</f>
        <v/>
      </c>
      <c r="R770" s="42">
        <f>MAX(R769,Q770)</f>
        <v/>
      </c>
      <c r="S770" s="41">
        <f>IFERROR(Q770/R770-1,"")</f>
        <v/>
      </c>
      <c r="T770" s="41">
        <f>IFERROR(_xlfn.STDEV.S(E711:E770)*SQRT($D$7),"")</f>
        <v/>
      </c>
      <c r="U770" s="41">
        <f>IFERROR(MIN(E770-$D$6,0),"")</f>
        <v/>
      </c>
      <c r="V770" s="41">
        <f>IFERROR(E770-F770,"")</f>
        <v/>
      </c>
      <c r="W770" s="39">
        <f>B770</f>
        <v/>
      </c>
      <c r="X770" s="21" t="n"/>
    </row>
    <row r="771">
      <c r="A771" s="38" t="n">
        <v>46062</v>
      </c>
      <c r="B771" s="39" t="n">
        <v>327.32</v>
      </c>
      <c r="C771" s="39" t="n">
        <v>693.95</v>
      </c>
      <c r="D771" s="39" t="n">
        <v>52.18</v>
      </c>
      <c r="E771" s="41">
        <f>IFERROR(B771/B770-1,"")</f>
        <v/>
      </c>
      <c r="F771" s="41">
        <f>IFERROR(C771/C770-1,"")</f>
        <v/>
      </c>
      <c r="G771" s="41">
        <f>IFERROR(D771/D770-1,"")</f>
        <v/>
      </c>
      <c r="H771" s="41">
        <f>IFERROR((1+E771)*(1+H770)-1,"")</f>
        <v/>
      </c>
      <c r="I771" s="41">
        <f>IFERROR((1+F771)*(1+I770)-1,"")</f>
        <v/>
      </c>
      <c r="J771" s="41">
        <f>IFERROR((1+G771)*(1+J770)-1,"")</f>
        <v/>
      </c>
      <c r="K771" s="42">
        <f>IFERROR(B771/$B$36*100,"")</f>
        <v/>
      </c>
      <c r="L771" s="42">
        <f>IFERROR(C771/$C$36*100,"")</f>
        <v/>
      </c>
      <c r="M771" s="42">
        <f>IFERROR(D771/$D$36*100,"")</f>
        <v/>
      </c>
      <c r="N771" s="41">
        <f>IFERROR((1+H771)/(1+I771)-1,"")</f>
        <v/>
      </c>
      <c r="O771" s="41">
        <f>IFERROR((1+H771)/(1+J771)-1,"")</f>
        <v/>
      </c>
      <c r="P771" s="39">
        <f>IFERROR(B771*0.0099502487562189+P770*(1-0.0099502487562189),"")</f>
        <v/>
      </c>
      <c r="Q771" s="42">
        <f>Q770*(1+E771)</f>
        <v/>
      </c>
      <c r="R771" s="42">
        <f>MAX(R770,Q771)</f>
        <v/>
      </c>
      <c r="S771" s="41">
        <f>IFERROR(Q771/R771-1,"")</f>
        <v/>
      </c>
      <c r="T771" s="41">
        <f>IFERROR(_xlfn.STDEV.S(E712:E771)*SQRT($D$7),"")</f>
        <v/>
      </c>
      <c r="U771" s="41">
        <f>IFERROR(MIN(E771-$D$6,0),"")</f>
        <v/>
      </c>
      <c r="V771" s="41">
        <f>IFERROR(E771-F771,"")</f>
        <v/>
      </c>
      <c r="W771" s="39">
        <f>B771</f>
        <v/>
      </c>
      <c r="X771" s="21" t="n"/>
    </row>
    <row r="772">
      <c r="A772" s="38" t="n">
        <v>46063</v>
      </c>
      <c r="B772" s="39" t="n">
        <v>330.37</v>
      </c>
      <c r="C772" s="39" t="n">
        <v>692.12</v>
      </c>
      <c r="D772" s="39" t="n">
        <v>52.91</v>
      </c>
      <c r="E772" s="41">
        <f>IFERROR(B772/B771-1,"")</f>
        <v/>
      </c>
      <c r="F772" s="41">
        <f>IFERROR(C772/C771-1,"")</f>
        <v/>
      </c>
      <c r="G772" s="41">
        <f>IFERROR(D772/D771-1,"")</f>
        <v/>
      </c>
      <c r="H772" s="41">
        <f>IFERROR((1+E772)*(1+H771)-1,"")</f>
        <v/>
      </c>
      <c r="I772" s="41">
        <f>IFERROR((1+F772)*(1+I771)-1,"")</f>
        <v/>
      </c>
      <c r="J772" s="41">
        <f>IFERROR((1+G772)*(1+J771)-1,"")</f>
        <v/>
      </c>
      <c r="K772" s="42">
        <f>IFERROR(B772/$B$36*100,"")</f>
        <v/>
      </c>
      <c r="L772" s="42">
        <f>IFERROR(C772/$C$36*100,"")</f>
        <v/>
      </c>
      <c r="M772" s="42">
        <f>IFERROR(D772/$D$36*100,"")</f>
        <v/>
      </c>
      <c r="N772" s="41">
        <f>IFERROR((1+H772)/(1+I772)-1,"")</f>
        <v/>
      </c>
      <c r="O772" s="41">
        <f>IFERROR((1+H772)/(1+J772)-1,"")</f>
        <v/>
      </c>
      <c r="P772" s="39">
        <f>IFERROR(B772*0.0099502487562189+P771*(1-0.0099502487562189),"")</f>
        <v/>
      </c>
      <c r="Q772" s="42">
        <f>Q771*(1+E772)</f>
        <v/>
      </c>
      <c r="R772" s="42">
        <f>MAX(R771,Q772)</f>
        <v/>
      </c>
      <c r="S772" s="41">
        <f>IFERROR(Q772/R772-1,"")</f>
        <v/>
      </c>
      <c r="T772" s="41">
        <f>IFERROR(_xlfn.STDEV.S(E713:E772)*SQRT($D$7),"")</f>
        <v/>
      </c>
      <c r="U772" s="41">
        <f>IFERROR(MIN(E772-$D$6,0),"")</f>
        <v/>
      </c>
      <c r="V772" s="41">
        <f>IFERROR(E772-F772,"")</f>
        <v/>
      </c>
      <c r="W772" s="39">
        <f>B772</f>
        <v/>
      </c>
      <c r="X772" s="21" t="n"/>
    </row>
    <row r="773">
      <c r="A773" s="38" t="n">
        <v>46064</v>
      </c>
      <c r="B773" s="39" t="n">
        <v>319.78</v>
      </c>
      <c r="C773" s="39" t="n">
        <v>691.96</v>
      </c>
      <c r="D773" s="39" t="n">
        <v>53.62</v>
      </c>
      <c r="E773" s="41">
        <f>IFERROR(B773/B772-1,"")</f>
        <v/>
      </c>
      <c r="F773" s="41">
        <f>IFERROR(C773/C772-1,"")</f>
        <v/>
      </c>
      <c r="G773" s="41">
        <f>IFERROR(D773/D772-1,"")</f>
        <v/>
      </c>
      <c r="H773" s="41">
        <f>IFERROR((1+E773)*(1+H772)-1,"")</f>
        <v/>
      </c>
      <c r="I773" s="41">
        <f>IFERROR((1+F773)*(1+I772)-1,"")</f>
        <v/>
      </c>
      <c r="J773" s="41">
        <f>IFERROR((1+G773)*(1+J772)-1,"")</f>
        <v/>
      </c>
      <c r="K773" s="42">
        <f>IFERROR(B773/$B$36*100,"")</f>
        <v/>
      </c>
      <c r="L773" s="42">
        <f>IFERROR(C773/$C$36*100,"")</f>
        <v/>
      </c>
      <c r="M773" s="42">
        <f>IFERROR(D773/$D$36*100,"")</f>
        <v/>
      </c>
      <c r="N773" s="41">
        <f>IFERROR((1+H773)/(1+I773)-1,"")</f>
        <v/>
      </c>
      <c r="O773" s="41">
        <f>IFERROR((1+H773)/(1+J773)-1,"")</f>
        <v/>
      </c>
      <c r="P773" s="39">
        <f>IFERROR(B773*0.0099502487562189+P772*(1-0.0099502487562189),"")</f>
        <v/>
      </c>
      <c r="Q773" s="42">
        <f>Q772*(1+E773)</f>
        <v/>
      </c>
      <c r="R773" s="42">
        <f>MAX(R772,Q773)</f>
        <v/>
      </c>
      <c r="S773" s="41">
        <f>IFERROR(Q773/R773-1,"")</f>
        <v/>
      </c>
      <c r="T773" s="41">
        <f>IFERROR(_xlfn.STDEV.S(E714:E773)*SQRT($D$7),"")</f>
        <v/>
      </c>
      <c r="U773" s="41">
        <f>IFERROR(MIN(E773-$D$6,0),"")</f>
        <v/>
      </c>
      <c r="V773" s="41">
        <f>IFERROR(E773-F773,"")</f>
        <v/>
      </c>
      <c r="W773" s="39">
        <f>B773</f>
        <v/>
      </c>
      <c r="X773" s="21" t="n"/>
    </row>
    <row r="774">
      <c r="A774" s="38" t="n">
        <v>46065</v>
      </c>
      <c r="B774" s="39" t="n">
        <v>321.92</v>
      </c>
      <c r="C774" s="39" t="n">
        <v>681.27</v>
      </c>
      <c r="D774" s="39" t="n">
        <v>52.83</v>
      </c>
      <c r="E774" s="41">
        <f>IFERROR(B774/B773-1,"")</f>
        <v/>
      </c>
      <c r="F774" s="41">
        <f>IFERROR(C774/C773-1,"")</f>
        <v/>
      </c>
      <c r="G774" s="41">
        <f>IFERROR(D774/D773-1,"")</f>
        <v/>
      </c>
      <c r="H774" s="41">
        <f>IFERROR((1+E774)*(1+H773)-1,"")</f>
        <v/>
      </c>
      <c r="I774" s="41">
        <f>IFERROR((1+F774)*(1+I773)-1,"")</f>
        <v/>
      </c>
      <c r="J774" s="41">
        <f>IFERROR((1+G774)*(1+J773)-1,"")</f>
        <v/>
      </c>
      <c r="K774" s="42">
        <f>IFERROR(B774/$B$36*100,"")</f>
        <v/>
      </c>
      <c r="L774" s="42">
        <f>IFERROR(C774/$C$36*100,"")</f>
        <v/>
      </c>
      <c r="M774" s="42">
        <f>IFERROR(D774/$D$36*100,"")</f>
        <v/>
      </c>
      <c r="N774" s="41">
        <f>IFERROR((1+H774)/(1+I774)-1,"")</f>
        <v/>
      </c>
      <c r="O774" s="41">
        <f>IFERROR((1+H774)/(1+J774)-1,"")</f>
        <v/>
      </c>
      <c r="P774" s="39">
        <f>IFERROR(B774*0.0099502487562189+P773*(1-0.0099502487562189),"")</f>
        <v/>
      </c>
      <c r="Q774" s="42">
        <f>Q773*(1+E774)</f>
        <v/>
      </c>
      <c r="R774" s="42">
        <f>MAX(R773,Q774)</f>
        <v/>
      </c>
      <c r="S774" s="41">
        <f>IFERROR(Q774/R774-1,"")</f>
        <v/>
      </c>
      <c r="T774" s="41">
        <f>IFERROR(_xlfn.STDEV.S(E715:E774)*SQRT($D$7),"")</f>
        <v/>
      </c>
      <c r="U774" s="41">
        <f>IFERROR(MIN(E774-$D$6,0),"")</f>
        <v/>
      </c>
      <c r="V774" s="41">
        <f>IFERROR(E774-F774,"")</f>
        <v/>
      </c>
      <c r="W774" s="39">
        <f>B774</f>
        <v/>
      </c>
      <c r="X774" s="21" t="n"/>
    </row>
    <row r="775">
      <c r="A775" s="38" t="n">
        <v>46066</v>
      </c>
      <c r="B775" s="39" t="n">
        <v>327.65</v>
      </c>
      <c r="C775" s="39" t="n">
        <v>681.75</v>
      </c>
      <c r="D775" s="39" t="n">
        <v>53.31</v>
      </c>
      <c r="E775" s="41">
        <f>IFERROR(B775/B774-1,"")</f>
        <v/>
      </c>
      <c r="F775" s="41">
        <f>IFERROR(C775/C774-1,"")</f>
        <v/>
      </c>
      <c r="G775" s="41">
        <f>IFERROR(D775/D774-1,"")</f>
        <v/>
      </c>
      <c r="H775" s="41">
        <f>IFERROR((1+E775)*(1+H774)-1,"")</f>
        <v/>
      </c>
      <c r="I775" s="41">
        <f>IFERROR((1+F775)*(1+I774)-1,"")</f>
        <v/>
      </c>
      <c r="J775" s="41">
        <f>IFERROR((1+G775)*(1+J774)-1,"")</f>
        <v/>
      </c>
      <c r="K775" s="42">
        <f>IFERROR(B775/$B$36*100,"")</f>
        <v/>
      </c>
      <c r="L775" s="42">
        <f>IFERROR(C775/$C$36*100,"")</f>
        <v/>
      </c>
      <c r="M775" s="42">
        <f>IFERROR(D775/$D$36*100,"")</f>
        <v/>
      </c>
      <c r="N775" s="41">
        <f>IFERROR((1+H775)/(1+I775)-1,"")</f>
        <v/>
      </c>
      <c r="O775" s="41">
        <f>IFERROR((1+H775)/(1+J775)-1,"")</f>
        <v/>
      </c>
      <c r="P775" s="39">
        <f>IFERROR(B775*0.0099502487562189+P774*(1-0.0099502487562189),"")</f>
        <v/>
      </c>
      <c r="Q775" s="42">
        <f>Q774*(1+E775)</f>
        <v/>
      </c>
      <c r="R775" s="42">
        <f>MAX(R774,Q775)</f>
        <v/>
      </c>
      <c r="S775" s="41">
        <f>IFERROR(Q775/R775-1,"")</f>
        <v/>
      </c>
      <c r="T775" s="41">
        <f>IFERROR(_xlfn.STDEV.S(E716:E775)*SQRT($D$7),"")</f>
        <v/>
      </c>
      <c r="U775" s="41">
        <f>IFERROR(MIN(E775-$D$6,0),"")</f>
        <v/>
      </c>
      <c r="V775" s="41">
        <f>IFERROR(E775-F775,"")</f>
        <v/>
      </c>
      <c r="W775" s="39">
        <f>B775</f>
        <v/>
      </c>
      <c r="X775" s="21" t="n"/>
    </row>
    <row r="776">
      <c r="A776" s="38" t="n">
        <v>46070</v>
      </c>
      <c r="B776" s="39" t="n">
        <v>302.22</v>
      </c>
      <c r="C776" s="39" t="n">
        <v>682.85</v>
      </c>
      <c r="D776" s="39" t="n">
        <v>52.7</v>
      </c>
      <c r="E776" s="41">
        <f>IFERROR(B776/B775-1,"")</f>
        <v/>
      </c>
      <c r="F776" s="41">
        <f>IFERROR(C776/C775-1,"")</f>
        <v/>
      </c>
      <c r="G776" s="41">
        <f>IFERROR(D776/D775-1,"")</f>
        <v/>
      </c>
      <c r="H776" s="41">
        <f>IFERROR((1+E776)*(1+H775)-1,"")</f>
        <v/>
      </c>
      <c r="I776" s="41">
        <f>IFERROR((1+F776)*(1+I775)-1,"")</f>
        <v/>
      </c>
      <c r="J776" s="41">
        <f>IFERROR((1+G776)*(1+J775)-1,"")</f>
        <v/>
      </c>
      <c r="K776" s="42">
        <f>IFERROR(B776/$B$36*100,"")</f>
        <v/>
      </c>
      <c r="L776" s="42">
        <f>IFERROR(C776/$C$36*100,"")</f>
        <v/>
      </c>
      <c r="M776" s="42">
        <f>IFERROR(D776/$D$36*100,"")</f>
        <v/>
      </c>
      <c r="N776" s="41">
        <f>IFERROR((1+H776)/(1+I776)-1,"")</f>
        <v/>
      </c>
      <c r="O776" s="41">
        <f>IFERROR((1+H776)/(1+J776)-1,"")</f>
        <v/>
      </c>
      <c r="P776" s="39">
        <f>IFERROR(B776*0.0099502487562189+P775*(1-0.0099502487562189),"")</f>
        <v/>
      </c>
      <c r="Q776" s="42">
        <f>Q775*(1+E776)</f>
        <v/>
      </c>
      <c r="R776" s="42">
        <f>MAX(R775,Q776)</f>
        <v/>
      </c>
      <c r="S776" s="41">
        <f>IFERROR(Q776/R776-1,"")</f>
        <v/>
      </c>
      <c r="T776" s="41">
        <f>IFERROR(_xlfn.STDEV.S(E717:E776)*SQRT($D$7),"")</f>
        <v/>
      </c>
      <c r="U776" s="41">
        <f>IFERROR(MIN(E776-$D$6,0),"")</f>
        <v/>
      </c>
      <c r="V776" s="41">
        <f>IFERROR(E776-F776,"")</f>
        <v/>
      </c>
      <c r="W776" s="39">
        <f>B776</f>
        <v/>
      </c>
      <c r="X776" s="21" t="n"/>
    </row>
    <row r="777">
      <c r="A777" s="38" t="n">
        <v>46071</v>
      </c>
      <c r="B777" s="39" t="n">
        <v>299.36</v>
      </c>
      <c r="C777" s="39" t="n">
        <v>686.29</v>
      </c>
      <c r="D777" s="39" t="n">
        <v>53.02</v>
      </c>
      <c r="E777" s="41">
        <f>IFERROR(B777/B776-1,"")</f>
        <v/>
      </c>
      <c r="F777" s="41">
        <f>IFERROR(C777/C776-1,"")</f>
        <v/>
      </c>
      <c r="G777" s="41">
        <f>IFERROR(D777/D776-1,"")</f>
        <v/>
      </c>
      <c r="H777" s="41">
        <f>IFERROR((1+E777)*(1+H776)-1,"")</f>
        <v/>
      </c>
      <c r="I777" s="41">
        <f>IFERROR((1+F777)*(1+I776)-1,"")</f>
        <v/>
      </c>
      <c r="J777" s="41">
        <f>IFERROR((1+G777)*(1+J776)-1,"")</f>
        <v/>
      </c>
      <c r="K777" s="42">
        <f>IFERROR(B777/$B$36*100,"")</f>
        <v/>
      </c>
      <c r="L777" s="42">
        <f>IFERROR(C777/$C$36*100,"")</f>
        <v/>
      </c>
      <c r="M777" s="42">
        <f>IFERROR(D777/$D$36*100,"")</f>
        <v/>
      </c>
      <c r="N777" s="41">
        <f>IFERROR((1+H777)/(1+I777)-1,"")</f>
        <v/>
      </c>
      <c r="O777" s="41">
        <f>IFERROR((1+H777)/(1+J777)-1,"")</f>
        <v/>
      </c>
      <c r="P777" s="39">
        <f>IFERROR(B777*0.0099502487562189+P776*(1-0.0099502487562189),"")</f>
        <v/>
      </c>
      <c r="Q777" s="42">
        <f>Q776*(1+E777)</f>
        <v/>
      </c>
      <c r="R777" s="42">
        <f>MAX(R776,Q777)</f>
        <v/>
      </c>
      <c r="S777" s="41">
        <f>IFERROR(Q777/R777-1,"")</f>
        <v/>
      </c>
      <c r="T777" s="41">
        <f>IFERROR(_xlfn.STDEV.S(E718:E777)*SQRT($D$7),"")</f>
        <v/>
      </c>
      <c r="U777" s="41">
        <f>IFERROR(MIN(E777-$D$6,0),"")</f>
        <v/>
      </c>
      <c r="V777" s="41">
        <f>IFERROR(E777-F777,"")</f>
        <v/>
      </c>
      <c r="W777" s="39">
        <f>B777</f>
        <v/>
      </c>
      <c r="X777" s="21" t="n"/>
    </row>
    <row r="778">
      <c r="A778" s="38" t="n">
        <v>46072</v>
      </c>
      <c r="B778" s="39" t="n">
        <v>302.85</v>
      </c>
      <c r="C778" s="39" t="n">
        <v>684.48</v>
      </c>
      <c r="D778" s="39" t="n">
        <v>52.83</v>
      </c>
      <c r="E778" s="41">
        <f>IFERROR(B778/B777-1,"")</f>
        <v/>
      </c>
      <c r="F778" s="41">
        <f>IFERROR(C778/C777-1,"")</f>
        <v/>
      </c>
      <c r="G778" s="41">
        <f>IFERROR(D778/D777-1,"")</f>
        <v/>
      </c>
      <c r="H778" s="41">
        <f>IFERROR((1+E778)*(1+H777)-1,"")</f>
        <v/>
      </c>
      <c r="I778" s="41">
        <f>IFERROR((1+F778)*(1+I777)-1,"")</f>
        <v/>
      </c>
      <c r="J778" s="41">
        <f>IFERROR((1+G778)*(1+J777)-1,"")</f>
        <v/>
      </c>
      <c r="K778" s="42">
        <f>IFERROR(B778/$B$36*100,"")</f>
        <v/>
      </c>
      <c r="L778" s="42">
        <f>IFERROR(C778/$C$36*100,"")</f>
        <v/>
      </c>
      <c r="M778" s="42">
        <f>IFERROR(D778/$D$36*100,"")</f>
        <v/>
      </c>
      <c r="N778" s="41">
        <f>IFERROR((1+H778)/(1+I778)-1,"")</f>
        <v/>
      </c>
      <c r="O778" s="41">
        <f>IFERROR((1+H778)/(1+J778)-1,"")</f>
        <v/>
      </c>
      <c r="P778" s="39">
        <f>IFERROR(B778*0.0099502487562189+P777*(1-0.0099502487562189),"")</f>
        <v/>
      </c>
      <c r="Q778" s="42">
        <f>Q777*(1+E778)</f>
        <v/>
      </c>
      <c r="R778" s="42">
        <f>MAX(R777,Q778)</f>
        <v/>
      </c>
      <c r="S778" s="41">
        <f>IFERROR(Q778/R778-1,"")</f>
        <v/>
      </c>
      <c r="T778" s="41">
        <f>IFERROR(_xlfn.STDEV.S(E719:E778)*SQRT($D$7),"")</f>
        <v/>
      </c>
      <c r="U778" s="41">
        <f>IFERROR(MIN(E778-$D$6,0),"")</f>
        <v/>
      </c>
      <c r="V778" s="41">
        <f>IFERROR(E778-F778,"")</f>
        <v/>
      </c>
      <c r="W778" s="39">
        <f>B778</f>
        <v/>
      </c>
      <c r="X778" s="21" t="n"/>
    </row>
    <row r="779">
      <c r="A779" s="38" t="n">
        <v>46073</v>
      </c>
      <c r="B779" s="39" t="n">
        <v>305.29</v>
      </c>
      <c r="C779" s="39" t="n">
        <v>689.4299999999999</v>
      </c>
      <c r="D779" s="39" t="n">
        <v>52.96</v>
      </c>
      <c r="E779" s="41">
        <f>IFERROR(B779/B778-1,"")</f>
        <v/>
      </c>
      <c r="F779" s="41">
        <f>IFERROR(C779/C778-1,"")</f>
        <v/>
      </c>
      <c r="G779" s="41">
        <f>IFERROR(D779/D778-1,"")</f>
        <v/>
      </c>
      <c r="H779" s="41">
        <f>IFERROR((1+E779)*(1+H778)-1,"")</f>
        <v/>
      </c>
      <c r="I779" s="41">
        <f>IFERROR((1+F779)*(1+I778)-1,"")</f>
        <v/>
      </c>
      <c r="J779" s="41">
        <f>IFERROR((1+G779)*(1+J778)-1,"")</f>
        <v/>
      </c>
      <c r="K779" s="42">
        <f>IFERROR(B779/$B$36*100,"")</f>
        <v/>
      </c>
      <c r="L779" s="42">
        <f>IFERROR(C779/$C$36*100,"")</f>
        <v/>
      </c>
      <c r="M779" s="42">
        <f>IFERROR(D779/$D$36*100,"")</f>
        <v/>
      </c>
      <c r="N779" s="41">
        <f>IFERROR((1+H779)/(1+I779)-1,"")</f>
        <v/>
      </c>
      <c r="O779" s="41">
        <f>IFERROR((1+H779)/(1+J779)-1,"")</f>
        <v/>
      </c>
      <c r="P779" s="39">
        <f>IFERROR(B779*0.0099502487562189+P778*(1-0.0099502487562189),"")</f>
        <v/>
      </c>
      <c r="Q779" s="42">
        <f>Q778*(1+E779)</f>
        <v/>
      </c>
      <c r="R779" s="42">
        <f>MAX(R778,Q779)</f>
        <v/>
      </c>
      <c r="S779" s="41">
        <f>IFERROR(Q779/R779-1,"")</f>
        <v/>
      </c>
      <c r="T779" s="41">
        <f>IFERROR(_xlfn.STDEV.S(E720:E779)*SQRT($D$7),"")</f>
        <v/>
      </c>
      <c r="U779" s="41">
        <f>IFERROR(MIN(E779-$D$6,0),"")</f>
        <v/>
      </c>
      <c r="V779" s="41">
        <f>IFERROR(E779-F779,"")</f>
        <v/>
      </c>
      <c r="W779" s="39">
        <f>B779</f>
        <v/>
      </c>
      <c r="X779" s="21" t="n"/>
    </row>
    <row r="780">
      <c r="A780" s="38" t="n">
        <v>46076</v>
      </c>
      <c r="B780" s="39" t="n">
        <v>310.79</v>
      </c>
      <c r="C780" s="39" t="n">
        <v>682.39</v>
      </c>
      <c r="D780" s="39" t="n">
        <v>52.96</v>
      </c>
      <c r="E780" s="41">
        <f>IFERROR(B780/B779-1,"")</f>
        <v/>
      </c>
      <c r="F780" s="41">
        <f>IFERROR(C780/C779-1,"")</f>
        <v/>
      </c>
      <c r="G780" s="41">
        <f>IFERROR(D780/D779-1,"")</f>
        <v/>
      </c>
      <c r="H780" s="41">
        <f>IFERROR((1+E780)*(1+H779)-1,"")</f>
        <v/>
      </c>
      <c r="I780" s="41">
        <f>IFERROR((1+F780)*(1+I779)-1,"")</f>
        <v/>
      </c>
      <c r="J780" s="41">
        <f>IFERROR((1+G780)*(1+J779)-1,"")</f>
        <v/>
      </c>
      <c r="K780" s="42">
        <f>IFERROR(B780/$B$36*100,"")</f>
        <v/>
      </c>
      <c r="L780" s="42">
        <f>IFERROR(C780/$C$36*100,"")</f>
        <v/>
      </c>
      <c r="M780" s="42">
        <f>IFERROR(D780/$D$36*100,"")</f>
        <v/>
      </c>
      <c r="N780" s="41">
        <f>IFERROR((1+H780)/(1+I780)-1,"")</f>
        <v/>
      </c>
      <c r="O780" s="41">
        <f>IFERROR((1+H780)/(1+J780)-1,"")</f>
        <v/>
      </c>
      <c r="P780" s="39">
        <f>IFERROR(B780*0.0099502487562189+P779*(1-0.0099502487562189),"")</f>
        <v/>
      </c>
      <c r="Q780" s="42">
        <f>Q779*(1+E780)</f>
        <v/>
      </c>
      <c r="R780" s="42">
        <f>MAX(R779,Q780)</f>
        <v/>
      </c>
      <c r="S780" s="41">
        <f>IFERROR(Q780/R780-1,"")</f>
        <v/>
      </c>
      <c r="T780" s="41">
        <f>IFERROR(_xlfn.STDEV.S(E721:E780)*SQRT($D$7),"")</f>
        <v/>
      </c>
      <c r="U780" s="41">
        <f>IFERROR(MIN(E780-$D$6,0),"")</f>
        <v/>
      </c>
      <c r="V780" s="41">
        <f>IFERROR(E780-F780,"")</f>
        <v/>
      </c>
      <c r="W780" s="39">
        <f>B780</f>
        <v/>
      </c>
      <c r="X780" s="21" t="n"/>
    </row>
    <row r="781">
      <c r="A781" s="38" t="n">
        <v>46077</v>
      </c>
      <c r="B781" s="39" t="n">
        <v>317.89</v>
      </c>
      <c r="C781" s="39" t="n">
        <v>687.35</v>
      </c>
      <c r="D781" s="39" t="n">
        <v>53.36</v>
      </c>
      <c r="E781" s="41">
        <f>IFERROR(B781/B780-1,"")</f>
        <v/>
      </c>
      <c r="F781" s="41">
        <f>IFERROR(C781/C780-1,"")</f>
        <v/>
      </c>
      <c r="G781" s="41">
        <f>IFERROR(D781/D780-1,"")</f>
        <v/>
      </c>
      <c r="H781" s="41">
        <f>IFERROR((1+E781)*(1+H780)-1,"")</f>
        <v/>
      </c>
      <c r="I781" s="41">
        <f>IFERROR((1+F781)*(1+I780)-1,"")</f>
        <v/>
      </c>
      <c r="J781" s="41">
        <f>IFERROR((1+G781)*(1+J780)-1,"")</f>
        <v/>
      </c>
      <c r="K781" s="42">
        <f>IFERROR(B781/$B$36*100,"")</f>
        <v/>
      </c>
      <c r="L781" s="42">
        <f>IFERROR(C781/$C$36*100,"")</f>
        <v/>
      </c>
      <c r="M781" s="42">
        <f>IFERROR(D781/$D$36*100,"")</f>
        <v/>
      </c>
      <c r="N781" s="41">
        <f>IFERROR((1+H781)/(1+I781)-1,"")</f>
        <v/>
      </c>
      <c r="O781" s="41">
        <f>IFERROR((1+H781)/(1+J781)-1,"")</f>
        <v/>
      </c>
      <c r="P781" s="39">
        <f>IFERROR(B781*0.0099502487562189+P780*(1-0.0099502487562189),"")</f>
        <v/>
      </c>
      <c r="Q781" s="42">
        <f>Q780*(1+E781)</f>
        <v/>
      </c>
      <c r="R781" s="42">
        <f>MAX(R780,Q781)</f>
        <v/>
      </c>
      <c r="S781" s="41">
        <f>IFERROR(Q781/R781-1,"")</f>
        <v/>
      </c>
      <c r="T781" s="41">
        <f>IFERROR(_xlfn.STDEV.S(E722:E781)*SQRT($D$7),"")</f>
        <v/>
      </c>
      <c r="U781" s="41">
        <f>IFERROR(MIN(E781-$D$6,0),"")</f>
        <v/>
      </c>
      <c r="V781" s="41">
        <f>IFERROR(E781-F781,"")</f>
        <v/>
      </c>
      <c r="W781" s="39">
        <f>B781</f>
        <v/>
      </c>
      <c r="X781" s="21" t="n"/>
    </row>
    <row r="782">
      <c r="A782" s="38" t="n">
        <v>46078</v>
      </c>
      <c r="B782" s="39" t="n">
        <v>305.53</v>
      </c>
      <c r="C782" s="39" t="n">
        <v>693.15</v>
      </c>
      <c r="D782" s="39" t="n">
        <v>53.06</v>
      </c>
      <c r="E782" s="41">
        <f>IFERROR(B782/B781-1,"")</f>
        <v/>
      </c>
      <c r="F782" s="41">
        <f>IFERROR(C782/C781-1,"")</f>
        <v/>
      </c>
      <c r="G782" s="41">
        <f>IFERROR(D782/D781-1,"")</f>
        <v/>
      </c>
      <c r="H782" s="41">
        <f>IFERROR((1+E782)*(1+H781)-1,"")</f>
        <v/>
      </c>
      <c r="I782" s="41">
        <f>IFERROR((1+F782)*(1+I781)-1,"")</f>
        <v/>
      </c>
      <c r="J782" s="41">
        <f>IFERROR((1+G782)*(1+J781)-1,"")</f>
        <v/>
      </c>
      <c r="K782" s="42">
        <f>IFERROR(B782/$B$36*100,"")</f>
        <v/>
      </c>
      <c r="L782" s="42">
        <f>IFERROR(C782/$C$36*100,"")</f>
        <v/>
      </c>
      <c r="M782" s="42">
        <f>IFERROR(D782/$D$36*100,"")</f>
        <v/>
      </c>
      <c r="N782" s="41">
        <f>IFERROR((1+H782)/(1+I782)-1,"")</f>
        <v/>
      </c>
      <c r="O782" s="41">
        <f>IFERROR((1+H782)/(1+J782)-1,"")</f>
        <v/>
      </c>
      <c r="P782" s="39">
        <f>IFERROR(B782*0.0099502487562189+P781*(1-0.0099502487562189),"")</f>
        <v/>
      </c>
      <c r="Q782" s="42">
        <f>Q781*(1+E782)</f>
        <v/>
      </c>
      <c r="R782" s="42">
        <f>MAX(R781,Q782)</f>
        <v/>
      </c>
      <c r="S782" s="41">
        <f>IFERROR(Q782/R782-1,"")</f>
        <v/>
      </c>
      <c r="T782" s="41">
        <f>IFERROR(_xlfn.STDEV.S(E723:E782)*SQRT($D$7),"")</f>
        <v/>
      </c>
      <c r="U782" s="41">
        <f>IFERROR(MIN(E782-$D$6,0),"")</f>
        <v/>
      </c>
      <c r="V782" s="41">
        <f>IFERROR(E782-F782,"")</f>
        <v/>
      </c>
      <c r="W782" s="39">
        <f>B782</f>
        <v/>
      </c>
      <c r="X782" s="21" t="n"/>
    </row>
    <row r="783">
      <c r="A783" s="38" t="n">
        <v>46079</v>
      </c>
      <c r="B783" s="39" t="n">
        <v>308.99</v>
      </c>
      <c r="C783" s="39" t="n">
        <v>689.3</v>
      </c>
      <c r="D783" s="39" t="n">
        <v>53</v>
      </c>
      <c r="E783" s="41">
        <f>IFERROR(B783/B782-1,"")</f>
        <v/>
      </c>
      <c r="F783" s="41">
        <f>IFERROR(C783/C782-1,"")</f>
        <v/>
      </c>
      <c r="G783" s="41">
        <f>IFERROR(D783/D782-1,"")</f>
        <v/>
      </c>
      <c r="H783" s="41">
        <f>IFERROR((1+E783)*(1+H782)-1,"")</f>
        <v/>
      </c>
      <c r="I783" s="41">
        <f>IFERROR((1+F783)*(1+I782)-1,"")</f>
        <v/>
      </c>
      <c r="J783" s="41">
        <f>IFERROR((1+G783)*(1+J782)-1,"")</f>
        <v/>
      </c>
      <c r="K783" s="42">
        <f>IFERROR(B783/$B$36*100,"")</f>
        <v/>
      </c>
      <c r="L783" s="42">
        <f>IFERROR(C783/$C$36*100,"")</f>
        <v/>
      </c>
      <c r="M783" s="42">
        <f>IFERROR(D783/$D$36*100,"")</f>
        <v/>
      </c>
      <c r="N783" s="41">
        <f>IFERROR((1+H783)/(1+I783)-1,"")</f>
        <v/>
      </c>
      <c r="O783" s="41">
        <f>IFERROR((1+H783)/(1+J783)-1,"")</f>
        <v/>
      </c>
      <c r="P783" s="39">
        <f>IFERROR(B783*0.0099502487562189+P782*(1-0.0099502487562189),"")</f>
        <v/>
      </c>
      <c r="Q783" s="42">
        <f>Q782*(1+E783)</f>
        <v/>
      </c>
      <c r="R783" s="42">
        <f>MAX(R782,Q783)</f>
        <v/>
      </c>
      <c r="S783" s="41">
        <f>IFERROR(Q783/R783-1,"")</f>
        <v/>
      </c>
      <c r="T783" s="41">
        <f>IFERROR(_xlfn.STDEV.S(E724:E783)*SQRT($D$7),"")</f>
        <v/>
      </c>
      <c r="U783" s="41">
        <f>IFERROR(MIN(E783-$D$6,0),"")</f>
        <v/>
      </c>
      <c r="V783" s="41">
        <f>IFERROR(E783-F783,"")</f>
        <v/>
      </c>
      <c r="W783" s="39">
        <f>B783</f>
        <v/>
      </c>
      <c r="X783" s="21" t="n"/>
    </row>
    <row r="784">
      <c r="A784" s="38" t="n">
        <v>46080</v>
      </c>
      <c r="B784" s="39" t="n">
        <v>310</v>
      </c>
      <c r="C784" s="39" t="n">
        <v>685.99</v>
      </c>
      <c r="D784" s="39" t="n">
        <v>53.41</v>
      </c>
      <c r="E784" s="41">
        <f>IFERROR(B784/B783-1,"")</f>
        <v/>
      </c>
      <c r="F784" s="41">
        <f>IFERROR(C784/C783-1,"")</f>
        <v/>
      </c>
      <c r="G784" s="41">
        <f>IFERROR(D784/D783-1,"")</f>
        <v/>
      </c>
      <c r="H784" s="41">
        <f>IFERROR((1+E784)*(1+H783)-1,"")</f>
        <v/>
      </c>
      <c r="I784" s="41">
        <f>IFERROR((1+F784)*(1+I783)-1,"")</f>
        <v/>
      </c>
      <c r="J784" s="41">
        <f>IFERROR((1+G784)*(1+J783)-1,"")</f>
        <v/>
      </c>
      <c r="K784" s="42">
        <f>IFERROR(B784/$B$36*100,"")</f>
        <v/>
      </c>
      <c r="L784" s="42">
        <f>IFERROR(C784/$C$36*100,"")</f>
        <v/>
      </c>
      <c r="M784" s="42">
        <f>IFERROR(D784/$D$36*100,"")</f>
        <v/>
      </c>
      <c r="N784" s="41">
        <f>IFERROR((1+H784)/(1+I784)-1,"")</f>
        <v/>
      </c>
      <c r="O784" s="41">
        <f>IFERROR((1+H784)/(1+J784)-1,"")</f>
        <v/>
      </c>
      <c r="P784" s="39">
        <f>IFERROR(B784*0.0099502487562189+P783*(1-0.0099502487562189),"")</f>
        <v/>
      </c>
      <c r="Q784" s="42">
        <f>Q783*(1+E784)</f>
        <v/>
      </c>
      <c r="R784" s="42">
        <f>MAX(R783,Q784)</f>
        <v/>
      </c>
      <c r="S784" s="41">
        <f>IFERROR(Q784/R784-1,"")</f>
        <v/>
      </c>
      <c r="T784" s="41">
        <f>IFERROR(_xlfn.STDEV.S(E725:E784)*SQRT($D$7),"")</f>
        <v/>
      </c>
      <c r="U784" s="41">
        <f>IFERROR(MIN(E784-$D$6,0),"")</f>
        <v/>
      </c>
      <c r="V784" s="41">
        <f>IFERROR(E784-F784,"")</f>
        <v/>
      </c>
      <c r="W784" s="39">
        <f>B784</f>
        <v/>
      </c>
      <c r="X784" s="21" t="n"/>
    </row>
    <row r="785">
      <c r="A785" s="38" t="n">
        <v>46083</v>
      </c>
      <c r="B785" s="39" t="n">
        <v>306.2</v>
      </c>
      <c r="C785" s="39" t="n">
        <v>686.38</v>
      </c>
      <c r="D785" s="39" t="n">
        <v>53.25</v>
      </c>
      <c r="E785" s="41">
        <f>IFERROR(B785/B784-1,"")</f>
        <v/>
      </c>
      <c r="F785" s="41">
        <f>IFERROR(C785/C784-1,"")</f>
        <v/>
      </c>
      <c r="G785" s="41">
        <f>IFERROR(D785/D784-1,"")</f>
        <v/>
      </c>
      <c r="H785" s="41">
        <f>IFERROR((1+E785)*(1+H784)-1,"")</f>
        <v/>
      </c>
      <c r="I785" s="41">
        <f>IFERROR((1+F785)*(1+I784)-1,"")</f>
        <v/>
      </c>
      <c r="J785" s="41">
        <f>IFERROR((1+G785)*(1+J784)-1,"")</f>
        <v/>
      </c>
      <c r="K785" s="42">
        <f>IFERROR(B785/$B$36*100,"")</f>
        <v/>
      </c>
      <c r="L785" s="42">
        <f>IFERROR(C785/$C$36*100,"")</f>
        <v/>
      </c>
      <c r="M785" s="42">
        <f>IFERROR(D785/$D$36*100,"")</f>
        <v/>
      </c>
      <c r="N785" s="41">
        <f>IFERROR((1+H785)/(1+I785)-1,"")</f>
        <v/>
      </c>
      <c r="O785" s="41">
        <f>IFERROR((1+H785)/(1+J785)-1,"")</f>
        <v/>
      </c>
      <c r="P785" s="39">
        <f>IFERROR(B785*0.0099502487562189+P784*(1-0.0099502487562189),"")</f>
        <v/>
      </c>
      <c r="Q785" s="42">
        <f>Q784*(1+E785)</f>
        <v/>
      </c>
      <c r="R785" s="42">
        <f>MAX(R784,Q785)</f>
        <v/>
      </c>
      <c r="S785" s="41">
        <f>IFERROR(Q785/R785-1,"")</f>
        <v/>
      </c>
      <c r="T785" s="41">
        <f>IFERROR(_xlfn.STDEV.S(E726:E785)*SQRT($D$7),"")</f>
        <v/>
      </c>
      <c r="U785" s="41">
        <f>IFERROR(MIN(E785-$D$6,0),"")</f>
        <v/>
      </c>
      <c r="V785" s="41">
        <f>IFERROR(E785-F785,"")</f>
        <v/>
      </c>
      <c r="W785" s="39">
        <f>B785</f>
        <v/>
      </c>
      <c r="X785" s="21" t="n"/>
    </row>
    <row r="786">
      <c r="A786" s="38" t="n">
        <v>46084</v>
      </c>
      <c r="B786" s="39" t="n">
        <v>300</v>
      </c>
      <c r="C786" s="39" t="n">
        <v>680.33</v>
      </c>
      <c r="D786" s="39" t="n">
        <v>51.94</v>
      </c>
      <c r="E786" s="41">
        <f>IFERROR(B786/B785-1,"")</f>
        <v/>
      </c>
      <c r="F786" s="41">
        <f>IFERROR(C786/C785-1,"")</f>
        <v/>
      </c>
      <c r="G786" s="41">
        <f>IFERROR(D786/D785-1,"")</f>
        <v/>
      </c>
      <c r="H786" s="41">
        <f>IFERROR((1+E786)*(1+H785)-1,"")</f>
        <v/>
      </c>
      <c r="I786" s="41">
        <f>IFERROR((1+F786)*(1+I785)-1,"")</f>
        <v/>
      </c>
      <c r="J786" s="41">
        <f>IFERROR((1+G786)*(1+J785)-1,"")</f>
        <v/>
      </c>
      <c r="K786" s="42">
        <f>IFERROR(B786/$B$36*100,"")</f>
        <v/>
      </c>
      <c r="L786" s="42">
        <f>IFERROR(C786/$C$36*100,"")</f>
        <v/>
      </c>
      <c r="M786" s="42">
        <f>IFERROR(D786/$D$36*100,"")</f>
        <v/>
      </c>
      <c r="N786" s="41">
        <f>IFERROR((1+H786)/(1+I786)-1,"")</f>
        <v/>
      </c>
      <c r="O786" s="41">
        <f>IFERROR((1+H786)/(1+J786)-1,"")</f>
        <v/>
      </c>
      <c r="P786" s="39">
        <f>IFERROR(B786*0.0099502487562189+P785*(1-0.0099502487562189),"")</f>
        <v/>
      </c>
      <c r="Q786" s="42">
        <f>Q785*(1+E786)</f>
        <v/>
      </c>
      <c r="R786" s="42">
        <f>MAX(R785,Q786)</f>
        <v/>
      </c>
      <c r="S786" s="41">
        <f>IFERROR(Q786/R786-1,"")</f>
        <v/>
      </c>
      <c r="T786" s="41">
        <f>IFERROR(_xlfn.STDEV.S(E727:E786)*SQRT($D$7),"")</f>
        <v/>
      </c>
      <c r="U786" s="41">
        <f>IFERROR(MIN(E786-$D$6,0),"")</f>
        <v/>
      </c>
      <c r="V786" s="41">
        <f>IFERROR(E786-F786,"")</f>
        <v/>
      </c>
      <c r="W786" s="39">
        <f>B786</f>
        <v/>
      </c>
      <c r="X786" s="21" t="n"/>
    </row>
    <row r="787">
      <c r="A787" s="38" t="n">
        <v>46085</v>
      </c>
      <c r="B787" s="39" t="n">
        <v>295.98</v>
      </c>
      <c r="C787" s="39" t="n">
        <v>685.13</v>
      </c>
      <c r="D787" s="39" t="n">
        <v>51.92</v>
      </c>
      <c r="E787" s="41">
        <f>IFERROR(B787/B786-1,"")</f>
        <v/>
      </c>
      <c r="F787" s="41">
        <f>IFERROR(C787/C786-1,"")</f>
        <v/>
      </c>
      <c r="G787" s="41">
        <f>IFERROR(D787/D786-1,"")</f>
        <v/>
      </c>
      <c r="H787" s="41">
        <f>IFERROR((1+E787)*(1+H786)-1,"")</f>
        <v/>
      </c>
      <c r="I787" s="41">
        <f>IFERROR((1+F787)*(1+I786)-1,"")</f>
        <v/>
      </c>
      <c r="J787" s="41">
        <f>IFERROR((1+G787)*(1+J786)-1,"")</f>
        <v/>
      </c>
      <c r="K787" s="42">
        <f>IFERROR(B787/$B$36*100,"")</f>
        <v/>
      </c>
      <c r="L787" s="42">
        <f>IFERROR(C787/$C$36*100,"")</f>
        <v/>
      </c>
      <c r="M787" s="42">
        <f>IFERROR(D787/$D$36*100,"")</f>
        <v/>
      </c>
      <c r="N787" s="41">
        <f>IFERROR((1+H787)/(1+I787)-1,"")</f>
        <v/>
      </c>
      <c r="O787" s="41">
        <f>IFERROR((1+H787)/(1+J787)-1,"")</f>
        <v/>
      </c>
      <c r="P787" s="39">
        <f>IFERROR(B787*0.0099502487562189+P786*(1-0.0099502487562189),"")</f>
        <v/>
      </c>
      <c r="Q787" s="42">
        <f>Q786*(1+E787)</f>
        <v/>
      </c>
      <c r="R787" s="42">
        <f>MAX(R786,Q787)</f>
        <v/>
      </c>
      <c r="S787" s="41">
        <f>IFERROR(Q787/R787-1,"")</f>
        <v/>
      </c>
      <c r="T787" s="41">
        <f>IFERROR(_xlfn.STDEV.S(E728:E787)*SQRT($D$7),"")</f>
        <v/>
      </c>
      <c r="U787" s="41">
        <f>IFERROR(MIN(E787-$D$6,0),"")</f>
        <v/>
      </c>
      <c r="V787" s="41">
        <f>IFERROR(E787-F787,"")</f>
        <v/>
      </c>
      <c r="W787" s="39">
        <f>B787</f>
        <v/>
      </c>
      <c r="X787" s="21" t="n"/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0" t="n"/>
      <c r="I788" s="30" t="n"/>
      <c r="J788" s="30" t="n"/>
      <c r="K788" s="30" t="n"/>
      <c r="L788" s="30" t="n"/>
      <c r="M788" s="30" t="n"/>
      <c r="N788" s="30" t="n"/>
      <c r="O788" s="30" t="n"/>
      <c r="P788" s="30" t="n"/>
      <c r="Q788" s="30" t="n"/>
      <c r="R788" s="30" t="n"/>
      <c r="S788" s="30" t="n"/>
      <c r="T788" s="30" t="n"/>
      <c r="U788" s="30" t="n"/>
      <c r="V788" s="30" t="n"/>
      <c r="W788" s="30" t="n"/>
    </row>
  </sheetData>
  <mergeCells count="5">
    <mergeCell ref="A12:D12"/>
    <mergeCell ref="A15:D15"/>
    <mergeCell ref="A16:D16"/>
    <mergeCell ref="A13:D13"/>
    <mergeCell ref="A14:D1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T110"/>
  <sheetViews>
    <sheetView showGridLines="0" zoomScale="85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style="200" min="1" max="1"/>
    <col width="12" customWidth="1" style="200" min="2" max="2"/>
    <col width="12" customWidth="1" style="200" min="3" max="3"/>
    <col width="12" customWidth="1" style="200" min="4" max="4"/>
    <col width="12" customWidth="1" style="200" min="5" max="5"/>
    <col width="12" customWidth="1" style="200" min="6" max="6"/>
    <col width="3" customWidth="1" style="200" min="7" max="7"/>
    <col width="3" customWidth="1" style="200" min="8" max="8"/>
    <col width="24" customWidth="1" style="200" min="9" max="9"/>
    <col width="12" customWidth="1" style="200" min="10" max="10"/>
    <col width="12" customWidth="1" style="200" min="11" max="11"/>
    <col width="12" customWidth="1" style="200" min="12" max="12"/>
    <col width="12" customWidth="1" style="200" min="13" max="13"/>
    <col width="12" customWidth="1" style="200" min="14" max="14"/>
    <col width="14" customWidth="1" style="200" min="15" max="15"/>
    <col width="12" customWidth="1" style="200" min="16" max="16"/>
    <col width="12" customWidth="1" style="200" min="17" max="17"/>
    <col width="12" customWidth="1" style="200" min="18" max="18"/>
    <col width="12" customWidth="1" style="200" min="19" max="19"/>
    <col width="12" customWidth="1" style="200" min="20" max="20"/>
    <col width="3" customWidth="1" style="200" min="21" max="21"/>
    <col width="3" customWidth="1" style="200" min="22" max="22"/>
    <col width="3" customWidth="1" style="200" min="23" max="23"/>
    <col width="3" customWidth="1" style="200" min="24" max="24"/>
  </cols>
  <sheetData>
    <row r="1" ht="24" customHeight="1" s="200">
      <c r="A1" s="214" t="inlineStr">
        <is>
          <t>Sheet 2 | Financial Analysis</t>
        </is>
      </c>
      <c r="B1" s="214" t="n"/>
      <c r="C1" s="214" t="n"/>
      <c r="D1" s="214" t="n"/>
      <c r="E1" s="214" t="n"/>
      <c r="F1" s="214" t="n"/>
      <c r="G1" s="214" t="n"/>
      <c r="H1" s="214" t="n"/>
      <c r="I1" s="214" t="n"/>
      <c r="J1" s="214" t="n"/>
      <c r="K1" s="214" t="n"/>
      <c r="L1" s="214" t="n"/>
      <c r="M1" s="214" t="n"/>
      <c r="N1" s="214" t="n"/>
      <c r="O1" s="214" t="n"/>
      <c r="P1" s="214" t="n"/>
      <c r="Q1" s="214" t="n"/>
      <c r="R1" s="214" t="n"/>
      <c r="S1" s="214" t="n"/>
      <c r="T1" s="214" t="n"/>
    </row>
    <row r="2" ht="18" customHeight="1" s="200">
      <c r="A2" s="215" t="inlineStr">
        <is>
          <t>Vulcan Materials Company | Fully formula-driven analysis sourced only from Sheet 9</t>
        </is>
      </c>
      <c r="B2" s="215" t="n"/>
      <c r="C2" s="215" t="n"/>
      <c r="D2" s="215" t="n"/>
      <c r="E2" s="215" t="n"/>
      <c r="F2" s="215" t="n"/>
      <c r="G2" s="215" t="n"/>
      <c r="H2" s="215" t="n"/>
      <c r="I2" s="215" t="n"/>
      <c r="J2" s="215" t="n"/>
      <c r="K2" s="215" t="n"/>
      <c r="L2" s="215" t="n"/>
      <c r="M2" s="215" t="n"/>
      <c r="N2" s="215" t="n"/>
      <c r="O2" s="215" t="n"/>
      <c r="P2" s="215" t="n"/>
      <c r="Q2" s="215" t="n"/>
      <c r="R2" s="215" t="n"/>
      <c r="S2" s="215" t="n"/>
      <c r="T2" s="215" t="n"/>
    </row>
    <row r="3" ht="18" customHeight="1" s="200">
      <c r="A3" s="215" t="inlineStr">
        <is>
          <t>USDm unless stated otherwise | 5-year history | latest peer snapshot reflects the latest reported period available on Sheet 9</t>
        </is>
      </c>
      <c r="B3" s="215" t="n"/>
      <c r="C3" s="215" t="n"/>
      <c r="D3" s="215" t="n"/>
      <c r="E3" s="215" t="n"/>
      <c r="F3" s="215" t="n"/>
      <c r="G3" s="215" t="n"/>
      <c r="H3" s="215" t="n"/>
      <c r="I3" s="215" t="n"/>
      <c r="J3" s="215" t="n"/>
      <c r="K3" s="215" t="n"/>
      <c r="L3" s="215" t="n"/>
      <c r="M3" s="215" t="n"/>
      <c r="N3" s="215" t="n"/>
      <c r="O3" s="215" t="n"/>
      <c r="P3" s="215" t="n"/>
      <c r="Q3" s="215" t="n"/>
      <c r="R3" s="215" t="n"/>
      <c r="S3" s="215" t="n"/>
      <c r="T3" s="215" t="n"/>
    </row>
    <row r="4" ht="18" customHeight="1" s="200"/>
    <row r="5" ht="18" customHeight="1" s="200">
      <c r="A5" s="216" t="inlineStr">
        <is>
          <t>1. Historical Financial Summary</t>
        </is>
      </c>
      <c r="B5" s="216" t="n"/>
      <c r="C5" s="216" t="n"/>
      <c r="D5" s="216" t="n"/>
      <c r="E5" s="216" t="n"/>
      <c r="F5" s="216" t="n"/>
      <c r="I5" s="216" t="inlineStr">
        <is>
          <t>2. Horizontal Analysis</t>
        </is>
      </c>
      <c r="J5" s="216" t="n"/>
      <c r="K5" s="216" t="n"/>
      <c r="L5" s="216" t="n"/>
      <c r="M5" s="216" t="n"/>
      <c r="N5" s="216" t="n"/>
      <c r="O5" s="216" t="n"/>
    </row>
    <row r="6" ht="18" customHeight="1" s="200">
      <c r="A6" s="217" t="inlineStr">
        <is>
          <t>Line Item</t>
        </is>
      </c>
      <c r="B6" s="217">
        <f>VALUE(RIGHT('Sheet9_Financial Data'!$F$11,4))</f>
        <v/>
      </c>
      <c r="C6" s="217">
        <f>VALUE(RIGHT('Sheet9_Financial Data'!$E$11,4))</f>
        <v/>
      </c>
      <c r="D6" s="217">
        <f>VALUE(RIGHT('Sheet9_Financial Data'!$D$11,4))</f>
        <v/>
      </c>
      <c r="E6" s="217">
        <f>VALUE(RIGHT('Sheet9_Financial Data'!$C$11,4))</f>
        <v/>
      </c>
      <c r="F6" s="217">
        <f>VALUE(RIGHT('Sheet9_Financial Data'!$B$11,4))</f>
        <v/>
      </c>
      <c r="I6" s="217" t="inlineStr">
        <is>
          <t>Line Item</t>
        </is>
      </c>
      <c r="J6" s="217">
        <f>C$6&amp;" YoY"</f>
        <v/>
      </c>
      <c r="K6" s="217">
        <f>D$6&amp;" YoY"</f>
        <v/>
      </c>
      <c r="L6" s="217">
        <f>E$6&amp;" YoY"</f>
        <v/>
      </c>
      <c r="M6" s="217">
        <f>F$6&amp;" YoY"</f>
        <v/>
      </c>
      <c r="N6" s="217" t="inlineStr">
        <is>
          <t>4Y CAGR</t>
        </is>
      </c>
      <c r="O6" s="217" t="inlineStr">
        <is>
          <t>Signal</t>
        </is>
      </c>
    </row>
    <row r="7" ht="18" customHeight="1" s="200">
      <c r="A7" s="218" t="inlineStr">
        <is>
          <t>Income Statement</t>
        </is>
      </c>
      <c r="B7" s="218" t="n"/>
      <c r="C7" s="218" t="n"/>
      <c r="D7" s="218" t="n"/>
      <c r="E7" s="218" t="n"/>
      <c r="F7" s="218" t="n"/>
      <c r="I7" s="218" t="inlineStr">
        <is>
          <t>Income Statement</t>
        </is>
      </c>
      <c r="J7" s="218" t="n"/>
      <c r="K7" s="218" t="n"/>
      <c r="L7" s="218" t="n"/>
      <c r="M7" s="218" t="n"/>
      <c r="N7" s="218" t="n"/>
      <c r="O7" s="218" t="n"/>
    </row>
    <row r="8" ht="18" customHeight="1" s="200">
      <c r="A8" s="219" t="inlineStr">
        <is>
          <t>Revenue</t>
        </is>
      </c>
      <c r="B8" s="220">
        <f>IF('Sheet9_Financial Data'!$F$228="","",'Sheet9_Financial Data'!$F$228)</f>
        <v/>
      </c>
      <c r="C8" s="220">
        <f>IF('Sheet9_Financial Data'!$E$228="","",'Sheet9_Financial Data'!$E$228)</f>
        <v/>
      </c>
      <c r="D8" s="220">
        <f>IF('Sheet9_Financial Data'!$D$228="","",'Sheet9_Financial Data'!$D$228)</f>
        <v/>
      </c>
      <c r="E8" s="220">
        <f>IF('Sheet9_Financial Data'!$C$228="","",'Sheet9_Financial Data'!$C$228)</f>
        <v/>
      </c>
      <c r="F8" s="220">
        <f>IF('Sheet9_Financial Data'!$B$228="","",'Sheet9_Financial Data'!$B$228)</f>
        <v/>
      </c>
      <c r="I8" s="219" t="inlineStr">
        <is>
          <t>Revenue</t>
        </is>
      </c>
      <c r="J8" s="221">
        <f>IFERROR(C8/B8-1,"")</f>
        <v/>
      </c>
      <c r="K8" s="221">
        <f>IFERROR(D8/C8-1,"")</f>
        <v/>
      </c>
      <c r="L8" s="221">
        <f>IFERROR(E8/D8-1,"")</f>
        <v/>
      </c>
      <c r="M8" s="221">
        <f>IFERROR(F8/E8-1,"")</f>
        <v/>
      </c>
      <c r="N8" s="221">
        <f>IFERROR((F8/B8)^(1/4)-1,"")</f>
        <v/>
      </c>
      <c r="O8" s="222">
        <f>IF(COUNT(J8:M8)&lt;4,"",IF(AND(MIN(J8:M8)&lt;0,MAX(J8:M8)&gt;0),"Volatile",IF(M8&gt;AVERAGE(J8:L8),"Accelerating",IF(M8&lt;AVERAGE(J8:L8),"Decelerating","Stable"))))</f>
        <v/>
      </c>
    </row>
    <row r="9" ht="18" customHeight="1" s="200">
      <c r="A9" s="219" t="inlineStr">
        <is>
          <t>Cost of Revenues</t>
        </is>
      </c>
      <c r="B9" s="220">
        <f>IF('Sheet9_Financial Data'!$F$233="","",'Sheet9_Financial Data'!$F$233)</f>
        <v/>
      </c>
      <c r="C9" s="220">
        <f>IF('Sheet9_Financial Data'!$E$233="","",'Sheet9_Financial Data'!$E$233)</f>
        <v/>
      </c>
      <c r="D9" s="220">
        <f>IF('Sheet9_Financial Data'!$D$233="","",'Sheet9_Financial Data'!$D$233)</f>
        <v/>
      </c>
      <c r="E9" s="220">
        <f>IF('Sheet9_Financial Data'!$C$233="","",'Sheet9_Financial Data'!$C$233)</f>
        <v/>
      </c>
      <c r="F9" s="220">
        <f>IF('Sheet9_Financial Data'!$B$233="","",'Sheet9_Financial Data'!$B$233)</f>
        <v/>
      </c>
      <c r="I9" s="219" t="inlineStr">
        <is>
          <t>Cost of Revenues</t>
        </is>
      </c>
      <c r="J9" s="221">
        <f>IFERROR(C9/B9-1,"")</f>
        <v/>
      </c>
      <c r="K9" s="221">
        <f>IFERROR(D9/C9-1,"")</f>
        <v/>
      </c>
      <c r="L9" s="221">
        <f>IFERROR(E9/D9-1,"")</f>
        <v/>
      </c>
      <c r="M9" s="221">
        <f>IFERROR(F9/E9-1,"")</f>
        <v/>
      </c>
      <c r="N9" s="221">
        <f>IFERROR((F9/B9)^(1/4)-1,"")</f>
        <v/>
      </c>
      <c r="O9" s="222">
        <f>IF(COUNT(J9:M9)&lt;4,"",IF(AND(MIN(J9:M9)&lt;0,MAX(J9:M9)&gt;0),"Volatile",IF(M9&gt;AVERAGE(J9:L9),"Accelerating",IF(M9&lt;AVERAGE(J9:L9),"Decelerating","Stable"))))</f>
        <v/>
      </c>
    </row>
    <row r="10" ht="18" customHeight="1" s="200">
      <c r="A10" s="219" t="inlineStr">
        <is>
          <t>Gross Profit</t>
        </is>
      </c>
      <c r="B10" s="220">
        <f>IF('Sheet9_Financial Data'!$F$234="","",'Sheet9_Financial Data'!$F$234)</f>
        <v/>
      </c>
      <c r="C10" s="220">
        <f>IF('Sheet9_Financial Data'!$E$234="","",'Sheet9_Financial Data'!$E$234)</f>
        <v/>
      </c>
      <c r="D10" s="220">
        <f>IF('Sheet9_Financial Data'!$D$234="","",'Sheet9_Financial Data'!$D$234)</f>
        <v/>
      </c>
      <c r="E10" s="220">
        <f>IF('Sheet9_Financial Data'!$C$234="","",'Sheet9_Financial Data'!$C$234)</f>
        <v/>
      </c>
      <c r="F10" s="220">
        <f>IF('Sheet9_Financial Data'!$B$234="","",'Sheet9_Financial Data'!$B$234)</f>
        <v/>
      </c>
      <c r="I10" s="219" t="inlineStr">
        <is>
          <t>Gross Profit</t>
        </is>
      </c>
      <c r="J10" s="221">
        <f>IFERROR(C10/B10-1,"")</f>
        <v/>
      </c>
      <c r="K10" s="221">
        <f>IFERROR(D10/C10-1,"")</f>
        <v/>
      </c>
      <c r="L10" s="221">
        <f>IFERROR(E10/D10-1,"")</f>
        <v/>
      </c>
      <c r="M10" s="221">
        <f>IFERROR(F10/E10-1,"")</f>
        <v/>
      </c>
      <c r="N10" s="221">
        <f>IFERROR((F10/B10)^(1/4)-1,"")</f>
        <v/>
      </c>
      <c r="O10" s="222">
        <f>IF(COUNT(J10:M10)&lt;4,"",IF(AND(MIN(J10:M10)&lt;0,MAX(J10:M10)&gt;0),"Volatile",IF(M10&gt;AVERAGE(J10:L10),"Accelerating",IF(M10&lt;AVERAGE(J10:L10),"Decelerating","Stable"))))</f>
        <v/>
      </c>
    </row>
    <row r="11" ht="18" customHeight="1" s="200">
      <c r="A11" s="219" t="inlineStr">
        <is>
          <t>SG&amp;A</t>
        </is>
      </c>
      <c r="B11" s="220">
        <f>IF('Sheet9_Financial Data'!$F$235="","",'Sheet9_Financial Data'!$F$235)</f>
        <v/>
      </c>
      <c r="C11" s="220">
        <f>IF('Sheet9_Financial Data'!$E$235="","",'Sheet9_Financial Data'!$E$235)</f>
        <v/>
      </c>
      <c r="D11" s="220">
        <f>IF('Sheet9_Financial Data'!$D$235="","",'Sheet9_Financial Data'!$D$235)</f>
        <v/>
      </c>
      <c r="E11" s="220">
        <f>IF('Sheet9_Financial Data'!$C$235="","",'Sheet9_Financial Data'!$C$235)</f>
        <v/>
      </c>
      <c r="F11" s="220">
        <f>IF('Sheet9_Financial Data'!$B$235="","",'Sheet9_Financial Data'!$B$235)</f>
        <v/>
      </c>
      <c r="I11" s="219" t="inlineStr">
        <is>
          <t>SG&amp;A</t>
        </is>
      </c>
      <c r="J11" s="221">
        <f>IFERROR(C11/B11-1,"")</f>
        <v/>
      </c>
      <c r="K11" s="221">
        <f>IFERROR(D11/C11-1,"")</f>
        <v/>
      </c>
      <c r="L11" s="221">
        <f>IFERROR(E11/D11-1,"")</f>
        <v/>
      </c>
      <c r="M11" s="221">
        <f>IFERROR(F11/E11-1,"")</f>
        <v/>
      </c>
      <c r="N11" s="221">
        <f>IFERROR((F11/B11)^(1/4)-1,"")</f>
        <v/>
      </c>
      <c r="O11" s="222">
        <f>IF(COUNT(J11:M11)&lt;4,"",IF(AND(MIN(J11:M11)&lt;0,MAX(J11:M11)&gt;0),"Volatile",IF(M11&gt;AVERAGE(J11:L11),"Accelerating",IF(M11&lt;AVERAGE(J11:L11),"Decelerating","Stable"))))</f>
        <v/>
      </c>
    </row>
    <row r="12" ht="18" customHeight="1" s="200">
      <c r="A12" s="219" t="inlineStr">
        <is>
          <t>Other Operating (Income) / Expense</t>
        </is>
      </c>
      <c r="B12" s="220">
        <f>IF('Sheet9_Financial Data'!$F$236="","",'Sheet9_Financial Data'!$F$236)</f>
        <v/>
      </c>
      <c r="C12" s="220">
        <f>IF('Sheet9_Financial Data'!$E$236="","",'Sheet9_Financial Data'!$E$236)</f>
        <v/>
      </c>
      <c r="D12" s="220">
        <f>IF('Sheet9_Financial Data'!$D$236="","",'Sheet9_Financial Data'!$D$236)</f>
        <v/>
      </c>
      <c r="E12" s="220">
        <f>IF('Sheet9_Financial Data'!$C$236="","",'Sheet9_Financial Data'!$C$236)</f>
        <v/>
      </c>
      <c r="F12" s="220">
        <f>IF('Sheet9_Financial Data'!$B$236="","",'Sheet9_Financial Data'!$B$236)</f>
        <v/>
      </c>
      <c r="I12" s="219" t="inlineStr">
        <is>
          <t>Other Operating (Income) / Expense</t>
        </is>
      </c>
      <c r="J12" s="221">
        <f>IFERROR(C12/B12-1,"")</f>
        <v/>
      </c>
      <c r="K12" s="221">
        <f>IFERROR(D12/C12-1,"")</f>
        <v/>
      </c>
      <c r="L12" s="221">
        <f>IFERROR(E12/D12-1,"")</f>
        <v/>
      </c>
      <c r="M12" s="221">
        <f>IFERROR(F12/E12-1,"")</f>
        <v/>
      </c>
      <c r="N12" s="221">
        <f>IFERROR((F12/B12)^(1/4)-1,"")</f>
        <v/>
      </c>
      <c r="O12" s="222">
        <f>IF(COUNT(J12:M12)&lt;4,"",IF(AND(MIN(J12:M12)&lt;0,MAX(J12:M12)&gt;0),"Volatile",IF(M12&gt;AVERAGE(J12:L12),"Accelerating",IF(M12&lt;AVERAGE(J12:L12),"Decelerating","Stable"))))</f>
        <v/>
      </c>
    </row>
    <row r="13" ht="18" customHeight="1" s="200">
      <c r="A13" s="219" t="inlineStr">
        <is>
          <t>EBITDA</t>
        </is>
      </c>
      <c r="B13" s="220">
        <f>IF('Sheet9_Financial Data'!$F$329="","",'Sheet9_Financial Data'!$F$329)</f>
        <v/>
      </c>
      <c r="C13" s="220">
        <f>IF('Sheet9_Financial Data'!$E$329="","",'Sheet9_Financial Data'!$E$329)</f>
        <v/>
      </c>
      <c r="D13" s="220">
        <f>IF('Sheet9_Financial Data'!$D$329="","",'Sheet9_Financial Data'!$D$329)</f>
        <v/>
      </c>
      <c r="E13" s="220">
        <f>IF('Sheet9_Financial Data'!$C$329="","",'Sheet9_Financial Data'!$C$329)</f>
        <v/>
      </c>
      <c r="F13" s="220">
        <f>IF('Sheet9_Financial Data'!$B$329="","",'Sheet9_Financial Data'!$B$329)</f>
        <v/>
      </c>
      <c r="I13" s="219" t="inlineStr">
        <is>
          <t>EBITDA</t>
        </is>
      </c>
      <c r="J13" s="221">
        <f>IFERROR(C13/B13-1,"")</f>
        <v/>
      </c>
      <c r="K13" s="221">
        <f>IFERROR(D13/C13-1,"")</f>
        <v/>
      </c>
      <c r="L13" s="221">
        <f>IFERROR(E13/D13-1,"")</f>
        <v/>
      </c>
      <c r="M13" s="221">
        <f>IFERROR(F13/E13-1,"")</f>
        <v/>
      </c>
      <c r="N13" s="221">
        <f>IFERROR((F13/B13)^(1/4)-1,"")</f>
        <v/>
      </c>
      <c r="O13" s="222">
        <f>IF(COUNT(J13:M13)&lt;4,"",IF(AND(MIN(J13:M13)&lt;0,MAX(J13:M13)&gt;0),"Volatile",IF(M13&gt;AVERAGE(J13:L13),"Accelerating",IF(M13&lt;AVERAGE(J13:L13),"Decelerating","Stable"))))</f>
        <v/>
      </c>
    </row>
    <row r="14" ht="18" customHeight="1" s="200">
      <c r="A14" s="219" t="inlineStr">
        <is>
          <t>EBIT</t>
        </is>
      </c>
      <c r="B14" s="220">
        <f>IF('Sheet9_Financial Data'!$F$328="","",'Sheet9_Financial Data'!$F$328)</f>
        <v/>
      </c>
      <c r="C14" s="220">
        <f>IF('Sheet9_Financial Data'!$E$328="","",'Sheet9_Financial Data'!$E$328)</f>
        <v/>
      </c>
      <c r="D14" s="220">
        <f>IF('Sheet9_Financial Data'!$D$328="","",'Sheet9_Financial Data'!$D$328)</f>
        <v/>
      </c>
      <c r="E14" s="220">
        <f>IF('Sheet9_Financial Data'!$C$328="","",'Sheet9_Financial Data'!$C$328)</f>
        <v/>
      </c>
      <c r="F14" s="220">
        <f>IF('Sheet9_Financial Data'!$B$328="","",'Sheet9_Financial Data'!$B$328)</f>
        <v/>
      </c>
      <c r="I14" s="219" t="inlineStr">
        <is>
          <t>EBIT</t>
        </is>
      </c>
      <c r="J14" s="221">
        <f>IFERROR(C14/B14-1,"")</f>
        <v/>
      </c>
      <c r="K14" s="221">
        <f>IFERROR(D14/C14-1,"")</f>
        <v/>
      </c>
      <c r="L14" s="221">
        <f>IFERROR(E14/D14-1,"")</f>
        <v/>
      </c>
      <c r="M14" s="221">
        <f>IFERROR(F14/E14-1,"")</f>
        <v/>
      </c>
      <c r="N14" s="221">
        <f>IFERROR((F14/B14)^(1/4)-1,"")</f>
        <v/>
      </c>
      <c r="O14" s="222">
        <f>IF(COUNT(J14:M14)&lt;4,"",IF(AND(MIN(J14:M14)&lt;0,MAX(J14:M14)&gt;0),"Volatile",IF(M14&gt;AVERAGE(J14:L14),"Accelerating",IF(M14&lt;AVERAGE(J14:L14),"Decelerating","Stable"))))</f>
        <v/>
      </c>
    </row>
    <row r="15" ht="18" customHeight="1" s="200">
      <c r="A15" s="219" t="inlineStr">
        <is>
          <t>Net Income</t>
        </is>
      </c>
      <c r="B15" s="220">
        <f>IF('Sheet9_Financial Data'!$F$283="","",'Sheet9_Financial Data'!$F$283)</f>
        <v/>
      </c>
      <c r="C15" s="220">
        <f>IF('Sheet9_Financial Data'!$E$283="","",'Sheet9_Financial Data'!$E$283)</f>
        <v/>
      </c>
      <c r="D15" s="220">
        <f>IF('Sheet9_Financial Data'!$D$283="","",'Sheet9_Financial Data'!$D$283)</f>
        <v/>
      </c>
      <c r="E15" s="220">
        <f>IF('Sheet9_Financial Data'!$C$283="","",'Sheet9_Financial Data'!$C$283)</f>
        <v/>
      </c>
      <c r="F15" s="220">
        <f>IF('Sheet9_Financial Data'!$B$283="","",'Sheet9_Financial Data'!$B$283)</f>
        <v/>
      </c>
      <c r="I15" s="219" t="inlineStr">
        <is>
          <t>Net Income</t>
        </is>
      </c>
      <c r="J15" s="221">
        <f>IFERROR(C15/B15-1,"")</f>
        <v/>
      </c>
      <c r="K15" s="221">
        <f>IFERROR(D15/C15-1,"")</f>
        <v/>
      </c>
      <c r="L15" s="221">
        <f>IFERROR(E15/D15-1,"")</f>
        <v/>
      </c>
      <c r="M15" s="221">
        <f>IFERROR(F15/E15-1,"")</f>
        <v/>
      </c>
      <c r="N15" s="221">
        <f>IFERROR((F15/B15)^(1/4)-1,"")</f>
        <v/>
      </c>
      <c r="O15" s="222">
        <f>IF(COUNT(J15:M15)&lt;4,"",IF(AND(MIN(J15:M15)&lt;0,MAX(J15:M15)&gt;0),"Volatile",IF(M15&gt;AVERAGE(J15:L15),"Accelerating",IF(M15&lt;AVERAGE(J15:L15),"Decelerating","Stable"))))</f>
        <v/>
      </c>
    </row>
    <row r="16" ht="18" customHeight="1" s="200">
      <c r="A16" s="218" t="inlineStr">
        <is>
          <t>Balance Sheet</t>
        </is>
      </c>
      <c r="B16" s="218" t="n"/>
      <c r="C16" s="218" t="n"/>
      <c r="D16" s="218" t="n"/>
      <c r="E16" s="218" t="n"/>
      <c r="F16" s="218" t="n"/>
      <c r="I16" s="218" t="inlineStr">
        <is>
          <t>Balance Sheet</t>
        </is>
      </c>
      <c r="J16" s="218" t="n"/>
      <c r="K16" s="218" t="n"/>
      <c r="L16" s="218" t="n"/>
      <c r="M16" s="218" t="n"/>
      <c r="N16" s="218" t="n"/>
      <c r="O16" s="218" t="n"/>
    </row>
    <row r="17" ht="18" customHeight="1" s="200">
      <c r="A17" s="219" t="inlineStr">
        <is>
          <t>Cash &amp; ST Investments</t>
        </is>
      </c>
      <c r="B17" s="220">
        <f>IF('Sheet9_Financial Data'!$F$13="","",'Sheet9_Financial Data'!$F$13)</f>
        <v/>
      </c>
      <c r="C17" s="220">
        <f>IF('Sheet9_Financial Data'!$E$13="","",'Sheet9_Financial Data'!$E$13)</f>
        <v/>
      </c>
      <c r="D17" s="220">
        <f>IF('Sheet9_Financial Data'!$D$13="","",'Sheet9_Financial Data'!$D$13)</f>
        <v/>
      </c>
      <c r="E17" s="220">
        <f>IF('Sheet9_Financial Data'!$C$13="","",'Sheet9_Financial Data'!$C$13)</f>
        <v/>
      </c>
      <c r="F17" s="220">
        <f>IF('Sheet9_Financial Data'!$B$13="","",'Sheet9_Financial Data'!$B$13)</f>
        <v/>
      </c>
      <c r="I17" s="219" t="inlineStr">
        <is>
          <t>Cash &amp; ST Investments</t>
        </is>
      </c>
      <c r="J17" s="221">
        <f>IFERROR(C17/B17-1,"")</f>
        <v/>
      </c>
      <c r="K17" s="221">
        <f>IFERROR(D17/C17-1,"")</f>
        <v/>
      </c>
      <c r="L17" s="221">
        <f>IFERROR(E17/D17-1,"")</f>
        <v/>
      </c>
      <c r="M17" s="221">
        <f>IFERROR(F17/E17-1,"")</f>
        <v/>
      </c>
      <c r="N17" s="221">
        <f>IFERROR((F17/B17)^(1/4)-1,"")</f>
        <v/>
      </c>
      <c r="O17" s="222">
        <f>IF(COUNT(J17:M17)&lt;4,"",IF(AND(MIN(J17:M17)&lt;0,MAX(J17:M17)&gt;0),"Volatile",IF(M17&gt;AVERAGE(J17:L17),"Accelerating",IF(M17&lt;AVERAGE(J17:L17),"Decelerating","Stable"))))</f>
        <v/>
      </c>
    </row>
    <row r="18" ht="18" customHeight="1" s="200">
      <c r="A18" s="219" t="inlineStr">
        <is>
          <t>Receivables</t>
        </is>
      </c>
      <c r="B18" s="220">
        <f>IF('Sheet9_Financial Data'!$F$16="","",'Sheet9_Financial Data'!$F$16)</f>
        <v/>
      </c>
      <c r="C18" s="220">
        <f>IF('Sheet9_Financial Data'!$E$16="","",'Sheet9_Financial Data'!$E$16)</f>
        <v/>
      </c>
      <c r="D18" s="220">
        <f>IF('Sheet9_Financial Data'!$D$16="","",'Sheet9_Financial Data'!$D$16)</f>
        <v/>
      </c>
      <c r="E18" s="220">
        <f>IF('Sheet9_Financial Data'!$C$16="","",'Sheet9_Financial Data'!$C$16)</f>
        <v/>
      </c>
      <c r="F18" s="220">
        <f>IF('Sheet9_Financial Data'!$B$16="","",'Sheet9_Financial Data'!$B$16)</f>
        <v/>
      </c>
      <c r="I18" s="219" t="inlineStr">
        <is>
          <t>Receivables</t>
        </is>
      </c>
      <c r="J18" s="221">
        <f>IFERROR(C18/B18-1,"")</f>
        <v/>
      </c>
      <c r="K18" s="221">
        <f>IFERROR(D18/C18-1,"")</f>
        <v/>
      </c>
      <c r="L18" s="221">
        <f>IFERROR(E18/D18-1,"")</f>
        <v/>
      </c>
      <c r="M18" s="221">
        <f>IFERROR(F18/E18-1,"")</f>
        <v/>
      </c>
      <c r="N18" s="221">
        <f>IFERROR((F18/B18)^(1/4)-1,"")</f>
        <v/>
      </c>
      <c r="O18" s="222">
        <f>IF(COUNT(J18:M18)&lt;4,"",IF(AND(MIN(J18:M18)&lt;0,MAX(J18:M18)&gt;0),"Volatile",IF(M18&gt;AVERAGE(J18:L18),"Accelerating",IF(M18&lt;AVERAGE(J18:L18),"Decelerating","Stable"))))</f>
        <v/>
      </c>
    </row>
    <row r="19" ht="18" customHeight="1" s="200">
      <c r="A19" s="219" t="inlineStr">
        <is>
          <t>Inventory</t>
        </is>
      </c>
      <c r="B19" s="220">
        <f>IF('Sheet9_Financial Data'!$F$20="","",'Sheet9_Financial Data'!$F$20)</f>
        <v/>
      </c>
      <c r="C19" s="220">
        <f>IF('Sheet9_Financial Data'!$E$20="","",'Sheet9_Financial Data'!$E$20)</f>
        <v/>
      </c>
      <c r="D19" s="220">
        <f>IF('Sheet9_Financial Data'!$D$20="","",'Sheet9_Financial Data'!$D$20)</f>
        <v/>
      </c>
      <c r="E19" s="220">
        <f>IF('Sheet9_Financial Data'!$C$20="","",'Sheet9_Financial Data'!$C$20)</f>
        <v/>
      </c>
      <c r="F19" s="220">
        <f>IF('Sheet9_Financial Data'!$B$20="","",'Sheet9_Financial Data'!$B$20)</f>
        <v/>
      </c>
      <c r="I19" s="219" t="inlineStr">
        <is>
          <t>Inventory</t>
        </is>
      </c>
      <c r="J19" s="221">
        <f>IFERROR(C19/B19-1,"")</f>
        <v/>
      </c>
      <c r="K19" s="221">
        <f>IFERROR(D19/C19-1,"")</f>
        <v/>
      </c>
      <c r="L19" s="221">
        <f>IFERROR(E19/D19-1,"")</f>
        <v/>
      </c>
      <c r="M19" s="221">
        <f>IFERROR(F19/E19-1,"")</f>
        <v/>
      </c>
      <c r="N19" s="221">
        <f>IFERROR((F19/B19)^(1/4)-1,"")</f>
        <v/>
      </c>
      <c r="O19" s="222">
        <f>IF(COUNT(J19:M19)&lt;4,"",IF(AND(MIN(J19:M19)&lt;0,MAX(J19:M19)&gt;0),"Volatile",IF(M19&gt;AVERAGE(J19:L19),"Accelerating",IF(M19&lt;AVERAGE(J19:L19),"Decelerating","Stable"))))</f>
        <v/>
      </c>
    </row>
    <row r="20" ht="18" customHeight="1" s="200">
      <c r="A20" s="219" t="inlineStr">
        <is>
          <t>Current Assets</t>
        </is>
      </c>
      <c r="B20" s="220">
        <f>IF('Sheet9_Financial Data'!$F$29="","",'Sheet9_Financial Data'!$F$29)</f>
        <v/>
      </c>
      <c r="C20" s="220">
        <f>IF('Sheet9_Financial Data'!$E$29="","",'Sheet9_Financial Data'!$E$29)</f>
        <v/>
      </c>
      <c r="D20" s="220">
        <f>IF('Sheet9_Financial Data'!$D$29="","",'Sheet9_Financial Data'!$D$29)</f>
        <v/>
      </c>
      <c r="E20" s="220">
        <f>IF('Sheet9_Financial Data'!$C$29="","",'Sheet9_Financial Data'!$C$29)</f>
        <v/>
      </c>
      <c r="F20" s="220">
        <f>IF('Sheet9_Financial Data'!$B$29="","",'Sheet9_Financial Data'!$B$29)</f>
        <v/>
      </c>
      <c r="I20" s="219" t="inlineStr">
        <is>
          <t>Current Assets</t>
        </is>
      </c>
      <c r="J20" s="221">
        <f>IFERROR(C20/B20-1,"")</f>
        <v/>
      </c>
      <c r="K20" s="221">
        <f>IFERROR(D20/C20-1,"")</f>
        <v/>
      </c>
      <c r="L20" s="221">
        <f>IFERROR(E20/D20-1,"")</f>
        <v/>
      </c>
      <c r="M20" s="221">
        <f>IFERROR(F20/E20-1,"")</f>
        <v/>
      </c>
      <c r="N20" s="221">
        <f>IFERROR((F20/B20)^(1/4)-1,"")</f>
        <v/>
      </c>
      <c r="O20" s="222">
        <f>IF(COUNT(J20:M20)&lt;4,"",IF(AND(MIN(J20:M20)&lt;0,MAX(J20:M20)&gt;0),"Volatile",IF(M20&gt;AVERAGE(J20:L20),"Accelerating",IF(M20&lt;AVERAGE(J20:L20),"Decelerating","Stable"))))</f>
        <v/>
      </c>
    </row>
    <row r="21" ht="18" customHeight="1" s="200">
      <c r="A21" s="219" t="inlineStr">
        <is>
          <t>PP&amp;E, net</t>
        </is>
      </c>
      <c r="B21" s="220">
        <f>IF('Sheet9_Financial Data'!$F$33="","",'Sheet9_Financial Data'!$F$33)</f>
        <v/>
      </c>
      <c r="C21" s="220">
        <f>IF('Sheet9_Financial Data'!$E$33="","",'Sheet9_Financial Data'!$E$33)</f>
        <v/>
      </c>
      <c r="D21" s="220">
        <f>IF('Sheet9_Financial Data'!$D$33="","",'Sheet9_Financial Data'!$D$33)</f>
        <v/>
      </c>
      <c r="E21" s="220">
        <f>IF('Sheet9_Financial Data'!$C$33="","",'Sheet9_Financial Data'!$C$33)</f>
        <v/>
      </c>
      <c r="F21" s="220">
        <f>IF('Sheet9_Financial Data'!$B$33="","",'Sheet9_Financial Data'!$B$33)</f>
        <v/>
      </c>
      <c r="I21" s="219" t="inlineStr">
        <is>
          <t>PP&amp;E, net</t>
        </is>
      </c>
      <c r="J21" s="221">
        <f>IFERROR(C21/B21-1,"")</f>
        <v/>
      </c>
      <c r="K21" s="221">
        <f>IFERROR(D21/C21-1,"")</f>
        <v/>
      </c>
      <c r="L21" s="221">
        <f>IFERROR(E21/D21-1,"")</f>
        <v/>
      </c>
      <c r="M21" s="221">
        <f>IFERROR(F21/E21-1,"")</f>
        <v/>
      </c>
      <c r="N21" s="221">
        <f>IFERROR((F21/B21)^(1/4)-1,"")</f>
        <v/>
      </c>
      <c r="O21" s="222">
        <f>IF(COUNT(J21:M21)&lt;4,"",IF(AND(MIN(J21:M21)&lt;0,MAX(J21:M21)&gt;0),"Volatile",IF(M21&gt;AVERAGE(J21:L21),"Accelerating",IF(M21&lt;AVERAGE(J21:L21),"Decelerating","Stable"))))</f>
        <v/>
      </c>
    </row>
    <row r="22" ht="18" customHeight="1" s="200">
      <c r="A22" s="219" t="inlineStr">
        <is>
          <t>Total Assets</t>
        </is>
      </c>
      <c r="B22" s="220">
        <f>IF('Sheet9_Financial Data'!$F$69="","",'Sheet9_Financial Data'!$F$69)</f>
        <v/>
      </c>
      <c r="C22" s="220">
        <f>IF('Sheet9_Financial Data'!$E$69="","",'Sheet9_Financial Data'!$E$69)</f>
        <v/>
      </c>
      <c r="D22" s="220">
        <f>IF('Sheet9_Financial Data'!$D$69="","",'Sheet9_Financial Data'!$D$69)</f>
        <v/>
      </c>
      <c r="E22" s="220">
        <f>IF('Sheet9_Financial Data'!$C$69="","",'Sheet9_Financial Data'!$C$69)</f>
        <v/>
      </c>
      <c r="F22" s="220">
        <f>IF('Sheet9_Financial Data'!$B$69="","",'Sheet9_Financial Data'!$B$69)</f>
        <v/>
      </c>
      <c r="I22" s="219" t="inlineStr">
        <is>
          <t>Total Assets</t>
        </is>
      </c>
      <c r="J22" s="221">
        <f>IFERROR(C22/B22-1,"")</f>
        <v/>
      </c>
      <c r="K22" s="221">
        <f>IFERROR(D22/C22-1,"")</f>
        <v/>
      </c>
      <c r="L22" s="221">
        <f>IFERROR(E22/D22-1,"")</f>
        <v/>
      </c>
      <c r="M22" s="221">
        <f>IFERROR(F22/E22-1,"")</f>
        <v/>
      </c>
      <c r="N22" s="221">
        <f>IFERROR((F22/B22)^(1/4)-1,"")</f>
        <v/>
      </c>
      <c r="O22" s="222">
        <f>IF(COUNT(J22:M22)&lt;4,"",IF(AND(MIN(J22:M22)&lt;0,MAX(J22:M22)&gt;0),"Volatile",IF(M22&gt;AVERAGE(J22:L22),"Accelerating",IF(M22&lt;AVERAGE(J22:L22),"Decelerating","Stable"))))</f>
        <v/>
      </c>
    </row>
    <row r="23" ht="18" customHeight="1" s="200">
      <c r="A23" s="219" t="inlineStr">
        <is>
          <t>Payables</t>
        </is>
      </c>
      <c r="B23" s="220">
        <f>IF('Sheet9_Financial Data'!$F$72="","",'Sheet9_Financial Data'!$F$72)</f>
        <v/>
      </c>
      <c r="C23" s="220">
        <f>IF('Sheet9_Financial Data'!$E$72="","",'Sheet9_Financial Data'!$E$72)</f>
        <v/>
      </c>
      <c r="D23" s="220">
        <f>IF('Sheet9_Financial Data'!$D$72="","",'Sheet9_Financial Data'!$D$72)</f>
        <v/>
      </c>
      <c r="E23" s="220">
        <f>IF('Sheet9_Financial Data'!$C$72="","",'Sheet9_Financial Data'!$C$72)</f>
        <v/>
      </c>
      <c r="F23" s="220">
        <f>IF('Sheet9_Financial Data'!$B$72="","",'Sheet9_Financial Data'!$B$72)</f>
        <v/>
      </c>
      <c r="I23" s="219" t="inlineStr">
        <is>
          <t>Payables</t>
        </is>
      </c>
      <c r="J23" s="221">
        <f>IFERROR(C23/B23-1,"")</f>
        <v/>
      </c>
      <c r="K23" s="221">
        <f>IFERROR(D23/C23-1,"")</f>
        <v/>
      </c>
      <c r="L23" s="221">
        <f>IFERROR(E23/D23-1,"")</f>
        <v/>
      </c>
      <c r="M23" s="221">
        <f>IFERROR(F23/E23-1,"")</f>
        <v/>
      </c>
      <c r="N23" s="221">
        <f>IFERROR((F23/B23)^(1/4)-1,"")</f>
        <v/>
      </c>
      <c r="O23" s="222">
        <f>IF(COUNT(J23:M23)&lt;4,"",IF(AND(MIN(J23:M23)&lt;0,MAX(J23:M23)&gt;0),"Volatile",IF(M23&gt;AVERAGE(J23:L23),"Accelerating",IF(M23&lt;AVERAGE(J23:L23),"Decelerating","Stable"))))</f>
        <v/>
      </c>
    </row>
    <row r="24" ht="18" customHeight="1" s="200">
      <c r="A24" s="219" t="inlineStr">
        <is>
          <t>Current Liabilities</t>
        </is>
      </c>
      <c r="B24" s="220">
        <f>IF('Sheet9_Financial Data'!$F$83="","",'Sheet9_Financial Data'!$F$83)</f>
        <v/>
      </c>
      <c r="C24" s="220">
        <f>IF('Sheet9_Financial Data'!$E$83="","",'Sheet9_Financial Data'!$E$83)</f>
        <v/>
      </c>
      <c r="D24" s="220">
        <f>IF('Sheet9_Financial Data'!$D$83="","",'Sheet9_Financial Data'!$D$83)</f>
        <v/>
      </c>
      <c r="E24" s="220">
        <f>IF('Sheet9_Financial Data'!$C$83="","",'Sheet9_Financial Data'!$C$83)</f>
        <v/>
      </c>
      <c r="F24" s="220">
        <f>IF('Sheet9_Financial Data'!$B$83="","",'Sheet9_Financial Data'!$B$83)</f>
        <v/>
      </c>
      <c r="I24" s="219" t="inlineStr">
        <is>
          <t>Current Liabilities</t>
        </is>
      </c>
      <c r="J24" s="221">
        <f>IFERROR(C24/B24-1,"")</f>
        <v/>
      </c>
      <c r="K24" s="221">
        <f>IFERROR(D24/C24-1,"")</f>
        <v/>
      </c>
      <c r="L24" s="221">
        <f>IFERROR(E24/D24-1,"")</f>
        <v/>
      </c>
      <c r="M24" s="221">
        <f>IFERROR(F24/E24-1,"")</f>
        <v/>
      </c>
      <c r="N24" s="221">
        <f>IFERROR((F24/B24)^(1/4)-1,"")</f>
        <v/>
      </c>
      <c r="O24" s="222">
        <f>IF(COUNT(J24:M24)&lt;4,"",IF(AND(MIN(J24:M24)&lt;0,MAX(J24:M24)&gt;0),"Volatile",IF(M24&gt;AVERAGE(J24:L24),"Accelerating",IF(M24&lt;AVERAGE(J24:L24),"Decelerating","Stable"))))</f>
        <v/>
      </c>
    </row>
    <row r="25" ht="18" customHeight="1" s="200">
      <c r="A25" s="219" t="inlineStr">
        <is>
          <t>Total Liabilities</t>
        </is>
      </c>
      <c r="B25" s="220">
        <f>IF('Sheet9_Financial Data'!$F$100="","",'Sheet9_Financial Data'!$F$100)</f>
        <v/>
      </c>
      <c r="C25" s="220">
        <f>IF('Sheet9_Financial Data'!$E$100="","",'Sheet9_Financial Data'!$E$100)</f>
        <v/>
      </c>
      <c r="D25" s="220">
        <f>IF('Sheet9_Financial Data'!$D$100="","",'Sheet9_Financial Data'!$D$100)</f>
        <v/>
      </c>
      <c r="E25" s="220">
        <f>IF('Sheet9_Financial Data'!$C$100="","",'Sheet9_Financial Data'!$C$100)</f>
        <v/>
      </c>
      <c r="F25" s="220">
        <f>IF('Sheet9_Financial Data'!$B$100="","",'Sheet9_Financial Data'!$B$100)</f>
        <v/>
      </c>
      <c r="I25" s="219" t="inlineStr">
        <is>
          <t>Total Liabilities</t>
        </is>
      </c>
      <c r="J25" s="221">
        <f>IFERROR(C25/B25-1,"")</f>
        <v/>
      </c>
      <c r="K25" s="221">
        <f>IFERROR(D25/C25-1,"")</f>
        <v/>
      </c>
      <c r="L25" s="221">
        <f>IFERROR(E25/D25-1,"")</f>
        <v/>
      </c>
      <c r="M25" s="221">
        <f>IFERROR(F25/E25-1,"")</f>
        <v/>
      </c>
      <c r="N25" s="221">
        <f>IFERROR((F25/B25)^(1/4)-1,"")</f>
        <v/>
      </c>
      <c r="O25" s="222">
        <f>IF(COUNT(J25:M25)&lt;4,"",IF(AND(MIN(J25:M25)&lt;0,MAX(J25:M25)&gt;0),"Volatile",IF(M25&gt;AVERAGE(J25:L25),"Accelerating",IF(M25&lt;AVERAGE(J25:L25),"Decelerating","Stable"))))</f>
        <v/>
      </c>
    </row>
    <row r="26" ht="18" customHeight="1" s="200">
      <c r="A26" s="219" t="inlineStr">
        <is>
          <t>Total Debt</t>
        </is>
      </c>
      <c r="B26" s="220">
        <f>IF('Sheet9_Financial Data'!$F$154="","",'Sheet9_Financial Data'!$F$154)</f>
        <v/>
      </c>
      <c r="C26" s="220">
        <f>IF('Sheet9_Financial Data'!$E$154="","",'Sheet9_Financial Data'!$E$154)</f>
        <v/>
      </c>
      <c r="D26" s="220">
        <f>IF('Sheet9_Financial Data'!$D$154="","",'Sheet9_Financial Data'!$D$154)</f>
        <v/>
      </c>
      <c r="E26" s="220">
        <f>IF('Sheet9_Financial Data'!$C$154="","",'Sheet9_Financial Data'!$C$154)</f>
        <v/>
      </c>
      <c r="F26" s="220">
        <f>IF('Sheet9_Financial Data'!$B$154="","",'Sheet9_Financial Data'!$B$154)</f>
        <v/>
      </c>
      <c r="I26" s="219" t="inlineStr">
        <is>
          <t>Total Debt</t>
        </is>
      </c>
      <c r="J26" s="221">
        <f>IFERROR(C26/B26-1,"")</f>
        <v/>
      </c>
      <c r="K26" s="221">
        <f>IFERROR(D26/C26-1,"")</f>
        <v/>
      </c>
      <c r="L26" s="221">
        <f>IFERROR(E26/D26-1,"")</f>
        <v/>
      </c>
      <c r="M26" s="221">
        <f>IFERROR(F26/E26-1,"")</f>
        <v/>
      </c>
      <c r="N26" s="221">
        <f>IFERROR((F26/B26)^(1/4)-1,"")</f>
        <v/>
      </c>
      <c r="O26" s="222">
        <f>IF(COUNT(J26:M26)&lt;4,"",IF(AND(MIN(J26:M26)&lt;0,MAX(J26:M26)&gt;0),"Volatile",IF(M26&gt;AVERAGE(J26:L26),"Accelerating",IF(M26&lt;AVERAGE(J26:L26),"Decelerating","Stable"))))</f>
        <v/>
      </c>
    </row>
    <row r="27" ht="18" customHeight="1" s="200">
      <c r="A27" s="219" t="inlineStr">
        <is>
          <t>Total Equity</t>
        </is>
      </c>
      <c r="B27" s="220">
        <f>IF('Sheet9_Financial Data'!$F$103="","",'Sheet9_Financial Data'!$F$103)</f>
        <v/>
      </c>
      <c r="C27" s="220">
        <f>IF('Sheet9_Financial Data'!$E$103="","",'Sheet9_Financial Data'!$E$103)</f>
        <v/>
      </c>
      <c r="D27" s="220">
        <f>IF('Sheet9_Financial Data'!$D$103="","",'Sheet9_Financial Data'!$D$103)</f>
        <v/>
      </c>
      <c r="E27" s="220">
        <f>IF('Sheet9_Financial Data'!$C$103="","",'Sheet9_Financial Data'!$C$103)</f>
        <v/>
      </c>
      <c r="F27" s="220">
        <f>IF('Sheet9_Financial Data'!$B$103="","",'Sheet9_Financial Data'!$B$103)</f>
        <v/>
      </c>
      <c r="I27" s="219" t="inlineStr">
        <is>
          <t>Total Equity</t>
        </is>
      </c>
      <c r="J27" s="221">
        <f>IFERROR(C27/B27-1,"")</f>
        <v/>
      </c>
      <c r="K27" s="221">
        <f>IFERROR(D27/C27-1,"")</f>
        <v/>
      </c>
      <c r="L27" s="221">
        <f>IFERROR(E27/D27-1,"")</f>
        <v/>
      </c>
      <c r="M27" s="221">
        <f>IFERROR(F27/E27-1,"")</f>
        <v/>
      </c>
      <c r="N27" s="221">
        <f>IFERROR((F27/B27)^(1/4)-1,"")</f>
        <v/>
      </c>
      <c r="O27" s="222">
        <f>IF(COUNT(J27:M27)&lt;4,"",IF(AND(MIN(J27:M27)&lt;0,MAX(J27:M27)&gt;0),"Volatile",IF(M27&gt;AVERAGE(J27:L27),"Accelerating",IF(M27&lt;AVERAGE(J27:L27),"Decelerating","Stable"))))</f>
        <v/>
      </c>
    </row>
    <row r="28" ht="18" customHeight="1" s="200">
      <c r="A28" s="219" t="inlineStr">
        <is>
          <t>Working Capital</t>
        </is>
      </c>
      <c r="B28" s="220">
        <f>IF('Sheet9_Financial Data'!$F$201="","",'Sheet9_Financial Data'!$F$201)</f>
        <v/>
      </c>
      <c r="C28" s="220">
        <f>IF('Sheet9_Financial Data'!$E$201="","",'Sheet9_Financial Data'!$E$201)</f>
        <v/>
      </c>
      <c r="D28" s="220">
        <f>IF('Sheet9_Financial Data'!$D$201="","",'Sheet9_Financial Data'!$D$201)</f>
        <v/>
      </c>
      <c r="E28" s="220">
        <f>IF('Sheet9_Financial Data'!$C$201="","",'Sheet9_Financial Data'!$C$201)</f>
        <v/>
      </c>
      <c r="F28" s="220">
        <f>IF('Sheet9_Financial Data'!$B$201="","",'Sheet9_Financial Data'!$B$201)</f>
        <v/>
      </c>
      <c r="I28" s="219" t="inlineStr">
        <is>
          <t>Working Capital</t>
        </is>
      </c>
      <c r="J28" s="221">
        <f>IFERROR(C28/B28-1,"")</f>
        <v/>
      </c>
      <c r="K28" s="221">
        <f>IFERROR(D28/C28-1,"")</f>
        <v/>
      </c>
      <c r="L28" s="221">
        <f>IFERROR(E28/D28-1,"")</f>
        <v/>
      </c>
      <c r="M28" s="221">
        <f>IFERROR(F28/E28-1,"")</f>
        <v/>
      </c>
      <c r="N28" s="221">
        <f>IFERROR((F28/B28)^(1/4)-1,"")</f>
        <v/>
      </c>
      <c r="O28" s="222">
        <f>IF(COUNT(J28:M28)&lt;4,"",IF(AND(MIN(J28:M28)&lt;0,MAX(J28:M28)&gt;0),"Volatile",IF(M28&gt;AVERAGE(J28:L28),"Accelerating",IF(M28&lt;AVERAGE(J28:L28),"Decelerating","Stable"))))</f>
        <v/>
      </c>
    </row>
    <row r="29" ht="18" customHeight="1" s="200">
      <c r="A29" s="218" t="inlineStr">
        <is>
          <t>Cash Flow</t>
        </is>
      </c>
      <c r="B29" s="218" t="n"/>
      <c r="C29" s="218" t="n"/>
      <c r="D29" s="218" t="n"/>
      <c r="E29" s="218" t="n"/>
      <c r="F29" s="218" t="n"/>
      <c r="I29" s="218" t="inlineStr">
        <is>
          <t>Cash Flow</t>
        </is>
      </c>
      <c r="J29" s="218" t="n"/>
      <c r="K29" s="218" t="n"/>
      <c r="L29" s="218" t="n"/>
      <c r="M29" s="218" t="n"/>
      <c r="N29" s="218" t="n"/>
      <c r="O29" s="218" t="n"/>
    </row>
    <row r="30" ht="18" customHeight="1" s="200">
      <c r="A30" s="219" t="inlineStr">
        <is>
          <t>Operating Cash Flow</t>
        </is>
      </c>
      <c r="B30" s="220">
        <f>IF('Sheet9_Financial Data'!$F$398="","",'Sheet9_Financial Data'!$F$398)</f>
        <v/>
      </c>
      <c r="C30" s="220">
        <f>IF('Sheet9_Financial Data'!$E$398="","",'Sheet9_Financial Data'!$E$398)</f>
        <v/>
      </c>
      <c r="D30" s="220">
        <f>IF('Sheet9_Financial Data'!$D$398="","",'Sheet9_Financial Data'!$D$398)</f>
        <v/>
      </c>
      <c r="E30" s="220">
        <f>IF('Sheet9_Financial Data'!$C$398="","",'Sheet9_Financial Data'!$C$398)</f>
        <v/>
      </c>
      <c r="F30" s="220">
        <f>IF('Sheet9_Financial Data'!$B$398="","",'Sheet9_Financial Data'!$B$398)</f>
        <v/>
      </c>
      <c r="I30" s="219" t="inlineStr">
        <is>
          <t>Operating Cash Flow</t>
        </is>
      </c>
      <c r="J30" s="221">
        <f>IFERROR(C30/B30-1,"")</f>
        <v/>
      </c>
      <c r="K30" s="221">
        <f>IFERROR(D30/C30-1,"")</f>
        <v/>
      </c>
      <c r="L30" s="221">
        <f>IFERROR(E30/D30-1,"")</f>
        <v/>
      </c>
      <c r="M30" s="221">
        <f>IFERROR(F30/E30-1,"")</f>
        <v/>
      </c>
      <c r="N30" s="221">
        <f>IFERROR((F30/B30)^(1/4)-1,"")</f>
        <v/>
      </c>
      <c r="O30" s="222">
        <f>IF(COUNT(J30:M30)&lt;4,"",IF(AND(MIN(J30:M30)&lt;0,MAX(J30:M30)&gt;0),"Volatile",IF(M30&gt;AVERAGE(J30:L30),"Accelerating",IF(M30&lt;AVERAGE(J30:L30),"Decelerating","Stable"))))</f>
        <v/>
      </c>
    </row>
    <row r="31" ht="18" customHeight="1" s="200">
      <c r="A31" s="219" t="inlineStr">
        <is>
          <t>Capital Expenditures</t>
        </is>
      </c>
      <c r="B31" s="220">
        <f>IF('Sheet9_Financial Data'!$F$404="","",'Sheet9_Financial Data'!$F$404)</f>
        <v/>
      </c>
      <c r="C31" s="220">
        <f>IF('Sheet9_Financial Data'!$E$404="","",'Sheet9_Financial Data'!$E$404)</f>
        <v/>
      </c>
      <c r="D31" s="220">
        <f>IF('Sheet9_Financial Data'!$D$404="","",'Sheet9_Financial Data'!$D$404)</f>
        <v/>
      </c>
      <c r="E31" s="220">
        <f>IF('Sheet9_Financial Data'!$C$404="","",'Sheet9_Financial Data'!$C$404)</f>
        <v/>
      </c>
      <c r="F31" s="220">
        <f>IF('Sheet9_Financial Data'!$B$404="","",'Sheet9_Financial Data'!$B$404)</f>
        <v/>
      </c>
      <c r="I31" s="219" t="inlineStr">
        <is>
          <t>Capital Expenditures</t>
        </is>
      </c>
      <c r="J31" s="221">
        <f>IFERROR(C31/B31-1,"")</f>
        <v/>
      </c>
      <c r="K31" s="221">
        <f>IFERROR(D31/C31-1,"")</f>
        <v/>
      </c>
      <c r="L31" s="221">
        <f>IFERROR(E31/D31-1,"")</f>
        <v/>
      </c>
      <c r="M31" s="221">
        <f>IFERROR(F31/E31-1,"")</f>
        <v/>
      </c>
      <c r="N31" s="221">
        <f>IFERROR((F31/B31)^(1/4)-1,"")</f>
        <v/>
      </c>
      <c r="O31" s="222">
        <f>IF(COUNT(J31:M31)&lt;4,"",IF(AND(MIN(J31:M31)&lt;0,MAX(J31:M31)&gt;0),"Volatile",IF(M31&gt;AVERAGE(J31:L31),"Accelerating",IF(M31&lt;AVERAGE(J31:L31),"Decelerating","Stable"))))</f>
        <v/>
      </c>
    </row>
    <row r="32" ht="18" customHeight="1" s="200">
      <c r="A32" s="219" t="inlineStr">
        <is>
          <t>Free Cash Flow</t>
        </is>
      </c>
      <c r="B32" s="220">
        <f>IF('Sheet9_Financial Data'!$F$443="","",'Sheet9_Financial Data'!$F$443)</f>
        <v/>
      </c>
      <c r="C32" s="220">
        <f>IF('Sheet9_Financial Data'!$E$443="","",'Sheet9_Financial Data'!$E$443)</f>
        <v/>
      </c>
      <c r="D32" s="220">
        <f>IF('Sheet9_Financial Data'!$D$443="","",'Sheet9_Financial Data'!$D$443)</f>
        <v/>
      </c>
      <c r="E32" s="220">
        <f>IF('Sheet9_Financial Data'!$C$443="","",'Sheet9_Financial Data'!$C$443)</f>
        <v/>
      </c>
      <c r="F32" s="220">
        <f>IF('Sheet9_Financial Data'!$B$443="","",'Sheet9_Financial Data'!$B$443)</f>
        <v/>
      </c>
      <c r="I32" s="219" t="inlineStr">
        <is>
          <t>Free Cash Flow</t>
        </is>
      </c>
      <c r="J32" s="221">
        <f>IFERROR(C32/B32-1,"")</f>
        <v/>
      </c>
      <c r="K32" s="221">
        <f>IFERROR(D32/C32-1,"")</f>
        <v/>
      </c>
      <c r="L32" s="221">
        <f>IFERROR(E32/D32-1,"")</f>
        <v/>
      </c>
      <c r="M32" s="221">
        <f>IFERROR(F32/E32-1,"")</f>
        <v/>
      </c>
      <c r="N32" s="221">
        <f>IFERROR((F32/B32)^(1/4)-1,"")</f>
        <v/>
      </c>
      <c r="O32" s="222">
        <f>IF(COUNT(J32:M32)&lt;4,"",IF(AND(MIN(J32:M32)&lt;0,MAX(J32:M32)&gt;0),"Volatile",IF(M32&gt;AVERAGE(J32:L32),"Accelerating",IF(M32&lt;AVERAGE(J32:L32),"Decelerating","Stable"))))</f>
        <v/>
      </c>
    </row>
    <row r="33" ht="18" customHeight="1" s="200"/>
    <row r="34" ht="18" customHeight="1" s="200"/>
    <row r="35" ht="18" customHeight="1" s="200">
      <c r="A35" s="216" t="inlineStr">
        <is>
          <t>3. Vertical Analysis | Income Statement (% of Revenue)</t>
        </is>
      </c>
      <c r="B35" s="216" t="n"/>
      <c r="C35" s="216" t="n"/>
      <c r="D35" s="216" t="n"/>
      <c r="E35" s="216" t="n"/>
      <c r="F35" s="216" t="n"/>
      <c r="I35" s="216" t="inlineStr">
        <is>
          <t>3. Vertical Analysis | Balance Sheet (% of Total Assets)</t>
        </is>
      </c>
      <c r="J35" s="216" t="n"/>
      <c r="K35" s="216" t="n"/>
      <c r="L35" s="216" t="n"/>
      <c r="M35" s="216" t="n"/>
      <c r="N35" s="216" t="n"/>
    </row>
    <row r="36" ht="18" customHeight="1" s="200">
      <c r="A36" s="217" t="inlineStr">
        <is>
          <t>Metric</t>
        </is>
      </c>
      <c r="B36" s="217">
        <f>B$6</f>
        <v/>
      </c>
      <c r="C36" s="217">
        <f>C$6</f>
        <v/>
      </c>
      <c r="D36" s="217">
        <f>D$6</f>
        <v/>
      </c>
      <c r="E36" s="217">
        <f>E$6</f>
        <v/>
      </c>
      <c r="F36" s="217">
        <f>F$6</f>
        <v/>
      </c>
      <c r="I36" s="217" t="inlineStr">
        <is>
          <t>Metric</t>
        </is>
      </c>
      <c r="J36" s="217">
        <f>B$6</f>
        <v/>
      </c>
      <c r="K36" s="217">
        <f>C$6</f>
        <v/>
      </c>
      <c r="L36" s="217">
        <f>D$6</f>
        <v/>
      </c>
      <c r="M36" s="217">
        <f>E$6</f>
        <v/>
      </c>
      <c r="N36" s="217">
        <f>F$6</f>
        <v/>
      </c>
    </row>
    <row r="37" ht="18" customHeight="1" s="200">
      <c r="A37" s="219" t="inlineStr">
        <is>
          <t>Revenue</t>
        </is>
      </c>
      <c r="B37" s="221">
        <f>IFERROR(B8/B8,"")</f>
        <v/>
      </c>
      <c r="C37" s="221">
        <f>IFERROR(C8/C8,"")</f>
        <v/>
      </c>
      <c r="D37" s="221">
        <f>IFERROR(D8/D8,"")</f>
        <v/>
      </c>
      <c r="E37" s="221">
        <f>IFERROR(E8/E8,"")</f>
        <v/>
      </c>
      <c r="F37" s="221">
        <f>IFERROR(F8/F8,"")</f>
        <v/>
      </c>
      <c r="I37" s="219" t="inlineStr">
        <is>
          <t>Cash &amp; ST Investments</t>
        </is>
      </c>
      <c r="J37" s="221">
        <f>IFERROR(B17/B22,"")</f>
        <v/>
      </c>
      <c r="K37" s="221">
        <f>IFERROR(C17/C22,"")</f>
        <v/>
      </c>
      <c r="L37" s="221">
        <f>IFERROR(D17/D22,"")</f>
        <v/>
      </c>
      <c r="M37" s="221">
        <f>IFERROR(E17/E22,"")</f>
        <v/>
      </c>
      <c r="N37" s="221">
        <f>IFERROR(F17/F22,"")</f>
        <v/>
      </c>
    </row>
    <row r="38" ht="18" customHeight="1" s="200">
      <c r="A38" s="219" t="inlineStr">
        <is>
          <t>Cost of Revenues</t>
        </is>
      </c>
      <c r="B38" s="221">
        <f>IFERROR(B9/B8,"")</f>
        <v/>
      </c>
      <c r="C38" s="221">
        <f>IFERROR(C9/C8,"")</f>
        <v/>
      </c>
      <c r="D38" s="221">
        <f>IFERROR(D9/D8,"")</f>
        <v/>
      </c>
      <c r="E38" s="221">
        <f>IFERROR(E9/E8,"")</f>
        <v/>
      </c>
      <c r="F38" s="221">
        <f>IFERROR(F9/F8,"")</f>
        <v/>
      </c>
      <c r="I38" s="219" t="inlineStr">
        <is>
          <t>Receivables</t>
        </is>
      </c>
      <c r="J38" s="221">
        <f>IFERROR(B18/B22,"")</f>
        <v/>
      </c>
      <c r="K38" s="221">
        <f>IFERROR(C18/C22,"")</f>
        <v/>
      </c>
      <c r="L38" s="221">
        <f>IFERROR(D18/D22,"")</f>
        <v/>
      </c>
      <c r="M38" s="221">
        <f>IFERROR(E18/E22,"")</f>
        <v/>
      </c>
      <c r="N38" s="221">
        <f>IFERROR(F18/F22,"")</f>
        <v/>
      </c>
    </row>
    <row r="39" ht="18" customHeight="1" s="200">
      <c r="A39" s="219" t="inlineStr">
        <is>
          <t>Gross Profit</t>
        </is>
      </c>
      <c r="B39" s="221">
        <f>IFERROR(B10/B8,"")</f>
        <v/>
      </c>
      <c r="C39" s="221">
        <f>IFERROR(C10/C8,"")</f>
        <v/>
      </c>
      <c r="D39" s="221">
        <f>IFERROR(D10/D8,"")</f>
        <v/>
      </c>
      <c r="E39" s="221">
        <f>IFERROR(E10/E8,"")</f>
        <v/>
      </c>
      <c r="F39" s="221">
        <f>IFERROR(F10/F8,"")</f>
        <v/>
      </c>
      <c r="I39" s="219" t="inlineStr">
        <is>
          <t>Inventory</t>
        </is>
      </c>
      <c r="J39" s="221">
        <f>IFERROR(B19/B22,"")</f>
        <v/>
      </c>
      <c r="K39" s="221">
        <f>IFERROR(C19/C22,"")</f>
        <v/>
      </c>
      <c r="L39" s="221">
        <f>IFERROR(D19/D22,"")</f>
        <v/>
      </c>
      <c r="M39" s="221">
        <f>IFERROR(E19/E22,"")</f>
        <v/>
      </c>
      <c r="N39" s="221">
        <f>IFERROR(F19/F22,"")</f>
        <v/>
      </c>
    </row>
    <row r="40" ht="18" customHeight="1" s="200">
      <c r="A40" s="219" t="inlineStr">
        <is>
          <t>SG&amp;A</t>
        </is>
      </c>
      <c r="B40" s="221">
        <f>IFERROR(B11/B8,"")</f>
        <v/>
      </c>
      <c r="C40" s="221">
        <f>IFERROR(C11/C8,"")</f>
        <v/>
      </c>
      <c r="D40" s="221">
        <f>IFERROR(D11/D8,"")</f>
        <v/>
      </c>
      <c r="E40" s="221">
        <f>IFERROR(E11/E8,"")</f>
        <v/>
      </c>
      <c r="F40" s="221">
        <f>IFERROR(F11/F8,"")</f>
        <v/>
      </c>
      <c r="I40" s="219" t="inlineStr">
        <is>
          <t>Current Assets</t>
        </is>
      </c>
      <c r="J40" s="221">
        <f>IFERROR(B20/B22,"")</f>
        <v/>
      </c>
      <c r="K40" s="221">
        <f>IFERROR(C20/C22,"")</f>
        <v/>
      </c>
      <c r="L40" s="221">
        <f>IFERROR(D20/D22,"")</f>
        <v/>
      </c>
      <c r="M40" s="221">
        <f>IFERROR(E20/E22,"")</f>
        <v/>
      </c>
      <c r="N40" s="221">
        <f>IFERROR(F20/F22,"")</f>
        <v/>
      </c>
    </row>
    <row r="41" ht="18" customHeight="1" s="200">
      <c r="A41" s="219" t="inlineStr">
        <is>
          <t>Other Operating (Income) / Expense</t>
        </is>
      </c>
      <c r="B41" s="221">
        <f>IFERROR(B12/B8,"")</f>
        <v/>
      </c>
      <c r="C41" s="221">
        <f>IFERROR(C12/C8,"")</f>
        <v/>
      </c>
      <c r="D41" s="221">
        <f>IFERROR(D12/D8,"")</f>
        <v/>
      </c>
      <c r="E41" s="221">
        <f>IFERROR(E12/E8,"")</f>
        <v/>
      </c>
      <c r="F41" s="221">
        <f>IFERROR(F12/F8,"")</f>
        <v/>
      </c>
      <c r="I41" s="219" t="inlineStr">
        <is>
          <t>PP&amp;E, net</t>
        </is>
      </c>
      <c r="J41" s="221">
        <f>IFERROR(B21/B22,"")</f>
        <v/>
      </c>
      <c r="K41" s="221">
        <f>IFERROR(C21/C22,"")</f>
        <v/>
      </c>
      <c r="L41" s="221">
        <f>IFERROR(D21/D22,"")</f>
        <v/>
      </c>
      <c r="M41" s="221">
        <f>IFERROR(E21/E22,"")</f>
        <v/>
      </c>
      <c r="N41" s="221">
        <f>IFERROR(F21/F22,"")</f>
        <v/>
      </c>
    </row>
    <row r="42" ht="18" customHeight="1" s="200">
      <c r="A42" s="219" t="inlineStr">
        <is>
          <t>EBITDA</t>
        </is>
      </c>
      <c r="B42" s="221">
        <f>IFERROR(B13/B8,"")</f>
        <v/>
      </c>
      <c r="C42" s="221">
        <f>IFERROR(C13/C8,"")</f>
        <v/>
      </c>
      <c r="D42" s="221">
        <f>IFERROR(D13/D8,"")</f>
        <v/>
      </c>
      <c r="E42" s="221">
        <f>IFERROR(E13/E8,"")</f>
        <v/>
      </c>
      <c r="F42" s="221">
        <f>IFERROR(F13/F8,"")</f>
        <v/>
      </c>
      <c r="I42" s="219" t="inlineStr">
        <is>
          <t>Total Assets</t>
        </is>
      </c>
      <c r="J42" s="221">
        <f>IFERROR(B22/B22,"")</f>
        <v/>
      </c>
      <c r="K42" s="221">
        <f>IFERROR(C22/C22,"")</f>
        <v/>
      </c>
      <c r="L42" s="221">
        <f>IFERROR(D22/D22,"")</f>
        <v/>
      </c>
      <c r="M42" s="221">
        <f>IFERROR(E22/E22,"")</f>
        <v/>
      </c>
      <c r="N42" s="221">
        <f>IFERROR(F22/F22,"")</f>
        <v/>
      </c>
    </row>
    <row r="43" ht="18" customHeight="1" s="200">
      <c r="A43" s="219" t="inlineStr">
        <is>
          <t>EBIT</t>
        </is>
      </c>
      <c r="B43" s="221">
        <f>IFERROR(B14/B8,"")</f>
        <v/>
      </c>
      <c r="C43" s="221">
        <f>IFERROR(C14/C8,"")</f>
        <v/>
      </c>
      <c r="D43" s="221">
        <f>IFERROR(D14/D8,"")</f>
        <v/>
      </c>
      <c r="E43" s="221">
        <f>IFERROR(E14/E8,"")</f>
        <v/>
      </c>
      <c r="F43" s="221">
        <f>IFERROR(F14/F8,"")</f>
        <v/>
      </c>
      <c r="I43" s="219" t="inlineStr">
        <is>
          <t>Payables</t>
        </is>
      </c>
      <c r="J43" s="221">
        <f>IFERROR(B23/B22,"")</f>
        <v/>
      </c>
      <c r="K43" s="221">
        <f>IFERROR(C23/C22,"")</f>
        <v/>
      </c>
      <c r="L43" s="221">
        <f>IFERROR(D23/D22,"")</f>
        <v/>
      </c>
      <c r="M43" s="221">
        <f>IFERROR(E23/E22,"")</f>
        <v/>
      </c>
      <c r="N43" s="221">
        <f>IFERROR(F23/F22,"")</f>
        <v/>
      </c>
    </row>
    <row r="44" ht="18" customHeight="1" s="200">
      <c r="A44" s="219" t="inlineStr">
        <is>
          <t>Net Income</t>
        </is>
      </c>
      <c r="B44" s="221">
        <f>IFERROR(B15/B8,"")</f>
        <v/>
      </c>
      <c r="C44" s="221">
        <f>IFERROR(C15/C8,"")</f>
        <v/>
      </c>
      <c r="D44" s="221">
        <f>IFERROR(D15/D8,"")</f>
        <v/>
      </c>
      <c r="E44" s="221">
        <f>IFERROR(E15/E8,"")</f>
        <v/>
      </c>
      <c r="F44" s="221">
        <f>IFERROR(F15/F8,"")</f>
        <v/>
      </c>
      <c r="I44" s="219" t="inlineStr">
        <is>
          <t>Current Liabilities</t>
        </is>
      </c>
      <c r="J44" s="221">
        <f>IFERROR(B24/B22,"")</f>
        <v/>
      </c>
      <c r="K44" s="221">
        <f>IFERROR(C24/C22,"")</f>
        <v/>
      </c>
      <c r="L44" s="221">
        <f>IFERROR(D24/D22,"")</f>
        <v/>
      </c>
      <c r="M44" s="221">
        <f>IFERROR(E24/E22,"")</f>
        <v/>
      </c>
      <c r="N44" s="221">
        <f>IFERROR(F24/F22,"")</f>
        <v/>
      </c>
    </row>
    <row r="45" ht="18" customHeight="1" s="200">
      <c r="I45" s="219" t="inlineStr">
        <is>
          <t>Total Liabilities</t>
        </is>
      </c>
      <c r="J45" s="221">
        <f>IFERROR(B25/B22,"")</f>
        <v/>
      </c>
      <c r="K45" s="221">
        <f>IFERROR(C25/C22,"")</f>
        <v/>
      </c>
      <c r="L45" s="221">
        <f>IFERROR(D25/D22,"")</f>
        <v/>
      </c>
      <c r="M45" s="221">
        <f>IFERROR(E25/E22,"")</f>
        <v/>
      </c>
      <c r="N45" s="221">
        <f>IFERROR(F25/F22,"")</f>
        <v/>
      </c>
    </row>
    <row r="46" ht="18" customHeight="1" s="200">
      <c r="I46" s="219" t="inlineStr">
        <is>
          <t>Total Debt</t>
        </is>
      </c>
      <c r="J46" s="221">
        <f>IFERROR(B26/B22,"")</f>
        <v/>
      </c>
      <c r="K46" s="221">
        <f>IFERROR(C26/C22,"")</f>
        <v/>
      </c>
      <c r="L46" s="221">
        <f>IFERROR(D26/D22,"")</f>
        <v/>
      </c>
      <c r="M46" s="221">
        <f>IFERROR(E26/E22,"")</f>
        <v/>
      </c>
      <c r="N46" s="221">
        <f>IFERROR(F26/F22,"")</f>
        <v/>
      </c>
    </row>
    <row r="47" ht="18" customHeight="1" s="200">
      <c r="I47" s="219" t="inlineStr">
        <is>
          <t>Total Equity</t>
        </is>
      </c>
      <c r="J47" s="221">
        <f>IFERROR(B27/B22,"")</f>
        <v/>
      </c>
      <c r="K47" s="221">
        <f>IFERROR(C27/C22,"")</f>
        <v/>
      </c>
      <c r="L47" s="221">
        <f>IFERROR(D27/D22,"")</f>
        <v/>
      </c>
      <c r="M47" s="221">
        <f>IFERROR(E27/E22,"")</f>
        <v/>
      </c>
      <c r="N47" s="221">
        <f>IFERROR(F27/F22,"")</f>
        <v/>
      </c>
    </row>
    <row r="48" ht="18" customHeight="1" s="200">
      <c r="I48" s="219" t="inlineStr">
        <is>
          <t>Working Capital</t>
        </is>
      </c>
      <c r="J48" s="221">
        <f>IFERROR(B28/B22,"")</f>
        <v/>
      </c>
      <c r="K48" s="221">
        <f>IFERROR(C28/C22,"")</f>
        <v/>
      </c>
      <c r="L48" s="221">
        <f>IFERROR(D28/D22,"")</f>
        <v/>
      </c>
      <c r="M48" s="221">
        <f>IFERROR(E28/E22,"")</f>
        <v/>
      </c>
      <c r="N48" s="221">
        <f>IFERROR(F28/F22,"")</f>
        <v/>
      </c>
    </row>
    <row r="49" ht="18" customHeight="1" s="200">
      <c r="A49" s="216" t="inlineStr">
        <is>
          <t>4. Ratio Analysis</t>
        </is>
      </c>
      <c r="B49" s="216" t="n"/>
      <c r="C49" s="216" t="n"/>
      <c r="D49" s="216" t="n"/>
      <c r="E49" s="216" t="n"/>
      <c r="F49" s="216" t="n"/>
      <c r="I49" s="216" t="inlineStr">
        <is>
          <t>5a. Peer Comparison | Latest Reported Period</t>
        </is>
      </c>
      <c r="J49" s="216" t="n"/>
      <c r="K49" s="216" t="n"/>
      <c r="L49" s="216" t="n"/>
      <c r="M49" s="216" t="n"/>
      <c r="N49" s="216" t="n"/>
      <c r="O49" s="216" t="n"/>
      <c r="P49" s="216" t="n"/>
      <c r="Q49" s="216" t="n"/>
      <c r="R49" s="216" t="n"/>
      <c r="S49" s="216" t="n"/>
      <c r="T49" s="216" t="n"/>
    </row>
    <row r="50" ht="18" customHeight="1" s="200">
      <c r="A50" s="217" t="inlineStr">
        <is>
          <t>Ratio</t>
        </is>
      </c>
      <c r="B50" s="217">
        <f>B$6</f>
        <v/>
      </c>
      <c r="C50" s="217">
        <f>C$6</f>
        <v/>
      </c>
      <c r="D50" s="217">
        <f>D$6</f>
        <v/>
      </c>
      <c r="E50" s="217">
        <f>E$6</f>
        <v/>
      </c>
      <c r="F50" s="217">
        <f>F$6</f>
        <v/>
      </c>
      <c r="I50" s="217" t="inlineStr">
        <is>
          <t>Company</t>
        </is>
      </c>
      <c r="J50" s="217" t="inlineStr">
        <is>
          <t>Period</t>
        </is>
      </c>
      <c r="K50" s="217" t="inlineStr">
        <is>
          <t>Revenue</t>
        </is>
      </c>
      <c r="L50" s="217" t="inlineStr">
        <is>
          <t>Revenue Growth</t>
        </is>
      </c>
      <c r="M50" s="217" t="inlineStr">
        <is>
          <t>EBITDA Margin</t>
        </is>
      </c>
      <c r="N50" s="217" t="inlineStr">
        <is>
          <t>EBIT Margin</t>
        </is>
      </c>
      <c r="O50" s="217" t="inlineStr">
        <is>
          <t>Net Margin</t>
        </is>
      </c>
      <c r="P50" s="217" t="inlineStr">
        <is>
          <t>ROE</t>
        </is>
      </c>
      <c r="Q50" s="217" t="inlineStr">
        <is>
          <t>ROA</t>
        </is>
      </c>
      <c r="R50" s="217" t="inlineStr">
        <is>
          <t>Debt / Equity</t>
        </is>
      </c>
      <c r="S50" s="217" t="inlineStr">
        <is>
          <t>Net Debt / EBITDA</t>
        </is>
      </c>
      <c r="T50" s="217" t="inlineStr">
        <is>
          <t>Asset Turnover</t>
        </is>
      </c>
    </row>
    <row r="51" ht="18" customHeight="1" s="200">
      <c r="A51" s="218" t="inlineStr">
        <is>
          <t>Profitability</t>
        </is>
      </c>
      <c r="B51" s="218" t="n"/>
      <c r="C51" s="218" t="n"/>
      <c r="D51" s="218" t="n"/>
      <c r="E51" s="218" t="n"/>
      <c r="F51" s="218" t="n"/>
      <c r="I51" s="223" t="inlineStr">
        <is>
          <t>VMC</t>
        </is>
      </c>
      <c r="J51" s="222">
        <f>IF('Sheet9_Financial Data'!$B$226="","",'Sheet9_Financial Data'!$B$226)</f>
        <v/>
      </c>
      <c r="K51" s="220">
        <f>F8</f>
        <v/>
      </c>
      <c r="L51" s="221">
        <f>IFERROR(F8/E8-1,"")</f>
        <v/>
      </c>
      <c r="M51" s="221">
        <f>IFERROR(F13/F8,"")</f>
        <v/>
      </c>
      <c r="N51" s="221">
        <f>IFERROR(F14/F8,"")</f>
        <v/>
      </c>
      <c r="O51" s="221">
        <f>IFERROR(F15/F8,"")</f>
        <v/>
      </c>
      <c r="P51" s="221">
        <f>IFERROR(F15/F27,"")</f>
        <v/>
      </c>
      <c r="Q51" s="221">
        <f>IFERROR(F15/F22,"")</f>
        <v/>
      </c>
      <c r="R51" s="224">
        <f>IFERROR(F26/F27,"")</f>
        <v/>
      </c>
      <c r="S51" s="224">
        <f>IFERROR((F26-F17)/F13,"")</f>
        <v/>
      </c>
      <c r="T51" s="224">
        <f>IFERROR(F8/F22,"")</f>
        <v/>
      </c>
    </row>
    <row r="52" ht="18" customHeight="1" s="200">
      <c r="A52" s="219" t="inlineStr">
        <is>
          <t>Gross Margin</t>
        </is>
      </c>
      <c r="B52" s="221">
        <f>IFERROR(B10/B8,"")</f>
        <v/>
      </c>
      <c r="C52" s="221">
        <f>IFERROR(C10/C8,"")</f>
        <v/>
      </c>
      <c r="D52" s="221">
        <f>IFERROR(D10/D8,"")</f>
        <v/>
      </c>
      <c r="E52" s="221">
        <f>IFERROR(E10/E8,"")</f>
        <v/>
      </c>
      <c r="F52" s="221">
        <f>IFERROR(F10/F8,"")</f>
        <v/>
      </c>
      <c r="I52" s="223" t="inlineStr">
        <is>
          <t>MLM</t>
        </is>
      </c>
      <c r="J52" s="222">
        <f>IF('Sheet9_Financial Data'!$K$226="","",'Sheet9_Financial Data'!$K$226)</f>
        <v/>
      </c>
      <c r="K52" s="220">
        <f>IF('Sheet9_Financial Data'!$K$228="","",'Sheet9_Financial Data'!$K$228)</f>
        <v/>
      </c>
      <c r="L52" s="221">
        <f>""</f>
        <v/>
      </c>
      <c r="M52" s="221">
        <f>IFERROR('Sheet9_Financial Data'!$K$320/'Sheet9_Financial Data'!$K$228,"")</f>
        <v/>
      </c>
      <c r="N52" s="221">
        <f>IFERROR('Sheet9_Financial Data'!$K$319/'Sheet9_Financial Data'!$K$228,"")</f>
        <v/>
      </c>
      <c r="O52" s="221">
        <f>IFERROR('Sheet9_Financial Data'!$K$275/'Sheet9_Financial Data'!$K$228,"")</f>
        <v/>
      </c>
      <c r="P52" s="221">
        <f>IFERROR('Sheet9_Financial Data'!$K$275/'Sheet9_Financial Data'!$K$87,"")</f>
        <v/>
      </c>
      <c r="Q52" s="221">
        <f>IFERROR('Sheet9_Financial Data'!$K$275/'Sheet9_Financial Data'!$K$57,"")</f>
        <v/>
      </c>
      <c r="R52" s="224">
        <f>IFERROR('Sheet9_Financial Data'!$K$133/'Sheet9_Financial Data'!$K$87,"")</f>
        <v/>
      </c>
      <c r="S52" s="224">
        <f>IFERROR(('Sheet9_Financial Data'!$K$133-'Sheet9_Financial Data'!$K$13)/'Sheet9_Financial Data'!$K$320,"")</f>
        <v/>
      </c>
      <c r="T52" s="224">
        <f>IFERROR('Sheet9_Financial Data'!$K$228/'Sheet9_Financial Data'!$K$57,"")</f>
        <v/>
      </c>
    </row>
    <row r="53" ht="18" customHeight="1" s="200">
      <c r="A53" s="219" t="inlineStr">
        <is>
          <t>EBITDA Margin</t>
        </is>
      </c>
      <c r="B53" s="221">
        <f>IFERROR(B13/B8,"")</f>
        <v/>
      </c>
      <c r="C53" s="221">
        <f>IFERROR(C13/C8,"")</f>
        <v/>
      </c>
      <c r="D53" s="221">
        <f>IFERROR(D13/D8,"")</f>
        <v/>
      </c>
      <c r="E53" s="221">
        <f>IFERROR(E13/E8,"")</f>
        <v/>
      </c>
      <c r="F53" s="221">
        <f>IFERROR(F13/F8,"")</f>
        <v/>
      </c>
      <c r="I53" s="223" t="inlineStr">
        <is>
          <t>KNF</t>
        </is>
      </c>
      <c r="J53" s="222">
        <f>IF('Sheet9_Financial Data'!$N$226="","",'Sheet9_Financial Data'!$N$226)</f>
        <v/>
      </c>
      <c r="K53" s="220">
        <f>IF('Sheet9_Financial Data'!$N$228="","",'Sheet9_Financial Data'!$N$228)</f>
        <v/>
      </c>
      <c r="L53" s="221">
        <f>""</f>
        <v/>
      </c>
      <c r="M53" s="221">
        <f>IFERROR('Sheet9_Financial Data'!$N$311/'Sheet9_Financial Data'!$N$228,"")</f>
        <v/>
      </c>
      <c r="N53" s="221">
        <f>IFERROR('Sheet9_Financial Data'!$N$310/'Sheet9_Financial Data'!$N$228,"")</f>
        <v/>
      </c>
      <c r="O53" s="221">
        <f>IFERROR('Sheet9_Financial Data'!$N$266/'Sheet9_Financial Data'!$N$228,"")</f>
        <v/>
      </c>
      <c r="P53" s="221">
        <f>IFERROR('Sheet9_Financial Data'!$N$266/'Sheet9_Financial Data'!$N$76,"")</f>
        <v/>
      </c>
      <c r="Q53" s="221">
        <f>IFERROR('Sheet9_Financial Data'!$N$266/'Sheet9_Financial Data'!$N$49,"")</f>
        <v/>
      </c>
      <c r="R53" s="224">
        <f>IFERROR('Sheet9_Financial Data'!$N$119/'Sheet9_Financial Data'!$N$76,"")</f>
        <v/>
      </c>
      <c r="S53" s="224">
        <f>IFERROR(('Sheet9_Financial Data'!$N$119-'Sheet9_Financial Data'!$N$13)/'Sheet9_Financial Data'!$N$311,"")</f>
        <v/>
      </c>
      <c r="T53" s="224">
        <f>IFERROR('Sheet9_Financial Data'!$N$228/'Sheet9_Financial Data'!$N$49,"")</f>
        <v/>
      </c>
    </row>
    <row r="54" ht="18" customHeight="1" s="200">
      <c r="A54" s="219" t="inlineStr">
        <is>
          <t>EBIT Margin</t>
        </is>
      </c>
      <c r="B54" s="221">
        <f>IFERROR(B14/B8,"")</f>
        <v/>
      </c>
      <c r="C54" s="221">
        <f>IFERROR(C14/C8,"")</f>
        <v/>
      </c>
      <c r="D54" s="221">
        <f>IFERROR(D14/D8,"")</f>
        <v/>
      </c>
      <c r="E54" s="221">
        <f>IFERROR(E14/E8,"")</f>
        <v/>
      </c>
      <c r="F54" s="221">
        <f>IFERROR(F14/F8,"")</f>
        <v/>
      </c>
      <c r="I54" s="223" t="inlineStr">
        <is>
          <t>CRH</t>
        </is>
      </c>
      <c r="J54" s="222">
        <f>IF('Sheet9_Financial Data'!$Q$226="","",'Sheet9_Financial Data'!$Q$226)</f>
        <v/>
      </c>
      <c r="K54" s="220">
        <f>IF('Sheet9_Financial Data'!$Q$228="","",'Sheet9_Financial Data'!$Q$228)</f>
        <v/>
      </c>
      <c r="L54" s="221">
        <f>""</f>
        <v/>
      </c>
      <c r="M54" s="221">
        <f>IFERROR('Sheet9_Financial Data'!$Q$339/'Sheet9_Financial Data'!$Q$228,"")</f>
        <v/>
      </c>
      <c r="N54" s="221">
        <f>IFERROR('Sheet9_Financial Data'!$Q$338/'Sheet9_Financial Data'!$Q$228,"")</f>
        <v/>
      </c>
      <c r="O54" s="221">
        <f>IFERROR('Sheet9_Financial Data'!$Q$274/'Sheet9_Financial Data'!$Q$228,"")</f>
        <v/>
      </c>
      <c r="P54" s="221">
        <f>IFERROR('Sheet9_Financial Data'!$Q$274/'Sheet9_Financial Data'!$Q$87,"")</f>
        <v/>
      </c>
      <c r="Q54" s="221">
        <f>IFERROR('Sheet9_Financial Data'!$Q$274/'Sheet9_Financial Data'!$Q$50,"")</f>
        <v/>
      </c>
      <c r="R54" s="224">
        <f>IFERROR('Sheet9_Financial Data'!$Q$146/'Sheet9_Financial Data'!$Q$87,"")</f>
        <v/>
      </c>
      <c r="S54" s="224">
        <f>IFERROR(('Sheet9_Financial Data'!$Q$146-'Sheet9_Financial Data'!$Q$13)/'Sheet9_Financial Data'!$Q$339,"")</f>
        <v/>
      </c>
      <c r="T54" s="224">
        <f>IFERROR('Sheet9_Financial Data'!$Q$228/'Sheet9_Financial Data'!$Q$50,"")</f>
        <v/>
      </c>
    </row>
    <row r="55" ht="18" customHeight="1" s="200">
      <c r="A55" s="219" t="inlineStr">
        <is>
          <t>Net Margin</t>
        </is>
      </c>
      <c r="B55" s="221">
        <f>IFERROR(B15/B8,"")</f>
        <v/>
      </c>
      <c r="C55" s="221">
        <f>IFERROR(C15/C8,"")</f>
        <v/>
      </c>
      <c r="D55" s="221">
        <f>IFERROR(D15/D8,"")</f>
        <v/>
      </c>
      <c r="E55" s="221">
        <f>IFERROR(E15/E8,"")</f>
        <v/>
      </c>
      <c r="F55" s="221">
        <f>IFERROR(F15/F8,"")</f>
        <v/>
      </c>
      <c r="I55" s="223" t="inlineStr">
        <is>
          <t>CX</t>
        </is>
      </c>
      <c r="J55" s="222">
        <f>IF('Sheet9_Financial Data'!$T$226="","",'Sheet9_Financial Data'!$T$226)</f>
        <v/>
      </c>
      <c r="K55" s="220">
        <f>IF('Sheet9_Financial Data'!$T$228="","",'Sheet9_Financial Data'!$T$228)</f>
        <v/>
      </c>
      <c r="L55" s="221">
        <f>""</f>
        <v/>
      </c>
      <c r="M55" s="221">
        <f>IFERROR('Sheet9_Financial Data'!$T$319/'Sheet9_Financial Data'!$T$228,"")</f>
        <v/>
      </c>
      <c r="N55" s="221">
        <f>IFERROR('Sheet9_Financial Data'!$T$318/'Sheet9_Financial Data'!$T$228,"")</f>
        <v/>
      </c>
      <c r="O55" s="221">
        <f>IFERROR('Sheet9_Financial Data'!$T$269/'Sheet9_Financial Data'!$T$228,"")</f>
        <v/>
      </c>
      <c r="P55" s="221">
        <f>IFERROR('Sheet9_Financial Data'!$T$269/'Sheet9_Financial Data'!$T$78,"")</f>
        <v/>
      </c>
      <c r="Q55" s="221">
        <f>IFERROR('Sheet9_Financial Data'!$T$269/'Sheet9_Financial Data'!$T$47,"")</f>
        <v/>
      </c>
      <c r="R55" s="224">
        <f>IFERROR('Sheet9_Financial Data'!$T$135/'Sheet9_Financial Data'!$T$78,"")</f>
        <v/>
      </c>
      <c r="S55" s="224">
        <f>IFERROR(('Sheet9_Financial Data'!$T$135-'Sheet9_Financial Data'!$T$13)/'Sheet9_Financial Data'!$T$319,"")</f>
        <v/>
      </c>
      <c r="T55" s="224">
        <f>IFERROR('Sheet9_Financial Data'!$T$228/'Sheet9_Financial Data'!$T$47,"")</f>
        <v/>
      </c>
    </row>
    <row r="56" ht="18" customHeight="1" s="200">
      <c r="A56" s="219" t="inlineStr">
        <is>
          <t>ROA</t>
        </is>
      </c>
      <c r="B56" s="221">
        <f>IFERROR(B15/B22,"")</f>
        <v/>
      </c>
      <c r="C56" s="221">
        <f>IFERROR(C15/AVERAGE(B22,C22),"")</f>
        <v/>
      </c>
      <c r="D56" s="221">
        <f>IFERROR(D15/AVERAGE(C22,D22),"")</f>
        <v/>
      </c>
      <c r="E56" s="221">
        <f>IFERROR(E15/AVERAGE(D22,E22),"")</f>
        <v/>
      </c>
      <c r="F56" s="221">
        <f>IFERROR(F15/AVERAGE(E22,F22),"")</f>
        <v/>
      </c>
      <c r="I56" s="223" t="inlineStr">
        <is>
          <t>EXP</t>
        </is>
      </c>
      <c r="J56" s="222">
        <f>IF('Sheet9_Financial Data'!$W$226="","",'Sheet9_Financial Data'!$W$226)</f>
        <v/>
      </c>
      <c r="K56" s="220">
        <f>IF('Sheet9_Financial Data'!$W$228="","",'Sheet9_Financial Data'!$W$228)</f>
        <v/>
      </c>
      <c r="L56" s="221">
        <f>""</f>
        <v/>
      </c>
      <c r="M56" s="221">
        <f>IFERROR('Sheet9_Financial Data'!$W$306/'Sheet9_Financial Data'!$W$228,"")</f>
        <v/>
      </c>
      <c r="N56" s="221">
        <f>IFERROR('Sheet9_Financial Data'!$W$305/'Sheet9_Financial Data'!$W$228,"")</f>
        <v/>
      </c>
      <c r="O56" s="221">
        <f>IFERROR('Sheet9_Financial Data'!$W$262/'Sheet9_Financial Data'!$W$228,"")</f>
        <v/>
      </c>
      <c r="P56" s="221">
        <f>IFERROR('Sheet9_Financial Data'!$W$262/'Sheet9_Financial Data'!$W$93,"")</f>
        <v/>
      </c>
      <c r="Q56" s="221">
        <f>IFERROR('Sheet9_Financial Data'!$W$262/'Sheet9_Financial Data'!$W$63,"")</f>
        <v/>
      </c>
      <c r="R56" s="224">
        <f>IFERROR('Sheet9_Financial Data'!$W$135/'Sheet9_Financial Data'!$W$93,"")</f>
        <v/>
      </c>
      <c r="S56" s="224">
        <f>IFERROR(('Sheet9_Financial Data'!$W$135-'Sheet9_Financial Data'!$W$13)/'Sheet9_Financial Data'!$W$306,"")</f>
        <v/>
      </c>
      <c r="T56" s="224">
        <f>IFERROR('Sheet9_Financial Data'!$W$228/'Sheet9_Financial Data'!$W$63,"")</f>
        <v/>
      </c>
    </row>
    <row r="57" ht="18" customHeight="1" s="200">
      <c r="A57" s="219" t="inlineStr">
        <is>
          <t>ROE</t>
        </is>
      </c>
      <c r="B57" s="221">
        <f>IFERROR(B15/B27,"")</f>
        <v/>
      </c>
      <c r="C57" s="221">
        <f>IFERROR(C15/AVERAGE(B27,C27),"")</f>
        <v/>
      </c>
      <c r="D57" s="221">
        <f>IFERROR(D15/AVERAGE(C27,D27),"")</f>
        <v/>
      </c>
      <c r="E57" s="221">
        <f>IFERROR(E15/AVERAGE(D27,E27),"")</f>
        <v/>
      </c>
      <c r="F57" s="221">
        <f>IFERROR(F15/AVERAGE(E27,F27),"")</f>
        <v/>
      </c>
      <c r="I57" s="225" t="inlineStr">
        <is>
          <t>Peer Median</t>
        </is>
      </c>
      <c r="J57" s="226" t="n"/>
      <c r="K57" s="227">
        <f>MEDIAN(K51:K56)</f>
        <v/>
      </c>
      <c r="L57" s="228">
        <f>IF(COUNT(L51:L56)&gt;=2,MEDIAN(L51:L56),"")</f>
        <v/>
      </c>
      <c r="M57" s="228">
        <f>IF(COUNT(M51:M56)&gt;0,MEDIAN(M51:M56),"")</f>
        <v/>
      </c>
      <c r="N57" s="228">
        <f>IF(COUNT(N51:N56)&gt;0,MEDIAN(N51:N56),"")</f>
        <v/>
      </c>
      <c r="O57" s="228">
        <f>IF(COUNT(O51:O56)&gt;0,MEDIAN(O51:O56),"")</f>
        <v/>
      </c>
      <c r="P57" s="228">
        <f>IF(COUNT(P51:P56)&gt;0,MEDIAN(P51:P56),"")</f>
        <v/>
      </c>
      <c r="Q57" s="228">
        <f>IF(COUNT(Q51:Q56)&gt;0,MEDIAN(Q51:Q56),"")</f>
        <v/>
      </c>
      <c r="R57" s="229">
        <f>IF(COUNT(R51:R56)&gt;0,MEDIAN(R51:R56),"")</f>
        <v/>
      </c>
      <c r="S57" s="229">
        <f>IF(COUNT(S51:S56)&gt;0,MEDIAN(S51:S56),"")</f>
        <v/>
      </c>
      <c r="T57" s="229">
        <f>IF(COUNT(T51:T56)&gt;0,MEDIAN(T51:T56),"")</f>
        <v/>
      </c>
    </row>
    <row r="58" ht="18" customHeight="1" s="200">
      <c r="A58" s="218" t="inlineStr">
        <is>
          <t>Efficiency</t>
        </is>
      </c>
      <c r="B58" s="218" t="n"/>
      <c r="C58" s="218" t="n"/>
      <c r="D58" s="218" t="n"/>
      <c r="E58" s="218" t="n"/>
      <c r="F58" s="218" t="n"/>
      <c r="I58" s="230" t="inlineStr">
        <is>
          <t>Peer feed on Sheet 9 provides latest reported periods only; revenue growth ranks remain blank where peer prior-year revenue is unavailable.</t>
        </is>
      </c>
      <c r="J58" s="230" t="n"/>
      <c r="K58" s="230" t="n"/>
      <c r="L58" s="230" t="n"/>
      <c r="M58" s="230" t="n"/>
      <c r="N58" s="230" t="n"/>
      <c r="O58" s="230" t="n"/>
      <c r="P58" s="230" t="n"/>
      <c r="Q58" s="230" t="n"/>
      <c r="R58" s="230" t="n"/>
      <c r="S58" s="230" t="n"/>
      <c r="T58" s="230" t="n"/>
    </row>
    <row r="59" ht="18" customHeight="1" s="200">
      <c r="A59" s="219" t="inlineStr">
        <is>
          <t>Asset Turnover</t>
        </is>
      </c>
      <c r="B59" s="224">
        <f>IFERROR(B8/B22,"")</f>
        <v/>
      </c>
      <c r="C59" s="224">
        <f>IFERROR(C8/AVERAGE(B22,C22),"")</f>
        <v/>
      </c>
      <c r="D59" s="224">
        <f>IFERROR(D8/AVERAGE(C22,D22),"")</f>
        <v/>
      </c>
      <c r="E59" s="224">
        <f>IFERROR(E8/AVERAGE(D22,E22),"")</f>
        <v/>
      </c>
      <c r="F59" s="224">
        <f>IFERROR(F8/AVERAGE(E22,F22),"")</f>
        <v/>
      </c>
    </row>
    <row r="60" ht="18" customHeight="1" s="200">
      <c r="A60" s="219" t="inlineStr">
        <is>
          <t>Fixed Asset Turnover</t>
        </is>
      </c>
      <c r="B60" s="224">
        <f>IFERROR(B8/B21,"")</f>
        <v/>
      </c>
      <c r="C60" s="224">
        <f>IFERROR(C8/AVERAGE(B21,C21),"")</f>
        <v/>
      </c>
      <c r="D60" s="224">
        <f>IFERROR(D8/AVERAGE(C21,D21),"")</f>
        <v/>
      </c>
      <c r="E60" s="224">
        <f>IFERROR(E8/AVERAGE(D21,E21),"")</f>
        <v/>
      </c>
      <c r="F60" s="224">
        <f>IFERROR(F8/AVERAGE(E21,F21),"")</f>
        <v/>
      </c>
    </row>
    <row r="61" ht="18" customHeight="1" s="200">
      <c r="A61" s="219" t="inlineStr">
        <is>
          <t>Receivable Days</t>
        </is>
      </c>
      <c r="B61" s="231">
        <f>IFERROR(B18/B8*365,"")</f>
        <v/>
      </c>
      <c r="C61" s="231">
        <f>IFERROR(AVERAGE(B18,C18)/C8*365,"")</f>
        <v/>
      </c>
      <c r="D61" s="231">
        <f>IFERROR(AVERAGE(C18,D18)/D8*365,"")</f>
        <v/>
      </c>
      <c r="E61" s="231">
        <f>IFERROR(AVERAGE(D18,E18)/E8*365,"")</f>
        <v/>
      </c>
      <c r="F61" s="231">
        <f>IFERROR(AVERAGE(E18,F18)/F8*365,"")</f>
        <v/>
      </c>
      <c r="I61" s="216" t="inlineStr">
        <is>
          <t>5b. Peer Ranking | Lower Is Better For Leverage Metrics</t>
        </is>
      </c>
      <c r="J61" s="216" t="n"/>
      <c r="K61" s="216" t="n"/>
      <c r="L61" s="216" t="n"/>
      <c r="M61" s="216" t="n"/>
      <c r="N61" s="216" t="n"/>
      <c r="O61" s="216" t="n"/>
      <c r="P61" s="216" t="n"/>
      <c r="Q61" s="216" t="n"/>
      <c r="R61" s="216" t="n"/>
      <c r="S61" s="216" t="n"/>
      <c r="T61" s="216" t="n"/>
    </row>
    <row r="62" ht="18" customHeight="1" s="200">
      <c r="A62" s="219" t="inlineStr">
        <is>
          <t>Inventory Days</t>
        </is>
      </c>
      <c r="B62" s="231">
        <f>IFERROR(B19/B9*365,"")</f>
        <v/>
      </c>
      <c r="C62" s="231">
        <f>IFERROR(AVERAGE(B19,C19)/C9*365,"")</f>
        <v/>
      </c>
      <c r="D62" s="231">
        <f>IFERROR(AVERAGE(C19,D19)/D9*365,"")</f>
        <v/>
      </c>
      <c r="E62" s="231">
        <f>IFERROR(AVERAGE(D19,E19)/E9*365,"")</f>
        <v/>
      </c>
      <c r="F62" s="231">
        <f>IFERROR(AVERAGE(E19,F19)/F9*365,"")</f>
        <v/>
      </c>
      <c r="I62" s="217" t="inlineStr">
        <is>
          <t>Company</t>
        </is>
      </c>
      <c r="J62" s="217" t="inlineStr">
        <is>
          <t>Revenue Growth</t>
        </is>
      </c>
      <c r="K62" s="217" t="inlineStr">
        <is>
          <t>EBITDA Margin</t>
        </is>
      </c>
      <c r="L62" s="217" t="inlineStr">
        <is>
          <t>EBIT Margin</t>
        </is>
      </c>
      <c r="M62" s="217" t="inlineStr">
        <is>
          <t>Net Margin</t>
        </is>
      </c>
      <c r="N62" s="217" t="inlineStr">
        <is>
          <t>ROE</t>
        </is>
      </c>
      <c r="O62" s="217" t="inlineStr">
        <is>
          <t>ROA</t>
        </is>
      </c>
      <c r="P62" s="217" t="inlineStr">
        <is>
          <t>Debt / Equity</t>
        </is>
      </c>
      <c r="Q62" s="217" t="inlineStr">
        <is>
          <t>Net Debt / EBITDA</t>
        </is>
      </c>
      <c r="R62" s="217" t="inlineStr">
        <is>
          <t>Asset Turnover</t>
        </is>
      </c>
      <c r="S62" s="217" t="inlineStr">
        <is>
          <t>Average Score</t>
        </is>
      </c>
      <c r="T62" s="217" t="inlineStr">
        <is>
          <t>Overall Rank</t>
        </is>
      </c>
    </row>
    <row r="63" ht="18" customHeight="1" s="200">
      <c r="A63" s="219" t="inlineStr">
        <is>
          <t>Payable Days</t>
        </is>
      </c>
      <c r="B63" s="231">
        <f>IFERROR(B23/B9*365,"")</f>
        <v/>
      </c>
      <c r="C63" s="231">
        <f>IFERROR(AVERAGE(B23,C23)/C9*365,"")</f>
        <v/>
      </c>
      <c r="D63" s="231">
        <f>IFERROR(AVERAGE(C23,D23)/D9*365,"")</f>
        <v/>
      </c>
      <c r="E63" s="231">
        <f>IFERROR(AVERAGE(D23,E23)/E9*365,"")</f>
        <v/>
      </c>
      <c r="F63" s="231">
        <f>IFERROR(AVERAGE(E23,F23)/F9*365,"")</f>
        <v/>
      </c>
      <c r="I63" s="223">
        <f>I51</f>
        <v/>
      </c>
      <c r="J63" s="231">
        <f>IF(COUNT($L$51:$L$56)&lt;2,"",RANK(L51,$L$51:$L$56,0))</f>
        <v/>
      </c>
      <c r="K63" s="231">
        <f>IF(COUNT($M$51:$M$56)&lt;2,"",RANK(M51,$M$51:$M$56,0))</f>
        <v/>
      </c>
      <c r="L63" s="231">
        <f>IF(COUNT($N$51:$N$56)&lt;2,"",RANK(N51,$N$51:$N$56,0))</f>
        <v/>
      </c>
      <c r="M63" s="231">
        <f>IF(COUNT($O$51:$O$56)&lt;2,"",RANK(O51,$O$51:$O$56,0))</f>
        <v/>
      </c>
      <c r="N63" s="231">
        <f>IF(COUNT($P$51:$P$56)&lt;2,"",RANK(P51,$P$51:$P$56,0))</f>
        <v/>
      </c>
      <c r="O63" s="231">
        <f>IF(COUNT($Q$51:$Q$56)&lt;2,"",RANK(Q51,$Q$51:$Q$56,0))</f>
        <v/>
      </c>
      <c r="P63" s="231">
        <f>IF(COUNT($R$51:$R$56)&lt;2,"",RANK(R51,$R$51:$R$56,1))</f>
        <v/>
      </c>
      <c r="Q63" s="231">
        <f>IF(COUNT($S$51:$S$56)&lt;2,"",RANK(S51,$S$51:$S$56,1))</f>
        <v/>
      </c>
      <c r="R63" s="231">
        <f>IF(COUNT($T$51:$T$56)&lt;2,"",RANK(T51,$T$51:$T$56,0))</f>
        <v/>
      </c>
      <c r="S63" s="232">
        <f>IF(COUNT(J63:R63)=0,"",AVERAGE(J63:R63))</f>
        <v/>
      </c>
      <c r="T63" s="231">
        <f>IF(S63="","",RANK(S63,$S$63:$S$68,1))</f>
        <v/>
      </c>
    </row>
    <row r="64" ht="18" customHeight="1" s="200">
      <c r="A64" s="218" t="inlineStr">
        <is>
          <t>Liquidity</t>
        </is>
      </c>
      <c r="B64" s="218" t="n"/>
      <c r="C64" s="218" t="n"/>
      <c r="D64" s="218" t="n"/>
      <c r="E64" s="218" t="n"/>
      <c r="F64" s="218" t="n"/>
      <c r="I64" s="223">
        <f>I52</f>
        <v/>
      </c>
      <c r="J64" s="231">
        <f>IF(COUNT($L$51:$L$56)&lt;2,"",RANK(L52,$L$51:$L$56,0))</f>
        <v/>
      </c>
      <c r="K64" s="231">
        <f>IF(COUNT($M$51:$M$56)&lt;2,"",RANK(M52,$M$51:$M$56,0))</f>
        <v/>
      </c>
      <c r="L64" s="231">
        <f>IF(COUNT($N$51:$N$56)&lt;2,"",RANK(N52,$N$51:$N$56,0))</f>
        <v/>
      </c>
      <c r="M64" s="231">
        <f>IF(COUNT($O$51:$O$56)&lt;2,"",RANK(O52,$O$51:$O$56,0))</f>
        <v/>
      </c>
      <c r="N64" s="231">
        <f>IF(COUNT($P$51:$P$56)&lt;2,"",RANK(P52,$P$51:$P$56,0))</f>
        <v/>
      </c>
      <c r="O64" s="231">
        <f>IF(COUNT($Q$51:$Q$56)&lt;2,"",RANK(Q52,$Q$51:$Q$56,0))</f>
        <v/>
      </c>
      <c r="P64" s="231">
        <f>IF(COUNT($R$51:$R$56)&lt;2,"",RANK(R52,$R$51:$R$56,1))</f>
        <v/>
      </c>
      <c r="Q64" s="231">
        <f>IF(COUNT($S$51:$S$56)&lt;2,"",RANK(S52,$S$51:$S$56,1))</f>
        <v/>
      </c>
      <c r="R64" s="231">
        <f>IF(COUNT($T$51:$T$56)&lt;2,"",RANK(T52,$T$51:$T$56,0))</f>
        <v/>
      </c>
      <c r="S64" s="232">
        <f>IF(COUNT(J64:R64)=0,"",AVERAGE(J64:R64))</f>
        <v/>
      </c>
      <c r="T64" s="231">
        <f>IF(S64="","",RANK(S64,$S$63:$S$68,1))</f>
        <v/>
      </c>
    </row>
    <row r="65" ht="18" customHeight="1" s="200">
      <c r="A65" s="219" t="inlineStr">
        <is>
          <t>Current Ratio</t>
        </is>
      </c>
      <c r="B65" s="224">
        <f>IFERROR(B20/B24,"")</f>
        <v/>
      </c>
      <c r="C65" s="224">
        <f>IFERROR(C20/C24,"")</f>
        <v/>
      </c>
      <c r="D65" s="224">
        <f>IFERROR(D20/D24,"")</f>
        <v/>
      </c>
      <c r="E65" s="224">
        <f>IFERROR(E20/E24,"")</f>
        <v/>
      </c>
      <c r="F65" s="224">
        <f>IFERROR(F20/F24,"")</f>
        <v/>
      </c>
      <c r="I65" s="223">
        <f>I53</f>
        <v/>
      </c>
      <c r="J65" s="231">
        <f>IF(COUNT($L$51:$L$56)&lt;2,"",RANK(L53,$L$51:$L$56,0))</f>
        <v/>
      </c>
      <c r="K65" s="231">
        <f>IF(COUNT($M$51:$M$56)&lt;2,"",RANK(M53,$M$51:$M$56,0))</f>
        <v/>
      </c>
      <c r="L65" s="231">
        <f>IF(COUNT($N$51:$N$56)&lt;2,"",RANK(N53,$N$51:$N$56,0))</f>
        <v/>
      </c>
      <c r="M65" s="231">
        <f>IF(COUNT($O$51:$O$56)&lt;2,"",RANK(O53,$O$51:$O$56,0))</f>
        <v/>
      </c>
      <c r="N65" s="231">
        <f>IF(COUNT($P$51:$P$56)&lt;2,"",RANK(P53,$P$51:$P$56,0))</f>
        <v/>
      </c>
      <c r="O65" s="231">
        <f>IF(COUNT($Q$51:$Q$56)&lt;2,"",RANK(Q53,$Q$51:$Q$56,0))</f>
        <v/>
      </c>
      <c r="P65" s="231">
        <f>IF(COUNT($R$51:$R$56)&lt;2,"",RANK(R53,$R$51:$R$56,1))</f>
        <v/>
      </c>
      <c r="Q65" s="231">
        <f>IF(COUNT($S$51:$S$56)&lt;2,"",RANK(S53,$S$51:$S$56,1))</f>
        <v/>
      </c>
      <c r="R65" s="231">
        <f>IF(COUNT($T$51:$T$56)&lt;2,"",RANK(T53,$T$51:$T$56,0))</f>
        <v/>
      </c>
      <c r="S65" s="232">
        <f>IF(COUNT(J65:R65)=0,"",AVERAGE(J65:R65))</f>
        <v/>
      </c>
      <c r="T65" s="231">
        <f>IF(S65="","",RANK(S65,$S$63:$S$68,1))</f>
        <v/>
      </c>
    </row>
    <row r="66" ht="18" customHeight="1" s="200">
      <c r="A66" s="219" t="inlineStr">
        <is>
          <t>Quick Ratio</t>
        </is>
      </c>
      <c r="B66" s="224">
        <f>IFERROR((B20-B19)/B24,"")</f>
        <v/>
      </c>
      <c r="C66" s="224">
        <f>IFERROR((C20-C19)/C24,"")</f>
        <v/>
      </c>
      <c r="D66" s="224">
        <f>IFERROR((D20-D19)/D24,"")</f>
        <v/>
      </c>
      <c r="E66" s="224">
        <f>IFERROR((E20-E19)/E24,"")</f>
        <v/>
      </c>
      <c r="F66" s="224">
        <f>IFERROR((F20-F19)/F24,"")</f>
        <v/>
      </c>
      <c r="I66" s="223">
        <f>I54</f>
        <v/>
      </c>
      <c r="J66" s="231">
        <f>IF(COUNT($L$51:$L$56)&lt;2,"",RANK(L54,$L$51:$L$56,0))</f>
        <v/>
      </c>
      <c r="K66" s="231">
        <f>IF(COUNT($M$51:$M$56)&lt;2,"",RANK(M54,$M$51:$M$56,0))</f>
        <v/>
      </c>
      <c r="L66" s="231">
        <f>IF(COUNT($N$51:$N$56)&lt;2,"",RANK(N54,$N$51:$N$56,0))</f>
        <v/>
      </c>
      <c r="M66" s="231">
        <f>IF(COUNT($O$51:$O$56)&lt;2,"",RANK(O54,$O$51:$O$56,0))</f>
        <v/>
      </c>
      <c r="N66" s="231">
        <f>IF(COUNT($P$51:$P$56)&lt;2,"",RANK(P54,$P$51:$P$56,0))</f>
        <v/>
      </c>
      <c r="O66" s="231">
        <f>IF(COUNT($Q$51:$Q$56)&lt;2,"",RANK(Q54,$Q$51:$Q$56,0))</f>
        <v/>
      </c>
      <c r="P66" s="231">
        <f>IF(COUNT($R$51:$R$56)&lt;2,"",RANK(R54,$R$51:$R$56,1))</f>
        <v/>
      </c>
      <c r="Q66" s="231">
        <f>IF(COUNT($S$51:$S$56)&lt;2,"",RANK(S54,$S$51:$S$56,1))</f>
        <v/>
      </c>
      <c r="R66" s="231">
        <f>IF(COUNT($T$51:$T$56)&lt;2,"",RANK(T54,$T$51:$T$56,0))</f>
        <v/>
      </c>
      <c r="S66" s="232">
        <f>IF(COUNT(J66:R66)=0,"",AVERAGE(J66:R66))</f>
        <v/>
      </c>
      <c r="T66" s="231">
        <f>IF(S66="","",RANK(S66,$S$63:$S$68,1))</f>
        <v/>
      </c>
    </row>
    <row r="67" ht="18" customHeight="1" s="200">
      <c r="A67" s="219" t="inlineStr">
        <is>
          <t>Working Capital</t>
        </is>
      </c>
      <c r="B67" s="220">
        <f>IFERROR(B20-B24,"")</f>
        <v/>
      </c>
      <c r="C67" s="220">
        <f>IFERROR(C20-C24,"")</f>
        <v/>
      </c>
      <c r="D67" s="220">
        <f>IFERROR(D20-D24,"")</f>
        <v/>
      </c>
      <c r="E67" s="220">
        <f>IFERROR(E20-E24,"")</f>
        <v/>
      </c>
      <c r="F67" s="220">
        <f>IFERROR(F20-F24,"")</f>
        <v/>
      </c>
      <c r="I67" s="223">
        <f>I55</f>
        <v/>
      </c>
      <c r="J67" s="231">
        <f>IF(COUNT($L$51:$L$56)&lt;2,"",RANK(L55,$L$51:$L$56,0))</f>
        <v/>
      </c>
      <c r="K67" s="231">
        <f>IF(COUNT($M$51:$M$56)&lt;2,"",RANK(M55,$M$51:$M$56,0))</f>
        <v/>
      </c>
      <c r="L67" s="231">
        <f>IF(COUNT($N$51:$N$56)&lt;2,"",RANK(N55,$N$51:$N$56,0))</f>
        <v/>
      </c>
      <c r="M67" s="231">
        <f>IF(COUNT($O$51:$O$56)&lt;2,"",RANK(O55,$O$51:$O$56,0))</f>
        <v/>
      </c>
      <c r="N67" s="231">
        <f>IF(COUNT($P$51:$P$56)&lt;2,"",RANK(P55,$P$51:$P$56,0))</f>
        <v/>
      </c>
      <c r="O67" s="231">
        <f>IF(COUNT($Q$51:$Q$56)&lt;2,"",RANK(Q55,$Q$51:$Q$56,0))</f>
        <v/>
      </c>
      <c r="P67" s="231">
        <f>IF(COUNT($R$51:$R$56)&lt;2,"",RANK(R55,$R$51:$R$56,1))</f>
        <v/>
      </c>
      <c r="Q67" s="231">
        <f>IF(COUNT($S$51:$S$56)&lt;2,"",RANK(S55,$S$51:$S$56,1))</f>
        <v/>
      </c>
      <c r="R67" s="231">
        <f>IF(COUNT($T$51:$T$56)&lt;2,"",RANK(T55,$T$51:$T$56,0))</f>
        <v/>
      </c>
      <c r="S67" s="232">
        <f>IF(COUNT(J67:R67)=0,"",AVERAGE(J67:R67))</f>
        <v/>
      </c>
      <c r="T67" s="231">
        <f>IF(S67="","",RANK(S67,$S$63:$S$68,1))</f>
        <v/>
      </c>
    </row>
    <row r="68" ht="18" customHeight="1" s="200">
      <c r="A68" s="218" t="inlineStr">
        <is>
          <t>Leverage / Solvency</t>
        </is>
      </c>
      <c r="B68" s="218" t="n"/>
      <c r="C68" s="218" t="n"/>
      <c r="D68" s="218" t="n"/>
      <c r="E68" s="218" t="n"/>
      <c r="F68" s="218" t="n"/>
      <c r="I68" s="223">
        <f>I56</f>
        <v/>
      </c>
      <c r="J68" s="231">
        <f>IF(COUNT($L$51:$L$56)&lt;2,"",RANK(L56,$L$51:$L$56,0))</f>
        <v/>
      </c>
      <c r="K68" s="231">
        <f>IF(COUNT($M$51:$M$56)&lt;2,"",RANK(M56,$M$51:$M$56,0))</f>
        <v/>
      </c>
      <c r="L68" s="231">
        <f>IF(COUNT($N$51:$N$56)&lt;2,"",RANK(N56,$N$51:$N$56,0))</f>
        <v/>
      </c>
      <c r="M68" s="231">
        <f>IF(COUNT($O$51:$O$56)&lt;2,"",RANK(O56,$O$51:$O$56,0))</f>
        <v/>
      </c>
      <c r="N68" s="231">
        <f>IF(COUNT($P$51:$P$56)&lt;2,"",RANK(P56,$P$51:$P$56,0))</f>
        <v/>
      </c>
      <c r="O68" s="231">
        <f>IF(COUNT($Q$51:$Q$56)&lt;2,"",RANK(Q56,$Q$51:$Q$56,0))</f>
        <v/>
      </c>
      <c r="P68" s="231">
        <f>IF(COUNT($R$51:$R$56)&lt;2,"",RANK(R56,$R$51:$R$56,1))</f>
        <v/>
      </c>
      <c r="Q68" s="231">
        <f>IF(COUNT($S$51:$S$56)&lt;2,"",RANK(S56,$S$51:$S$56,1))</f>
        <v/>
      </c>
      <c r="R68" s="231">
        <f>IF(COUNT($T$51:$T$56)&lt;2,"",RANK(T56,$T$51:$T$56,0))</f>
        <v/>
      </c>
      <c r="S68" s="232">
        <f>IF(COUNT(J68:R68)=0,"",AVERAGE(J68:R68))</f>
        <v/>
      </c>
      <c r="T68" s="231">
        <f>IF(S68="","",RANK(S68,$S$63:$S$68,1))</f>
        <v/>
      </c>
    </row>
    <row r="69" ht="18" customHeight="1" s="200">
      <c r="A69" s="219" t="inlineStr">
        <is>
          <t>Debt / Equity</t>
        </is>
      </c>
      <c r="B69" s="224">
        <f>IFERROR(B26/B27,"")</f>
        <v/>
      </c>
      <c r="C69" s="224">
        <f>IFERROR(C26/C27,"")</f>
        <v/>
      </c>
      <c r="D69" s="224">
        <f>IFERROR(D26/D27,"")</f>
        <v/>
      </c>
      <c r="E69" s="224">
        <f>IFERROR(E26/E27,"")</f>
        <v/>
      </c>
      <c r="F69" s="224">
        <f>IFERROR(F26/F27,"")</f>
        <v/>
      </c>
    </row>
    <row r="70" ht="18" customHeight="1" s="200">
      <c r="A70" s="219" t="inlineStr">
        <is>
          <t>Debt / Assets</t>
        </is>
      </c>
      <c r="B70" s="224">
        <f>IFERROR(B26/B22,"")</f>
        <v/>
      </c>
      <c r="C70" s="224">
        <f>IFERROR(C26/C22,"")</f>
        <v/>
      </c>
      <c r="D70" s="224">
        <f>IFERROR(D26/D22,"")</f>
        <v/>
      </c>
      <c r="E70" s="224">
        <f>IFERROR(E26/E22,"")</f>
        <v/>
      </c>
      <c r="F70" s="224">
        <f>IFERROR(F26/F22,"")</f>
        <v/>
      </c>
    </row>
    <row r="71" ht="18" customHeight="1" s="200">
      <c r="A71" s="219" t="inlineStr">
        <is>
          <t>Debt / Capital</t>
        </is>
      </c>
      <c r="B71" s="224">
        <f>IFERROR(B26/(B26+B27),"")</f>
        <v/>
      </c>
      <c r="C71" s="224">
        <f>IFERROR(C26/(C26+C27),"")</f>
        <v/>
      </c>
      <c r="D71" s="224">
        <f>IFERROR(D26/(D26+D27),"")</f>
        <v/>
      </c>
      <c r="E71" s="224">
        <f>IFERROR(E26/(E26+E27),"")</f>
        <v/>
      </c>
      <c r="F71" s="224">
        <f>IFERROR(F26/(F26+F27),"")</f>
        <v/>
      </c>
    </row>
    <row r="72" ht="18" customHeight="1" s="200">
      <c r="A72" s="219" t="inlineStr">
        <is>
          <t>Net Debt / EBITDA</t>
        </is>
      </c>
      <c r="B72" s="224">
        <f>IFERROR((B26-B17)/B13,"")</f>
        <v/>
      </c>
      <c r="C72" s="224">
        <f>IFERROR((C26-C17)/C13,"")</f>
        <v/>
      </c>
      <c r="D72" s="224">
        <f>IFERROR((D26-D17)/D13,"")</f>
        <v/>
      </c>
      <c r="E72" s="224">
        <f>IFERROR((E26-E17)/E13,"")</f>
        <v/>
      </c>
      <c r="F72" s="224">
        <f>IFERROR((F26-F17)/F13,"")</f>
        <v/>
      </c>
    </row>
    <row r="73" ht="18" customHeight="1" s="200">
      <c r="A73" s="219" t="inlineStr">
        <is>
          <t>Financial Leverage</t>
        </is>
      </c>
      <c r="B73" s="224">
        <f>IFERROR(B22/B27,"")</f>
        <v/>
      </c>
      <c r="C73" s="224">
        <f>IFERROR(AVERAGE(B22,C22)/AVERAGE(B27,C27),"")</f>
        <v/>
      </c>
      <c r="D73" s="224">
        <f>IFERROR(AVERAGE(C22,D22)/AVERAGE(C27,D27),"")</f>
        <v/>
      </c>
      <c r="E73" s="224">
        <f>IFERROR(AVERAGE(D22,E22)/AVERAGE(D27,E27),"")</f>
        <v/>
      </c>
      <c r="F73" s="224">
        <f>IFERROR(AVERAGE(E22,F22)/AVERAGE(E27,F27),"")</f>
        <v/>
      </c>
    </row>
    <row r="74" ht="18" customHeight="1" s="200">
      <c r="A74" s="218" t="inlineStr">
        <is>
          <t>Coverage</t>
        </is>
      </c>
      <c r="B74" s="218" t="n"/>
      <c r="C74" s="218" t="n"/>
      <c r="D74" s="218" t="n"/>
      <c r="E74" s="218" t="n"/>
      <c r="F74" s="218" t="n"/>
    </row>
    <row r="75" ht="18" customHeight="1" s="200">
      <c r="A75" s="219" t="inlineStr">
        <is>
          <t>EBIT / Interest Expense</t>
        </is>
      </c>
      <c r="B75" s="224">
        <f>IFERROR(B14/ABS('Sheet9_Financial Data'!$F$247),"")</f>
        <v/>
      </c>
      <c r="C75" s="224">
        <f>IFERROR(C14/ABS('Sheet9_Financial Data'!$E$247),"")</f>
        <v/>
      </c>
      <c r="D75" s="224">
        <f>IFERROR(D14/ABS('Sheet9_Financial Data'!$D$247),"")</f>
        <v/>
      </c>
      <c r="E75" s="224">
        <f>IFERROR(E14/ABS('Sheet9_Financial Data'!$C$247),"")</f>
        <v/>
      </c>
      <c r="F75" s="224">
        <f>IFERROR(F14/ABS('Sheet9_Financial Data'!$B$247),"")</f>
        <v/>
      </c>
    </row>
    <row r="76" ht="18" customHeight="1" s="200">
      <c r="A76" s="219" t="inlineStr">
        <is>
          <t>EBITDA / Interest Expense</t>
        </is>
      </c>
      <c r="B76" s="224">
        <f>IFERROR(B13/ABS('Sheet9_Financial Data'!$F$247),"")</f>
        <v/>
      </c>
      <c r="C76" s="224">
        <f>IFERROR(C13/ABS('Sheet9_Financial Data'!$E$247),"")</f>
        <v/>
      </c>
      <c r="D76" s="224">
        <f>IFERROR(D13/ABS('Sheet9_Financial Data'!$D$247),"")</f>
        <v/>
      </c>
      <c r="E76" s="224">
        <f>IFERROR(E13/ABS('Sheet9_Financial Data'!$C$247),"")</f>
        <v/>
      </c>
      <c r="F76" s="224">
        <f>IFERROR(F13/ABS('Sheet9_Financial Data'!$B$247),"")</f>
        <v/>
      </c>
    </row>
    <row r="77" ht="18" customHeight="1" s="200">
      <c r="A77" s="219" t="inlineStr">
        <is>
          <t>Operating Cash Flow / Total Debt</t>
        </is>
      </c>
      <c r="B77" s="224">
        <f>IFERROR(B30/B26,"")</f>
        <v/>
      </c>
      <c r="C77" s="224">
        <f>IFERROR(C30/C26,"")</f>
        <v/>
      </c>
      <c r="D77" s="224">
        <f>IFERROR(D30/D26,"")</f>
        <v/>
      </c>
      <c r="E77" s="224">
        <f>IFERROR(E30/E26,"")</f>
        <v/>
      </c>
      <c r="F77" s="224">
        <f>IFERROR(F30/F26,"")</f>
        <v/>
      </c>
    </row>
    <row r="78" ht="18" customHeight="1" s="200"/>
    <row r="79" ht="18" customHeight="1" s="200"/>
    <row r="80" ht="18" customHeight="1" s="200"/>
    <row r="81" ht="20" customHeight="1" s="200">
      <c r="A81" s="216" t="inlineStr">
        <is>
          <t>6. Charts</t>
        </is>
      </c>
      <c r="B81" s="216" t="n"/>
      <c r="C81" s="216" t="n"/>
      <c r="D81" s="216" t="n"/>
      <c r="E81" s="216" t="n"/>
      <c r="F81" s="216" t="n"/>
      <c r="G81" s="216" t="n"/>
      <c r="H81" s="216" t="n"/>
      <c r="I81" s="216" t="n"/>
      <c r="J81" s="216" t="n"/>
      <c r="K81" s="216" t="n"/>
      <c r="L81" s="216" t="n"/>
      <c r="M81" s="216" t="n"/>
      <c r="N81" s="216" t="n"/>
      <c r="O81" s="216" t="n"/>
      <c r="P81" s="216" t="n"/>
      <c r="Q81" s="216" t="n"/>
      <c r="R81" s="216" t="n"/>
      <c r="S81" s="216" t="n"/>
      <c r="T81" s="216" t="n"/>
    </row>
    <row r="82" ht="18" customHeight="1" s="200"/>
    <row r="83" ht="18" customHeight="1" s="200"/>
    <row r="84" ht="18" customHeight="1" s="200"/>
    <row r="85" ht="18" customHeight="1" s="200"/>
    <row r="86" ht="18" customHeight="1" s="200"/>
    <row r="87" ht="18" customHeight="1" s="200"/>
    <row r="88" ht="18" customHeight="1" s="200"/>
    <row r="89" ht="18" customHeight="1" s="200"/>
    <row r="90" ht="18" customHeight="1" s="200"/>
    <row r="91" ht="18" customHeight="1" s="200"/>
    <row r="92" ht="18" customHeight="1" s="200"/>
    <row r="93" ht="18" customHeight="1" s="200"/>
    <row r="94" ht="18" customHeight="1" s="200"/>
    <row r="95" ht="18" customHeight="1" s="200"/>
    <row r="96" ht="18" customHeight="1" s="200"/>
    <row r="97" ht="18" customHeight="1" s="200"/>
    <row r="98" ht="18" customHeight="1" s="200"/>
    <row r="99" ht="18" customHeight="1" s="200"/>
    <row r="100" ht="18" customHeight="1" s="200"/>
    <row r="101" ht="18" customHeight="1" s="200"/>
    <row r="102" ht="18" customHeight="1" s="200"/>
    <row r="103" ht="18" customHeight="1" s="200"/>
    <row r="104" ht="18" customHeight="1" s="200"/>
    <row r="105" ht="20" customHeight="1" s="200">
      <c r="A105" s="216" t="inlineStr">
        <is>
          <t>7. Commentary</t>
        </is>
      </c>
      <c r="B105" s="216" t="n"/>
      <c r="C105" s="216" t="n"/>
      <c r="D105" s="216" t="n"/>
      <c r="E105" s="216" t="n"/>
      <c r="F105" s="216" t="n"/>
      <c r="G105" s="216" t="n"/>
      <c r="H105" s="216" t="n"/>
      <c r="I105" s="216" t="n"/>
      <c r="J105" s="216" t="n"/>
      <c r="K105" s="216" t="n"/>
      <c r="L105" s="216" t="n"/>
      <c r="M105" s="216" t="n"/>
      <c r="N105" s="216" t="n"/>
      <c r="O105" s="216" t="n"/>
      <c r="P105" s="216" t="n"/>
      <c r="Q105" s="216" t="n"/>
      <c r="R105" s="216" t="n"/>
      <c r="S105" s="216" t="n"/>
      <c r="T105" s="216" t="n"/>
    </row>
    <row r="106" ht="18" customHeight="1" s="200">
      <c r="A106" s="233">
        <f>"Revenue reached "&amp;TEXT(F8,"#,##0.0")&amp;" USDm in "&amp;TEXT(F6,"0")&amp;", "&amp;IF(M8&gt;0,"up ","down ")&amp;TEXT(ABS(M8),"0.0%")&amp;" YoY versus a four-year CAGR of "&amp;TEXT(N8,"0.0%")&amp;"; free cash flow finished at "&amp;TEXT(F32,"#,##0.0")&amp;" USDm."</f>
        <v/>
      </c>
      <c r="B106" s="233" t="n"/>
      <c r="C106" s="233" t="n"/>
      <c r="D106" s="233" t="n"/>
      <c r="E106" s="233" t="n"/>
      <c r="F106" s="233" t="n"/>
      <c r="G106" s="233" t="n"/>
      <c r="H106" s="233" t="n"/>
      <c r="I106" s="233" t="n"/>
      <c r="J106" s="233" t="n"/>
      <c r="K106" s="233" t="n"/>
      <c r="L106" s="233" t="n"/>
      <c r="M106" s="233" t="n"/>
      <c r="N106" s="233" t="n"/>
      <c r="O106" s="233" t="n"/>
      <c r="P106" s="233" t="n"/>
      <c r="Q106" s="233" t="n"/>
      <c r="R106" s="233" t="n"/>
      <c r="S106" s="233" t="n"/>
      <c r="T106" s="233" t="n"/>
    </row>
    <row r="107" ht="18" customHeight="1" s="200">
      <c r="A107" s="233">
        <f>"EBITDA margin "&amp;IF(F53&gt;E53,"expanded","compressed")&amp;" to "&amp;TEXT(F53,"0.0%")&amp;" from "&amp;TEXT(E53,"0.0%")&amp;", while EBIT margin ended at "&amp;TEXT(F54,"0.0%")&amp;" and net margin at "&amp;TEXT(F55,"0.0%")&amp;"."</f>
        <v/>
      </c>
      <c r="B107" s="233" t="n"/>
      <c r="C107" s="233" t="n"/>
      <c r="D107" s="233" t="n"/>
      <c r="E107" s="233" t="n"/>
      <c r="F107" s="233" t="n"/>
      <c r="G107" s="233" t="n"/>
      <c r="H107" s="233" t="n"/>
      <c r="I107" s="233" t="n"/>
      <c r="J107" s="233" t="n"/>
      <c r="K107" s="233" t="n"/>
      <c r="L107" s="233" t="n"/>
      <c r="M107" s="233" t="n"/>
      <c r="N107" s="233" t="n"/>
      <c r="O107" s="233" t="n"/>
      <c r="P107" s="233" t="n"/>
      <c r="Q107" s="233" t="n"/>
      <c r="R107" s="233" t="n"/>
      <c r="S107" s="233" t="n"/>
      <c r="T107" s="233" t="n"/>
    </row>
    <row r="108" ht="18" customHeight="1" s="200">
      <c r="A108" s="233">
        <f>"Balance sheet leverage closed at "&amp;TEXT(F69,"0.00x")&amp;" debt / equity and "&amp;TEXT(F72,"0.00x")&amp;" net debt / EBITDA, versus peer medians of "&amp;TEXT(R57,"0.00x")&amp;" and "&amp;TEXT(S57,"0.00x")&amp;"; current ratio was "&amp;TEXT(F65,"0.00x")&amp;"."</f>
        <v/>
      </c>
      <c r="B108" s="233" t="n"/>
      <c r="C108" s="233" t="n"/>
      <c r="D108" s="233" t="n"/>
      <c r="E108" s="233" t="n"/>
      <c r="F108" s="233" t="n"/>
      <c r="G108" s="233" t="n"/>
      <c r="H108" s="233" t="n"/>
      <c r="I108" s="233" t="n"/>
      <c r="J108" s="233" t="n"/>
      <c r="K108" s="233" t="n"/>
      <c r="L108" s="233" t="n"/>
      <c r="M108" s="233" t="n"/>
      <c r="N108" s="233" t="n"/>
      <c r="O108" s="233" t="n"/>
      <c r="P108" s="233" t="n"/>
      <c r="Q108" s="233" t="n"/>
      <c r="R108" s="233" t="n"/>
      <c r="S108" s="233" t="n"/>
      <c r="T108" s="233" t="n"/>
    </row>
    <row r="109" ht="18" customHeight="1" s="200">
      <c r="A109" s="233">
        <f>"Working capital was "&amp;TEXT(F67,"#,##0.0")&amp;" USDm, with receivable / inventory / payable days at "&amp;TEXT(F61,"0")&amp;" / "&amp;TEXT(F62,"0")&amp;" / "&amp;TEXT(F63,"0")&amp;" versus "&amp;TEXT(E61,"0")&amp;" / "&amp;TEXT(E62,"0")&amp;" / "&amp;TEXT(E63,"0")&amp;" in the prior year."</f>
        <v/>
      </c>
      <c r="B109" s="233" t="n"/>
      <c r="C109" s="233" t="n"/>
      <c r="D109" s="233" t="n"/>
      <c r="E109" s="233" t="n"/>
      <c r="F109" s="233" t="n"/>
      <c r="G109" s="233" t="n"/>
      <c r="H109" s="233" t="n"/>
      <c r="I109" s="233" t="n"/>
      <c r="J109" s="233" t="n"/>
      <c r="K109" s="233" t="n"/>
      <c r="L109" s="233" t="n"/>
      <c r="M109" s="233" t="n"/>
      <c r="N109" s="233" t="n"/>
      <c r="O109" s="233" t="n"/>
      <c r="P109" s="233" t="n"/>
      <c r="Q109" s="233" t="n"/>
      <c r="R109" s="233" t="n"/>
      <c r="S109" s="233" t="n"/>
      <c r="T109" s="233" t="n"/>
    </row>
    <row r="110" ht="18" customHeight="1" s="200">
      <c r="A110" s="233">
        <f>"Against the peer set, VMC ranks "&amp;TEXT(K63,"0")&amp;"/"&amp;COUNTA($I$63:$I$68)&amp;" on EBITDA margin, "&amp;TEXT(N63,"0")&amp;"/"&amp;COUNTA($I$63:$I$68)&amp;" on ROE, "&amp;TEXT(Q63,"0")&amp;"/"&amp;COUNTA($I$63:$I$68)&amp;" on net debt / EBITDA, and "&amp;TEXT(T63,"0")&amp;"/"&amp;COUNTA($I$63:$I$68)&amp;" on the composite score."</f>
        <v/>
      </c>
      <c r="B110" s="233" t="n"/>
      <c r="C110" s="233" t="n"/>
      <c r="D110" s="233" t="n"/>
      <c r="E110" s="233" t="n"/>
      <c r="F110" s="233" t="n"/>
      <c r="G110" s="233" t="n"/>
      <c r="H110" s="233" t="n"/>
      <c r="I110" s="233" t="n"/>
      <c r="J110" s="233" t="n"/>
      <c r="K110" s="233" t="n"/>
      <c r="L110" s="233" t="n"/>
      <c r="M110" s="233" t="n"/>
      <c r="N110" s="233" t="n"/>
      <c r="O110" s="233" t="n"/>
      <c r="P110" s="233" t="n"/>
      <c r="Q110" s="233" t="n"/>
      <c r="R110" s="233" t="n"/>
      <c r="S110" s="233" t="n"/>
      <c r="T110" s="233" t="n"/>
    </row>
    <row r="111" ht="18" customHeight="1" s="200"/>
    <row r="112" ht="18" customHeight="1" s="200"/>
    <row r="113" ht="18" customHeight="1" s="200"/>
    <row r="114" ht="18" customHeight="1" s="200"/>
  </sheetData>
  <mergeCells count="18">
    <mergeCell ref="A1:T1"/>
    <mergeCell ref="I5:O5"/>
    <mergeCell ref="A49:F49"/>
    <mergeCell ref="A110:T110"/>
    <mergeCell ref="A106:T106"/>
    <mergeCell ref="A3:T3"/>
    <mergeCell ref="A5:F5"/>
    <mergeCell ref="I49:T49"/>
    <mergeCell ref="A105:T105"/>
    <mergeCell ref="A109:T109"/>
    <mergeCell ref="A81:T81"/>
    <mergeCell ref="A107:T107"/>
    <mergeCell ref="A2:T2"/>
    <mergeCell ref="A35:F35"/>
    <mergeCell ref="I61:T61"/>
    <mergeCell ref="I35:N35"/>
    <mergeCell ref="I58:T58"/>
    <mergeCell ref="A108:T108"/>
  </mergeCells>
  <conditionalFormatting sqref="J8:N32">
    <cfRule type="colorScale" priority="1">
      <colorScale>
        <cfvo type="num" val="-0.3"/>
        <cfvo type="num" val="0"/>
        <cfvo type="num" val="0.3"/>
        <color rgb="00F8696B"/>
        <color rgb="00FFEB84"/>
        <color rgb="0063BE7B"/>
      </colorScale>
    </cfRule>
  </conditionalFormatting>
  <conditionalFormatting sqref="B37:F44">
    <cfRule type="colorScale" priority="2">
      <colorScale>
        <cfvo type="num" val="0"/>
        <cfvo type="num" val="0.3"/>
        <cfvo type="num" val="1"/>
        <color rgb="00FFFFFF"/>
        <color rgb="00D9EAD3"/>
        <color rgb="00A9D18E"/>
      </colorScale>
    </cfRule>
  </conditionalFormatting>
  <conditionalFormatting sqref="J37:N48">
    <cfRule type="colorScale" priority="3">
      <colorScale>
        <cfvo type="num" val="0"/>
        <cfvo type="num" val="0.2"/>
        <cfvo type="num" val="1"/>
        <color rgb="00FFFFFF"/>
        <color rgb="00DDEBF7"/>
        <color rgb="009BC2E6"/>
      </colorScale>
    </cfRule>
  </conditionalFormatting>
  <conditionalFormatting sqref="B52:F57">
    <cfRule type="colorScale" priority="4">
      <colorScale>
        <cfvo type="num" val="0"/>
        <cfvo type="num" val="0.15"/>
        <cfvo type="num" val="0.35"/>
        <color rgb="00F8696B"/>
        <color rgb="00FFEB84"/>
        <color rgb="0063BE7B"/>
      </colorScale>
    </cfRule>
  </conditionalFormatting>
  <conditionalFormatting sqref="B69:F77">
    <cfRule type="colorScale" priority="5">
      <colorScale>
        <cfvo type="num" val="0"/>
        <cfvo type="num" val="2"/>
        <cfvo type="num" val="5"/>
        <color rgb="0063BE7B"/>
        <color rgb="00FFEB84"/>
        <color rgb="00F8696B"/>
      </colorScale>
    </cfRule>
  </conditionalFormatting>
  <conditionalFormatting sqref="K51:T57">
    <cfRule type="colorScale" priority="6">
      <colorScale>
        <cfvo type="num" val="-0.1"/>
        <cfvo type="num" val="0.1"/>
        <cfvo type="num" val="0.3"/>
        <color rgb="00F8696B"/>
        <color rgb="00FFEB84"/>
        <color rgb="0063BE7B"/>
      </colorScale>
    </cfRule>
  </conditionalFormatting>
  <conditionalFormatting sqref="J63:T68">
    <cfRule type="colorScale" priority="7">
      <colorScale>
        <cfvo type="num" val="1"/>
        <cfvo type="num" val="3"/>
        <cfvo type="num" val="6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10" defaultColWidth="8.83203125" defaultRowHeight="15"/>
  <cols>
    <col width="100.6640625" customWidth="1" style="200" min="1" max="1"/>
    <col width="15.6640625" customWidth="1" style="200" min="2" max="2"/>
    <col width="14.6640625" customWidth="1" style="200" min="3" max="3"/>
    <col width="20.6640625" customWidth="1" style="200" min="4" max="4"/>
    <col width="19.6640625" customWidth="1" style="200" min="5" max="5"/>
    <col width="21.6640625" customWidth="1" style="200" min="6" max="6"/>
  </cols>
  <sheetData>
    <row r="1" ht="21" customHeight="1" s="200">
      <c r="A1" s="1" t="inlineStr">
        <is>
          <t>Revenue Growth</t>
        </is>
      </c>
    </row>
    <row r="2" ht="16" customHeight="1" s="200">
      <c r="A2" s="7" t="inlineStr">
        <is>
          <t>EBITDA Growth</t>
        </is>
      </c>
    </row>
    <row r="4">
      <c r="A4" s="2" t="inlineStr">
        <is>
          <t>EBIT Growth</t>
        </is>
      </c>
    </row>
    <row r="5">
      <c r="A5" s="4" t="inlineStr">
        <is>
          <t>Benchmarks: SPY (market), XLB (sector) | Source priority used: refinitiv_lseg</t>
        </is>
      </c>
      <c r="B5" s="4" t="inlineStr">
        <is>
          <t>Net Income Growth</t>
        </is>
      </c>
      <c r="C5" s="4" t="inlineStr">
        <is>
          <t>Peer Raw Inputs (Latest FY, USDm)</t>
        </is>
      </c>
    </row>
    <row r="6">
      <c r="A6" s="9" t="inlineStr">
        <is>
          <t>Ticker</t>
        </is>
      </c>
      <c r="B6" s="11" t="n">
        <v>1.921393738425926</v>
      </c>
      <c r="C6" s="9" t="inlineStr">
        <is>
          <t>Company Name</t>
        </is>
      </c>
    </row>
    <row r="7">
      <c r="A7" s="9" t="inlineStr">
        <is>
          <t>Current Assets</t>
        </is>
      </c>
      <c r="B7" s="11" t="n">
        <v>1.840854166666667</v>
      </c>
      <c r="C7" s="9" t="inlineStr">
        <is>
          <t>EBIT</t>
        </is>
      </c>
    </row>
    <row r="8">
      <c r="A8" s="9" t="inlineStr">
        <is>
          <t>Cash</t>
        </is>
      </c>
      <c r="B8" s="11" t="n">
        <v>9.494785150462963</v>
      </c>
      <c r="C8" s="9" t="inlineStr">
        <is>
          <t>Vulcan Materials Co</t>
        </is>
      </c>
    </row>
    <row r="9">
      <c r="A9" s="9" t="inlineStr">
        <is>
          <t>MLM</t>
        </is>
      </c>
      <c r="B9" s="11" t="n">
        <v>6.372131828703703</v>
      </c>
      <c r="C9" s="9" t="inlineStr">
        <is>
          <t>Vulcan Materials Co</t>
        </is>
      </c>
    </row>
    <row r="10">
      <c r="A10" s="9" t="inlineStr">
        <is>
          <t>Martin Marietta Materials Inc</t>
        </is>
      </c>
      <c r="B10" s="11" t="n">
        <v>0.4145990046296296</v>
      </c>
      <c r="C10" s="9" t="inlineStr">
        <is>
          <t>CRH</t>
        </is>
      </c>
    </row>
    <row r="11">
      <c r="A11" s="9" t="inlineStr">
        <is>
          <t>CRH PLC</t>
        </is>
      </c>
      <c r="B11" s="11" t="n">
        <v>0.2043495138888889</v>
      </c>
      <c r="C11" s="9" t="inlineStr">
        <is>
          <t>EXP</t>
        </is>
      </c>
    </row>
    <row r="12">
      <c r="A12" s="9" t="inlineStr">
        <is>
          <t>Eagle Materials Inc</t>
        </is>
      </c>
      <c r="B12" s="11" t="n">
        <v>0.3390370601851852</v>
      </c>
      <c r="C12" s="9" t="inlineStr">
        <is>
          <t>KNF</t>
        </is>
      </c>
    </row>
    <row r="13">
      <c r="A13" s="9" t="inlineStr">
        <is>
          <t>Line Item</t>
        </is>
      </c>
      <c r="B13" s="11" t="n">
        <v>0.2865975694444444</v>
      </c>
      <c r="C13" s="9" t="inlineStr">
        <is>
          <t>Knife River Corp</t>
        </is>
      </c>
    </row>
    <row r="15">
      <c r="A15" s="2" t="inlineStr">
        <is>
          <t>USLM</t>
        </is>
      </c>
    </row>
    <row r="16">
      <c r="A16" s="4" t="inlineStr">
        <is>
          <t>United States Lime &amp; Minerals Inc</t>
        </is>
      </c>
      <c r="B16" s="4" t="inlineStr">
        <is>
          <t>CX</t>
        </is>
      </c>
      <c r="C16" s="4" t="inlineStr">
        <is>
          <t>Cemex SAB de CV</t>
        </is>
      </c>
      <c r="D16" s="4" t="inlineStr">
        <is>
          <t>Current Assets</t>
        </is>
      </c>
      <c r="E16" s="4" t="inlineStr">
        <is>
          <t>Cash</t>
        </is>
      </c>
      <c r="F16" s="4" t="inlineStr">
        <is>
          <t>CRH PLC</t>
        </is>
      </c>
    </row>
    <row r="17">
      <c r="A17" s="9" t="inlineStr">
        <is>
          <t>Peer 5Y History for CAGR Inputs (USDm)</t>
        </is>
      </c>
      <c r="B17" s="12" t="n">
        <v>2275.9</v>
      </c>
      <c r="C17" s="12" t="n">
        <v>1813</v>
      </c>
      <c r="D17" s="8" t="n">
        <v>1.840854167582056</v>
      </c>
      <c r="E17" s="12" t="n">
        <v>9.494785148101794</v>
      </c>
      <c r="F17" s="12" t="n">
        <v>0.2043495163392714</v>
      </c>
    </row>
    <row r="18">
      <c r="A18" s="9" t="inlineStr">
        <is>
          <t>Rev Y1</t>
        </is>
      </c>
      <c r="B18" s="12" t="n">
        <v>2048.31</v>
      </c>
      <c r="C18" s="12" t="n">
        <v>1541.05</v>
      </c>
      <c r="D18" s="8" t="n">
        <v>2.045393519535617</v>
      </c>
      <c r="E18" s="12" t="n">
        <v>8.138387269801537</v>
      </c>
      <c r="F18" s="12" t="n">
        <v>0.1736970888883807</v>
      </c>
    </row>
    <row r="19">
      <c r="A19" s="9" t="inlineStr">
        <is>
          <t>Rev Y5</t>
        </is>
      </c>
      <c r="B19" s="12" t="n">
        <v>1706.925</v>
      </c>
      <c r="C19" s="12" t="n">
        <v>1269.1</v>
      </c>
      <c r="D19" s="8" t="n">
        <v>2.454472223442741</v>
      </c>
      <c r="E19" s="12" t="n">
        <v>6.329856765401196</v>
      </c>
      <c r="F19" s="12" t="n">
        <v>0.14304466143749</v>
      </c>
    </row>
    <row r="22">
      <c r="A22" s="2" t="inlineStr">
        <is>
          <t>EBITDA Y1</t>
        </is>
      </c>
    </row>
    <row r="23" ht="40" customHeight="1" s="200">
      <c r="A23" s="7" t="inlineStr">
        <is>
          <t>EBITDA Y5</t>
        </is>
      </c>
    </row>
    <row r="24" ht="40" customHeight="1" s="200">
      <c r="A24" s="7" t="inlineStr">
        <is>
          <t>NI Y1</t>
        </is>
      </c>
    </row>
    <row r="25" ht="40" customHeight="1" s="200">
      <c r="A25" s="7" t="inlineStr">
        <is>
          <t>NI Y5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10" defaultColWidth="8.83203125" defaultRowHeight="15"/>
  <cols>
    <col width="100.6640625" customWidth="1" style="200" min="1" max="1"/>
    <col width="26.6640625" customWidth="1" style="200" min="2" max="2"/>
    <col width="14.6640625" customWidth="1" style="200" min="3" max="3"/>
    <col width="25.6640625" customWidth="1" style="200" min="4" max="4"/>
    <col width="14.6640625" customWidth="1" style="200" min="5" max="6"/>
    <col width="19.6640625" customWidth="1" style="200" min="7" max="7"/>
    <col width="25.6640625" customWidth="1" style="200" min="8" max="8"/>
    <col width="19.6640625" customWidth="1" style="200" min="9" max="9"/>
    <col width="25.6640625" customWidth="1" style="200" min="10" max="10"/>
    <col width="14.6640625" customWidth="1" style="200" min="11" max="11"/>
    <col width="26.6640625" customWidth="1" style="200" min="12" max="12"/>
  </cols>
  <sheetData>
    <row r="1" ht="21" customHeight="1" s="200">
      <c r="A1" s="1" t="inlineStr">
        <is>
          <t>Peer Comparison and Ranking</t>
        </is>
      </c>
    </row>
    <row r="2" ht="16" customHeight="1" s="200">
      <c r="A2" s="7" t="inlineStr">
        <is>
          <t>Rank EBITDA</t>
        </is>
      </c>
    </row>
    <row r="4">
      <c r="A4" s="2" t="inlineStr">
        <is>
          <t>Rank ROE</t>
        </is>
      </c>
    </row>
    <row r="5">
      <c r="A5" s="4" t="inlineStr">
        <is>
          <t>Rank Debt/Equity</t>
        </is>
      </c>
      <c r="B5" s="4" t="inlineStr">
        <is>
          <t>Composite Rank</t>
        </is>
      </c>
      <c r="C5" s="4" t="inlineStr">
        <is>
          <t>Peer Median</t>
        </is>
      </c>
      <c r="D5" s="4" t="inlineStr">
        <is>
          <t>Vertical Analysis</t>
        </is>
      </c>
      <c r="E5" s="4" t="inlineStr">
        <is>
          <t>Trend Chart Links</t>
        </is>
      </c>
      <c r="F5" s="4" t="inlineStr">
        <is>
          <t>Series</t>
        </is>
      </c>
    </row>
    <row r="6" ht="32" customHeight="1" s="200">
      <c r="A6" s="9" t="inlineStr">
        <is>
          <t>Sheet 3: Credit Analysis</t>
        </is>
      </c>
      <c r="B6" s="9" t="inlineStr">
        <is>
          <t>Methodology: score leverage, coverage, cash conversion, and capital structure against investment-grade building materials thresholds.</t>
        </is>
      </c>
      <c r="C6" s="7" t="inlineStr">
        <is>
          <t>Credit Summary Metrics</t>
        </is>
      </c>
      <c r="D6" s="9" t="inlineStr">
        <is>
          <t>Value</t>
        </is>
      </c>
      <c r="E6" s="11" t="n">
        <v>5</v>
      </c>
      <c r="F6" s="9" t="inlineStr">
        <is>
          <t>Interpretation</t>
        </is>
      </c>
    </row>
    <row r="7" ht="16" customHeight="1" s="200">
      <c r="A7" s="9" t="inlineStr">
        <is>
          <t>Sheet 3: Credit Analysis</t>
        </is>
      </c>
      <c r="B7" s="7" t="inlineStr">
        <is>
          <t>Debt / EBITDA</t>
        </is>
      </c>
      <c r="C7" s="7" t="inlineStr">
        <is>
          <t>Leverage measure</t>
        </is>
      </c>
      <c r="D7" s="9" t="inlineStr">
        <is>
          <t>Net leverage measure</t>
        </is>
      </c>
      <c r="E7" s="11" t="n">
        <v>4</v>
      </c>
      <c r="F7" s="9" t="inlineStr">
        <is>
          <t>Interpretation</t>
        </is>
      </c>
    </row>
    <row r="8" ht="16" customHeight="1" s="200">
      <c r="A8" s="9" t="inlineStr">
        <is>
          <t>EBITDA / Interest</t>
        </is>
      </c>
      <c r="B8" s="9" t="inlineStr">
        <is>
          <t>Coverage measure</t>
        </is>
      </c>
      <c r="C8" s="7" t="inlineStr">
        <is>
          <t>EBIT / Interest</t>
        </is>
      </c>
      <c r="D8" s="7" t="inlineStr">
        <is>
          <t>CFO / Debt</t>
        </is>
      </c>
      <c r="E8" s="11" t="n">
        <v>5</v>
      </c>
      <c r="F8" s="9" t="inlineStr">
        <is>
          <t>Cash conversion versus debt load</t>
        </is>
      </c>
    </row>
    <row r="9" ht="16" customHeight="1" s="200">
      <c r="A9" s="9" t="inlineStr">
        <is>
          <t>FCF / Debt</t>
        </is>
      </c>
      <c r="B9" s="9" t="inlineStr">
        <is>
          <t>Free cash flow support for deleveraging</t>
        </is>
      </c>
      <c r="C9" s="7" t="inlineStr">
        <is>
          <t>Debt / Capital</t>
        </is>
      </c>
      <c r="D9" s="9" t="inlineStr">
        <is>
          <t>Capital structure weight of debt</t>
        </is>
      </c>
      <c r="E9" s="11" t="n">
        <v>4</v>
      </c>
      <c r="F9" s="9" t="inlineStr">
        <is>
          <t>Cash conversion versus debt load</t>
        </is>
      </c>
    </row>
    <row r="11">
      <c r="A11" s="2" t="inlineStr">
        <is>
          <t>Operating resilience</t>
        </is>
      </c>
    </row>
    <row r="12">
      <c r="A12" s="4" t="inlineStr">
        <is>
          <t>Gross Profit % Revenue</t>
        </is>
      </c>
      <c r="B12" s="4" t="inlineStr">
        <is>
          <t>EBITDA % Revenue</t>
        </is>
      </c>
      <c r="C12" s="4" t="inlineStr">
        <is>
          <t>Scenario Stress Test</t>
        </is>
      </c>
      <c r="D12" s="4" t="inlineStr">
        <is>
          <t>Scenario</t>
        </is>
      </c>
      <c r="E12" s="4" t="inlineStr">
        <is>
          <t>EBITDA (USDm)</t>
        </is>
      </c>
      <c r="F12" s="4" t="inlineStr">
        <is>
          <t>CFO (USDm)</t>
        </is>
      </c>
      <c r="G12" s="4" t="inlineStr">
        <is>
          <t>Base</t>
        </is>
      </c>
      <c r="H12" s="4" t="inlineStr">
        <is>
          <t>Downside</t>
        </is>
      </c>
      <c r="I12" s="4" t="inlineStr">
        <is>
          <t>Severe downside</t>
        </is>
      </c>
      <c r="J12" s="4" t="inlineStr">
        <is>
          <t>Credit View</t>
        </is>
      </c>
      <c r="K12" s="4" t="inlineStr">
        <is>
          <t>Latest reported Debt / EBITDA is 1.92x and Net Debt / EBITDA is 1.84x.</t>
        </is>
      </c>
      <c r="L12" s="4" t="inlineStr">
        <is>
          <t>The base-case credit profile remains consistent with investment-grade building materials leverage, supported by positive free cash flow generation.</t>
        </is>
      </c>
    </row>
    <row r="13">
      <c r="A13" s="9" t="inlineStr">
        <is>
          <t>Metric</t>
        </is>
      </c>
      <c r="B13" s="9" t="inlineStr">
        <is>
          <t>Public debt-maturity detail was not available in the API build, so maturity ladder analysis is limited to a qualitative liquidity review.</t>
        </is>
      </c>
      <c r="C13" s="11" t="n">
        <v>11548</v>
      </c>
      <c r="D13" s="6" t="n">
        <v>6</v>
      </c>
      <c r="E13" s="6" t="n">
        <v>7</v>
      </c>
      <c r="F13" s="6" t="n">
        <v>7</v>
      </c>
      <c r="G13" s="6" t="n">
        <v>2</v>
      </c>
      <c r="H13" s="6" t="n">
        <v>7</v>
      </c>
      <c r="I13" s="6" t="n">
        <v>0.0027700001</v>
      </c>
      <c r="J13" s="6" t="n">
        <v>0.9786899999999999</v>
      </c>
      <c r="K13" s="6" t="n">
        <v>0.24049999</v>
      </c>
      <c r="L13" s="6" t="n">
        <v>5.666666666666667</v>
      </c>
    </row>
    <row r="14">
      <c r="A14" s="9" t="inlineStr">
        <is>
          <t>Current Ratio</t>
        </is>
      </c>
      <c r="B14" s="9" t="inlineStr">
        <is>
          <t>Sheet 4: ESG Analysis</t>
        </is>
      </c>
      <c r="C14" s="11" t="n">
        <v>9600</v>
      </c>
      <c r="D14" s="6" t="n">
        <v>8</v>
      </c>
      <c r="E14" s="6" t="n">
        <v>7</v>
      </c>
      <c r="F14" s="6" t="n">
        <v>4</v>
      </c>
      <c r="G14" s="6" t="n">
        <v>6</v>
      </c>
      <c r="H14" s="6" t="n">
        <v>8</v>
      </c>
      <c r="I14" s="6" t="n">
        <v>0.00834</v>
      </c>
      <c r="J14" s="6" t="n">
        <v>1.01013</v>
      </c>
      <c r="K14" s="6" t="n">
        <v>0.1983</v>
      </c>
      <c r="L14" s="6" t="n">
        <v>5.666666666666667</v>
      </c>
    </row>
    <row r="15">
      <c r="A15" s="9" t="inlineStr">
        <is>
          <t>Gross Margin</t>
        </is>
      </c>
      <c r="B15" s="9" t="inlineStr">
        <is>
          <t>EBITDA Margin</t>
        </is>
      </c>
      <c r="C15" s="11" t="n">
        <v>83032</v>
      </c>
      <c r="D15" s="6" t="n">
        <v>9</v>
      </c>
      <c r="E15" s="6" t="n">
        <v>7</v>
      </c>
      <c r="F15" s="6" t="n">
        <v>10</v>
      </c>
      <c r="G15" s="6" t="n">
        <v>4</v>
      </c>
      <c r="H15" s="6" t="n">
        <v>9</v>
      </c>
      <c r="I15" s="6" t="n">
        <v>0.00149</v>
      </c>
      <c r="J15" s="6" t="n">
        <v>0.89875</v>
      </c>
      <c r="K15" s="6" t="n">
        <v>0.26860002</v>
      </c>
      <c r="L15" s="6" t="n">
        <v>5.666666666666667</v>
      </c>
    </row>
    <row r="16">
      <c r="A16" s="9" t="inlineStr">
        <is>
          <t>Ratio Analysis</t>
        </is>
      </c>
      <c r="B16" s="9" t="inlineStr">
        <is>
          <t>Ratio</t>
        </is>
      </c>
      <c r="C16" s="11" t="n">
        <v>2500</v>
      </c>
      <c r="D16" s="6" t="n">
        <v>3</v>
      </c>
      <c r="E16" s="6" t="n">
        <v>3</v>
      </c>
      <c r="F16" s="6" t="n">
        <v>1</v>
      </c>
      <c r="G16" s="6" t="n">
        <v>2</v>
      </c>
      <c r="H16" s="6" t="n">
        <v>5</v>
      </c>
      <c r="I16" s="6" t="n">
        <v>0.011619999</v>
      </c>
      <c r="J16" s="6" t="n">
        <v>1.04121</v>
      </c>
      <c r="K16" s="6" t="n">
        <v>0.0756</v>
      </c>
      <c r="L16" s="6" t="n">
        <v>5.666666666666667</v>
      </c>
    </row>
    <row r="17">
      <c r="A17" s="9" t="inlineStr">
        <is>
          <t>EBIT Margin</t>
        </is>
      </c>
      <c r="B17" s="9" t="inlineStr">
        <is>
          <t>Public ESG data is uneven across peers, so the model combines company disclosures with governance-risk fields and qualitative materiality scoring.</t>
        </is>
      </c>
      <c r="C17" s="11" t="n">
        <v>5298</v>
      </c>
      <c r="D17" s="6" t="n">
        <v>1</v>
      </c>
      <c r="E17" s="6" t="n">
        <v>2</v>
      </c>
      <c r="F17" s="6" t="n">
        <v>3</v>
      </c>
      <c r="G17" s="6" t="n">
        <v>1</v>
      </c>
      <c r="H17" s="6" t="n">
        <v>2</v>
      </c>
      <c r="I17" s="6" t="n">
        <v>0.00273</v>
      </c>
      <c r="J17" s="6" t="n">
        <v>0.95599</v>
      </c>
      <c r="K17" s="6" t="n">
        <v>0</v>
      </c>
      <c r="L17" s="6" t="n">
        <v>5.666666666666667</v>
      </c>
    </row>
    <row r="18">
      <c r="A18" s="9" t="inlineStr">
        <is>
          <t>Total Equity % Assets</t>
        </is>
      </c>
      <c r="B18" s="9" t="inlineStr">
        <is>
          <t>Material ESG Issues and Valuation Relevance</t>
        </is>
      </c>
      <c r="C18" s="11" t="n">
        <v>346</v>
      </c>
      <c r="D18" s="6" t="n">
        <v>7</v>
      </c>
      <c r="E18" s="6" t="n">
        <v>9</v>
      </c>
      <c r="F18" s="6" t="n">
        <v>5</v>
      </c>
      <c r="G18" s="6" t="n">
        <v>7</v>
      </c>
      <c r="H18" s="6" t="n">
        <v>5</v>
      </c>
      <c r="I18" s="6" t="n">
        <v>0.62532</v>
      </c>
      <c r="J18" s="6" t="n">
        <v>0.31465998</v>
      </c>
      <c r="K18" s="6" t="n">
        <v>0.0514</v>
      </c>
      <c r="L18" s="6" t="n">
        <v>5.666666666666667</v>
      </c>
    </row>
    <row r="19">
      <c r="A19" s="9" t="inlineStr">
        <is>
          <t>ROE</t>
        </is>
      </c>
      <c r="B19" s="9" t="inlineStr">
        <is>
          <t>Pillar</t>
        </is>
      </c>
      <c r="C19" s="11" t="n">
        <v>39462</v>
      </c>
      <c r="D19" s="9" t="n"/>
      <c r="E19" s="9" t="n"/>
      <c r="F19" s="9" t="n"/>
      <c r="G19" s="9" t="n"/>
      <c r="H19" s="9" t="n"/>
      <c r="I19" s="6" t="n">
        <v>0</v>
      </c>
      <c r="J19" s="6" t="n">
        <v>0.3607</v>
      </c>
      <c r="K19" s="6" t="n">
        <v>0.3252</v>
      </c>
      <c r="L19" s="6" t="n">
        <v>5.666666666666667</v>
      </c>
    </row>
    <row r="22">
      <c r="A22" s="2" t="inlineStr">
        <is>
          <t>Issue</t>
        </is>
      </c>
    </row>
    <row r="23" ht="40" customHeight="1" s="200">
      <c r="A23" s="7" t="inlineStr">
        <is>
          <t>Public Metric / Observation</t>
        </is>
      </c>
    </row>
    <row r="24" ht="40" customHeight="1" s="200">
      <c r="A24" s="7" t="inlineStr">
        <is>
          <t>Peer Comparison</t>
        </is>
      </c>
    </row>
    <row r="25" ht="40" customHeight="1" s="200">
      <c r="A25" s="7" t="inlineStr">
        <is>
          <t>Materiality (1-5)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10" defaultColWidth="8.83203125" defaultRowHeight="15"/>
  <cols>
    <col width="100.6640625" customWidth="1" style="200" min="1" max="1"/>
    <col width="16.6640625" customWidth="1" style="200" min="2" max="2"/>
    <col width="14.6640625" customWidth="1" style="200" min="3" max="3"/>
    <col width="26.6640625" customWidth="1" style="200" min="4" max="4"/>
    <col width="16.6640625" customWidth="1" style="200" min="5" max="5"/>
    <col width="14.6640625" customWidth="1" style="200" min="6" max="7"/>
  </cols>
  <sheetData>
    <row r="1" ht="21" customHeight="1" s="200">
      <c r="A1" s="1" t="inlineStr">
        <is>
          <t>Valuation Relevance</t>
        </is>
      </c>
    </row>
    <row r="2" ht="16" customHeight="1" s="200">
      <c r="A2" s="7" t="inlineStr">
        <is>
          <t>Environmental</t>
        </is>
      </c>
    </row>
    <row r="4">
      <c r="A4" s="2" t="inlineStr">
        <is>
          <t>Carbon intensity and energy use</t>
        </is>
      </c>
    </row>
    <row r="5">
      <c r="A5" s="4" t="inlineStr">
        <is>
          <t>1M+ cubic yards of CO2-injected concrete projects referenced on Vulcan environmental stewardship disclosures</t>
        </is>
      </c>
      <c r="B5" s="4" t="inlineStr">
        <is>
          <t>Public peer comparability is limited in free APIs</t>
        </is>
      </c>
    </row>
    <row r="6">
      <c r="A6" s="9" t="inlineStr">
        <is>
          <t>High</t>
        </is>
      </c>
      <c r="B6" s="6" t="n">
        <v>0.1086310786280054</v>
      </c>
    </row>
    <row r="7">
      <c r="A7" s="9" t="inlineStr">
        <is>
          <t>Permitting, land rehabilitation, dust and blasting controls</t>
        </is>
      </c>
      <c r="B7" s="6" t="n">
        <v>0.1184156311903103</v>
      </c>
    </row>
    <row r="8">
      <c r="A8" s="9" t="inlineStr">
        <is>
          <t>Quarry permitting remains a core operating constraint</t>
        </is>
      </c>
      <c r="B8" s="6" t="n">
        <v>0.04634204816543232</v>
      </c>
    </row>
    <row r="9">
      <c r="A9" s="9" t="inlineStr">
        <is>
          <t>Sector-wide issue across aggregates operators</t>
        </is>
      </c>
      <c r="B9" s="6" t="n">
        <v>0.05195124320971673</v>
      </c>
    </row>
    <row r="10">
      <c r="A10" s="9" t="inlineStr">
        <is>
          <t>Social</t>
        </is>
      </c>
      <c r="B10" s="6" t="n">
        <v>0.001627411475898271</v>
      </c>
    </row>
    <row r="12">
      <c r="A12" s="2" t="inlineStr">
        <is>
          <t>Worker safety</t>
        </is>
      </c>
    </row>
    <row r="13">
      <c r="A13" s="4" t="inlineStr">
        <is>
          <t>Gross Profit % Revenue</t>
        </is>
      </c>
      <c r="B13" s="4" t="inlineStr">
        <is>
          <t>EBITDA % Revenue</t>
        </is>
      </c>
      <c r="C13" s="4" t="inlineStr">
        <is>
          <t>EBIT % Revenue</t>
        </is>
      </c>
      <c r="D13" s="4" t="inlineStr">
        <is>
          <t>Line Item</t>
        </is>
      </c>
      <c r="E13" s="4" t="inlineStr">
        <is>
          <t>Operating Income (EBIT)</t>
        </is>
      </c>
      <c r="F13" s="4" t="inlineStr">
        <is>
          <t>Total Debt</t>
        </is>
      </c>
      <c r="G13" s="4" t="inlineStr">
        <is>
          <t>Total Liabilities % Assets</t>
        </is>
      </c>
    </row>
    <row r="14">
      <c r="A14" s="9" t="inlineStr">
        <is>
          <t>Total Equity % Assets</t>
        </is>
      </c>
      <c r="B14" s="9" t="inlineStr">
        <is>
          <t>Total Debt % Assets</t>
        </is>
      </c>
      <c r="C14" s="12" t="n">
        <v>372.727</v>
      </c>
      <c r="D14" s="6" t="n">
        <v>0.4911852374526128</v>
      </c>
      <c r="E14" s="6" t="n">
        <v>0.2379705467695642</v>
      </c>
      <c r="F14" s="8" t="n">
        <v>0</v>
      </c>
      <c r="G14" s="8" t="n">
        <v>1</v>
      </c>
    </row>
    <row r="15">
      <c r="A15" s="9" t="inlineStr">
        <is>
          <t>Ratio Analysis</t>
        </is>
      </c>
      <c r="B15" s="9" t="inlineStr">
        <is>
          <t>Ratio</t>
        </is>
      </c>
      <c r="C15" s="12" t="n">
        <v>2260.508</v>
      </c>
      <c r="D15" s="6" t="n">
        <v>0.3373179833913439</v>
      </c>
      <c r="E15" s="6" t="n">
        <v>0.3351729599835095</v>
      </c>
      <c r="F15" s="8" t="n">
        <v>0.8500830644607675</v>
      </c>
      <c r="G15" s="8" t="n">
        <v>2</v>
      </c>
    </row>
    <row r="16">
      <c r="A16" s="9" t="inlineStr">
        <is>
          <t>Gross Margin</t>
        </is>
      </c>
      <c r="B16" s="9" t="inlineStr">
        <is>
          <t>EBITDA Margin</t>
        </is>
      </c>
      <c r="C16" s="12" t="n">
        <v>37447</v>
      </c>
      <c r="D16" s="6" t="n">
        <v>0.1997222741474617</v>
      </c>
      <c r="E16" s="6" t="n">
        <v>0.1645655653241543</v>
      </c>
      <c r="F16" s="8" t="n">
        <v>0.7576653891018164</v>
      </c>
      <c r="G16" s="8" t="n">
        <v>3</v>
      </c>
    </row>
    <row r="17">
      <c r="A17" s="9" t="inlineStr">
        <is>
          <t>EBIT Margin</t>
        </is>
      </c>
      <c r="B17" s="9" t="inlineStr">
        <is>
          <t>Net Margin</t>
        </is>
      </c>
      <c r="C17" s="12" t="n">
        <v>3146.012</v>
      </c>
      <c r="D17" s="6" t="n">
        <v>0.1559669829612856</v>
      </c>
      <c r="E17" s="6" t="n">
        <v>0.1007845622027414</v>
      </c>
      <c r="F17" s="8" t="n">
        <v>0.7102867868416883</v>
      </c>
      <c r="G17" s="8" t="n">
        <v>4</v>
      </c>
    </row>
    <row r="18">
      <c r="A18" s="9" t="inlineStr">
        <is>
          <t>Metric</t>
        </is>
      </c>
      <c r="B18" s="9" t="inlineStr">
        <is>
          <t>ROA</t>
        </is>
      </c>
      <c r="C18" s="12" t="n">
        <v>7941.1</v>
      </c>
      <c r="D18" s="6" t="n">
        <v>0.2865975746433114</v>
      </c>
      <c r="E18" s="6" t="n">
        <v>0.1293822887939581</v>
      </c>
      <c r="F18" s="8" t="n">
        <v>0.5129441296876283</v>
      </c>
      <c r="G18" s="8" t="n">
        <v>5</v>
      </c>
    </row>
    <row r="19">
      <c r="A19" s="9" t="inlineStr">
        <is>
          <t>ROE</t>
        </is>
      </c>
      <c r="B19" s="9" t="inlineStr">
        <is>
          <t>ROIC</t>
        </is>
      </c>
      <c r="C19" s="12" t="n">
        <v>16131.879</v>
      </c>
      <c r="D19" s="6" t="n">
        <v>0.142313365975532</v>
      </c>
      <c r="E19" s="6" t="n">
        <v>0.05714874852721696</v>
      </c>
      <c r="F19" s="8" t="n">
        <v>0.5092375270645418</v>
      </c>
      <c r="G19" s="8" t="n">
        <v>6</v>
      </c>
    </row>
    <row r="20">
      <c r="A20" s="9" t="inlineStr">
        <is>
          <t>Current Ratio</t>
        </is>
      </c>
      <c r="B20" s="9" t="inlineStr">
        <is>
          <t>Quick Ratio</t>
        </is>
      </c>
      <c r="C20" s="12" t="n">
        <v>6150</v>
      </c>
      <c r="D20" s="6" t="n">
        <v>0.3430894308943089</v>
      </c>
      <c r="E20" s="6" t="n">
        <v>0.1167051578137028</v>
      </c>
      <c r="F20" s="8" t="n">
        <v>0.5607057416267942</v>
      </c>
      <c r="G20" s="8" t="n">
        <v>7</v>
      </c>
    </row>
    <row r="22">
      <c r="A22" s="2" t="inlineStr">
        <is>
          <t>92% of operational sites recorded zero lost-time injuries per company safety disclosures</t>
        </is>
      </c>
    </row>
    <row r="23">
      <c r="A23" s="4" t="inlineStr">
        <is>
          <t>Equity Research Commentary</t>
        </is>
      </c>
      <c r="B23" s="4" t="inlineStr">
        <is>
          <t>Sector-wide issue across aggregates operators</t>
        </is>
      </c>
      <c r="C23" s="4" t="inlineStr">
        <is>
          <t>Safety remains a key differentiator in labor-intensive heavy materials</t>
        </is>
      </c>
      <c r="D23" s="4" t="inlineStr">
        <is>
          <t>Medium</t>
        </is>
      </c>
      <c r="E23" s="4" t="inlineStr">
        <is>
          <t>Governance</t>
        </is>
      </c>
      <c r="F23" s="4" t="inlineStr">
        <is>
          <t>Board / audit oversight</t>
        </is>
      </c>
    </row>
    <row r="24">
      <c r="A24" s="10" t="n">
        <v>44986</v>
      </c>
      <c r="B24" s="6" t="n">
        <v>4.65</v>
      </c>
      <c r="C24" s="11" t="n">
        <v>301.821</v>
      </c>
      <c r="D24" s="11" t="n">
        <v>1996401</v>
      </c>
      <c r="E24" s="11" t="n">
        <v>1377</v>
      </c>
      <c r="F24" s="9" t="n"/>
    </row>
    <row r="25">
      <c r="A25" s="10" t="n">
        <v>45017</v>
      </c>
      <c r="B25" s="6" t="n">
        <v>4.83</v>
      </c>
      <c r="C25" s="11" t="n">
        <v>302.845</v>
      </c>
      <c r="D25" s="11" t="n">
        <v>2023621</v>
      </c>
      <c r="E25" s="11" t="n">
        <v>1354</v>
      </c>
      <c r="F25" s="11" t="n">
        <v>22580.499</v>
      </c>
    </row>
    <row r="26">
      <c r="A26" s="10" t="n">
        <v>45047</v>
      </c>
      <c r="B26" s="6" t="n">
        <v>5.06</v>
      </c>
      <c r="C26" s="11" t="n">
        <v>303.334</v>
      </c>
      <c r="D26" s="11" t="n">
        <v>2054535</v>
      </c>
      <c r="E26" s="11" t="n">
        <v>1584</v>
      </c>
      <c r="F26" s="9" t="n"/>
    </row>
    <row r="27">
      <c r="A27" s="10" t="n">
        <v>45078</v>
      </c>
      <c r="B27" s="6" t="n">
        <v>5.08</v>
      </c>
      <c r="C27" s="11" t="n">
        <v>304.014</v>
      </c>
      <c r="D27" s="11" t="n">
        <v>2071559</v>
      </c>
      <c r="E27" s="11" t="n">
        <v>1421</v>
      </c>
      <c r="F27" s="9" t="n"/>
    </row>
    <row r="28">
      <c r="A28" s="10" t="n">
        <v>45108</v>
      </c>
      <c r="B28" s="6" t="n">
        <v>5.12</v>
      </c>
      <c r="C28" s="11" t="n">
        <v>304.609</v>
      </c>
      <c r="D28" s="11" t="n">
        <v>2085773</v>
      </c>
      <c r="E28" s="11" t="n">
        <v>1460</v>
      </c>
      <c r="F28" s="11" t="n">
        <v>22840.989</v>
      </c>
    </row>
    <row r="29">
      <c r="A29" s="10" t="n">
        <v>45139</v>
      </c>
      <c r="B29" s="6" t="n">
        <v>5.33</v>
      </c>
      <c r="C29" s="11" t="n">
        <v>306.082</v>
      </c>
      <c r="D29" s="11" t="n">
        <v>2108277</v>
      </c>
      <c r="E29" s="11" t="n">
        <v>1317</v>
      </c>
      <c r="F29" s="9" t="n"/>
    </row>
    <row r="30">
      <c r="A30" s="10" t="n">
        <v>45170</v>
      </c>
      <c r="B30" s="6" t="n">
        <v>5.33</v>
      </c>
      <c r="C30" s="11" t="n">
        <v>307.276</v>
      </c>
      <c r="D30" s="11" t="n">
        <v>2123480</v>
      </c>
      <c r="E30" s="11" t="n">
        <v>1371</v>
      </c>
      <c r="F30" s="9" t="n"/>
    </row>
    <row r="31">
      <c r="A31" s="10" t="n">
        <v>45200</v>
      </c>
      <c r="B31" s="6" t="n">
        <v>5.33</v>
      </c>
      <c r="C31" s="11" t="n">
        <v>307.696</v>
      </c>
      <c r="D31" s="11" t="n">
        <v>2142735</v>
      </c>
      <c r="E31" s="11" t="n">
        <v>1368</v>
      </c>
      <c r="F31" s="11" t="n">
        <v>23033.78</v>
      </c>
    </row>
    <row r="32">
      <c r="A32" s="10" t="n">
        <v>45231</v>
      </c>
      <c r="B32" s="6" t="n">
        <v>5.33</v>
      </c>
      <c r="C32" s="11" t="n">
        <v>308.148</v>
      </c>
      <c r="D32" s="11" t="n">
        <v>2167301</v>
      </c>
      <c r="E32" s="11" t="n">
        <v>1514</v>
      </c>
      <c r="F32" s="9" t="n"/>
    </row>
    <row r="33">
      <c r="A33" s="10" t="n">
        <v>45261</v>
      </c>
      <c r="B33" s="6" t="n">
        <v>5.33</v>
      </c>
      <c r="C33" s="11" t="n">
        <v>308.741</v>
      </c>
      <c r="D33" s="11" t="n">
        <v>2176796</v>
      </c>
      <c r="E33" s="11" t="n">
        <v>1521</v>
      </c>
      <c r="F33" s="9" t="n"/>
    </row>
    <row r="34">
      <c r="A34" s="10" t="n">
        <v>45292</v>
      </c>
      <c r="B34" s="6" t="n">
        <v>5.33</v>
      </c>
      <c r="C34" s="11" t="n">
        <v>309.698</v>
      </c>
      <c r="D34" s="11" t="n">
        <v>2161405</v>
      </c>
      <c r="E34" s="11" t="n">
        <v>1381</v>
      </c>
      <c r="F34" s="11" t="n">
        <v>23082.119</v>
      </c>
    </row>
    <row r="35">
      <c r="A35" s="10" t="n">
        <v>45323</v>
      </c>
      <c r="B35" s="6" t="n">
        <v>5.33</v>
      </c>
      <c r="C35" s="11" t="n">
        <v>310.967</v>
      </c>
      <c r="D35" s="11" t="n">
        <v>2184616</v>
      </c>
      <c r="E35" s="11" t="n">
        <v>1552</v>
      </c>
      <c r="F35" s="9" t="n"/>
    </row>
    <row r="36">
      <c r="A36" s="10" t="n">
        <v>45352</v>
      </c>
      <c r="B36" s="6" t="n">
        <v>5.33</v>
      </c>
      <c r="C36" s="11" t="n">
        <v>312.345</v>
      </c>
      <c r="D36" s="11" t="n">
        <v>2174863</v>
      </c>
      <c r="E36" s="11" t="n">
        <v>1312</v>
      </c>
      <c r="F36" s="9" t="n"/>
    </row>
    <row r="37">
      <c r="A37" s="10" t="n">
        <v>45383</v>
      </c>
      <c r="B37" s="6" t="n">
        <v>5.33</v>
      </c>
      <c r="C37" s="11" t="n">
        <v>313.023</v>
      </c>
      <c r="D37" s="11" t="n">
        <v>2206494</v>
      </c>
      <c r="E37" s="11" t="n">
        <v>1385</v>
      </c>
      <c r="F37" s="11" t="n">
        <v>23286.508</v>
      </c>
    </row>
    <row r="38">
      <c r="A38" s="10" t="n">
        <v>45413</v>
      </c>
      <c r="B38" s="6" t="n">
        <v>5.33</v>
      </c>
      <c r="C38" s="11" t="n">
        <v>313.175</v>
      </c>
      <c r="D38" s="11" t="n">
        <v>2215350</v>
      </c>
      <c r="E38" s="11" t="n">
        <v>1316</v>
      </c>
      <c r="F38" s="9" t="n"/>
    </row>
    <row r="39">
      <c r="A39" s="10" t="n">
        <v>45444</v>
      </c>
      <c r="B39" s="6" t="n">
        <v>5.33</v>
      </c>
      <c r="C39" s="11" t="n">
        <v>313.044</v>
      </c>
      <c r="D39" s="11" t="n">
        <v>2199846</v>
      </c>
      <c r="E39" s="11" t="n">
        <v>1327</v>
      </c>
      <c r="F39" s="9" t="n"/>
    </row>
    <row r="40">
      <c r="A40" s="10" t="n">
        <v>45474</v>
      </c>
      <c r="B40" s="6" t="n">
        <v>5.33</v>
      </c>
      <c r="C40" s="11" t="n">
        <v>313.569</v>
      </c>
      <c r="D40" s="11" t="n">
        <v>2200746</v>
      </c>
      <c r="E40" s="11" t="n">
        <v>1265</v>
      </c>
      <c r="F40" s="11" t="n">
        <v>23478.57</v>
      </c>
    </row>
    <row r="41">
      <c r="A41" s="10" t="n">
        <v>45505</v>
      </c>
      <c r="B41" s="6" t="n">
        <v>5.33</v>
      </c>
      <c r="C41" s="11" t="n">
        <v>314.062</v>
      </c>
      <c r="D41" s="11" t="n">
        <v>2205322</v>
      </c>
      <c r="E41" s="11" t="n">
        <v>1391</v>
      </c>
      <c r="F41" s="9" t="n"/>
    </row>
    <row r="42">
      <c r="A42" s="10" t="n">
        <v>45536</v>
      </c>
      <c r="B42" s="6" t="n">
        <v>5.13</v>
      </c>
      <c r="C42" s="11" t="n">
        <v>314.732</v>
      </c>
      <c r="D42" s="11" t="n">
        <v>2197940</v>
      </c>
      <c r="E42" s="11" t="n">
        <v>1357</v>
      </c>
      <c r="F42" s="9" t="n"/>
    </row>
    <row r="43">
      <c r="A43" s="10" t="n">
        <v>45566</v>
      </c>
      <c r="B43" s="6" t="n">
        <v>4.83</v>
      </c>
      <c r="C43" s="11" t="n">
        <v>315.631</v>
      </c>
      <c r="D43" s="11" t="n">
        <v>2197116</v>
      </c>
      <c r="E43" s="11" t="n">
        <v>1352</v>
      </c>
      <c r="F43" s="11" t="n">
        <v>23586.542</v>
      </c>
    </row>
    <row r="44">
      <c r="A44" s="10" t="n">
        <v>45597</v>
      </c>
      <c r="B44" s="6" t="n">
        <v>4.64</v>
      </c>
      <c r="C44" s="11" t="n">
        <v>316.528</v>
      </c>
      <c r="D44" s="11" t="n">
        <v>2192932</v>
      </c>
      <c r="E44" s="11" t="n">
        <v>1295</v>
      </c>
      <c r="F44" s="9" t="n"/>
    </row>
    <row r="45">
      <c r="A45" s="10" t="n">
        <v>45627</v>
      </c>
      <c r="B45" s="6" t="n">
        <v>4.48</v>
      </c>
      <c r="C45" s="11" t="n">
        <v>317.604</v>
      </c>
      <c r="D45" s="11" t="n">
        <v>2176642</v>
      </c>
      <c r="E45" s="11" t="n">
        <v>1514</v>
      </c>
      <c r="F45" s="9" t="n"/>
    </row>
    <row r="46">
      <c r="A46" s="10" t="n">
        <v>45658</v>
      </c>
      <c r="B46" s="6" t="n">
        <v>4.33</v>
      </c>
      <c r="C46" s="11" t="n">
        <v>318.961</v>
      </c>
      <c r="D46" s="11" t="n">
        <v>2169595</v>
      </c>
      <c r="E46" s="11" t="n">
        <v>1358</v>
      </c>
      <c r="F46" s="11" t="n">
        <v>23548.21</v>
      </c>
    </row>
    <row r="47">
      <c r="A47" s="10" t="n">
        <v>45689</v>
      </c>
      <c r="B47" s="6" t="n">
        <v>4.33</v>
      </c>
      <c r="C47" s="11" t="n">
        <v>319.679</v>
      </c>
      <c r="D47" s="11" t="n">
        <v>2165431</v>
      </c>
      <c r="E47" s="11" t="n">
        <v>1490</v>
      </c>
      <c r="F47" s="9" t="n"/>
    </row>
    <row r="48">
      <c r="A48" s="10" t="n">
        <v>45717</v>
      </c>
      <c r="B48" s="6" t="n">
        <v>4.33</v>
      </c>
      <c r="C48" s="11" t="n">
        <v>319.785</v>
      </c>
      <c r="D48" s="11" t="n">
        <v>2150847</v>
      </c>
      <c r="E48" s="11" t="n">
        <v>1355</v>
      </c>
      <c r="F48" s="9" t="n"/>
    </row>
    <row r="49">
      <c r="A49" s="10" t="n">
        <v>45748</v>
      </c>
      <c r="B49" s="6" t="n">
        <v>4.33</v>
      </c>
      <c r="C49" s="11" t="n">
        <v>320.302</v>
      </c>
      <c r="D49" s="11" t="n">
        <v>2153440</v>
      </c>
      <c r="E49" s="11" t="n">
        <v>1398</v>
      </c>
      <c r="F49" s="11" t="n">
        <v>23770.976</v>
      </c>
    </row>
    <row r="50">
      <c r="A50" s="10" t="n">
        <v>45778</v>
      </c>
      <c r="B50" s="6" t="n">
        <v>4.33</v>
      </c>
      <c r="C50" s="11" t="n">
        <v>320.62</v>
      </c>
      <c r="D50" s="11" t="n">
        <v>2149124</v>
      </c>
      <c r="E50" s="11" t="n">
        <v>1282</v>
      </c>
      <c r="F50" s="9" t="n"/>
    </row>
    <row r="51">
      <c r="A51" s="10" t="n">
        <v>45809</v>
      </c>
      <c r="B51" s="6" t="n">
        <v>4.33</v>
      </c>
      <c r="C51" s="11" t="n">
        <v>321.435</v>
      </c>
      <c r="D51" s="11" t="n">
        <v>2160743</v>
      </c>
      <c r="E51" s="11" t="n">
        <v>1382</v>
      </c>
      <c r="F51" s="9" t="n"/>
    </row>
    <row r="52">
      <c r="A52" s="10" t="n">
        <v>45839</v>
      </c>
      <c r="B52" s="6" t="n">
        <v>4.33</v>
      </c>
      <c r="C52" s="11" t="n">
        <v>322.169</v>
      </c>
      <c r="D52" s="11" t="n">
        <v>2168482</v>
      </c>
      <c r="E52" s="11" t="n">
        <v>1420</v>
      </c>
      <c r="F52" s="11" t="n">
        <v>24026.834</v>
      </c>
    </row>
    <row r="53">
      <c r="A53" s="10" t="n">
        <v>45870</v>
      </c>
      <c r="B53" s="6" t="n">
        <v>4.33</v>
      </c>
      <c r="C53" s="11" t="n">
        <v>323.291</v>
      </c>
      <c r="D53" s="11" t="n">
        <v>2177240</v>
      </c>
      <c r="E53" s="11" t="n">
        <v>1291</v>
      </c>
      <c r="F53" s="9" t="n"/>
    </row>
    <row r="54">
      <c r="A54" s="10" t="n">
        <v>45901</v>
      </c>
      <c r="B54" s="6" t="n">
        <v>4.22</v>
      </c>
      <c r="C54" s="11" t="n">
        <v>324.245</v>
      </c>
      <c r="D54" s="11" t="n">
        <v>2169503</v>
      </c>
      <c r="E54" s="11" t="n">
        <v>1328</v>
      </c>
      <c r="F54" s="9" t="n"/>
    </row>
    <row r="55">
      <c r="A55" s="10" t="n">
        <v>45931</v>
      </c>
      <c r="B55" s="6" t="n">
        <v>4.09</v>
      </c>
      <c r="C55" s="9" t="n"/>
      <c r="D55" s="11" t="n">
        <v>2167944</v>
      </c>
      <c r="E55" s="11" t="n">
        <v>1272</v>
      </c>
      <c r="F55" s="11" t="n">
        <v>24111.83</v>
      </c>
    </row>
    <row r="56">
      <c r="A56" s="10" t="n">
        <v>45962</v>
      </c>
      <c r="B56" s="6" t="n">
        <v>3.88</v>
      </c>
      <c r="C56" s="11" t="n">
        <v>325.063</v>
      </c>
      <c r="D56" s="11" t="n">
        <v>2163119</v>
      </c>
      <c r="E56" s="11" t="n">
        <v>1322</v>
      </c>
      <c r="F56" s="9" t="n"/>
    </row>
    <row r="57">
      <c r="A57" s="10" t="n">
        <v>45992</v>
      </c>
      <c r="B57" s="6" t="n">
        <v>3.72</v>
      </c>
      <c r="C57" s="11" t="n">
        <v>326.031</v>
      </c>
      <c r="D57" s="11" t="n">
        <v>2168775</v>
      </c>
      <c r="E57" s="11" t="n">
        <v>1404</v>
      </c>
      <c r="F57" s="9" t="n"/>
    </row>
    <row r="58">
      <c r="A58" s="10" t="n">
        <v>46023</v>
      </c>
      <c r="B58" s="6" t="n">
        <v>3.64</v>
      </c>
      <c r="C58" s="11" t="n">
        <v>326.588</v>
      </c>
      <c r="D58" s="9" t="n"/>
      <c r="E58" s="9" t="n"/>
      <c r="F58" s="9" t="n"/>
    </row>
    <row r="59">
      <c r="A59" s="10" t="n">
        <v>46054</v>
      </c>
      <c r="B59" s="6" t="n">
        <v>3.64</v>
      </c>
      <c r="C59" s="9" t="n"/>
      <c r="D59" s="9" t="n"/>
      <c r="E59" s="9" t="n"/>
      <c r="F59" s="9" t="n"/>
    </row>
    <row r="62">
      <c r="A62" s="2" t="inlineStr">
        <is>
          <t>Yahoo Finance governance risk fields show overall risk 6.0, board risk 7.0, audit risk 7.0</t>
        </is>
      </c>
    </row>
    <row r="63" ht="40" customHeight="1" s="200">
      <c r="A63" s="7" t="inlineStr">
        <is>
          <t>Below peer average governance risk is favorable</t>
        </is>
      </c>
    </row>
    <row r="64" ht="40" customHeight="1" s="200">
      <c r="A64" s="7" t="inlineStr">
        <is>
          <t>Governance / Ownership Peer Snapshot</t>
        </is>
      </c>
    </row>
    <row r="65" ht="40" customHeight="1" s="200">
      <c r="A65" s="7" t="inlineStr">
        <is>
          <t>Employees</t>
        </is>
      </c>
    </row>
    <row r="66" ht="40" customHeight="1" s="200">
      <c r="A66" s="7" t="inlineStr">
        <is>
          <t>Overall Governance Risk</t>
        </is>
      </c>
    </row>
    <row r="67" ht="40" customHeight="1" s="200">
      <c r="A67" s="7" t="inlineStr">
        <is>
          <t>Board Risk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10" defaultColWidth="8.83203125" defaultRowHeight="15"/>
  <cols>
    <col width="100.6640625" customWidth="1" style="200" min="1" max="1"/>
    <col width="20.6640625" customWidth="1" style="200" min="2" max="2"/>
    <col width="26.6640625" customWidth="1" style="200" min="3" max="3"/>
    <col width="20.6640625" customWidth="1" style="200" min="4" max="8"/>
  </cols>
  <sheetData>
    <row r="1" ht="21" customHeight="1" s="200">
      <c r="A1" s="1" t="inlineStr">
        <is>
          <t>Audit Risk</t>
        </is>
      </c>
    </row>
    <row r="2" ht="16" customHeight="1" s="200">
      <c r="A2" s="7" t="inlineStr">
        <is>
          <t>Compensation Risk</t>
        </is>
      </c>
    </row>
    <row r="4">
      <c r="A4" s="2" t="inlineStr">
        <is>
          <t>Shareholder Rights Risk</t>
        </is>
      </c>
    </row>
    <row r="5">
      <c r="A5" s="4" t="inlineStr">
        <is>
          <t>Gross Profit % Revenue</t>
        </is>
      </c>
      <c r="B5" s="4" t="inlineStr">
        <is>
          <t>EBITDA % Revenue</t>
        </is>
      </c>
      <c r="C5" s="4" t="inlineStr">
        <is>
          <t>2022 YoY</t>
        </is>
      </c>
      <c r="D5" s="4" t="inlineStr">
        <is>
          <t>2023 YoY</t>
        </is>
      </c>
      <c r="E5" s="4" t="inlineStr">
        <is>
          <t>2024 YoY</t>
        </is>
      </c>
      <c r="F5" s="4" t="inlineStr">
        <is>
          <t>2025 YoY</t>
        </is>
      </c>
      <c r="G5" s="4" t="inlineStr">
        <is>
          <t>Operating Income (EBIT)</t>
        </is>
      </c>
      <c r="H5" s="4" t="inlineStr">
        <is>
          <t>Total Debt</t>
        </is>
      </c>
    </row>
    <row r="6">
      <c r="A6" s="9" t="inlineStr">
        <is>
          <t>Total Equity % Assets</t>
        </is>
      </c>
      <c r="B6" s="9" t="inlineStr">
        <is>
          <t>Total Debt % Assets</t>
        </is>
      </c>
      <c r="C6" s="8" t="n">
        <v>25.40217138201452</v>
      </c>
      <c r="D6" s="8" t="n">
        <v>16.60359279826085</v>
      </c>
      <c r="E6" s="8" t="n">
        <v>8.155439671180247</v>
      </c>
      <c r="F6" s="8" t="n">
        <v>5.407566368063923</v>
      </c>
      <c r="G6" s="6" t="n">
        <v>0.2379705467695642</v>
      </c>
      <c r="H6" s="8" t="n">
        <v>0</v>
      </c>
    </row>
    <row r="7">
      <c r="A7" s="9" t="inlineStr">
        <is>
          <t>Ratio Analysis</t>
        </is>
      </c>
      <c r="B7" s="9" t="inlineStr">
        <is>
          <t>Ratio</t>
        </is>
      </c>
      <c r="C7" s="8" t="n">
        <v>13.32733612050512</v>
      </c>
      <c r="D7" s="8" t="n">
        <v>9.696942722875765</v>
      </c>
      <c r="E7" s="8" t="n">
        <v>3.270953164341821</v>
      </c>
      <c r="F7" s="8" t="n">
        <v>4.239789109370495</v>
      </c>
      <c r="G7" s="6" t="n">
        <v>0.3351729599835095</v>
      </c>
      <c r="H7" s="8" t="n">
        <v>0.8500830644607675</v>
      </c>
    </row>
    <row r="8">
      <c r="A8" s="9" t="inlineStr">
        <is>
          <t>Gross Margin</t>
        </is>
      </c>
      <c r="B8" s="9" t="inlineStr">
        <is>
          <t>EBITDA Margin</t>
        </is>
      </c>
      <c r="C8" s="8" t="n">
        <v>19.00367963049827</v>
      </c>
      <c r="D8" s="8" t="n">
        <v>11.42021789721353</v>
      </c>
      <c r="E8" s="8" t="n">
        <v>2.28087188969103</v>
      </c>
      <c r="F8" s="8" t="n">
        <v>2.971205201352274</v>
      </c>
      <c r="G8" s="6" t="n">
        <v>0.1645655653241543</v>
      </c>
      <c r="H8" s="8" t="n">
        <v>0.7576653891018164</v>
      </c>
    </row>
    <row r="9">
      <c r="A9" s="9" t="inlineStr">
        <is>
          <t>EBIT Margin</t>
        </is>
      </c>
      <c r="B9" s="9" t="inlineStr">
        <is>
          <t>Net Margin</t>
        </is>
      </c>
      <c r="C9" s="8" t="n">
        <v>29.40097945872646</v>
      </c>
      <c r="D9" s="8" t="n">
        <v>11.53566206381426</v>
      </c>
      <c r="E9" s="8" t="n">
        <v>1.799182408554068</v>
      </c>
      <c r="F9" s="8" t="n">
        <v>2.814319504369447</v>
      </c>
      <c r="G9" s="6" t="n">
        <v>0.1007845622027414</v>
      </c>
      <c r="H9" s="8" t="n">
        <v>0.7102867868416883</v>
      </c>
    </row>
    <row r="10">
      <c r="A10" s="9" t="inlineStr">
        <is>
          <t>Metric</t>
        </is>
      </c>
      <c r="B10" s="9" t="inlineStr">
        <is>
          <t>ROA</t>
        </is>
      </c>
      <c r="C10" s="8" t="n">
        <v>33.27028582030278</v>
      </c>
      <c r="D10" s="8" t="n">
        <v>17.58061283128433</v>
      </c>
      <c r="E10" s="8" t="n">
        <v>5.038560998189168</v>
      </c>
      <c r="F10" s="8" t="n">
        <v>4.201958539221827</v>
      </c>
      <c r="G10" s="6" t="n">
        <v>0.1293822887939581</v>
      </c>
      <c r="H10" s="8" t="n">
        <v>0.5129441296876283</v>
      </c>
    </row>
    <row r="11">
      <c r="A11" s="9" t="inlineStr">
        <is>
          <t>ROE</t>
        </is>
      </c>
      <c r="B11" s="9" t="inlineStr">
        <is>
          <t>ROIC</t>
        </is>
      </c>
      <c r="C11" s="8" t="n">
        <v>22.76010835509164</v>
      </c>
      <c r="D11" s="8" t="n">
        <v>9.313382665088803</v>
      </c>
      <c r="E11" s="8" t="n">
        <v>1.325418835686959</v>
      </c>
      <c r="F11" s="8" t="n">
        <v>1.245122920667151</v>
      </c>
      <c r="G11" s="6" t="n">
        <v>0.05714874852721696</v>
      </c>
      <c r="H11" s="8" t="n">
        <v>0.5092375270645418</v>
      </c>
    </row>
    <row r="12">
      <c r="A12" s="9" t="inlineStr">
        <is>
          <t>Current Ratio</t>
        </is>
      </c>
      <c r="B12" s="9" t="inlineStr">
        <is>
          <t>Quick Ratio</t>
        </is>
      </c>
      <c r="C12" s="8" t="n">
        <v>32.49105929280563</v>
      </c>
      <c r="D12" s="8" t="n">
        <v>20.14233858574407</v>
      </c>
      <c r="E12" s="8" t="n">
        <v>6.910623482263414</v>
      </c>
      <c r="F12" s="8" t="n">
        <v>3.682449602862839</v>
      </c>
      <c r="G12" s="6" t="n">
        <v>0.1167051578137028</v>
      </c>
      <c r="H12" s="8" t="n">
        <v>0.5607057416267942</v>
      </c>
    </row>
    <row r="14">
      <c r="A14" s="2" t="inlineStr">
        <is>
          <t>Insider Ownership</t>
        </is>
      </c>
    </row>
    <row r="15">
      <c r="A15" s="4" t="inlineStr">
        <is>
          <t>Benchmarks: SPY (market), XLB (sector) | Source priority used: refinitiv_lseg</t>
        </is>
      </c>
      <c r="B15" s="4" t="inlineStr">
        <is>
          <t>Net Income Growth</t>
        </is>
      </c>
      <c r="C15" s="4" t="inlineStr">
        <is>
          <t>Institutional Ownership</t>
        </is>
      </c>
    </row>
    <row r="16">
      <c r="A16" s="9" t="inlineStr">
        <is>
          <t>Payout Ratio</t>
        </is>
      </c>
      <c r="B16" s="11" t="n">
        <v>274.33</v>
      </c>
      <c r="C16" s="9" t="inlineStr">
        <is>
          <t>Peer Avg Governance Risk</t>
        </is>
      </c>
    </row>
    <row r="17">
      <c r="A17" s="9" t="inlineStr">
        <is>
          <t>Vulcan Materials Company (Holdi</t>
        </is>
      </c>
      <c r="B17" s="11" t="n">
        <v>33.66962456018518</v>
      </c>
      <c r="C17" s="9" t="inlineStr">
        <is>
          <t>Martin Marietta Materials, Inc.</t>
        </is>
      </c>
    </row>
    <row r="18">
      <c r="A18" s="9" t="inlineStr">
        <is>
          <t>Knife Riv Holding Co.</t>
        </is>
      </c>
      <c r="B18" s="11" t="n">
        <v>17.58061283564815</v>
      </c>
      <c r="C18" s="9" t="inlineStr">
        <is>
          <t xml:space="preserve">United States Lime &amp; Minerals, </t>
        </is>
      </c>
    </row>
    <row r="19">
      <c r="A19" s="9" t="inlineStr">
        <is>
          <t>Cemex, S.A.B. de C.V. Sponsored</t>
        </is>
      </c>
      <c r="B19" s="11" t="n">
        <v>26.19596487268518</v>
      </c>
      <c r="C19" s="9" t="inlineStr">
        <is>
          <t>Source Notes</t>
        </is>
      </c>
    </row>
    <row r="20">
      <c r="A20" s="9" t="inlineStr">
        <is>
          <t>Environmental stewardship and safety observations sourced from Vulcan Materials public sustainability / CSR pages.</t>
        </is>
      </c>
      <c r="B20" s="11" t="n">
        <v>5.03856099537037</v>
      </c>
      <c r="C20" s="9" t="inlineStr">
        <is>
          <t>Governance risk and ownership fields sourced from Yahoo Finance public company metadata.</t>
        </is>
      </c>
    </row>
    <row r="21">
      <c r="A21" s="9" t="inlineStr">
        <is>
          <t>Blank environmental peer metrics reflect inconsistent public-data comparability rather than implied immateriality.</t>
        </is>
      </c>
      <c r="B21" s="11" t="n">
        <v>4.201958541666666</v>
      </c>
      <c r="C21" s="9" t="inlineStr">
        <is>
          <t>Sheet 5: Industry &amp; Macroeconomic Analysis</t>
        </is>
      </c>
    </row>
    <row r="23">
      <c r="A23" s="2" t="inlineStr">
        <is>
          <t>Industry focus: aggregates / construction materials with demand tied to infrastructure, public works, residential, and non-residential construction activity.</t>
        </is>
      </c>
    </row>
    <row r="24">
      <c r="A24" s="4" t="inlineStr">
        <is>
          <t>Correlation / Sensitivity Analysis</t>
        </is>
      </c>
      <c r="B24" s="4" t="inlineStr">
        <is>
          <t>VMC Price Link</t>
        </is>
      </c>
      <c r="C24" s="4" t="inlineStr">
        <is>
          <t>Macro Variable</t>
        </is>
      </c>
      <c r="D24" s="4" t="inlineStr">
        <is>
          <t>2022 YoY</t>
        </is>
      </c>
      <c r="E24" s="4" t="inlineStr">
        <is>
          <t>2023 YoY</t>
        </is>
      </c>
      <c r="F24" s="4" t="inlineStr">
        <is>
          <t>Correlation with VMC Monthly Return</t>
        </is>
      </c>
      <c r="G24" s="4" t="inlineStr">
        <is>
          <t>2024 YoY</t>
        </is>
      </c>
      <c r="H24" s="4" t="inlineStr">
        <is>
          <t>2025 YoY</t>
        </is>
      </c>
    </row>
    <row r="25">
      <c r="A25" s="11" t="n">
        <v>4</v>
      </c>
      <c r="B25" s="11" t="n">
        <v>2021</v>
      </c>
      <c r="C25" s="13" t="n">
        <v>200.6184844970703</v>
      </c>
      <c r="D25" s="8" t="n">
        <v>39.96384153328094</v>
      </c>
      <c r="E25" s="8" t="n">
        <v>21.27515695292318</v>
      </c>
      <c r="F25" s="8" t="n">
        <v>31.41243972456405</v>
      </c>
      <c r="G25" s="8" t="n">
        <v>5.497544699463075</v>
      </c>
      <c r="H25" s="8" t="n">
        <v>4.092065344592648</v>
      </c>
    </row>
    <row r="26">
      <c r="A26" s="11" t="n">
        <v>3</v>
      </c>
      <c r="B26" s="11" t="n">
        <v>2022</v>
      </c>
      <c r="C26" s="13" t="n">
        <v>170.7953948974609</v>
      </c>
      <c r="D26" s="8" t="n">
        <v>39.62770183235753</v>
      </c>
      <c r="E26" s="8" t="n">
        <v>16.5056677540512</v>
      </c>
      <c r="F26" s="8" t="n">
        <v>25.92488077542572</v>
      </c>
      <c r="G26" s="8" t="n">
        <v>3.648521538481625</v>
      </c>
      <c r="H26" s="8" t="n">
        <v>3.293344219366218</v>
      </c>
    </row>
    <row r="27">
      <c r="A27" s="11" t="n">
        <v>2</v>
      </c>
      <c r="B27" s="11" t="n">
        <v>2023</v>
      </c>
      <c r="C27" s="13" t="n">
        <v>223.3212738037109</v>
      </c>
      <c r="D27" s="8" t="n">
        <v>31.99445183434254</v>
      </c>
      <c r="E27" s="8" t="n">
        <v>16.93164929226287</v>
      </c>
      <c r="F27" s="8" t="n">
        <v>24.83274414427178</v>
      </c>
      <c r="G27" s="8" t="n">
        <v>4.219259346375069</v>
      </c>
      <c r="H27" s="8" t="n">
        <v>3.989904897179912</v>
      </c>
    </row>
    <row r="28">
      <c r="A28" s="11" t="n">
        <v>1</v>
      </c>
      <c r="B28" s="11" t="n">
        <v>2024</v>
      </c>
      <c r="C28" s="13" t="n">
        <v>254.8528137207031</v>
      </c>
      <c r="D28" s="8" t="n">
        <v>37.20479032419024</v>
      </c>
      <c r="E28" s="8" t="n">
        <v>19.07459917478952</v>
      </c>
      <c r="F28" s="8" t="n">
        <v>27.71220507572924</v>
      </c>
      <c r="G28" s="8" t="n">
        <v>5.215768972353369</v>
      </c>
      <c r="H28" s="8" t="n">
        <v>4.178172284165446</v>
      </c>
    </row>
    <row r="29">
      <c r="A29" s="11" t="n">
        <v>0</v>
      </c>
      <c r="B29" s="11" t="n">
        <v>2025</v>
      </c>
      <c r="C29" s="13" t="n">
        <v>284.6806640625</v>
      </c>
      <c r="D29" s="9" t="n"/>
      <c r="E29" s="9" t="n"/>
      <c r="F29" s="9" t="n"/>
      <c r="G29" s="9" t="n"/>
      <c r="H29" s="9" t="n"/>
    </row>
    <row r="31">
      <c r="A31" s="2" t="inlineStr">
        <is>
          <t>Construction Spending Growth</t>
        </is>
      </c>
    </row>
    <row r="32">
      <c r="A32" s="4" t="inlineStr">
        <is>
          <t>Institutional Ownership</t>
        </is>
      </c>
      <c r="B32" s="4" t="inlineStr">
        <is>
          <t>Housing Starts Growth</t>
        </is>
      </c>
      <c r="C32" s="4" t="inlineStr">
        <is>
          <t>Inflation YoY</t>
        </is>
      </c>
    </row>
    <row r="33">
      <c r="A33" s="9" t="inlineStr">
        <is>
          <t>Fed Funds Rate</t>
        </is>
      </c>
      <c r="B33" s="13" t="n">
        <v>196.2059033070099</v>
      </c>
      <c r="C33" s="9" t="inlineStr">
        <is>
          <t>Real GDP YoY</t>
        </is>
      </c>
    </row>
    <row r="34">
      <c r="A34" s="9" t="inlineStr">
        <is>
          <t>Competitive Landscape Snapshot</t>
        </is>
      </c>
      <c r="B34" s="13" t="n">
        <v>167.965837821794</v>
      </c>
      <c r="C34" s="9" t="inlineStr">
        <is>
          <t>Revenue (USDm)</t>
        </is>
      </c>
    </row>
    <row r="35">
      <c r="A35" s="9" t="inlineStr">
        <is>
          <t>Overall Rank</t>
        </is>
      </c>
      <c r="B35" s="13" t="n">
        <v>136.7295639771601</v>
      </c>
      <c r="C35" s="9" t="inlineStr">
        <is>
          <t>Macro Data (Recent 36 Periods)</t>
        </is>
      </c>
    </row>
    <row r="36">
      <c r="A36" s="9" t="inlineStr">
        <is>
          <t>CPI</t>
        </is>
      </c>
      <c r="B36" s="13" t="n">
        <v>217.1959938922153</v>
      </c>
      <c r="C36" s="9" t="inlineStr">
        <is>
          <t>Total Construction Spending</t>
        </is>
      </c>
    </row>
    <row r="39">
      <c r="A39" s="2" t="inlineStr">
        <is>
          <t>Housing Starts</t>
        </is>
      </c>
    </row>
    <row r="40" ht="40" customHeight="1" s="200">
      <c r="A40" s="7" t="inlineStr">
        <is>
          <t>Real GDP</t>
        </is>
      </c>
    </row>
    <row r="41" ht="40" customHeight="1" s="200">
      <c r="A41" s="7" t="inlineStr">
        <is>
          <t>Industry &amp; Macro Commentary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10" defaultColWidth="8.83203125" defaultRowHeight="15"/>
  <cols>
    <col width="100.6640625" customWidth="1" style="200" min="1" max="1"/>
    <col width="20.6640625" customWidth="1" style="200" min="2" max="2"/>
    <col width="21.6640625" customWidth="1" style="200" min="6" max="6"/>
    <col width="20.6640625" customWidth="1" style="200" min="7" max="9"/>
  </cols>
  <sheetData>
    <row r="1" ht="21" customHeight="1" s="200">
      <c r="A1" s="1" t="inlineStr">
        <is>
          <t>VMC's monthly return correlation was strongest with housing starts growth in the selected macro set.</t>
        </is>
      </c>
    </row>
    <row r="2" ht="16" customHeight="1" s="200">
      <c r="A2" s="7" t="inlineStr">
        <is>
          <t>Construction spending and housing starts remain the clearest public-data proxies for aggregates demand.</t>
        </is>
      </c>
    </row>
    <row r="4">
      <c r="A4" s="2" t="inlineStr">
        <is>
          <t>Higher policy rates typically pressure residential demand, while federal and state infrastructure spend can offset part of the cyclical drag.</t>
        </is>
      </c>
      <c r="F4" s="2" t="inlineStr">
        <is>
          <t>Sheet 6: Multiple Valuation</t>
        </is>
      </c>
    </row>
    <row r="5">
      <c r="A5" s="4" t="inlineStr">
        <is>
          <t>Bull case: infrastructure and public works offset weaker private construction.</t>
        </is>
      </c>
      <c r="B5" s="4" t="inlineStr">
        <is>
          <t>Bear case: elevated rates and housing weakness pressure volumes and pricing.</t>
        </is>
      </c>
      <c r="F5" s="4" t="inlineStr">
        <is>
          <t>Peer group rationale: North American aggregates and construction-materials operators with publicly accessible financial histories.</t>
        </is>
      </c>
      <c r="G5" s="4" t="inlineStr">
        <is>
          <t>Net Income Growth</t>
        </is>
      </c>
    </row>
    <row r="6">
      <c r="A6" s="11" t="n">
        <v>2017</v>
      </c>
      <c r="B6" s="13" t="n">
        <v>1</v>
      </c>
      <c r="F6" s="9" t="inlineStr">
        <is>
          <t>Current Peer Trading Multiples</t>
        </is>
      </c>
      <c r="G6" s="11" t="n">
        <v>0.52</v>
      </c>
    </row>
    <row r="7">
      <c r="A7" s="11" t="n">
        <v>2018</v>
      </c>
      <c r="B7" s="13" t="n">
        <v>1.12</v>
      </c>
      <c r="F7" s="9" t="inlineStr">
        <is>
          <t>P/E</t>
        </is>
      </c>
      <c r="G7" s="11" t="n">
        <v>-0.07008165509259257</v>
      </c>
    </row>
    <row r="8">
      <c r="A8" s="11" t="n">
        <v>2019</v>
      </c>
      <c r="B8" s="13" t="n">
        <v>1.24</v>
      </c>
      <c r="F8" s="9" t="inlineStr">
        <is>
          <t>EV / EBITDA</t>
        </is>
      </c>
      <c r="G8" s="11" t="n">
        <v>0.04</v>
      </c>
    </row>
    <row r="9">
      <c r="A9" s="11" t="n">
        <v>2020</v>
      </c>
      <c r="B9" s="13" t="n">
        <v>1.36</v>
      </c>
      <c r="F9" s="9" t="inlineStr">
        <is>
          <t>EV / Sales</t>
        </is>
      </c>
      <c r="G9" s="11" t="n">
        <v>0.055</v>
      </c>
    </row>
    <row r="10">
      <c r="A10" s="11" t="n">
        <v>2021</v>
      </c>
      <c r="B10" s="13" t="n">
        <v>1.48</v>
      </c>
      <c r="F10" s="9" t="inlineStr">
        <is>
          <t>P/B</t>
        </is>
      </c>
      <c r="G10" s="11" t="n">
        <v>0.8280155092592592</v>
      </c>
    </row>
    <row r="11">
      <c r="A11" s="11" t="n">
        <v>2022</v>
      </c>
      <c r="B11" s="13" t="n">
        <v>1.6</v>
      </c>
      <c r="F11" s="9" t="inlineStr">
        <is>
          <t>VMC Current Trading Multiples</t>
        </is>
      </c>
      <c r="G11" s="11" t="n">
        <v>0.08554085648148148</v>
      </c>
    </row>
    <row r="12">
      <c r="A12" s="11" t="n">
        <v>2023</v>
      </c>
      <c r="B12" s="13" t="n">
        <v>1.72</v>
      </c>
      <c r="F12" s="9" t="inlineStr">
        <is>
          <t>Method</t>
        </is>
      </c>
      <c r="G12" s="11" t="n">
        <v>0.0318955324074074</v>
      </c>
    </row>
    <row r="13">
      <c r="A13" s="11" t="n">
        <v>2024</v>
      </c>
      <c r="B13" s="13" t="n">
        <v>1.84</v>
      </c>
      <c r="F13" s="9" t="inlineStr">
        <is>
          <t>Current Price</t>
        </is>
      </c>
      <c r="G13" s="11" t="n">
        <v>0.04</v>
      </c>
    </row>
    <row r="14">
      <c r="A14" s="11" t="n">
        <v>2025</v>
      </c>
      <c r="B14" s="13" t="n">
        <v>1.96</v>
      </c>
      <c r="F14" s="9" t="inlineStr">
        <is>
          <t>Refinitiv close / yfinance fallback</t>
        </is>
      </c>
      <c r="G14" s="11" t="n">
        <v>0.03</v>
      </c>
    </row>
    <row r="15">
      <c r="A15" s="11" t="n">
        <v>2026</v>
      </c>
      <c r="B15" s="13" t="n">
        <v>0.52</v>
      </c>
    </row>
    <row r="17">
      <c r="F17" s="2" t="inlineStr">
        <is>
          <t>Current P/E</t>
        </is>
      </c>
    </row>
    <row r="18">
      <c r="F18" s="4" t="inlineStr">
        <is>
          <t>Price / diluted EPS</t>
        </is>
      </c>
      <c r="G18" s="4" t="inlineStr">
        <is>
          <t>Current EV / EBITDA</t>
        </is>
      </c>
      <c r="H18" s="4" t="inlineStr">
        <is>
          <t>EV over EBITDA</t>
        </is>
      </c>
      <c r="I18" s="4" t="inlineStr">
        <is>
          <t>Current EV / EBIT</t>
        </is>
      </c>
    </row>
    <row r="19">
      <c r="F19" s="6" t="n">
        <v>0.07554085310972704</v>
      </c>
      <c r="G19" s="11" t="n">
        <v>11.26823663194445</v>
      </c>
      <c r="H19" s="11" t="n">
        <v>12.2952797337963</v>
      </c>
      <c r="I19" s="11" t="n">
        <v>13.57565818287037</v>
      </c>
    </row>
    <row r="20">
      <c r="F20" s="6" t="n">
        <v>0.08554085310972703</v>
      </c>
      <c r="G20" s="11" t="n">
        <v>9.396335219907407</v>
      </c>
      <c r="H20" s="11" t="n">
        <v>10.07381178240741</v>
      </c>
      <c r="I20" s="11" t="n">
        <v>10.88533366898148</v>
      </c>
    </row>
    <row r="21">
      <c r="F21" s="6" t="n">
        <v>0.09554085310972703</v>
      </c>
      <c r="G21" s="11" t="n">
        <v>8.055488969907408</v>
      </c>
      <c r="H21" s="11" t="n">
        <v>8.530466365740741</v>
      </c>
      <c r="I21" s="11" t="n">
        <v>9.083899432870369</v>
      </c>
    </row>
    <row r="26">
      <c r="A26" s="2" t="inlineStr">
        <is>
          <t>EV over EBIT</t>
        </is>
      </c>
    </row>
    <row r="27" ht="40" customHeight="1" s="200">
      <c r="A27" s="7" t="inlineStr">
        <is>
          <t>Current EV / Sales</t>
        </is>
      </c>
    </row>
    <row r="28" ht="40" customHeight="1" s="200">
      <c r="A28" s="7" t="inlineStr">
        <is>
          <t>EV over sales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xSplit="1" ySplit="3" topLeftCell="B4" activePane="bottomRight" state="frozen"/>
      <selection activeCell="K52" sqref="K52"/>
      <selection pane="topRight" activeCell="K52" sqref="K52"/>
      <selection pane="bottomLeft" activeCell="K52" sqref="K52"/>
      <selection pane="bottomRight" activeCell="K52" sqref="K52"/>
    </sheetView>
  </sheetViews>
  <sheetFormatPr baseColWidth="10" defaultColWidth="8.83203125" defaultRowHeight="15"/>
  <cols>
    <col width="100.6640625" customWidth="1" style="200" min="1" max="1"/>
    <col width="20.6640625" customWidth="1" style="200" min="2" max="5"/>
    <col width="15.6640625" customWidth="1" style="200" min="6" max="6"/>
    <col width="20.6640625" customWidth="1" style="200" min="7" max="8"/>
    <col width="21.6640625" customWidth="1" style="200" min="10" max="10"/>
    <col width="20.6640625" customWidth="1" style="200" min="11" max="13"/>
  </cols>
  <sheetData>
    <row r="1" ht="21" customHeight="1" s="200">
      <c r="A1" s="1" t="inlineStr">
        <is>
          <t>Current P/B</t>
        </is>
      </c>
    </row>
    <row r="2" ht="16" customHeight="1" s="200">
      <c r="A2" s="7" t="inlineStr">
        <is>
          <t>Price / book value per share</t>
        </is>
      </c>
    </row>
    <row r="4">
      <c r="A4" s="2" t="inlineStr">
        <is>
          <t>Historical VMC Multiples</t>
        </is>
      </c>
      <c r="J4" s="2" t="inlineStr">
        <is>
          <t>Dividend History</t>
        </is>
      </c>
    </row>
    <row r="5">
      <c r="A5" s="4" t="inlineStr">
        <is>
          <t>Peer group rationale: North American aggregates and construction-materials operators with publicly accessible financial histories.</t>
        </is>
      </c>
      <c r="B5" s="4" t="inlineStr">
        <is>
          <t>Net Income Growth</t>
        </is>
      </c>
      <c r="J5" s="4" t="inlineStr">
        <is>
          <t>Benchmarks: SPY (market), XLB (sector) | Source priority used: refinitiv_lseg</t>
        </is>
      </c>
      <c r="K5" s="4" t="inlineStr">
        <is>
          <t>Net Income Growth</t>
        </is>
      </c>
    </row>
    <row r="6">
      <c r="A6" s="9" t="inlineStr">
        <is>
          <t>index</t>
        </is>
      </c>
      <c r="B6" s="11" t="n">
        <v>0.1012726273148148</v>
      </c>
      <c r="J6" s="9" t="inlineStr">
        <is>
          <t>Year</t>
        </is>
      </c>
      <c r="K6" s="11" t="n">
        <v>27763.74070365741</v>
      </c>
    </row>
    <row r="7">
      <c r="A7" s="9" t="inlineStr">
        <is>
          <t>Fiscal Year</t>
        </is>
      </c>
      <c r="B7" s="11" t="n">
        <v>0.1923411111111111</v>
      </c>
      <c r="J7" s="9" t="inlineStr">
        <is>
          <t>Dividend Per Share</t>
        </is>
      </c>
      <c r="K7" s="11" t="n">
        <v>23574.14070365741</v>
      </c>
    </row>
    <row r="8">
      <c r="A8" s="9" t="inlineStr">
        <is>
          <t>Year-End Price</t>
        </is>
      </c>
      <c r="B8" s="11" t="n">
        <v>0.09425645833333333</v>
      </c>
      <c r="J8" s="9" t="inlineStr">
        <is>
          <t>DDM Assumptions</t>
        </is>
      </c>
      <c r="K8" s="11" t="n">
        <v>180.5335532175926</v>
      </c>
    </row>
    <row r="9">
      <c r="A9" s="9" t="inlineStr">
        <is>
          <t>EV / EBIT</t>
        </is>
      </c>
      <c r="B9" s="11" t="n">
        <v>0.08534082175925926</v>
      </c>
      <c r="J9" s="9" t="inlineStr">
        <is>
          <t>Assumption</t>
        </is>
      </c>
      <c r="K9" s="11" t="n">
        <v>16500.36398265046</v>
      </c>
    </row>
    <row r="10">
      <c r="A10" s="9" t="inlineStr">
        <is>
          <t>Implied VMC Value Range</t>
        </is>
      </c>
      <c r="B10" s="11" t="n">
        <v>0.2029693634259259</v>
      </c>
      <c r="J10" s="9" t="inlineStr">
        <is>
          <t>Latest Annual Dividend</t>
        </is>
      </c>
      <c r="K10" s="11" t="n">
        <v>126.361735787037</v>
      </c>
    </row>
    <row r="11">
      <c r="A11" s="9" t="inlineStr">
        <is>
          <t>Implied Price</t>
        </is>
      </c>
      <c r="B11" s="11" t="n">
        <v>0.2212071064814815</v>
      </c>
    </row>
    <row r="12">
      <c r="A12" s="9" t="inlineStr">
        <is>
          <t>Approach</t>
        </is>
      </c>
      <c r="B12" s="11" t="n">
        <v>0.08554085648148148</v>
      </c>
    </row>
    <row r="13">
      <c r="A13" s="9" t="inlineStr">
        <is>
          <t>P/E Median</t>
        </is>
      </c>
      <c r="B13" s="11" t="n">
        <v>0.04268944444444445</v>
      </c>
      <c r="J13" s="2" t="inlineStr">
        <is>
          <t>Historical Dividend CAGR</t>
        </is>
      </c>
    </row>
    <row r="14">
      <c r="A14" s="9" t="inlineStr">
        <is>
          <t>Peer median P/E * VMC EPS</t>
        </is>
      </c>
      <c r="B14" s="11" t="n">
        <v>0.08087895833333333</v>
      </c>
      <c r="J14" s="4" t="inlineStr">
        <is>
          <t>Peer median P/E * VMC EPS</t>
        </is>
      </c>
      <c r="K14" s="4" t="inlineStr">
        <is>
          <t>Risk-Free Rate</t>
        </is>
      </c>
      <c r="L14" s="4" t="inlineStr">
        <is>
          <t>Current EV / EBITDA</t>
        </is>
      </c>
      <c r="M14" s="4" t="inlineStr">
        <is>
          <t>EV over EBITDA</t>
        </is>
      </c>
    </row>
    <row r="15">
      <c r="A15" s="9" t="inlineStr">
        <is>
          <t>Refinitiv close / yfinance fallback</t>
        </is>
      </c>
      <c r="B15" s="11" t="n">
        <v>0.025</v>
      </c>
      <c r="J15" s="11" t="n">
        <v>0.07087895833333334</v>
      </c>
      <c r="K15" s="11" t="n">
        <v>207.0793868402778</v>
      </c>
      <c r="L15" s="11" t="n">
        <v>228.1256496527778</v>
      </c>
      <c r="M15" s="11" t="n">
        <v>254.320346712963</v>
      </c>
    </row>
    <row r="16">
      <c r="A16" s="9" t="inlineStr">
        <is>
          <t>EV / EBITDA Median</t>
        </is>
      </c>
      <c r="B16" s="11" t="n">
        <v>0</v>
      </c>
      <c r="J16" s="11" t="n">
        <v>0.08087895833333333</v>
      </c>
      <c r="K16" s="11" t="n">
        <v>166.7478841435185</v>
      </c>
      <c r="L16" s="11" t="n">
        <v>180.5335532175926</v>
      </c>
      <c r="M16" s="11" t="n">
        <v>197.0287252893519</v>
      </c>
    </row>
    <row r="17">
      <c r="J17" s="11" t="n">
        <v>0.09087895833333333</v>
      </c>
      <c r="K17" s="11" t="n">
        <v>137.8295508912037</v>
      </c>
      <c r="L17" s="11" t="n">
        <v>147.4209464351852</v>
      </c>
      <c r="M17" s="11" t="n">
        <v>158.5878281134259</v>
      </c>
    </row>
    <row r="18">
      <c r="A18" s="2" t="inlineStr">
        <is>
          <t>Peer median EV / EBITDA</t>
        </is>
      </c>
    </row>
    <row r="19">
      <c r="A19" s="4" t="inlineStr">
        <is>
          <t>Bull case: infrastructure and public works offset weaker private construction.</t>
        </is>
      </c>
      <c r="B19" s="4" t="inlineStr">
        <is>
          <t>Sheet 2: Financial Analysis</t>
        </is>
      </c>
      <c r="C19" s="4" t="inlineStr">
        <is>
          <t>Headline Metrics</t>
        </is>
      </c>
      <c r="D19" s="4" t="inlineStr">
        <is>
          <t>EV / Sales Median</t>
        </is>
      </c>
      <c r="E19" s="4" t="inlineStr">
        <is>
          <t>Peer median EV / Sales</t>
        </is>
      </c>
      <c r="F19" s="4" t="inlineStr">
        <is>
          <t>P/B Median</t>
        </is>
      </c>
      <c r="G19" s="4" t="inlineStr">
        <is>
          <t>Peer median P/B * VMC BVPS</t>
        </is>
      </c>
      <c r="H19" s="4" t="inlineStr">
        <is>
          <t>Valuation Commentary</t>
        </is>
      </c>
    </row>
    <row r="20">
      <c r="A20" s="11" t="n">
        <v>2026</v>
      </c>
      <c r="B20" s="12" t="n">
        <v>8745.316043858975</v>
      </c>
      <c r="C20" s="12" t="n">
        <v>1682.083807708025</v>
      </c>
      <c r="D20" s="11" t="n">
        <v>1309.994914201389</v>
      </c>
      <c r="E20" s="11" t="n">
        <v>824.3025599537037</v>
      </c>
      <c r="F20" s="12" t="n">
        <v>746.3324580880768</v>
      </c>
      <c r="G20" s="11" t="n">
        <v>163.2312172685185</v>
      </c>
      <c r="H20" s="12" t="n">
        <v>1224.733798786065</v>
      </c>
    </row>
    <row r="21">
      <c r="A21" s="11" t="n">
        <v>2027</v>
      </c>
      <c r="B21" s="12" t="n">
        <v>9587.250577476389</v>
      </c>
      <c r="C21" s="12" t="n">
        <v>1844.02243165776</v>
      </c>
      <c r="D21" s="11" t="n">
        <v>1436.111563564815</v>
      </c>
      <c r="E21" s="11" t="n">
        <v>903.6603313425926</v>
      </c>
      <c r="F21" s="12" t="n">
        <v>818.1838430892129</v>
      </c>
      <c r="G21" s="11" t="n">
        <v>170.8869150694445</v>
      </c>
      <c r="H21" s="12" t="n">
        <v>1350.701136748363</v>
      </c>
    </row>
    <row r="22">
      <c r="A22" s="11" t="n">
        <v>2028</v>
      </c>
      <c r="B22" s="12" t="n">
        <v>10462.30410599193</v>
      </c>
      <c r="C22" s="12" t="n">
        <v>2012.331199895742</v>
      </c>
      <c r="D22" s="11" t="n">
        <v>1567.189236030093</v>
      </c>
      <c r="E22" s="11" t="n">
        <v>986.1397820601852</v>
      </c>
      <c r="F22" s="12" t="n">
        <v>892.8616303321619</v>
      </c>
      <c r="G22" s="11" t="n">
        <v>177.6090563310185</v>
      </c>
      <c r="H22" s="12" t="n">
        <v>1482.858331426522</v>
      </c>
    </row>
    <row r="23">
      <c r="A23" s="11" t="n">
        <v>2029</v>
      </c>
      <c r="B23" s="12" t="n">
        <v>11364.91454670278</v>
      </c>
      <c r="C23" s="12" t="n">
        <v>2185.940295253029</v>
      </c>
      <c r="D23" s="11" t="n">
        <v>1702.394765590278</v>
      </c>
      <c r="E23" s="11" t="n">
        <v>1071.216649861111</v>
      </c>
      <c r="F23" s="12" t="n">
        <v>969.8911471081432</v>
      </c>
      <c r="G23" s="11" t="n">
        <v>183.2022652199074</v>
      </c>
      <c r="H23" s="12" t="n">
        <v>1620.518003118311</v>
      </c>
    </row>
    <row r="24">
      <c r="A24" s="11" t="n">
        <v>2030</v>
      </c>
      <c r="B24" s="12" t="n">
        <v>12288.57098691991</v>
      </c>
      <c r="C24" s="12" t="n">
        <v>2363.59740154657</v>
      </c>
      <c r="D24" s="11" t="n">
        <v>1840.752857291667</v>
      </c>
      <c r="E24" s="11" t="n">
        <v>1158.277239131944</v>
      </c>
      <c r="F24" s="12" t="n">
        <v>1048.716746777603</v>
      </c>
      <c r="G24" s="11" t="n">
        <v>187.4739583101852</v>
      </c>
      <c r="H24" s="12" t="n">
        <v>1762.839391335182</v>
      </c>
    </row>
    <row r="26">
      <c r="A26" s="2" t="inlineStr">
        <is>
          <t>The multiple valuation block uses peer medians for P/E, EV / EBITDA, EV / Sales, and P/B.</t>
        </is>
      </c>
    </row>
    <row r="27">
      <c r="A27" s="4" t="inlineStr">
        <is>
          <t>Bull case: infrastructure and public works offset weaker private construction.</t>
        </is>
      </c>
      <c r="B27" s="4" t="inlineStr">
        <is>
          <t>Premium / discount interpretation should be read alongside VMC's margins, leverage, and returns profile, not on headline multiples alone.</t>
        </is>
      </c>
      <c r="C27" s="4" t="inlineStr">
        <is>
          <t>Peer median EV / Sales</t>
        </is>
      </c>
      <c r="D27" s="4" t="inlineStr">
        <is>
          <t>P/B Median</t>
        </is>
      </c>
      <c r="E27" s="4" t="inlineStr">
        <is>
          <t>Peer median P/B * VMC BVPS</t>
        </is>
      </c>
      <c r="F27" s="4" t="inlineStr">
        <is>
          <t>Sheet 7: Dividend Discount Model</t>
        </is>
      </c>
      <c r="G27" s="4" t="inlineStr">
        <is>
          <t>Multi-stage DDM with CAPM-based required return and an alternative required-return cross-check.</t>
        </is>
      </c>
    </row>
    <row r="28">
      <c r="A28" s="11" t="n">
        <v>2026</v>
      </c>
      <c r="B28" s="12" t="n">
        <v>1185.740235537011</v>
      </c>
      <c r="C28" s="11" t="n">
        <v>824.3025599537037</v>
      </c>
      <c r="D28" s="12" t="n">
        <v>746.3324580880768</v>
      </c>
      <c r="E28" s="11" t="n">
        <v>163.2312172685185</v>
      </c>
      <c r="F28" s="11" t="n">
        <v>0</v>
      </c>
      <c r="G28" s="12" t="n">
        <v>1100.479120126466</v>
      </c>
    </row>
    <row r="29">
      <c r="A29" s="11" t="n">
        <v>2027</v>
      </c>
      <c r="B29" s="12" t="n">
        <v>1180.356735537011</v>
      </c>
      <c r="C29" s="11" t="n">
        <v>903.6603313425926</v>
      </c>
      <c r="D29" s="12" t="n">
        <v>818.1838430892129</v>
      </c>
      <c r="E29" s="11" t="n">
        <v>170.8869150694445</v>
      </c>
      <c r="F29" s="11" t="n">
        <v>0</v>
      </c>
      <c r="G29" s="12" t="n">
        <v>1094.946308719666</v>
      </c>
    </row>
    <row r="30">
      <c r="A30" s="11" t="n">
        <v>2028</v>
      </c>
      <c r="B30" s="12" t="n">
        <v>1174.973235537011</v>
      </c>
      <c r="C30" s="11" t="n">
        <v>986.1397820601852</v>
      </c>
      <c r="D30" s="12" t="n">
        <v>892.8616303321619</v>
      </c>
      <c r="E30" s="11" t="n">
        <v>177.6090563310185</v>
      </c>
      <c r="F30" s="11" t="n">
        <v>0</v>
      </c>
      <c r="G30" s="12" t="n">
        <v>1090.642330932218</v>
      </c>
    </row>
    <row r="31">
      <c r="A31" s="11" t="n">
        <v>2029</v>
      </c>
      <c r="B31" s="12" t="n">
        <v>1169.589735537011</v>
      </c>
      <c r="C31" s="11" t="n">
        <v>1071.216649861111</v>
      </c>
      <c r="D31" s="12" t="n">
        <v>969.8911471081432</v>
      </c>
      <c r="E31" s="11" t="n">
        <v>183.2022652199074</v>
      </c>
      <c r="F31" s="11" t="n">
        <v>0</v>
      </c>
      <c r="G31" s="12" t="n">
        <v>1087.712973069444</v>
      </c>
    </row>
    <row r="32">
      <c r="A32" s="11" t="n">
        <v>2030</v>
      </c>
      <c r="B32" s="12" t="n">
        <v>1164.206235537011</v>
      </c>
      <c r="C32" s="11" t="n">
        <v>1158.277239131944</v>
      </c>
      <c r="D32" s="12" t="n">
        <v>1048.716746777603</v>
      </c>
      <c r="E32" s="11" t="n">
        <v>187.4739583101852</v>
      </c>
      <c r="F32" s="11" t="n">
        <v>0</v>
      </c>
      <c r="G32" s="12" t="n">
        <v>1086.292769585439</v>
      </c>
    </row>
    <row r="35">
      <c r="A35" s="2" t="inlineStr">
        <is>
          <t>Equity Risk Premium</t>
        </is>
      </c>
    </row>
    <row r="36" ht="40" customHeight="1" s="200">
      <c r="A36" s="7" t="inlineStr">
        <is>
          <t>Beta</t>
        </is>
      </c>
    </row>
    <row r="37" ht="40" customHeight="1" s="200">
      <c r="A37" s="7" t="inlineStr">
        <is>
          <t>CAPM Cost of Equity</t>
        </is>
      </c>
    </row>
    <row r="38" ht="40" customHeight="1" s="200">
      <c r="A38" s="7" t="inlineStr">
        <is>
          <t>Alternative Required Return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818"/>
  <sheetViews>
    <sheetView tabSelected="1" topLeftCell="A377" zoomScale="123" zoomScaleNormal="123" workbookViewId="0">
      <selection activeCell="S447" sqref="S447:T447"/>
    </sheetView>
  </sheetViews>
  <sheetFormatPr baseColWidth="10" defaultRowHeight="15"/>
  <cols>
    <col width="85.6640625" customWidth="1" style="151" min="1" max="1"/>
    <col width="15.6640625" customWidth="1" style="151" min="2" max="6"/>
    <col width="15.6640625" customWidth="1" style="151" min="7" max="8"/>
    <col width="10.83203125" customWidth="1" style="200" min="9" max="9"/>
    <col width="71.5" customWidth="1" style="200" min="10" max="10"/>
    <col width="10.83203125" customWidth="1" style="200" min="11" max="12"/>
    <col width="61.33203125" customWidth="1" style="200" min="13" max="13"/>
    <col width="10.83203125" customWidth="1" style="200" min="14" max="15"/>
    <col width="51.33203125" customWidth="1" style="200" min="16" max="16"/>
    <col width="10.83203125" customWidth="1" style="200" min="17" max="18"/>
    <col width="76" customWidth="1" style="200" min="19" max="19"/>
    <col width="10.83203125" customWidth="1" style="200" min="20" max="20"/>
    <col width="13" customWidth="1" style="200" min="21" max="21"/>
    <col width="65.6640625" customWidth="1" style="200" min="22" max="22"/>
    <col width="10.83203125" customWidth="1" style="200" min="23" max="24"/>
    <col width="59.83203125" customWidth="1" style="200" min="25" max="25"/>
    <col width="10.83203125" customWidth="1" style="200" min="26" max="16384"/>
  </cols>
  <sheetData>
    <row r="1"/>
    <row r="2">
      <c r="A2" s="121" t="inlineStr">
        <is>
          <t>FINANCIAL DATA</t>
        </is>
      </c>
      <c r="I2" t="inlineStr">
        <is>
          <t>Peer Ticket</t>
        </is>
      </c>
      <c r="J2" t="inlineStr">
        <is>
          <t>MLM, KNF, CRH, CX, EXP</t>
        </is>
      </c>
    </row>
    <row r="3">
      <c r="A3" s="121" t="inlineStr">
        <is>
          <t>This file consist of</t>
        </is>
      </c>
    </row>
    <row r="4">
      <c r="A4" s="121" t="n"/>
    </row>
    <row r="5">
      <c r="A5" s="121" t="inlineStr">
        <is>
          <t xml:space="preserve">Financial Statement </t>
        </is>
      </c>
      <c r="B5" s="151" t="inlineStr">
        <is>
          <t xml:space="preserve">5 years </t>
        </is>
      </c>
      <c r="C5" s="151" t="inlineStr">
        <is>
          <t xml:space="preserve">Vulcan - VMC </t>
        </is>
      </c>
    </row>
    <row r="6">
      <c r="A6" s="121" t="inlineStr">
        <is>
          <t xml:space="preserve">Financial Statement </t>
        </is>
      </c>
      <c r="B6" s="151" t="inlineStr">
        <is>
          <t>Peer ticket</t>
        </is>
      </c>
      <c r="C6" s="151" t="inlineStr">
        <is>
          <t>MLM, KNF, CRH, CX, EXP</t>
        </is>
      </c>
    </row>
    <row r="7">
      <c r="A7" s="121" t="inlineStr">
        <is>
          <t xml:space="preserve">Financial Statement </t>
        </is>
      </c>
      <c r="B7" s="151" t="inlineStr">
        <is>
          <t>8 Quarters</t>
        </is>
      </c>
      <c r="C7" s="151" t="inlineStr">
        <is>
          <t xml:space="preserve">Vulcan - VMC </t>
        </is>
      </c>
    </row>
    <row r="8">
      <c r="A8" s="121" t="n"/>
    </row>
    <row r="9">
      <c r="A9" s="120" t="inlineStr">
        <is>
          <t>5 Years of Vulcan Statement</t>
        </is>
      </c>
      <c r="B9" s="120" t="n"/>
      <c r="C9" s="120" t="n"/>
      <c r="D9" s="120" t="n"/>
      <c r="E9" s="120" t="n"/>
      <c r="F9" s="120" t="n"/>
      <c r="G9" s="121" t="n"/>
      <c r="H9" s="121" t="n"/>
      <c r="J9" s="122" t="inlineStr">
        <is>
          <t>MLM TICKET</t>
        </is>
      </c>
      <c r="K9" s="123" t="n"/>
      <c r="M9" s="122" t="inlineStr">
        <is>
          <t>KNF Ticket</t>
        </is>
      </c>
      <c r="N9" s="123" t="n"/>
      <c r="P9" s="122" t="inlineStr">
        <is>
          <t>CRH</t>
        </is>
      </c>
      <c r="Q9" s="124" t="n"/>
      <c r="S9" s="122" t="inlineStr">
        <is>
          <t>CX Ticket</t>
        </is>
      </c>
      <c r="T9" s="124" t="n"/>
      <c r="V9" s="122" t="inlineStr">
        <is>
          <t>EXP Ticket</t>
        </is>
      </c>
      <c r="W9" s="124" t="n"/>
    </row>
    <row r="10">
      <c r="A10" s="125" t="inlineStr">
        <is>
          <t>Balance Sheet - Standardized (Currency: Standardized)</t>
        </is>
      </c>
      <c r="B10" s="125" t="n"/>
      <c r="C10" s="125" t="n"/>
      <c r="D10" s="125" t="n"/>
      <c r="E10" s="125" t="n"/>
      <c r="F10" s="125" t="n"/>
      <c r="G10" s="126" t="n"/>
      <c r="H10" s="126" t="n"/>
      <c r="J10" s="111" t="inlineStr">
        <is>
          <t>Balance Sheet - Standardized (Currency: Standardized) - MLM Ticket</t>
        </is>
      </c>
      <c r="K10" s="111" t="n"/>
      <c r="M10" s="111" t="inlineStr">
        <is>
          <t>Balance Sheet - Standardized (Currency: Standardized) - KNF Ticket</t>
        </is>
      </c>
      <c r="N10" s="111" t="n"/>
      <c r="P10" s="111" t="inlineStr">
        <is>
          <t>Balance Sheet - Standardized (Currency: Standardized) - CRH Ticket</t>
        </is>
      </c>
      <c r="Q10" s="111" t="n"/>
      <c r="S10" s="111" t="inlineStr">
        <is>
          <t>Balance Sheet - Standardized (Currency: Standardized) - CX Ticket</t>
        </is>
      </c>
      <c r="T10" s="111" t="n"/>
      <c r="V10" s="111" t="inlineStr">
        <is>
          <t>Balance Sheet - Standardized (Currency: Standardized) - EXP Ticket</t>
        </is>
      </c>
      <c r="W10" s="111" t="n"/>
    </row>
    <row r="11">
      <c r="A11" s="125" t="inlineStr">
        <is>
          <t>Field Name</t>
        </is>
      </c>
      <c r="B11" s="127" t="inlineStr">
        <is>
          <t>31-12-2025</t>
        </is>
      </c>
      <c r="C11" s="127" t="inlineStr">
        <is>
          <t>31-12-2024</t>
        </is>
      </c>
      <c r="D11" s="127" t="inlineStr">
        <is>
          <t>31-12-2023</t>
        </is>
      </c>
      <c r="E11" s="127" t="inlineStr">
        <is>
          <t>31-12-2022</t>
        </is>
      </c>
      <c r="F11" s="127" t="inlineStr">
        <is>
          <t>31-12-2021</t>
        </is>
      </c>
      <c r="G11" s="128" t="n"/>
      <c r="H11" s="128" t="n"/>
      <c r="J11" s="111" t="inlineStr">
        <is>
          <t>Field Name</t>
        </is>
      </c>
      <c r="K11" s="112" t="inlineStr">
        <is>
          <t>31-12-2025</t>
        </is>
      </c>
      <c r="M11" s="111" t="inlineStr">
        <is>
          <t>Field Name</t>
        </is>
      </c>
      <c r="N11" s="112" t="inlineStr">
        <is>
          <t>31-12-2025</t>
        </is>
      </c>
      <c r="P11" s="111" t="inlineStr">
        <is>
          <t>Field Name</t>
        </is>
      </c>
      <c r="Q11" s="112" t="inlineStr">
        <is>
          <t>31-12-2025</t>
        </is>
      </c>
      <c r="S11" s="111" t="inlineStr">
        <is>
          <t>Field Name</t>
        </is>
      </c>
      <c r="T11" s="112" t="inlineStr">
        <is>
          <t>31-12-2025</t>
        </is>
      </c>
      <c r="V11" s="111" t="inlineStr">
        <is>
          <t>Field Name</t>
        </is>
      </c>
      <c r="W11" s="112" t="inlineStr">
        <is>
          <t>31-03-2025</t>
        </is>
      </c>
    </row>
    <row r="12">
      <c r="A12" s="129" t="inlineStr">
        <is>
          <t>Current Assets</t>
        </is>
      </c>
      <c r="B12" s="130" t="n"/>
      <c r="C12" s="130" t="n"/>
      <c r="D12" s="130" t="n"/>
      <c r="E12" s="130" t="n"/>
      <c r="F12" s="130" t="n"/>
      <c r="G12" s="151" t="n"/>
      <c r="H12" s="151" t="n"/>
      <c r="J12" s="115" t="inlineStr">
        <is>
          <t>Current Assets</t>
        </is>
      </c>
      <c r="K12" s="116" t="n"/>
      <c r="M12" s="115" t="inlineStr">
        <is>
          <t>Current Assets</t>
        </is>
      </c>
      <c r="N12" s="116" t="n"/>
      <c r="P12" s="115" t="inlineStr">
        <is>
          <t>Current Assets</t>
        </is>
      </c>
      <c r="Q12" s="116" t="n"/>
      <c r="S12" s="115" t="inlineStr">
        <is>
          <t>Current Assets</t>
        </is>
      </c>
      <c r="T12" s="116" t="n"/>
      <c r="V12" s="115" t="inlineStr">
        <is>
          <t>Current Assets</t>
        </is>
      </c>
      <c r="W12" s="116" t="n"/>
    </row>
    <row r="13">
      <c r="A13" s="131" t="inlineStr">
        <is>
          <t>Cash &amp; Short-Term Investments</t>
        </is>
      </c>
      <c r="B13" s="132" t="n">
        <v>183.3</v>
      </c>
      <c r="C13" s="132" t="n">
        <v>559.7</v>
      </c>
      <c r="D13" s="132" t="n">
        <v>931.1</v>
      </c>
      <c r="E13" s="132" t="n">
        <v>161.4</v>
      </c>
      <c r="F13" s="132" t="n">
        <v>235</v>
      </c>
      <c r="G13" s="153" t="n"/>
      <c r="H13" s="153" t="n"/>
      <c r="J13" s="117" t="inlineStr">
        <is>
          <t>Cash &amp; Short-Term Investments</t>
        </is>
      </c>
      <c r="K13" s="119" t="n">
        <v>67</v>
      </c>
      <c r="M13" s="117" t="inlineStr">
        <is>
          <t>Cash &amp; Short-Term Investments</t>
        </is>
      </c>
      <c r="N13" s="118" t="n">
        <v>123.42</v>
      </c>
      <c r="P13" s="117" t="inlineStr">
        <is>
          <t>Cash &amp; Short-Term Investments</t>
        </is>
      </c>
      <c r="Q13" s="118" t="n">
        <v>4096</v>
      </c>
      <c r="S13" s="117" t="inlineStr">
        <is>
          <t>Cash &amp; Short-Term Investments</t>
        </is>
      </c>
      <c r="T13" s="118" t="n">
        <v>1976.07</v>
      </c>
      <c r="V13" s="117" t="inlineStr">
        <is>
          <t>Cash &amp; Short-Term Investments</t>
        </is>
      </c>
      <c r="W13" s="119" t="n">
        <v>20.4</v>
      </c>
    </row>
    <row r="14">
      <c r="A14" s="133" t="inlineStr">
        <is>
          <t>Cash &amp; Cash Equivalents</t>
        </is>
      </c>
      <c r="B14" s="132" t="n">
        <v>183.3</v>
      </c>
      <c r="C14" s="132" t="n">
        <v>559.7</v>
      </c>
      <c r="D14" s="132" t="n">
        <v>931.1</v>
      </c>
      <c r="E14" s="132" t="n">
        <v>161.4</v>
      </c>
      <c r="F14" s="132" t="n">
        <v>235</v>
      </c>
      <c r="G14" s="153" t="n"/>
      <c r="H14" s="153" t="n"/>
      <c r="J14" s="108" t="inlineStr">
        <is>
          <t>Cash &amp; Cash Equivalents</t>
        </is>
      </c>
      <c r="K14" s="119" t="n">
        <v>67</v>
      </c>
      <c r="M14" s="108" t="inlineStr">
        <is>
          <t>Cash &amp; Cash Equivalents</t>
        </is>
      </c>
      <c r="N14" s="118" t="n">
        <v>123.42</v>
      </c>
      <c r="P14" s="108" t="inlineStr">
        <is>
          <t>Cash &amp; Cash Equivalents</t>
        </is>
      </c>
      <c r="Q14" s="118" t="n">
        <v>4096</v>
      </c>
      <c r="S14" s="108" t="inlineStr">
        <is>
          <t>Cash &amp; Cash Equivalents</t>
        </is>
      </c>
      <c r="T14" s="118" t="n">
        <v>1822.36</v>
      </c>
      <c r="V14" s="108" t="inlineStr">
        <is>
          <t>Cash &amp; Cash Equivalents</t>
        </is>
      </c>
      <c r="W14" s="119" t="n">
        <v>20.4</v>
      </c>
    </row>
    <row r="15">
      <c r="A15" s="131" t="inlineStr">
        <is>
          <t>Loans &amp; Receivables - Net - Short-Term</t>
        </is>
      </c>
      <c r="B15" s="132" t="n">
        <v>887.7</v>
      </c>
      <c r="C15" s="132" t="n">
        <v>892.3</v>
      </c>
      <c r="D15" s="132" t="n">
        <v>889.7</v>
      </c>
      <c r="E15" s="132" t="n">
        <v>1045.3</v>
      </c>
      <c r="F15" s="132" t="n">
        <v>838.7</v>
      </c>
      <c r="G15" s="153" t="n"/>
      <c r="H15" s="153" t="n"/>
      <c r="J15" s="117" t="inlineStr">
        <is>
          <t>Loans &amp; Receivables - Net - Short-Term</t>
        </is>
      </c>
      <c r="K15" s="118" t="n">
        <v>723</v>
      </c>
      <c r="M15" s="117" t="inlineStr">
        <is>
          <t>Loans &amp; Receivables - Net - Short-Term</t>
        </is>
      </c>
      <c r="N15" s="118" t="n">
        <v>355.56</v>
      </c>
      <c r="P15" s="117" t="inlineStr">
        <is>
          <t>Loans &amp; Receivables - Net - Short-Term</t>
        </is>
      </c>
      <c r="Q15" s="118" t="n">
        <v>5452</v>
      </c>
      <c r="S15" s="108" t="inlineStr">
        <is>
          <t>Short-Term Investments - Total</t>
        </is>
      </c>
      <c r="T15" s="118" t="n">
        <v>153.71</v>
      </c>
      <c r="V15" s="117" t="inlineStr">
        <is>
          <t>Loans &amp; Receivables - Net - Short-Term</t>
        </is>
      </c>
      <c r="W15" s="118" t="n">
        <v>222.35</v>
      </c>
    </row>
    <row r="16">
      <c r="A16" s="133" t="inlineStr">
        <is>
          <t>Trade Accounts &amp; Trade Notes Receivable - Net</t>
        </is>
      </c>
      <c r="B16" s="132" t="n">
        <v>887.7</v>
      </c>
      <c r="C16" s="132" t="n">
        <v>892.3</v>
      </c>
      <c r="D16" s="132" t="n">
        <v>889.7</v>
      </c>
      <c r="E16" s="132" t="n">
        <v>845.6</v>
      </c>
      <c r="F16" s="132" t="n">
        <v>783.2</v>
      </c>
      <c r="G16" s="153" t="n"/>
      <c r="H16" s="153" t="n"/>
      <c r="J16" s="108" t="inlineStr">
        <is>
          <t>Trade Accounts &amp; Trade Notes Receivable - Net</t>
        </is>
      </c>
      <c r="K16" s="118" t="n">
        <v>708</v>
      </c>
      <c r="M16" s="108" t="inlineStr">
        <is>
          <t>Trade Accounts &amp; Trade Notes Receivable - Net</t>
        </is>
      </c>
      <c r="N16" s="118" t="n">
        <v>150.65</v>
      </c>
      <c r="P16" s="108" t="inlineStr">
        <is>
          <t>Trade Accounts &amp; Trade Notes Receivable - Net</t>
        </is>
      </c>
      <c r="Q16" s="118" t="n">
        <v>5178</v>
      </c>
      <c r="S16" s="108" t="inlineStr">
        <is>
          <t>Financial Assets - Short-Term</t>
        </is>
      </c>
      <c r="T16" s="118" t="n">
        <v>153.71</v>
      </c>
      <c r="V16" s="108" t="inlineStr">
        <is>
          <t>Trade Accounts &amp; Trade Notes Receivable - Net</t>
        </is>
      </c>
      <c r="W16" s="118" t="n">
        <v>212.33</v>
      </c>
    </row>
    <row r="17">
      <c r="A17" s="133" t="inlineStr">
        <is>
          <t>Trade Accounts &amp; Trade Notes Receivable - Gross</t>
        </is>
      </c>
      <c r="B17" s="132" t="n">
        <v>898.2</v>
      </c>
      <c r="C17" s="132" t="n">
        <v>905.5</v>
      </c>
      <c r="D17" s="132" t="n">
        <v>903.3</v>
      </c>
      <c r="E17" s="132" t="n">
        <v>856.5</v>
      </c>
      <c r="F17" s="132" t="n">
        <v>793.5</v>
      </c>
      <c r="G17" s="153" t="n"/>
      <c r="H17" s="153" t="n"/>
      <c r="J17" s="108" t="inlineStr">
        <is>
          <t>Trade Accounts &amp; Trade Notes Receivable - Gross</t>
        </is>
      </c>
      <c r="K17" s="118" t="n">
        <v>715</v>
      </c>
      <c r="M17" s="108" t="inlineStr">
        <is>
          <t>Trade Accounts &amp; Trade Notes Receivable - Gross</t>
        </is>
      </c>
      <c r="N17" s="118" t="n">
        <v>155.84</v>
      </c>
      <c r="P17" s="108" t="inlineStr">
        <is>
          <t>Trade Accounts &amp; Trade Notes Receivable - Gross</t>
        </is>
      </c>
      <c r="Q17" s="118" t="n">
        <v>5315</v>
      </c>
      <c r="S17" s="117" t="inlineStr">
        <is>
          <t>Loans &amp; Receivables - Net - Short-Term</t>
        </is>
      </c>
      <c r="T17" s="118" t="n">
        <v>2556.68</v>
      </c>
      <c r="V17" s="108" t="inlineStr">
        <is>
          <t>Trade Accounts &amp; Trade Notes Receivable - Gross</t>
        </is>
      </c>
      <c r="W17" s="118" t="n">
        <v>218.73</v>
      </c>
    </row>
    <row r="18">
      <c r="A18" s="133" t="inlineStr">
        <is>
          <t>Provision - Trade Accounts &amp; Trade Notes Receivable</t>
        </is>
      </c>
      <c r="B18" s="135" t="n">
        <v>10.5</v>
      </c>
      <c r="C18" s="135" t="n">
        <v>13.2</v>
      </c>
      <c r="D18" s="135" t="n">
        <v>13.6</v>
      </c>
      <c r="E18" s="135" t="n">
        <v>10.9</v>
      </c>
      <c r="F18" s="135" t="n">
        <v>10.3</v>
      </c>
      <c r="G18" s="152" t="n"/>
      <c r="H18" s="152" t="n"/>
      <c r="J18" s="108" t="inlineStr">
        <is>
          <t>Provision - Trade Accounts &amp; Trade Notes Receivable</t>
        </is>
      </c>
      <c r="K18" s="119" t="n">
        <v>7</v>
      </c>
      <c r="M18" s="108" t="inlineStr">
        <is>
          <t>Provision - Trade Accounts &amp; Trade Notes Receivable</t>
        </is>
      </c>
      <c r="N18" s="119" t="n">
        <v>5.19</v>
      </c>
      <c r="P18" s="108" t="inlineStr">
        <is>
          <t>Provision - Trade Accounts &amp; Trade Notes Receivable</t>
        </is>
      </c>
      <c r="Q18" s="118" t="n">
        <v>137</v>
      </c>
      <c r="S18" s="108" t="inlineStr">
        <is>
          <t>Trade Accounts &amp; Trade Notes Receivable - Net</t>
        </is>
      </c>
      <c r="T18" s="118" t="n">
        <v>1769.5</v>
      </c>
      <c r="V18" s="108" t="inlineStr">
        <is>
          <t>Provision - Trade Accounts &amp; Trade Notes Receivable</t>
        </is>
      </c>
      <c r="W18" s="119" t="n">
        <v>6.4</v>
      </c>
    </row>
    <row r="19">
      <c r="A19" s="133" t="inlineStr">
        <is>
          <t>Receivables - Other - Total</t>
        </is>
      </c>
      <c r="B19" s="138" t="n"/>
      <c r="C19" s="138" t="n"/>
      <c r="D19" s="138" t="n"/>
      <c r="E19" s="132" t="n">
        <v>199.7</v>
      </c>
      <c r="F19" s="135" t="n">
        <v>55.5</v>
      </c>
      <c r="G19" s="152" t="n"/>
      <c r="H19" s="152" t="n"/>
      <c r="J19" s="108" t="inlineStr">
        <is>
          <t>Receivables - Other - Total</t>
        </is>
      </c>
      <c r="K19" s="119" t="n">
        <v>15</v>
      </c>
      <c r="M19" s="108" t="inlineStr">
        <is>
          <t>Receivables - Other - Total</t>
        </is>
      </c>
      <c r="N19" s="118" t="n">
        <v>204.91</v>
      </c>
      <c r="P19" s="108" t="inlineStr">
        <is>
          <t>Income Tax - Receivables - Short-Term</t>
        </is>
      </c>
      <c r="Q19" s="118" t="n">
        <v>274</v>
      </c>
      <c r="S19" s="108" t="inlineStr">
        <is>
          <t>Receivables - Other - Total</t>
        </is>
      </c>
      <c r="T19" s="118" t="n">
        <v>787.1799999999999</v>
      </c>
      <c r="V19" s="108" t="inlineStr">
        <is>
          <t>Income Tax - Receivables - Short-Term</t>
        </is>
      </c>
      <c r="W19" s="119" t="n">
        <v>10.02</v>
      </c>
    </row>
    <row r="20">
      <c r="A20" s="131" t="inlineStr">
        <is>
          <t>Inventories - Total</t>
        </is>
      </c>
      <c r="B20" s="132" t="n">
        <v>680.5</v>
      </c>
      <c r="C20" s="132" t="n">
        <v>681.8</v>
      </c>
      <c r="D20" s="132" t="n">
        <v>615.6</v>
      </c>
      <c r="E20" s="132" t="n">
        <v>579.3</v>
      </c>
      <c r="F20" s="132" t="n">
        <v>521.3</v>
      </c>
      <c r="G20" s="153" t="n"/>
      <c r="H20" s="153" t="n"/>
      <c r="J20" s="117" t="inlineStr">
        <is>
          <t>Inventories - Total</t>
        </is>
      </c>
      <c r="K20" s="118" t="n">
        <v>1078</v>
      </c>
      <c r="M20" s="117" t="inlineStr">
        <is>
          <t>Inventories - Total</t>
        </is>
      </c>
      <c r="N20" s="118" t="n">
        <v>435.71</v>
      </c>
      <c r="P20" s="117" t="inlineStr">
        <is>
          <t>Inventories - Total</t>
        </is>
      </c>
      <c r="Q20" s="118" t="n">
        <v>5251</v>
      </c>
      <c r="S20" s="117" t="inlineStr">
        <is>
          <t>Inventories - Total</t>
        </is>
      </c>
      <c r="T20" s="118" t="n">
        <v>1522.35</v>
      </c>
      <c r="V20" s="117" t="inlineStr">
        <is>
          <t>Inventories - Total</t>
        </is>
      </c>
      <c r="W20" s="118" t="n">
        <v>415.18</v>
      </c>
    </row>
    <row r="21">
      <c r="A21" s="133" t="inlineStr">
        <is>
          <t>Inventories - Raw Materials</t>
        </is>
      </c>
      <c r="B21" s="135" t="n">
        <v>36.7</v>
      </c>
      <c r="C21" s="135" t="n">
        <v>69.7</v>
      </c>
      <c r="D21" s="135" t="n">
        <v>51.2</v>
      </c>
      <c r="E21" s="135" t="n">
        <v>63.4</v>
      </c>
      <c r="F21" s="135" t="n">
        <v>59.9</v>
      </c>
      <c r="G21" s="152" t="n"/>
      <c r="H21" s="152" t="n"/>
      <c r="J21" s="108" t="inlineStr">
        <is>
          <t>Inventories - Raw Materials</t>
        </is>
      </c>
      <c r="K21" s="119" t="n">
        <v>49</v>
      </c>
      <c r="M21" s="108" t="inlineStr">
        <is>
          <t>Inventories - Raw Materials</t>
        </is>
      </c>
      <c r="N21" s="118" t="n">
        <v>131.43</v>
      </c>
      <c r="P21" s="108" t="inlineStr">
        <is>
          <t>Inventories - Raw Materials</t>
        </is>
      </c>
      <c r="Q21" s="118" t="n">
        <v>2295</v>
      </c>
      <c r="S21" s="108" t="inlineStr">
        <is>
          <t>Inventories - Raw Materials</t>
        </is>
      </c>
      <c r="T21" s="118" t="n">
        <v>1522.35</v>
      </c>
      <c r="V21" s="108" t="inlineStr">
        <is>
          <t>Inventories - Raw Materials</t>
        </is>
      </c>
      <c r="W21" s="118" t="n">
        <v>164.68</v>
      </c>
    </row>
    <row r="22">
      <c r="A22" s="133" t="inlineStr">
        <is>
          <t>Inventories - Work in Progress</t>
        </is>
      </c>
      <c r="B22" s="135" t="n">
        <v>5.4</v>
      </c>
      <c r="C22" s="135" t="n">
        <v>9</v>
      </c>
      <c r="D22" s="135" t="n">
        <v>6.5</v>
      </c>
      <c r="E22" s="135" t="n">
        <v>6</v>
      </c>
      <c r="F22" s="135" t="n">
        <v>4.2</v>
      </c>
      <c r="G22" s="152" t="n"/>
      <c r="H22" s="152" t="n"/>
      <c r="J22" s="108" t="inlineStr">
        <is>
          <t>Inventories - Work in Progress</t>
        </is>
      </c>
      <c r="K22" s="119" t="n">
        <v>14</v>
      </c>
      <c r="M22" s="108" t="inlineStr">
        <is>
          <t>Inventories - Finished Goods</t>
        </is>
      </c>
      <c r="N22" s="118" t="n">
        <v>304.28</v>
      </c>
      <c r="P22" s="108" t="inlineStr">
        <is>
          <t>Inventories - Work in Progress</t>
        </is>
      </c>
      <c r="Q22" s="118" t="n">
        <v>360</v>
      </c>
      <c r="S22" s="117" t="inlineStr">
        <is>
          <t>Assets Held for Sale/Discontinued Operations - Short-Term</t>
        </is>
      </c>
      <c r="T22" s="119" t="n">
        <v>41.67</v>
      </c>
      <c r="V22" s="108" t="inlineStr">
        <is>
          <t>Inventories - Finished Goods</t>
        </is>
      </c>
      <c r="W22" s="119" t="n">
        <v>91.09999999999999</v>
      </c>
    </row>
    <row r="23">
      <c r="A23" s="133" t="inlineStr">
        <is>
          <t>Inventories - Finished Goods</t>
        </is>
      </c>
      <c r="B23" s="132" t="n">
        <v>557.7</v>
      </c>
      <c r="C23" s="132" t="n">
        <v>534.6</v>
      </c>
      <c r="D23" s="132" t="n">
        <v>494.4</v>
      </c>
      <c r="E23" s="132" t="n">
        <v>439.3</v>
      </c>
      <c r="F23" s="132" t="n">
        <v>418</v>
      </c>
      <c r="G23" s="153" t="n"/>
      <c r="H23" s="153" t="n"/>
      <c r="J23" s="108" t="inlineStr">
        <is>
          <t>Inventories - Finished Goods</t>
        </is>
      </c>
      <c r="K23" s="118" t="n">
        <v>1378</v>
      </c>
      <c r="M23" s="117" t="inlineStr">
        <is>
          <t>Prepaid Expenses - Short-Term</t>
        </is>
      </c>
      <c r="N23" s="119" t="n">
        <v>46.23</v>
      </c>
      <c r="P23" s="108" t="inlineStr">
        <is>
          <t>Inventories - Finished Goods</t>
        </is>
      </c>
      <c r="Q23" s="118" t="n">
        <v>2596</v>
      </c>
      <c r="S23" s="136" t="inlineStr">
        <is>
          <t>Total Current Assets</t>
        </is>
      </c>
      <c r="T23" s="137" t="n">
        <v>6096.77</v>
      </c>
      <c r="V23" s="108" t="inlineStr">
        <is>
          <t>Inventories - Other - Total</t>
        </is>
      </c>
      <c r="W23" s="118" t="n">
        <v>159.39</v>
      </c>
    </row>
    <row r="24">
      <c r="A24" s="133" t="inlineStr">
        <is>
          <t>Inventories - Other - Total</t>
        </is>
      </c>
      <c r="B24" s="135" t="n">
        <v>80.7</v>
      </c>
      <c r="C24" s="135" t="n">
        <v>68.5</v>
      </c>
      <c r="D24" s="135" t="n">
        <v>63.5</v>
      </c>
      <c r="E24" s="135" t="n">
        <v>70.59999999999999</v>
      </c>
      <c r="F24" s="135" t="n">
        <v>39.2</v>
      </c>
      <c r="G24" s="152" t="n"/>
      <c r="H24" s="152" t="n"/>
      <c r="J24" s="108" t="inlineStr">
        <is>
          <t>Inventories - Other - Total</t>
        </is>
      </c>
      <c r="K24" s="139" t="n">
        <v>-363</v>
      </c>
      <c r="M24" s="136" t="inlineStr">
        <is>
          <t>Total Current Assets</t>
        </is>
      </c>
      <c r="N24" s="137" t="n">
        <v>960.92</v>
      </c>
      <c r="P24" s="117" t="inlineStr">
        <is>
          <t>Prepaid Expenses - Short-Term</t>
        </is>
      </c>
      <c r="Q24" s="118" t="n">
        <v>394</v>
      </c>
      <c r="S24" s="115" t="inlineStr">
        <is>
          <t>Non-Current Assets</t>
        </is>
      </c>
      <c r="T24" s="116" t="n"/>
      <c r="V24" s="117" t="inlineStr">
        <is>
          <t>Prepaid Expenses - Short-Term</t>
        </is>
      </c>
      <c r="W24" s="119" t="n">
        <v>10.73</v>
      </c>
    </row>
    <row r="25">
      <c r="A25" s="131" t="inlineStr">
        <is>
          <t>Assets Held for Sale/Discontinued Operations - Short-Term</t>
        </is>
      </c>
      <c r="B25" s="132" t="n">
        <v>708.5</v>
      </c>
      <c r="C25" s="138" t="n"/>
      <c r="D25" s="138" t="n"/>
      <c r="E25" s="138" t="n"/>
      <c r="F25" s="138" t="n"/>
      <c r="G25" s="154" t="n"/>
      <c r="H25" s="154" t="n"/>
      <c r="J25" s="117" t="inlineStr">
        <is>
          <t>Assets Held for Sale/Discontinued Operations - Short-Term</t>
        </is>
      </c>
      <c r="K25" s="118" t="n">
        <v>1230</v>
      </c>
      <c r="M25" s="115" t="inlineStr">
        <is>
          <t>Non-Current Assets</t>
        </is>
      </c>
      <c r="N25" s="116" t="n"/>
      <c r="P25" s="117" t="inlineStr">
        <is>
          <t>Other Current Assets - Total</t>
        </is>
      </c>
      <c r="Q25" s="119" t="n">
        <v>61</v>
      </c>
      <c r="S25" s="117" t="inlineStr">
        <is>
          <t>Investments - Long-Term</t>
        </is>
      </c>
      <c r="T25" s="119" t="n">
        <v>83.65000000000001</v>
      </c>
      <c r="V25" s="136" t="inlineStr">
        <is>
          <t>Total Current Assets</t>
        </is>
      </c>
      <c r="W25" s="137" t="n">
        <v>668.66</v>
      </c>
    </row>
    <row r="26">
      <c r="A26" s="131" t="inlineStr">
        <is>
          <t>Other Current Assets - Total</t>
        </is>
      </c>
      <c r="B26" s="132" t="n">
        <v>107.9</v>
      </c>
      <c r="C26" s="132" t="n">
        <v>131.9</v>
      </c>
      <c r="D26" s="135" t="n">
        <v>88.5</v>
      </c>
      <c r="E26" s="132" t="n">
        <v>116</v>
      </c>
      <c r="F26" s="132" t="n">
        <v>101.6</v>
      </c>
      <c r="G26" s="153" t="n"/>
      <c r="H26" s="153" t="n"/>
      <c r="J26" s="117" t="inlineStr">
        <is>
          <t>Other Current Assets - Total</t>
        </is>
      </c>
      <c r="K26" s="119" t="n">
        <v>95</v>
      </c>
      <c r="M26" s="117" t="inlineStr">
        <is>
          <t>Investments - Long-Term</t>
        </is>
      </c>
      <c r="N26" s="119" t="n">
        <v>55.32</v>
      </c>
      <c r="P26" s="108" t="inlineStr">
        <is>
          <t>Restricted Accounts - Short-Term</t>
        </is>
      </c>
      <c r="Q26" s="119" t="n">
        <v>51</v>
      </c>
      <c r="S26" s="108" t="inlineStr">
        <is>
          <t>Financial Assets - Long-Term</t>
        </is>
      </c>
      <c r="T26" s="119" t="n">
        <v>83.65000000000001</v>
      </c>
      <c r="V26" s="115" t="inlineStr">
        <is>
          <t>Non-Current Assets</t>
        </is>
      </c>
      <c r="W26" s="116" t="n"/>
    </row>
    <row r="27">
      <c r="A27" s="133" t="inlineStr">
        <is>
          <t>Restricted Accounts - Short-Term</t>
        </is>
      </c>
      <c r="B27" s="135" t="n">
        <v>6.1</v>
      </c>
      <c r="C27" s="135" t="n">
        <v>41.1</v>
      </c>
      <c r="D27" s="135" t="n">
        <v>18.1</v>
      </c>
      <c r="E27" s="135" t="n">
        <v>0.1</v>
      </c>
      <c r="F27" s="135" t="n">
        <v>6.5</v>
      </c>
      <c r="G27" s="152" t="n"/>
      <c r="H27" s="152" t="n"/>
      <c r="J27" s="108" t="inlineStr">
        <is>
          <t>Other Current Assets</t>
        </is>
      </c>
      <c r="K27" s="119" t="n">
        <v>95</v>
      </c>
      <c r="M27" s="108" t="inlineStr">
        <is>
          <t>Investments - Available for Sale/Held to Maturity - Long-Term</t>
        </is>
      </c>
      <c r="N27" s="119" t="n">
        <v>55.32</v>
      </c>
      <c r="P27" s="108" t="inlineStr">
        <is>
          <t>Other Current Assets</t>
        </is>
      </c>
      <c r="Q27" s="119" t="n">
        <v>10</v>
      </c>
      <c r="S27" s="117" t="inlineStr">
        <is>
          <t>Investments in Associates, Joint Ventures and Unconsolidated Subsidiaries</t>
        </is>
      </c>
      <c r="T27" s="118" t="n">
        <v>792.14</v>
      </c>
      <c r="V27" s="117" t="inlineStr">
        <is>
          <t>Investments in Associates, Joint Ventures and Unconsolidated Subsidiaries</t>
        </is>
      </c>
      <c r="W27" s="118" t="n">
        <v>140.09</v>
      </c>
    </row>
    <row r="28">
      <c r="A28" s="133" t="inlineStr">
        <is>
          <t>Other Current Assets</t>
        </is>
      </c>
      <c r="B28" s="132" t="n">
        <v>101.8</v>
      </c>
      <c r="C28" s="135" t="n">
        <v>90.8</v>
      </c>
      <c r="D28" s="135" t="n">
        <v>70.40000000000001</v>
      </c>
      <c r="E28" s="132" t="n">
        <v>115.9</v>
      </c>
      <c r="F28" s="135" t="n">
        <v>95.09999999999999</v>
      </c>
      <c r="G28" s="152" t="n"/>
      <c r="H28" s="152" t="n"/>
      <c r="J28" s="136" t="inlineStr">
        <is>
          <t>Total Current Assets</t>
        </is>
      </c>
      <c r="K28" s="137" t="n">
        <v>3193</v>
      </c>
      <c r="M28" s="117" t="inlineStr">
        <is>
          <t>Property, Plant &amp; Equipment - Net - Total</t>
        </is>
      </c>
      <c r="N28" s="118" t="n">
        <v>2081.52</v>
      </c>
      <c r="P28" s="136" t="inlineStr">
        <is>
          <t>Total Current Assets</t>
        </is>
      </c>
      <c r="Q28" s="140" t="n">
        <v>15254</v>
      </c>
      <c r="S28" s="117" t="inlineStr">
        <is>
          <t>Receivables &amp; Loans - Long-Term</t>
        </is>
      </c>
      <c r="T28" s="118" t="n">
        <v>128.17</v>
      </c>
      <c r="V28" s="117" t="inlineStr">
        <is>
          <t>Property, Plant &amp; Equipment - Net - Total</t>
        </is>
      </c>
      <c r="W28" s="118" t="n">
        <v>1822.3</v>
      </c>
    </row>
    <row r="29">
      <c r="A29" s="141" t="inlineStr">
        <is>
          <t>Total Current Assets</t>
        </is>
      </c>
      <c r="B29" s="142" t="n">
        <v>2567.9</v>
      </c>
      <c r="C29" s="142" t="n">
        <v>2265.7</v>
      </c>
      <c r="D29" s="142" t="n">
        <v>2524.9</v>
      </c>
      <c r="E29" s="142" t="n">
        <v>1902</v>
      </c>
      <c r="F29" s="142" t="n">
        <v>1696.6</v>
      </c>
      <c r="G29" s="155" t="n"/>
      <c r="H29" s="155" t="n"/>
      <c r="J29" s="115" t="inlineStr">
        <is>
          <t>Non-Current Assets</t>
        </is>
      </c>
      <c r="K29" s="116" t="n"/>
      <c r="M29" s="108" t="inlineStr">
        <is>
          <t>Property, Plant &amp; Equipment - excluding Assets Leased Out - Net - Total</t>
        </is>
      </c>
      <c r="N29" s="118" t="n">
        <v>2081.52</v>
      </c>
      <c r="P29" s="115" t="inlineStr">
        <is>
          <t>Non-Current Assets</t>
        </is>
      </c>
      <c r="Q29" s="116" t="n"/>
      <c r="S29" s="108" t="inlineStr">
        <is>
          <t>Loans - Long-Term</t>
        </is>
      </c>
      <c r="T29" s="118" t="n">
        <v>128.17</v>
      </c>
      <c r="V29" s="108" t="inlineStr">
        <is>
          <t>Property, Plant &amp; Equipment - excluding Assets Leased Out - Net - Total</t>
        </is>
      </c>
      <c r="W29" s="118" t="n">
        <v>1822.3</v>
      </c>
    </row>
    <row r="30">
      <c r="A30" s="129" t="inlineStr">
        <is>
          <t>Non-Current Assets</t>
        </is>
      </c>
      <c r="B30" s="130" t="n"/>
      <c r="C30" s="130" t="n"/>
      <c r="D30" s="130" t="n"/>
      <c r="E30" s="130" t="n"/>
      <c r="F30" s="130" t="n"/>
      <c r="G30" s="151" t="n"/>
      <c r="H30" s="151" t="n"/>
      <c r="J30" s="117" t="inlineStr">
        <is>
          <t>Property, Plant &amp; Equipment - Net - Total</t>
        </is>
      </c>
      <c r="K30" s="134" t="n">
        <v>10657</v>
      </c>
      <c r="M30" s="108" t="inlineStr">
        <is>
          <t>Property, Plant &amp; Equipment - Gross - Total</t>
        </is>
      </c>
      <c r="N30" s="118" t="n">
        <v>3561.83</v>
      </c>
      <c r="P30" s="117" t="inlineStr">
        <is>
          <t>Investments in Associates, Joint Ventures and Unconsolidated Subsidiaries</t>
        </is>
      </c>
      <c r="Q30" s="118" t="n">
        <v>502</v>
      </c>
      <c r="S30" s="117" t="inlineStr">
        <is>
          <t>Property, Plant &amp; Equipment - Net - Total</t>
        </is>
      </c>
      <c r="T30" s="134" t="n">
        <v>12168.49</v>
      </c>
      <c r="V30" s="108" t="inlineStr">
        <is>
          <t>Property, Plant &amp; Equipment - Gross - Total</t>
        </is>
      </c>
      <c r="W30" s="118" t="n">
        <v>3452.44</v>
      </c>
    </row>
    <row r="31">
      <c r="A31" s="131" t="inlineStr">
        <is>
          <t>Investments - Long-Term</t>
        </is>
      </c>
      <c r="B31" s="135" t="n">
        <v>33.7</v>
      </c>
      <c r="C31" s="135" t="n">
        <v>31.3</v>
      </c>
      <c r="D31" s="135" t="n">
        <v>31.3</v>
      </c>
      <c r="E31" s="135" t="n">
        <v>31.8</v>
      </c>
      <c r="F31" s="135" t="n">
        <v>34.1</v>
      </c>
      <c r="G31" s="152" t="n"/>
      <c r="H31" s="152" t="n"/>
      <c r="J31" s="108" t="inlineStr">
        <is>
          <t>Property, Plant &amp; Equipment - excluding Assets Leased Out - Net - Total</t>
        </is>
      </c>
      <c r="K31" s="134" t="n">
        <v>10657</v>
      </c>
      <c r="M31" s="108" t="inlineStr">
        <is>
          <t>Property, Plant &amp; Equipment - excluding Assets Leased Out - Gross</t>
        </is>
      </c>
      <c r="N31" s="118" t="n">
        <v>3561.83</v>
      </c>
      <c r="P31" s="117" t="inlineStr">
        <is>
          <t>Property, Plant &amp; Equipment - Net - Total</t>
        </is>
      </c>
      <c r="Q31" s="134" t="n">
        <v>26408</v>
      </c>
      <c r="S31" s="108" t="inlineStr">
        <is>
          <t>Property, Plant &amp; Equipment - excluding Assets Leased Out - Net - Total</t>
        </is>
      </c>
      <c r="T31" s="134" t="n">
        <v>12168.49</v>
      </c>
      <c r="V31" s="108" t="inlineStr">
        <is>
          <t>Property, Plant &amp; Equipment - excluding Assets Leased Out - Gross</t>
        </is>
      </c>
      <c r="W31" s="118" t="n">
        <v>3452.44</v>
      </c>
    </row>
    <row r="32">
      <c r="A32" s="133" t="inlineStr">
        <is>
          <t>Investments - Available for Sale/Held to Maturity - Long-Term</t>
        </is>
      </c>
      <c r="B32" s="135" t="n">
        <v>33.7</v>
      </c>
      <c r="C32" s="135" t="n">
        <v>31.3</v>
      </c>
      <c r="D32" s="135" t="n">
        <v>31.3</v>
      </c>
      <c r="E32" s="135" t="n">
        <v>31.8</v>
      </c>
      <c r="F32" s="135" t="n">
        <v>34.1</v>
      </c>
      <c r="G32" s="152" t="n"/>
      <c r="H32" s="152" t="n"/>
      <c r="J32" s="108" t="inlineStr">
        <is>
          <t>Property, Plant &amp; Equipment - Gross - Total</t>
        </is>
      </c>
      <c r="K32" s="134" t="n">
        <v>15697</v>
      </c>
      <c r="M32" s="108" t="inlineStr">
        <is>
          <t>Land &amp; Buildings - Gross</t>
        </is>
      </c>
      <c r="N32" s="118" t="n">
        <v>521.4400000000001</v>
      </c>
      <c r="P32" s="108" t="inlineStr">
        <is>
          <t>Property, Plant &amp; Equipment - excluding Assets Leased Out - Net - Total</t>
        </is>
      </c>
      <c r="Q32" s="134" t="n">
        <v>26408</v>
      </c>
      <c r="S32" s="108" t="inlineStr">
        <is>
          <t>Land &amp; Buildings - Net</t>
        </is>
      </c>
      <c r="T32" s="118" t="n">
        <v>4962.54</v>
      </c>
      <c r="V32" s="108" t="inlineStr">
        <is>
          <t>Land &amp; Buildings - Gross</t>
        </is>
      </c>
      <c r="W32" s="118" t="n">
        <v>677.42</v>
      </c>
    </row>
    <row r="33">
      <c r="A33" s="131" t="inlineStr">
        <is>
          <t>Property, Plant &amp; Equipment - Net - Total</t>
        </is>
      </c>
      <c r="B33" s="132" t="n">
        <v>8670.1</v>
      </c>
      <c r="C33" s="132" t="n">
        <v>8987.9</v>
      </c>
      <c r="D33" s="132" t="n">
        <v>6729.4</v>
      </c>
      <c r="E33" s="132" t="n">
        <v>6623.9</v>
      </c>
      <c r="F33" s="132" t="n">
        <v>6238.2</v>
      </c>
      <c r="G33" s="153" t="n"/>
      <c r="H33" s="153" t="n"/>
      <c r="J33" s="108" t="inlineStr">
        <is>
          <t>Property, Plant &amp; Equipment - excluding Assets Leased Out - Gross</t>
        </is>
      </c>
      <c r="K33" s="134" t="n">
        <v>15697</v>
      </c>
      <c r="M33" s="108" t="inlineStr">
        <is>
          <t>Land/Improvements - Gross</t>
        </is>
      </c>
      <c r="N33" s="118" t="n">
        <v>229.55</v>
      </c>
      <c r="P33" s="108" t="inlineStr">
        <is>
          <t>Property, Plant &amp; Equipment - Gross - Total</t>
        </is>
      </c>
      <c r="Q33" s="134" t="n">
        <v>44016</v>
      </c>
      <c r="S33" s="108" t="inlineStr">
        <is>
          <t>Land/Improvements - Net</t>
        </is>
      </c>
      <c r="T33" s="118" t="n">
        <v>3631</v>
      </c>
      <c r="V33" s="108" t="inlineStr">
        <is>
          <t>Land/Improvements - Gross</t>
        </is>
      </c>
      <c r="W33" s="118" t="n">
        <v>364.55</v>
      </c>
    </row>
    <row r="34">
      <c r="A34" s="133" t="inlineStr">
        <is>
          <t>Property, Plant &amp; Equipment - excluding Assets Leased Out - Net - Total</t>
        </is>
      </c>
      <c r="B34" s="132" t="n">
        <v>8443.700000000001</v>
      </c>
      <c r="C34" s="132" t="n">
        <v>8752.299999999999</v>
      </c>
      <c r="D34" s="132" t="n">
        <v>6558.1</v>
      </c>
      <c r="E34" s="132" t="n">
        <v>6458</v>
      </c>
      <c r="F34" s="132" t="n">
        <v>6055.7</v>
      </c>
      <c r="G34" s="153" t="n"/>
      <c r="H34" s="153" t="n"/>
      <c r="J34" s="108" t="inlineStr">
        <is>
          <t>Land &amp; Buildings - Gross</t>
        </is>
      </c>
      <c r="K34" s="118" t="n">
        <v>2122</v>
      </c>
      <c r="M34" s="108" t="inlineStr">
        <is>
          <t>Buildings - Gross</t>
        </is>
      </c>
      <c r="N34" s="118" t="n">
        <v>291.89</v>
      </c>
      <c r="P34" s="108" t="inlineStr">
        <is>
          <t>Property, Plant &amp; Equipment - excluding Assets Leased Out - Gross</t>
        </is>
      </c>
      <c r="Q34" s="134" t="n">
        <v>44016</v>
      </c>
      <c r="S34" s="108" t="inlineStr">
        <is>
          <t>Buildings - Net</t>
        </is>
      </c>
      <c r="T34" s="118" t="n">
        <v>1331.54</v>
      </c>
      <c r="V34" s="108" t="inlineStr">
        <is>
          <t>Buildings - Gross</t>
        </is>
      </c>
      <c r="W34" s="118" t="n">
        <v>312.87</v>
      </c>
    </row>
    <row r="35">
      <c r="A35" s="133" t="inlineStr">
        <is>
          <t>Land &amp; Buildings - Net</t>
        </is>
      </c>
      <c r="B35" s="132" t="n">
        <v>6168.4</v>
      </c>
      <c r="C35" s="132" t="n">
        <v>6109.2</v>
      </c>
      <c r="D35" s="132" t="n">
        <v>4497</v>
      </c>
      <c r="E35" s="132" t="n">
        <v>4214.4</v>
      </c>
      <c r="F35" s="132" t="n">
        <v>3814.6</v>
      </c>
      <c r="G35" s="153" t="n"/>
      <c r="H35" s="153" t="n"/>
      <c r="J35" s="108" t="inlineStr">
        <is>
          <t>Land/Improvements - Gross</t>
        </is>
      </c>
      <c r="K35" s="118" t="n">
        <v>1929</v>
      </c>
      <c r="M35" s="108" t="inlineStr">
        <is>
          <t>Plant, Machinery &amp; Equipment - Gross</t>
        </is>
      </c>
      <c r="N35" s="118" t="n">
        <v>2050.25</v>
      </c>
      <c r="P35" s="108" t="inlineStr">
        <is>
          <t>Land &amp; Buildings - Gross</t>
        </is>
      </c>
      <c r="Q35" s="134" t="n">
        <v>12988</v>
      </c>
      <c r="S35" s="108" t="inlineStr">
        <is>
          <t>Plant, Machinery &amp; Equipment - Net</t>
        </is>
      </c>
      <c r="T35" s="118" t="n">
        <v>4739.22</v>
      </c>
      <c r="V35" s="108" t="inlineStr">
        <is>
          <t>Plant, Machinery &amp; Equipment - Gross</t>
        </is>
      </c>
      <c r="W35" s="118" t="n">
        <v>2567.54</v>
      </c>
    </row>
    <row r="36">
      <c r="A36" s="133" t="inlineStr">
        <is>
          <t>Land/Improvements - Net</t>
        </is>
      </c>
      <c r="B36" s="132" t="n">
        <v>5887.4</v>
      </c>
      <c r="C36" s="132" t="n">
        <v>5804.8</v>
      </c>
      <c r="D36" s="132" t="n">
        <v>4292.6</v>
      </c>
      <c r="E36" s="132" t="n">
        <v>3991.1</v>
      </c>
      <c r="F36" s="132" t="n">
        <v>3631.7</v>
      </c>
      <c r="G36" s="153" t="n"/>
      <c r="H36" s="153" t="n"/>
      <c r="J36" s="108" t="inlineStr">
        <is>
          <t>Buildings - Gross</t>
        </is>
      </c>
      <c r="K36" s="118" t="n">
        <v>193</v>
      </c>
      <c r="M36" s="108" t="inlineStr">
        <is>
          <t>Construction in Progress - Gross</t>
        </is>
      </c>
      <c r="N36" s="119" t="n">
        <v>90.06999999999999</v>
      </c>
      <c r="P36" s="108" t="inlineStr">
        <is>
          <t>Plant, Machinery &amp; Equipment - Gross</t>
        </is>
      </c>
      <c r="Q36" s="134" t="n">
        <v>25842</v>
      </c>
      <c r="S36" s="108" t="inlineStr">
        <is>
          <t>Construction in Progress - Net</t>
        </is>
      </c>
      <c r="T36" s="118" t="n">
        <v>1199.72</v>
      </c>
      <c r="V36" s="108" t="inlineStr">
        <is>
          <t>Construction in Progress - Gross</t>
        </is>
      </c>
      <c r="W36" s="118" t="n">
        <v>178.17</v>
      </c>
    </row>
    <row r="37">
      <c r="A37" s="133" t="inlineStr">
        <is>
          <t>Buildings - Net</t>
        </is>
      </c>
      <c r="B37" s="132" t="n">
        <v>281</v>
      </c>
      <c r="C37" s="132" t="n">
        <v>304.4</v>
      </c>
      <c r="D37" s="132" t="n">
        <v>204.4</v>
      </c>
      <c r="E37" s="132" t="n">
        <v>223.3</v>
      </c>
      <c r="F37" s="132" t="n">
        <v>182.9</v>
      </c>
      <c r="G37" s="153" t="n"/>
      <c r="H37" s="153" t="n"/>
      <c r="J37" s="108" t="inlineStr">
        <is>
          <t>Plant, Machinery &amp; Equipment - Gross</t>
        </is>
      </c>
      <c r="K37" s="118" t="n">
        <v>5992</v>
      </c>
      <c r="M37" s="108" t="inlineStr">
        <is>
          <t>Right of Use Tangible Assets - Total - Gross</t>
        </is>
      </c>
      <c r="N37" s="119" t="n">
        <v>52.59</v>
      </c>
      <c r="P37" s="108" t="inlineStr">
        <is>
          <t>Construction in Progress - Gross</t>
        </is>
      </c>
      <c r="Q37" s="118" t="n">
        <v>2974</v>
      </c>
      <c r="S37" s="108" t="inlineStr">
        <is>
          <t>Right of Use Tangible Assets - Total - Net</t>
        </is>
      </c>
      <c r="T37" s="118" t="n">
        <v>1114.39</v>
      </c>
      <c r="V37" s="108" t="inlineStr">
        <is>
          <t>Right of Use Tangible Assets - Total - Gross</t>
        </is>
      </c>
      <c r="W37" s="119" t="n">
        <v>29.31</v>
      </c>
    </row>
    <row r="38">
      <c r="A38" s="133" t="inlineStr">
        <is>
          <t>Plant, Machinery &amp; Equipment - Net</t>
        </is>
      </c>
      <c r="B38" s="132" t="n">
        <v>7576.3</v>
      </c>
      <c r="C38" s="132" t="n">
        <v>7717.2</v>
      </c>
      <c r="D38" s="132" t="n">
        <v>6785.5</v>
      </c>
      <c r="E38" s="132" t="n">
        <v>6454.2</v>
      </c>
      <c r="F38" s="132" t="n">
        <v>6109.2</v>
      </c>
      <c r="G38" s="153" t="n"/>
      <c r="H38" s="153" t="n"/>
      <c r="J38" s="108" t="inlineStr">
        <is>
          <t>Construction in Progress - Gross</t>
        </is>
      </c>
      <c r="K38" s="118" t="n">
        <v>319</v>
      </c>
      <c r="M38" s="108" t="inlineStr">
        <is>
          <t>Right of Use Tangible Assets - Operating Lease - Gross</t>
        </is>
      </c>
      <c r="N38" s="119" t="n">
        <v>52.59</v>
      </c>
      <c r="P38" s="108" t="inlineStr">
        <is>
          <t>Right of Use Tangible Assets - Total - Gross</t>
        </is>
      </c>
      <c r="Q38" s="118" t="n">
        <v>2212</v>
      </c>
      <c r="S38" s="108" t="inlineStr">
        <is>
          <t>Right of Use Tangible Assets - Capital/Finance Lease - Net</t>
        </is>
      </c>
      <c r="T38" s="118" t="n">
        <v>1114.39</v>
      </c>
      <c r="V38" s="108" t="inlineStr">
        <is>
          <t>Right of Use Tangible Assets - Operating Lease - Gross</t>
        </is>
      </c>
      <c r="W38" s="119" t="n">
        <v>29.31</v>
      </c>
    </row>
    <row r="39">
      <c r="A39" s="133" t="inlineStr">
        <is>
          <t>Construction in Progress - Net</t>
        </is>
      </c>
      <c r="B39" s="132" t="n">
        <v>498.3</v>
      </c>
      <c r="C39" s="132" t="n">
        <v>400.1</v>
      </c>
      <c r="D39" s="132" t="n">
        <v>319.4</v>
      </c>
      <c r="E39" s="132" t="n">
        <v>378.7</v>
      </c>
      <c r="F39" s="132" t="n">
        <v>301.8</v>
      </c>
      <c r="G39" s="153" t="n"/>
      <c r="H39" s="153" t="n"/>
      <c r="J39" s="108" t="inlineStr">
        <is>
          <t>Right of Use Tangible Assets - Total - Gross</t>
        </is>
      </c>
      <c r="K39" s="118" t="n">
        <v>735</v>
      </c>
      <c r="M39" s="108" t="inlineStr">
        <is>
          <t>Property, Plant &amp; Equipment - Other - Gross</t>
        </is>
      </c>
      <c r="N39" s="118" t="n">
        <v>847.47</v>
      </c>
      <c r="P39" s="108" t="inlineStr">
        <is>
          <t>Right of Use Tangible Assets - Operating Lease - Gross</t>
        </is>
      </c>
      <c r="Q39" s="118" t="n">
        <v>1471</v>
      </c>
      <c r="S39" s="108" t="inlineStr">
        <is>
          <t>Property, Plant &amp; Equipment - Other - Net</t>
        </is>
      </c>
      <c r="T39" s="118" t="n">
        <v>152.62</v>
      </c>
      <c r="V39" s="108" t="inlineStr">
        <is>
          <t>Property, Plant &amp; Equipment - Accumulated Depreciation &amp; Impairment - Total</t>
        </is>
      </c>
      <c r="W39" s="118" t="n">
        <v>1630.15</v>
      </c>
    </row>
    <row r="40">
      <c r="A40" s="133" t="inlineStr">
        <is>
          <t>Right of Use Tangible Assets - Total - Net</t>
        </is>
      </c>
      <c r="B40" s="132" t="n">
        <v>556.8</v>
      </c>
      <c r="C40" s="132" t="n">
        <v>581.1</v>
      </c>
      <c r="D40" s="132" t="n">
        <v>574</v>
      </c>
      <c r="E40" s="132" t="n">
        <v>665.8</v>
      </c>
      <c r="F40" s="132" t="n">
        <v>727.7</v>
      </c>
      <c r="G40" s="153" t="n"/>
      <c r="H40" s="153" t="n"/>
      <c r="J40" s="108" t="inlineStr">
        <is>
          <t>Right of Use Tangible Assets - Operating Lease - Gross</t>
        </is>
      </c>
      <c r="K40" s="118" t="n">
        <v>367</v>
      </c>
      <c r="M40" s="108" t="inlineStr">
        <is>
          <t>Property, Plant &amp; Equipment - Accumulated Depreciation &amp; Impairment - Total</t>
        </is>
      </c>
      <c r="N40" s="118" t="n">
        <v>1480.31</v>
      </c>
      <c r="P40" s="108" t="inlineStr">
        <is>
          <t>Right of Use Tangible Assets - Capital/Finance Lease - Gross</t>
        </is>
      </c>
      <c r="Q40" s="118" t="n">
        <v>741</v>
      </c>
      <c r="S40" s="117" t="inlineStr">
        <is>
          <t>Other Non-Current Assets - Total</t>
        </is>
      </c>
      <c r="T40" s="118" t="n">
        <v>536.48</v>
      </c>
      <c r="V40" s="108" t="inlineStr">
        <is>
          <t>Property, Plant &amp; Equipment - excluding Assets Leased Out - Accumulated Depreciation &amp; Impairment - Total</t>
        </is>
      </c>
      <c r="W40" s="118" t="n">
        <v>1630.15</v>
      </c>
    </row>
    <row r="41">
      <c r="A41" s="133" t="inlineStr">
        <is>
          <t>Right of Use Tangible Assets - Operating Lease - Net</t>
        </is>
      </c>
      <c r="B41" s="132" t="n">
        <v>521.5</v>
      </c>
      <c r="C41" s="132" t="n">
        <v>526.4</v>
      </c>
      <c r="D41" s="132" t="n">
        <v>511.7</v>
      </c>
      <c r="E41" s="132" t="n">
        <v>572.6</v>
      </c>
      <c r="F41" s="132" t="n">
        <v>691.4</v>
      </c>
      <c r="G41" s="153" t="n"/>
      <c r="H41" s="153" t="n"/>
      <c r="J41" s="108" t="inlineStr">
        <is>
          <t>Right of Use Tangible Assets - Capital/Finance Lease - Gross</t>
        </is>
      </c>
      <c r="K41" s="118" t="n">
        <v>368</v>
      </c>
      <c r="M41" s="108" t="inlineStr">
        <is>
          <t>Property, Plant &amp; Equipment - excluding Assets Leased Out - Accumulated Depreciation &amp; Impairment - Total</t>
        </is>
      </c>
      <c r="N41" s="118" t="n">
        <v>1480.31</v>
      </c>
      <c r="P41" s="108" t="inlineStr">
        <is>
          <t>Property, Plant &amp; Equipment - Accumulated Depreciation &amp; Impairment - Total</t>
        </is>
      </c>
      <c r="Q41" s="134" t="n">
        <v>17608</v>
      </c>
      <c r="S41" s="108" t="inlineStr">
        <is>
          <t>Deferred Tax - Asset - Long-Term</t>
        </is>
      </c>
      <c r="T41" s="118" t="n">
        <v>536.48</v>
      </c>
      <c r="V41" s="117" t="inlineStr">
        <is>
          <t>Other Non-Current Assets - Total</t>
        </is>
      </c>
      <c r="W41" s="119" t="n">
        <v>37.8</v>
      </c>
    </row>
    <row r="42">
      <c r="A42" s="133" t="inlineStr">
        <is>
          <t>Right of Use Tangible Assets - Capital/Finance Lease - Net</t>
        </is>
      </c>
      <c r="B42" s="135" t="n">
        <v>35.3</v>
      </c>
      <c r="C42" s="135" t="n">
        <v>54.7</v>
      </c>
      <c r="D42" s="135" t="n">
        <v>62.3</v>
      </c>
      <c r="E42" s="135" t="n">
        <v>93.2</v>
      </c>
      <c r="F42" s="135" t="n">
        <v>36.3</v>
      </c>
      <c r="G42" s="152" t="n"/>
      <c r="H42" s="152" t="n"/>
      <c r="J42" s="108" t="inlineStr">
        <is>
          <t>Property, Plant &amp; Equipment - Other - Gross</t>
        </is>
      </c>
      <c r="K42" s="118" t="n">
        <v>6529</v>
      </c>
      <c r="M42" s="117" t="inlineStr">
        <is>
          <t>Intangible Assets - Total - Net</t>
        </is>
      </c>
      <c r="N42" s="118" t="n">
        <v>552.35</v>
      </c>
      <c r="P42" s="108" t="inlineStr">
        <is>
          <t>Property, Plant &amp; Equipment - excluding Assets Leased Out - Accumulated Depreciation &amp; Impairment - Total</t>
        </is>
      </c>
      <c r="Q42" s="134" t="n">
        <v>17608</v>
      </c>
      <c r="S42" s="117" t="inlineStr">
        <is>
          <t>Intangible Assets - Total - Net</t>
        </is>
      </c>
      <c r="T42" s="118" t="n">
        <v>9159.82</v>
      </c>
      <c r="V42" s="108" t="inlineStr">
        <is>
          <t>Other Non-Current Assets</t>
        </is>
      </c>
      <c r="W42" s="119" t="n">
        <v>37.8</v>
      </c>
    </row>
    <row r="43">
      <c r="A43" s="133" t="inlineStr">
        <is>
          <t>Property, Plant &amp; Equipment - Other - Net</t>
        </is>
      </c>
      <c r="B43" s="143" t="n">
        <v>-6356.1</v>
      </c>
      <c r="C43" s="143" t="n">
        <v>-6055.3</v>
      </c>
      <c r="D43" s="143" t="n">
        <v>-5617.8</v>
      </c>
      <c r="E43" s="143" t="n">
        <v>-5255.1</v>
      </c>
      <c r="F43" s="143" t="n">
        <v>-4897.6</v>
      </c>
      <c r="G43" s="157" t="n"/>
      <c r="H43" s="157" t="n"/>
      <c r="J43" s="108" t="inlineStr">
        <is>
          <t>Mining/Exploration Specific Assets - Gross</t>
        </is>
      </c>
      <c r="K43" s="118" t="n">
        <v>6529</v>
      </c>
      <c r="M43" s="108" t="inlineStr">
        <is>
          <t>Goodwill/Cost in Excess of Assets Purchased - Net</t>
        </is>
      </c>
      <c r="N43" s="118" t="n">
        <v>519.67</v>
      </c>
      <c r="P43" s="117" t="inlineStr">
        <is>
          <t>Other Non-Current Assets - Total</t>
        </is>
      </c>
      <c r="Q43" s="118" t="n">
        <v>1018</v>
      </c>
      <c r="S43" s="108" t="inlineStr">
        <is>
          <t>Goodwill/Cost in Excess of Assets Purchased - Net</t>
        </is>
      </c>
      <c r="T43" s="118" t="n">
        <v>7169.51</v>
      </c>
      <c r="V43" s="117" t="inlineStr">
        <is>
          <t>Intangible Assets - Total - Net</t>
        </is>
      </c>
      <c r="W43" s="118" t="n">
        <v>595.75</v>
      </c>
    </row>
    <row r="44">
      <c r="A44" s="133" t="inlineStr">
        <is>
          <t>Property, Plant &amp; Equipment - Gross - Total</t>
        </is>
      </c>
      <c r="B44" s="138" t="n">
        <v>15178.9</v>
      </c>
      <c r="C44" s="138" t="n">
        <v>15190</v>
      </c>
      <c r="D44" s="138" t="n">
        <v>12471.6</v>
      </c>
      <c r="E44" s="138" t="n">
        <v>11971.8</v>
      </c>
      <c r="F44" s="138" t="n">
        <v>11215.5</v>
      </c>
      <c r="G44" s="154" t="n"/>
      <c r="H44" s="154" t="n"/>
      <c r="J44" s="108" t="inlineStr">
        <is>
          <t>Property, Plant &amp; Equipment - Accumulated Depreciation &amp; Impairment - Total</t>
        </is>
      </c>
      <c r="K44" s="118" t="n">
        <v>5040</v>
      </c>
      <c r="M44" s="108" t="inlineStr">
        <is>
          <t>Intangible Assets - excluding Goodwill - Net - Total</t>
        </is>
      </c>
      <c r="N44" s="119" t="n">
        <v>32.68</v>
      </c>
      <c r="P44" s="108" t="inlineStr">
        <is>
          <t>Other Non-Current Assets</t>
        </is>
      </c>
      <c r="Q44" s="118" t="n">
        <v>1018</v>
      </c>
      <c r="S44" s="108" t="inlineStr">
        <is>
          <t>Intangible Assets - excluding Goodwill - Net - Total</t>
        </is>
      </c>
      <c r="T44" s="118" t="n">
        <v>1990.31</v>
      </c>
      <c r="V44" s="108" t="inlineStr">
        <is>
          <t>Goodwill/Cost in Excess of Assets Purchased - Net</t>
        </is>
      </c>
      <c r="W44" s="118" t="n">
        <v>469.89</v>
      </c>
    </row>
    <row r="45">
      <c r="A45" s="133" t="inlineStr">
        <is>
          <t>Property, Plant &amp; Equipment - excluding Assets Leased Out - Gross</t>
        </is>
      </c>
      <c r="B45" s="138" t="n">
        <v>15178.9</v>
      </c>
      <c r="C45" s="138" t="n">
        <v>15190</v>
      </c>
      <c r="D45" s="138" t="n">
        <v>12471.6</v>
      </c>
      <c r="E45" s="138" t="n">
        <v>11971.8</v>
      </c>
      <c r="F45" s="138" t="n">
        <v>11215.5</v>
      </c>
      <c r="G45" s="154" t="n"/>
      <c r="H45" s="154" t="n"/>
      <c r="J45" s="108" t="inlineStr">
        <is>
          <t>Property, Plant &amp; Equipment - excluding Assets Leased Out - Accumulated Depreciation &amp; Impairment - Total</t>
        </is>
      </c>
      <c r="K45" s="118" t="n">
        <v>5040</v>
      </c>
      <c r="M45" s="108" t="inlineStr">
        <is>
          <t>Brands, Patents, Trademarks, Marketing &amp; Artistic Intangibles - Net</t>
        </is>
      </c>
      <c r="N45" s="119" t="n">
        <v>6.8</v>
      </c>
      <c r="P45" s="117" t="inlineStr">
        <is>
          <t>Intangible Assets - Total - Net</t>
        </is>
      </c>
      <c r="Q45" s="134" t="n">
        <v>15147</v>
      </c>
      <c r="S45" s="136" t="inlineStr">
        <is>
          <t>Total Non-Current Assets</t>
        </is>
      </c>
      <c r="T45" s="140" t="n">
        <v>22868.74</v>
      </c>
      <c r="V45" s="108" t="inlineStr">
        <is>
          <t>Intangible Assets - excluding Goodwill - Net - Total</t>
        </is>
      </c>
      <c r="W45" s="118" t="n">
        <v>125.86</v>
      </c>
    </row>
    <row r="46">
      <c r="A46" s="133" t="inlineStr">
        <is>
          <t>Land &amp; Buildings - Gross</t>
        </is>
      </c>
      <c r="B46" s="132" t="n">
        <v>6168.4</v>
      </c>
      <c r="C46" s="132" t="n">
        <v>6109.2</v>
      </c>
      <c r="D46" s="132" t="n">
        <v>4497</v>
      </c>
      <c r="E46" s="132" t="n">
        <v>4214.4</v>
      </c>
      <c r="F46" s="132" t="n">
        <v>3814.6</v>
      </c>
      <c r="G46" s="153" t="n"/>
      <c r="H46" s="153" t="n"/>
      <c r="J46" s="117" t="inlineStr">
        <is>
          <t>Assets Held for Sale/Discontinued Operations - Long-Term</t>
        </is>
      </c>
      <c r="K46" s="134" t="n">
        <v>0</v>
      </c>
      <c r="M46" s="108" t="inlineStr">
        <is>
          <t>Intangible Assets - Other - Net</t>
        </is>
      </c>
      <c r="N46" s="119" t="n">
        <v>25.88</v>
      </c>
      <c r="P46" s="108" t="inlineStr">
        <is>
          <t>Goodwill/Cost in Excess of Assets Purchased - Net</t>
        </is>
      </c>
      <c r="Q46" s="134" t="n">
        <v>13099</v>
      </c>
      <c r="S46" s="115" t="inlineStr">
        <is>
          <t>Total Assets</t>
        </is>
      </c>
      <c r="T46" s="116" t="n"/>
      <c r="V46" s="108" t="inlineStr">
        <is>
          <t>Brands, Patents, Trademarks, Marketing &amp; Artistic Intangibles - Net</t>
        </is>
      </c>
      <c r="W46" s="119" t="n">
        <v>1.4</v>
      </c>
    </row>
    <row r="47">
      <c r="A47" s="133" t="inlineStr">
        <is>
          <t>Land/Improvements - Gross</t>
        </is>
      </c>
      <c r="B47" s="132" t="n">
        <v>5887.4</v>
      </c>
      <c r="C47" s="132" t="n">
        <v>5804.8</v>
      </c>
      <c r="D47" s="132" t="n">
        <v>4292.6</v>
      </c>
      <c r="E47" s="132" t="n">
        <v>3991.1</v>
      </c>
      <c r="F47" s="132" t="n">
        <v>3631.7</v>
      </c>
      <c r="G47" s="153" t="n"/>
      <c r="H47" s="153" t="n"/>
      <c r="J47" s="117" t="inlineStr">
        <is>
          <t>Other Non-Current Assets - Total</t>
        </is>
      </c>
      <c r="K47" s="118" t="n">
        <v>788</v>
      </c>
      <c r="M47" s="136" t="inlineStr">
        <is>
          <t>Total Non-Current Assets</t>
        </is>
      </c>
      <c r="N47" s="137" t="n">
        <v>2689.19</v>
      </c>
      <c r="P47" s="108" t="inlineStr">
        <is>
          <t>Intangible Assets - excluding Goodwill - Net - Total</t>
        </is>
      </c>
      <c r="Q47" s="118" t="n">
        <v>2048</v>
      </c>
      <c r="S47" s="136" t="inlineStr">
        <is>
          <t>Total Assets</t>
        </is>
      </c>
      <c r="T47" s="140" t="n">
        <v>28965.51</v>
      </c>
      <c r="V47" s="108" t="inlineStr">
        <is>
          <t>Licenses, Franchises, Copyrights, Property Rights, Prototypes, Contract Based, Models &amp; Designs - Net</t>
        </is>
      </c>
      <c r="W47" s="118" t="n">
        <v>108.06</v>
      </c>
    </row>
    <row r="48">
      <c r="A48" s="133" t="inlineStr">
        <is>
          <t>Buildings - Gross</t>
        </is>
      </c>
      <c r="B48" s="132" t="n">
        <v>281</v>
      </c>
      <c r="C48" s="132" t="n">
        <v>304.4</v>
      </c>
      <c r="D48" s="132" t="n">
        <v>204.4</v>
      </c>
      <c r="E48" s="132" t="n">
        <v>223.3</v>
      </c>
      <c r="F48" s="132" t="n">
        <v>182.9</v>
      </c>
      <c r="G48" s="153" t="n"/>
      <c r="H48" s="153" t="n"/>
      <c r="J48" s="108" t="inlineStr">
        <is>
          <t>Other Non-Current Assets</t>
        </is>
      </c>
      <c r="K48" s="118" t="n">
        <v>788</v>
      </c>
      <c r="M48" s="115" t="inlineStr">
        <is>
          <t>Total Assets</t>
        </is>
      </c>
      <c r="N48" s="116" t="n"/>
      <c r="P48" s="136" t="inlineStr">
        <is>
          <t>Total Non-Current Assets</t>
        </is>
      </c>
      <c r="Q48" s="140" t="n">
        <v>43075</v>
      </c>
      <c r="S48" s="115" t="inlineStr">
        <is>
          <t>Current Liabilities</t>
        </is>
      </c>
      <c r="T48" s="116" t="n"/>
      <c r="V48" s="108" t="inlineStr">
        <is>
          <t>Intangible Assets - Other - Net</t>
        </is>
      </c>
      <c r="W48" s="119" t="n">
        <v>16.4</v>
      </c>
    </row>
    <row r="49">
      <c r="A49" s="133" t="inlineStr">
        <is>
          <t>Plant, Machinery &amp; Equipment - Gross</t>
        </is>
      </c>
      <c r="B49" s="132" t="n">
        <v>7576.3</v>
      </c>
      <c r="C49" s="132" t="n">
        <v>7717.2</v>
      </c>
      <c r="D49" s="132" t="n">
        <v>6785.5</v>
      </c>
      <c r="E49" s="132" t="n">
        <v>6454.2</v>
      </c>
      <c r="F49" s="132" t="n">
        <v>6109.2</v>
      </c>
      <c r="G49" s="153" t="n"/>
      <c r="H49" s="153" t="n"/>
      <c r="J49" s="117" t="inlineStr">
        <is>
          <t>Intangible Assets - Total - Net</t>
        </is>
      </c>
      <c r="K49" s="118" t="n">
        <v>4073</v>
      </c>
      <c r="M49" s="136" t="inlineStr">
        <is>
          <t>Total Assets</t>
        </is>
      </c>
      <c r="N49" s="137" t="n">
        <v>3650.11</v>
      </c>
      <c r="P49" s="115" t="inlineStr">
        <is>
          <t>Total Assets</t>
        </is>
      </c>
      <c r="Q49" s="116" t="n"/>
      <c r="S49" s="117" t="inlineStr">
        <is>
          <t>Trade Accounts Payable &amp; Accruals - Short-Term</t>
        </is>
      </c>
      <c r="T49" s="118" t="n">
        <v>3477.3</v>
      </c>
      <c r="V49" s="108" t="inlineStr">
        <is>
          <t>Intangible Assets - Gross - Total</t>
        </is>
      </c>
      <c r="W49" s="118" t="n">
        <v>700.5599999999999</v>
      </c>
    </row>
    <row r="50">
      <c r="A50" s="133" t="inlineStr">
        <is>
          <t>Construction in Progress - Gross</t>
        </is>
      </c>
      <c r="B50" s="132" t="n">
        <v>498.3</v>
      </c>
      <c r="C50" s="132" t="n">
        <v>400.1</v>
      </c>
      <c r="D50" s="132" t="n">
        <v>319.4</v>
      </c>
      <c r="E50" s="132" t="n">
        <v>378.7</v>
      </c>
      <c r="F50" s="132" t="n">
        <v>301.8</v>
      </c>
      <c r="G50" s="153" t="n"/>
      <c r="H50" s="153" t="n"/>
      <c r="J50" s="108" t="inlineStr">
        <is>
          <t>Goodwill/Cost in Excess of Assets Purchased - Net</t>
        </is>
      </c>
      <c r="K50" s="118" t="n">
        <v>3614</v>
      </c>
      <c r="M50" s="115" t="inlineStr">
        <is>
          <t>Current Liabilities</t>
        </is>
      </c>
      <c r="N50" s="116" t="n"/>
      <c r="P50" s="136" t="inlineStr">
        <is>
          <t>Total Assets</t>
        </is>
      </c>
      <c r="Q50" s="140" t="n">
        <v>58329</v>
      </c>
      <c r="S50" s="108" t="inlineStr">
        <is>
          <t>Trade Accounts &amp; Trade Notes Payable - Short-Term</t>
        </is>
      </c>
      <c r="T50" s="118" t="n">
        <v>3107.89</v>
      </c>
      <c r="V50" s="108" t="inlineStr">
        <is>
          <t>Goodwill/Cost in Excess of Assets Purchased - Gross</t>
        </is>
      </c>
      <c r="W50" s="118" t="n">
        <v>469.89</v>
      </c>
    </row>
    <row r="51">
      <c r="A51" s="133" t="inlineStr">
        <is>
          <t>Right of Use Tangible Assets - Total - Gross</t>
        </is>
      </c>
      <c r="B51" s="132" t="n">
        <v>709.5</v>
      </c>
      <c r="C51" s="132" t="n">
        <v>727.9</v>
      </c>
      <c r="D51" s="132" t="n">
        <v>698.4</v>
      </c>
      <c r="E51" s="132" t="n">
        <v>758.6</v>
      </c>
      <c r="F51" s="132" t="n">
        <v>807.4</v>
      </c>
      <c r="G51" s="153" t="n"/>
      <c r="H51" s="153" t="n"/>
      <c r="J51" s="108" t="inlineStr">
        <is>
          <t>Intangible Assets - excluding Goodwill - Net - Total</t>
        </is>
      </c>
      <c r="K51" s="118" t="n">
        <v>459</v>
      </c>
      <c r="M51" s="117" t="inlineStr">
        <is>
          <t>Trade Accounts Payable &amp; Accruals - Short-Term</t>
        </is>
      </c>
      <c r="N51" s="118" t="n">
        <v>309.22</v>
      </c>
      <c r="P51" s="115" t="inlineStr">
        <is>
          <t>Current Liabilities</t>
        </is>
      </c>
      <c r="Q51" s="116" t="n"/>
      <c r="S51" s="108" t="inlineStr">
        <is>
          <t>Accrued Expenses - Short-Term</t>
        </is>
      </c>
      <c r="T51" s="118" t="n">
        <v>369.41</v>
      </c>
      <c r="V51" s="108" t="inlineStr">
        <is>
          <t>Intangible Assets - excluding Goodwill - Gross</t>
        </is>
      </c>
      <c r="W51" s="118" t="n">
        <v>230.66</v>
      </c>
    </row>
    <row r="52">
      <c r="A52" s="133" t="inlineStr">
        <is>
          <t>Right of Use Tangible Assets - Operating Lease - Gross</t>
        </is>
      </c>
      <c r="B52" s="132" t="n">
        <v>674.2</v>
      </c>
      <c r="C52" s="132" t="n">
        <v>673.2</v>
      </c>
      <c r="D52" s="132" t="n">
        <v>636.1</v>
      </c>
      <c r="E52" s="132" t="n">
        <v>665.4</v>
      </c>
      <c r="F52" s="132" t="n">
        <v>771.1</v>
      </c>
      <c r="G52" s="153" t="n"/>
      <c r="H52" s="153" t="n"/>
      <c r="J52" s="108" t="inlineStr">
        <is>
          <t>Brands, Patents, Trademarks, Marketing &amp; Artistic Intangibles - Net</t>
        </is>
      </c>
      <c r="K52" s="119" t="n">
        <v>12</v>
      </c>
      <c r="M52" s="108" t="inlineStr">
        <is>
          <t>Trade Accounts &amp; Trade Notes Payable - Short-Term</t>
        </is>
      </c>
      <c r="N52" s="118" t="n">
        <v>145.58</v>
      </c>
      <c r="P52" s="117" t="inlineStr">
        <is>
          <t>Trade Accounts Payable &amp; Accruals - Short-Term</t>
        </is>
      </c>
      <c r="Q52" s="118" t="n">
        <v>5459</v>
      </c>
      <c r="S52" s="117" t="inlineStr">
        <is>
          <t>Short-Term Debt &amp; Current Portion of Long-Term Debt</t>
        </is>
      </c>
      <c r="T52" s="118" t="n">
        <v>1454.44</v>
      </c>
      <c r="V52" s="108" t="inlineStr">
        <is>
          <t>Brands, Patents, Trademarks, Marketing &amp; Artistic Intangibles - Gross</t>
        </is>
      </c>
      <c r="W52" s="119" t="n">
        <v>2.4</v>
      </c>
    </row>
    <row r="53">
      <c r="A53" s="133" t="inlineStr">
        <is>
          <t>Right of Use Tangible Assets - Capital/Finance Lease - Gross</t>
        </is>
      </c>
      <c r="B53" s="135" t="n">
        <v>35.3</v>
      </c>
      <c r="C53" s="135" t="n">
        <v>54.7</v>
      </c>
      <c r="D53" s="135" t="n">
        <v>62.3</v>
      </c>
      <c r="E53" s="135" t="n">
        <v>93.2</v>
      </c>
      <c r="F53" s="135" t="n">
        <v>36.3</v>
      </c>
      <c r="G53" s="152" t="n"/>
      <c r="H53" s="152" t="n"/>
      <c r="J53" s="108" t="inlineStr">
        <is>
          <t>Licenses, Franchises, Copyrights, Property Rights, Prototypes, Contract Based, Models &amp; Designs - Net</t>
        </is>
      </c>
      <c r="K53" s="119" t="n">
        <v>44</v>
      </c>
      <c r="M53" s="108" t="inlineStr">
        <is>
          <t>Accrued Expenses - Short-Term</t>
        </is>
      </c>
      <c r="N53" s="118" t="n">
        <v>163.64</v>
      </c>
      <c r="P53" s="108" t="inlineStr">
        <is>
          <t>Trade Accounts &amp; Trade Notes Payable - Short-Term</t>
        </is>
      </c>
      <c r="Q53" s="118" t="n">
        <v>3263</v>
      </c>
      <c r="S53" s="108" t="inlineStr">
        <is>
          <t>Current Portion of Long-Term Debt including Capitalized Leases</t>
        </is>
      </c>
      <c r="T53" s="118" t="n">
        <v>1454.44</v>
      </c>
      <c r="V53" s="108" t="inlineStr">
        <is>
          <t>Licenses, Franchises, Copyrights, Property Rights, Prototypes, Contract Based, Models &amp; Designs - Gross</t>
        </is>
      </c>
      <c r="W53" s="118" t="n">
        <v>197.5</v>
      </c>
    </row>
    <row r="54">
      <c r="A54" s="133" t="inlineStr">
        <is>
          <t>Property, Plant &amp; Equipment - Other - Gross</t>
        </is>
      </c>
      <c r="B54" s="132" t="n">
        <v>226.4</v>
      </c>
      <c r="C54" s="132" t="n">
        <v>235.6</v>
      </c>
      <c r="D54" s="132" t="n">
        <v>171.3</v>
      </c>
      <c r="E54" s="132" t="n">
        <v>165.9</v>
      </c>
      <c r="F54" s="132" t="n">
        <v>182.5</v>
      </c>
      <c r="G54" s="153" t="n"/>
      <c r="H54" s="153" t="n"/>
      <c r="J54" s="108" t="inlineStr">
        <is>
          <t>Intangible Assets - Other - Net</t>
        </is>
      </c>
      <c r="K54" s="118" t="n">
        <v>403</v>
      </c>
      <c r="M54" s="117" t="inlineStr">
        <is>
          <t>Short-Term Debt &amp; Current Portion of Long-Term Debt</t>
        </is>
      </c>
      <c r="N54" s="119" t="n">
        <v>11.71</v>
      </c>
      <c r="P54" s="108" t="inlineStr">
        <is>
          <t>Accrued Expenses - Short-Term</t>
        </is>
      </c>
      <c r="Q54" s="118" t="n">
        <v>2196</v>
      </c>
      <c r="S54" s="108" t="inlineStr">
        <is>
          <t>Current Portion of Long-Term Debt excluding Capitalized Leases</t>
        </is>
      </c>
      <c r="T54" s="118" t="n">
        <v>1187.26</v>
      </c>
      <c r="V54" s="108" t="inlineStr">
        <is>
          <t>Intangible Assets - Other - Gross - Total</t>
        </is>
      </c>
      <c r="W54" s="119" t="n">
        <v>30.76</v>
      </c>
    </row>
    <row r="55">
      <c r="A55" s="133" t="inlineStr">
        <is>
          <t>Property, Plant &amp; Equipment - Accumulated Depreciation &amp; Impairment - Total</t>
        </is>
      </c>
      <c r="B55" s="132" t="n">
        <v>6508.8</v>
      </c>
      <c r="C55" s="132" t="n">
        <v>6202.1</v>
      </c>
      <c r="D55" s="132" t="n">
        <v>5742.2</v>
      </c>
      <c r="E55" s="132" t="n">
        <v>5347.9</v>
      </c>
      <c r="F55" s="132" t="n">
        <v>4977.3</v>
      </c>
      <c r="G55" s="153" t="n"/>
      <c r="H55" s="153" t="n"/>
      <c r="J55" s="136" t="inlineStr">
        <is>
          <t>Total Non-Current Assets</t>
        </is>
      </c>
      <c r="K55" s="140" t="n">
        <v>15518</v>
      </c>
      <c r="M55" s="108" t="inlineStr">
        <is>
          <t>Current Portion of Long-Term Debt including Capitalized Leases</t>
        </is>
      </c>
      <c r="N55" s="119" t="n">
        <v>11.71</v>
      </c>
      <c r="P55" s="117" t="inlineStr">
        <is>
          <t>Short-Term Debt &amp; Current Portion of Long-Term Debt</t>
        </is>
      </c>
      <c r="Q55" s="118" t="n">
        <v>1291</v>
      </c>
      <c r="S55" s="108" t="inlineStr">
        <is>
          <t>Capitalized Leases - Current Portion</t>
        </is>
      </c>
      <c r="T55" s="118" t="n">
        <v>267.18</v>
      </c>
      <c r="V55" s="108" t="inlineStr">
        <is>
          <t>Intangible Assets - Accumulated Amortization &amp; Impairment - Total</t>
        </is>
      </c>
      <c r="W55" s="118" t="n">
        <v>104.81</v>
      </c>
    </row>
    <row r="56">
      <c r="A56" s="133" t="inlineStr">
        <is>
          <t>Property, Plant &amp; Equipment - excluding Assets Leased Out - Accumulated Depreciation &amp; Impairment - Total</t>
        </is>
      </c>
      <c r="B56" s="132" t="n">
        <v>6508.8</v>
      </c>
      <c r="C56" s="132" t="n">
        <v>6202.1</v>
      </c>
      <c r="D56" s="132" t="n">
        <v>5742.2</v>
      </c>
      <c r="E56" s="132" t="n">
        <v>5347.9</v>
      </c>
      <c r="F56" s="132" t="n">
        <v>4977.3</v>
      </c>
      <c r="G56" s="153" t="n"/>
      <c r="H56" s="153" t="n"/>
      <c r="J56" s="115" t="inlineStr">
        <is>
          <t>Total Assets</t>
        </is>
      </c>
      <c r="K56" s="116" t="n"/>
      <c r="M56" s="108" t="inlineStr">
        <is>
          <t>Current Portion of Long-Term Debt excluding Capitalized Leases</t>
        </is>
      </c>
      <c r="N56" s="119" t="n">
        <v>11.71</v>
      </c>
      <c r="P56" s="108" t="inlineStr">
        <is>
          <t>Short-Term Debt &amp; Notes Payable</t>
        </is>
      </c>
      <c r="Q56" s="118" t="n">
        <v>120</v>
      </c>
      <c r="S56" s="117" t="inlineStr">
        <is>
          <t>Liabilities Held for Sale/Discontinued Operations - Short-Term</t>
        </is>
      </c>
      <c r="T56" s="119" t="n">
        <v>4.23</v>
      </c>
      <c r="V56" s="108" t="inlineStr">
        <is>
          <t>Goodwill - Accumulated Amortization &amp; Impairment</t>
        </is>
      </c>
      <c r="W56" s="134" t="n">
        <v>0</v>
      </c>
    </row>
    <row r="57">
      <c r="A57" s="133" t="inlineStr">
        <is>
          <t>Right of Use Tangible Assets - Total/Unspecified - Accumulated Depreciation</t>
        </is>
      </c>
      <c r="B57" s="132" t="n">
        <v>152.7</v>
      </c>
      <c r="C57" s="132" t="n">
        <v>146.8</v>
      </c>
      <c r="D57" s="132" t="n">
        <v>124.4</v>
      </c>
      <c r="E57" s="135" t="n">
        <v>92.8</v>
      </c>
      <c r="F57" s="135" t="n">
        <v>79.7</v>
      </c>
      <c r="G57" s="152" t="n"/>
      <c r="H57" s="152" t="n"/>
      <c r="J57" s="136" t="inlineStr">
        <is>
          <t>Total Assets</t>
        </is>
      </c>
      <c r="K57" s="140" t="n">
        <v>18711</v>
      </c>
      <c r="M57" s="117" t="inlineStr">
        <is>
          <t>Operating Lease Liabilities - Current Portion/Short-Term</t>
        </is>
      </c>
      <c r="N57" s="119" t="n">
        <v>15.94</v>
      </c>
      <c r="P57" s="108" t="inlineStr">
        <is>
          <t>Current Portion of Long-Term Debt including Capitalized Leases</t>
        </is>
      </c>
      <c r="Q57" s="118" t="n">
        <v>1171</v>
      </c>
      <c r="S57" s="117" t="inlineStr">
        <is>
          <t>Income Taxes - Payable - Short-Term</t>
        </is>
      </c>
      <c r="T57" s="118" t="n">
        <v>437.13</v>
      </c>
      <c r="V57" s="108" t="inlineStr">
        <is>
          <t>Intangible Assets - excluding Goodwill - Accumulated Amortization &amp; Impairment - Total</t>
        </is>
      </c>
      <c r="W57" s="118" t="n">
        <v>104.81</v>
      </c>
    </row>
    <row r="58">
      <c r="A58" s="133" t="inlineStr">
        <is>
          <t>Right of Use Tangible Assets - Operating Lease - Accumulated Depreciation</t>
        </is>
      </c>
      <c r="B58" s="132" t="n">
        <v>152.7</v>
      </c>
      <c r="C58" s="132" t="n">
        <v>146.8</v>
      </c>
      <c r="D58" s="132" t="n">
        <v>124.4</v>
      </c>
      <c r="E58" s="135" t="n">
        <v>92.8</v>
      </c>
      <c r="F58" s="135" t="n">
        <v>79.7</v>
      </c>
      <c r="G58" s="152" t="n"/>
      <c r="H58" s="152" t="n"/>
      <c r="J58" s="115" t="inlineStr">
        <is>
          <t>Current Liabilities</t>
        </is>
      </c>
      <c r="K58" s="116" t="n"/>
      <c r="M58" s="117" t="inlineStr">
        <is>
          <t>Other Current Liabilities - Total</t>
        </is>
      </c>
      <c r="N58" s="119" t="n">
        <v>41.12</v>
      </c>
      <c r="P58" s="108" t="inlineStr">
        <is>
          <t>Current Portion of Long-Term Debt excluding Capitalized Leases</t>
        </is>
      </c>
      <c r="Q58" s="118" t="n">
        <v>1055</v>
      </c>
      <c r="S58" s="117" t="inlineStr">
        <is>
          <t>Other Current Liabilities - Total</t>
        </is>
      </c>
      <c r="T58" s="118" t="n">
        <v>2010.54</v>
      </c>
      <c r="V58" s="108" t="inlineStr">
        <is>
          <t>Brands, Patents, Trademarks, Marketing &amp; Artistic Intangibles - Accumulated Amortization &amp; Impairment</t>
        </is>
      </c>
      <c r="W58" s="119" t="n">
        <v>1</v>
      </c>
    </row>
    <row r="59">
      <c r="A59" s="133" t="inlineStr">
        <is>
          <t>Property, Plant &amp; Equipment - Other - Accumulated Depreciation &amp; Impairment</t>
        </is>
      </c>
      <c r="B59" s="132" t="n">
        <v>6356.1</v>
      </c>
      <c r="C59" s="132" t="n">
        <v>6055.3</v>
      </c>
      <c r="D59" s="132" t="n">
        <v>5617.8</v>
      </c>
      <c r="E59" s="132" t="n">
        <v>5255.1</v>
      </c>
      <c r="F59" s="132" t="n">
        <v>4897.6</v>
      </c>
      <c r="G59" s="153" t="n"/>
      <c r="H59" s="153" t="n"/>
      <c r="J59" s="117" t="inlineStr">
        <is>
          <t>Trade Accounts Payable &amp; Accruals - Short-Term</t>
        </is>
      </c>
      <c r="K59" s="118" t="n">
        <v>540</v>
      </c>
      <c r="M59" s="108" t="inlineStr">
        <is>
          <t>Deferred Income - Short-Term</t>
        </is>
      </c>
      <c r="N59" s="119" t="n">
        <v>33.77</v>
      </c>
      <c r="P59" s="108" t="inlineStr">
        <is>
          <t>Capitalized Leases - Current Portion</t>
        </is>
      </c>
      <c r="Q59" s="118" t="n">
        <v>116</v>
      </c>
      <c r="S59" s="108" t="inlineStr">
        <is>
          <t>Provisions - Short-Term</t>
        </is>
      </c>
      <c r="T59" s="118" t="n">
        <v>581.78</v>
      </c>
      <c r="V59" s="108" t="inlineStr">
        <is>
          <t>Licenses, Franchises, Copy/Property Rights, Prototypes, Contract Based, Models &amp; Designs - Accumulated Amortization &amp; Impairment</t>
        </is>
      </c>
      <c r="W59" s="119" t="n">
        <v>89.44</v>
      </c>
    </row>
    <row r="60">
      <c r="A60" s="131" t="inlineStr">
        <is>
          <t>Other Non-Current Assets - Total</t>
        </is>
      </c>
      <c r="B60" s="132" t="n">
        <v>158.8</v>
      </c>
      <c r="C60" s="132" t="n">
        <v>317.1</v>
      </c>
      <c r="D60" s="132" t="n">
        <v>267.7</v>
      </c>
      <c r="E60" s="132" t="n">
        <v>285.2</v>
      </c>
      <c r="F60" s="132" t="n">
        <v>268</v>
      </c>
      <c r="G60" s="153" t="n"/>
      <c r="H60" s="153" t="n"/>
      <c r="J60" s="108" t="inlineStr">
        <is>
          <t>Trade Accounts &amp; Trade Notes Payable - Short-Term</t>
        </is>
      </c>
      <c r="K60" s="118" t="n">
        <v>389</v>
      </c>
      <c r="M60" s="108" t="inlineStr">
        <is>
          <t>Other Current Liabilities</t>
        </is>
      </c>
      <c r="N60" s="119" t="n">
        <v>7.35</v>
      </c>
      <c r="P60" s="117" t="inlineStr">
        <is>
          <t>Income Taxes - Payable - Short-Term</t>
        </is>
      </c>
      <c r="Q60" s="118" t="n">
        <v>106</v>
      </c>
      <c r="S60" s="108" t="inlineStr">
        <is>
          <t>Other Current Liabilities</t>
        </is>
      </c>
      <c r="T60" s="118" t="n">
        <v>1428.75</v>
      </c>
      <c r="V60" s="108" t="inlineStr">
        <is>
          <t>Intangible Assets - Other - Accumulated Amortization &amp; Impairment</t>
        </is>
      </c>
      <c r="W60" s="119" t="n">
        <v>14.36</v>
      </c>
    </row>
    <row r="61">
      <c r="A61" s="133" t="inlineStr">
        <is>
          <t>Other Non-Current Assets</t>
        </is>
      </c>
      <c r="B61" s="132" t="n">
        <v>158.8</v>
      </c>
      <c r="C61" s="132" t="n">
        <v>317.1</v>
      </c>
      <c r="D61" s="132" t="n">
        <v>267.7</v>
      </c>
      <c r="E61" s="132" t="n">
        <v>285.2</v>
      </c>
      <c r="F61" s="132" t="n">
        <v>268</v>
      </c>
      <c r="G61" s="153" t="n"/>
      <c r="H61" s="153" t="n"/>
      <c r="J61" s="108" t="inlineStr">
        <is>
          <t>Accrued Expenses - Short-Term</t>
        </is>
      </c>
      <c r="K61" s="118" t="n">
        <v>151</v>
      </c>
      <c r="M61" s="136" t="inlineStr">
        <is>
          <t>Total Current Liabilities</t>
        </is>
      </c>
      <c r="N61" s="137" t="n">
        <v>377.99</v>
      </c>
      <c r="P61" s="117" t="inlineStr">
        <is>
          <t>Operating Lease Liabilities - Current Portion/Short-Term</t>
        </is>
      </c>
      <c r="Q61" s="118" t="n">
        <v>286</v>
      </c>
      <c r="S61" s="136" t="inlineStr">
        <is>
          <t>Total Current Liabilities</t>
        </is>
      </c>
      <c r="T61" s="137" t="n">
        <v>7383.63</v>
      </c>
      <c r="V61" s="136" t="inlineStr">
        <is>
          <t>Total Non-Current Assets</t>
        </is>
      </c>
      <c r="W61" s="137" t="n">
        <v>2595.93</v>
      </c>
    </row>
    <row r="62">
      <c r="A62" s="131" t="inlineStr">
        <is>
          <t>Intangible Assets - Total - Net</t>
        </is>
      </c>
      <c r="B62" s="132" t="n">
        <v>5269.9</v>
      </c>
      <c r="C62" s="132" t="n">
        <v>5502.8</v>
      </c>
      <c r="D62" s="132" t="n">
        <v>4992.4</v>
      </c>
      <c r="E62" s="132" t="n">
        <v>5391.7</v>
      </c>
      <c r="F62" s="132" t="n">
        <v>5445.7</v>
      </c>
      <c r="G62" s="153" t="n"/>
      <c r="H62" s="153" t="n"/>
      <c r="J62" s="117" t="inlineStr">
        <is>
          <t>Short-Term Debt &amp; Current Portion of Long-Term Debt</t>
        </is>
      </c>
      <c r="K62" s="119" t="n">
        <v>45</v>
      </c>
      <c r="M62" s="115" t="inlineStr">
        <is>
          <t>Non-Current Liabilities</t>
        </is>
      </c>
      <c r="N62" s="116" t="n"/>
      <c r="P62" s="117" t="inlineStr">
        <is>
          <t>Other Current Liabilities - Total</t>
        </is>
      </c>
      <c r="Q62" s="118" t="n">
        <v>1612</v>
      </c>
      <c r="S62" s="115" t="inlineStr">
        <is>
          <t>Non-Current Liabilities</t>
        </is>
      </c>
      <c r="T62" s="116" t="n"/>
      <c r="V62" s="115" t="inlineStr">
        <is>
          <t>Total Assets</t>
        </is>
      </c>
      <c r="W62" s="116" t="n"/>
    </row>
    <row r="63">
      <c r="A63" s="133" t="inlineStr">
        <is>
          <t>Goodwill/Cost in Excess of Assets Purchased - Net</t>
        </is>
      </c>
      <c r="B63" s="132" t="n">
        <v>3780.9</v>
      </c>
      <c r="C63" s="132" t="n">
        <v>3788.1</v>
      </c>
      <c r="D63" s="132" t="n">
        <v>3531.7</v>
      </c>
      <c r="E63" s="132" t="n">
        <v>3689.6</v>
      </c>
      <c r="F63" s="132" t="n">
        <v>3696.7</v>
      </c>
      <c r="G63" s="153" t="n"/>
      <c r="H63" s="153" t="n"/>
      <c r="J63" s="108" t="inlineStr">
        <is>
          <t>Current Portion of Long-Term Debt including Capitalized Leases</t>
        </is>
      </c>
      <c r="K63" s="119" t="n">
        <v>45</v>
      </c>
      <c r="M63" s="117" t="inlineStr">
        <is>
          <t>Debt - Long-Term - Total</t>
        </is>
      </c>
      <c r="N63" s="118" t="n">
        <v>1153.83</v>
      </c>
      <c r="P63" s="108" t="inlineStr">
        <is>
          <t>Deferred Income - Short-Term</t>
        </is>
      </c>
      <c r="Q63" s="118" t="n">
        <v>405</v>
      </c>
      <c r="S63" s="117" t="inlineStr">
        <is>
          <t>Debt - Long-Term - Total</t>
        </is>
      </c>
      <c r="T63" s="118" t="n">
        <v>5325.55</v>
      </c>
      <c r="V63" s="136" t="inlineStr">
        <is>
          <t>Total Assets</t>
        </is>
      </c>
      <c r="W63" s="137" t="n">
        <v>3264.59</v>
      </c>
    </row>
    <row r="64">
      <c r="A64" s="133" t="inlineStr">
        <is>
          <t>Intangible Assets - excluding Goodwill - Net - Total</t>
        </is>
      </c>
      <c r="B64" s="132" t="n">
        <v>1489</v>
      </c>
      <c r="C64" s="132" t="n">
        <v>1714.7</v>
      </c>
      <c r="D64" s="132" t="n">
        <v>1460.7</v>
      </c>
      <c r="E64" s="132" t="n">
        <v>1702.1</v>
      </c>
      <c r="F64" s="132" t="n">
        <v>1749</v>
      </c>
      <c r="G64" s="153" t="n"/>
      <c r="H64" s="153" t="n"/>
      <c r="J64" s="108" t="inlineStr">
        <is>
          <t>Current Portion of Long-Term Debt excluding Capitalized Leases</t>
        </is>
      </c>
      <c r="K64" s="119" t="n">
        <v>30</v>
      </c>
      <c r="M64" s="108" t="inlineStr">
        <is>
          <t>Long-Term Debt excluding Capitalized Leases</t>
        </is>
      </c>
      <c r="N64" s="118" t="n">
        <v>1153.83</v>
      </c>
      <c r="P64" s="108" t="inlineStr">
        <is>
          <t>Other Current Liabilities</t>
        </is>
      </c>
      <c r="Q64" s="118" t="n">
        <v>1207</v>
      </c>
      <c r="S64" s="108" t="inlineStr">
        <is>
          <t>Long-Term Debt excluding Capitalized Leases</t>
        </is>
      </c>
      <c r="T64" s="118" t="n">
        <v>4457.1</v>
      </c>
      <c r="V64" s="115" t="inlineStr">
        <is>
          <t>Current Liabilities</t>
        </is>
      </c>
      <c r="W64" s="116" t="n"/>
    </row>
    <row r="65">
      <c r="A65" s="133" t="inlineStr">
        <is>
          <t>Licenses, Franchises, Copyrights, Property Rights, Prototypes, Contract Based, Models &amp; Designs - Net</t>
        </is>
      </c>
      <c r="B65" s="132" t="n">
        <v>1225.2</v>
      </c>
      <c r="C65" s="132" t="n">
        <v>1642.9</v>
      </c>
      <c r="D65" s="132" t="n">
        <v>1395.5</v>
      </c>
      <c r="E65" s="132" t="n">
        <v>1610.7</v>
      </c>
      <c r="F65" s="132" t="n">
        <v>1651.5</v>
      </c>
      <c r="G65" s="153" t="n"/>
      <c r="H65" s="153" t="n"/>
      <c r="J65" s="108" t="inlineStr">
        <is>
          <t>Capitalized Leases - Current Portion</t>
        </is>
      </c>
      <c r="K65" s="119" t="n">
        <v>15</v>
      </c>
      <c r="M65" s="108" t="inlineStr">
        <is>
          <t>Debt - Non-Convertible - Long-Term</t>
        </is>
      </c>
      <c r="N65" s="118" t="n">
        <v>1153.83</v>
      </c>
      <c r="P65" s="136" t="inlineStr">
        <is>
          <t>Total Current Liabilities</t>
        </is>
      </c>
      <c r="Q65" s="137" t="n">
        <v>8754</v>
      </c>
      <c r="S65" s="108" t="inlineStr">
        <is>
          <t>Debt - Non-Convertible - Long-Term</t>
        </is>
      </c>
      <c r="T65" s="118" t="n">
        <v>4457.1</v>
      </c>
      <c r="V65" s="117" t="inlineStr">
        <is>
          <t>Trade Accounts Payable &amp; Accruals - Short-Term</t>
        </is>
      </c>
      <c r="W65" s="118" t="n">
        <v>209.82</v>
      </c>
    </row>
    <row r="66">
      <c r="A66" s="133" t="inlineStr">
        <is>
          <t>Intangible Assets - Other - Net</t>
        </is>
      </c>
      <c r="B66" s="132" t="n">
        <v>263.8</v>
      </c>
      <c r="C66" s="135" t="n">
        <v>71.8</v>
      </c>
      <c r="D66" s="135" t="n">
        <v>65.2</v>
      </c>
      <c r="E66" s="135" t="n">
        <v>91.40000000000001</v>
      </c>
      <c r="F66" s="135" t="n">
        <v>97.5</v>
      </c>
      <c r="G66" s="152" t="n"/>
      <c r="H66" s="152" t="n"/>
      <c r="J66" s="117" t="inlineStr">
        <is>
          <t>Operating Lease Liabilities - Current Portion/Short-Term</t>
        </is>
      </c>
      <c r="K66" s="119" t="n">
        <v>62</v>
      </c>
      <c r="M66" s="117" t="inlineStr">
        <is>
          <t>Deferred Tax &amp; Investment Tax Credits - Long-Term</t>
        </is>
      </c>
      <c r="N66" s="118" t="n">
        <v>287.92</v>
      </c>
      <c r="P66" s="115" t="inlineStr">
        <is>
          <t>Non-Current Liabilities</t>
        </is>
      </c>
      <c r="Q66" s="116" t="n"/>
      <c r="S66" s="108" t="inlineStr">
        <is>
          <t>Capitalized Lease Obligations - Long-Term</t>
        </is>
      </c>
      <c r="T66" s="118" t="n">
        <v>868.45</v>
      </c>
      <c r="V66" s="108" t="inlineStr">
        <is>
          <t>Trade Accounts &amp; Trade Notes Payable - Short-Term</t>
        </is>
      </c>
      <c r="W66" s="118" t="n">
        <v>129.9</v>
      </c>
    </row>
    <row r="67">
      <c r="A67" s="141" t="inlineStr">
        <is>
          <t>Total Non-Current Assets</t>
        </is>
      </c>
      <c r="B67" s="144" t="n">
        <v>14132.5</v>
      </c>
      <c r="C67" s="144" t="n">
        <v>14839.1</v>
      </c>
      <c r="D67" s="144" t="n">
        <v>12020.8</v>
      </c>
      <c r="E67" s="144" t="n">
        <v>12332.6</v>
      </c>
      <c r="F67" s="144" t="n">
        <v>11986</v>
      </c>
      <c r="G67" s="171" t="n"/>
      <c r="H67" s="171" t="n"/>
      <c r="J67" s="117" t="inlineStr">
        <is>
          <t>Other Current Liabilities - Total</t>
        </is>
      </c>
      <c r="K67" s="118" t="n">
        <v>248</v>
      </c>
      <c r="M67" s="108" t="inlineStr">
        <is>
          <t>Deferred Tax - Liability - Long-Term</t>
        </is>
      </c>
      <c r="N67" s="118" t="n">
        <v>287.92</v>
      </c>
      <c r="P67" s="117" t="inlineStr">
        <is>
          <t>Debt - Long-Term - Total</t>
        </is>
      </c>
      <c r="Q67" s="134" t="n">
        <v>16896</v>
      </c>
      <c r="S67" s="117" t="inlineStr">
        <is>
          <t>Deferred Tax &amp; Investment Tax Credits - Long-Term</t>
        </is>
      </c>
      <c r="T67" s="118" t="n">
        <v>601.33</v>
      </c>
      <c r="V67" s="108" t="inlineStr">
        <is>
          <t>Accrued Expenses - Short-Term</t>
        </is>
      </c>
      <c r="W67" s="119" t="n">
        <v>79.93000000000001</v>
      </c>
    </row>
    <row r="68">
      <c r="A68" s="129" t="inlineStr">
        <is>
          <t>Total Assets</t>
        </is>
      </c>
      <c r="B68" s="130" t="n"/>
      <c r="C68" s="130" t="n"/>
      <c r="D68" s="130" t="n"/>
      <c r="E68" s="130" t="n"/>
      <c r="F68" s="130" t="n"/>
      <c r="G68" s="151" t="n"/>
      <c r="H68" s="151" t="n"/>
      <c r="J68" s="108" t="inlineStr">
        <is>
          <t>Other Current Liabilities</t>
        </is>
      </c>
      <c r="K68" s="118" t="n">
        <v>248</v>
      </c>
      <c r="M68" s="117" t="inlineStr">
        <is>
          <t>Operating Lease Liabilities - Long-Term</t>
        </is>
      </c>
      <c r="N68" s="119" t="n">
        <v>36.65</v>
      </c>
      <c r="P68" s="108" t="inlineStr">
        <is>
          <t>Long-Term Debt excluding Capitalized Leases</t>
        </is>
      </c>
      <c r="Q68" s="134" t="n">
        <v>16478</v>
      </c>
      <c r="S68" s="108" t="inlineStr">
        <is>
          <t>Deferred Tax - Liability - Long-Term</t>
        </is>
      </c>
      <c r="T68" s="118" t="n">
        <v>601.33</v>
      </c>
      <c r="V68" s="117" t="inlineStr">
        <is>
          <t>Short-Term Debt &amp; Current Portion of Long-Term Debt</t>
        </is>
      </c>
      <c r="W68" s="119" t="n">
        <v>15</v>
      </c>
    </row>
    <row r="69">
      <c r="A69" s="141" t="inlineStr">
        <is>
          <t>Total Assets</t>
        </is>
      </c>
      <c r="B69" s="144" t="n">
        <v>16700.4</v>
      </c>
      <c r="C69" s="144" t="n">
        <v>17104.8</v>
      </c>
      <c r="D69" s="144" t="n">
        <v>14545.7</v>
      </c>
      <c r="E69" s="144" t="n">
        <v>14234.6</v>
      </c>
      <c r="F69" s="144" t="n">
        <v>13682.6</v>
      </c>
      <c r="G69" s="171" t="n"/>
      <c r="H69" s="171" t="n"/>
      <c r="J69" s="136" t="inlineStr">
        <is>
          <t>Total Current Liabilities</t>
        </is>
      </c>
      <c r="K69" s="137" t="n">
        <v>895</v>
      </c>
      <c r="M69" s="117" t="inlineStr">
        <is>
          <t>Other Non-Current Liabilities - Total</t>
        </is>
      </c>
      <c r="N69" s="118" t="n">
        <v>152.79</v>
      </c>
      <c r="P69" s="108" t="inlineStr">
        <is>
          <t>Debt - Non-Convertible - Long-Term</t>
        </is>
      </c>
      <c r="Q69" s="134" t="n">
        <v>16478</v>
      </c>
      <c r="S69" s="117" t="inlineStr">
        <is>
          <t>Other Non-Current Liabilities - Total</t>
        </is>
      </c>
      <c r="T69" s="118" t="n">
        <v>2033.32</v>
      </c>
      <c r="V69" s="108" t="inlineStr">
        <is>
          <t>Current Portion of Long-Term Debt including Capitalized Leases</t>
        </is>
      </c>
      <c r="W69" s="119" t="n">
        <v>15</v>
      </c>
    </row>
    <row r="70">
      <c r="A70" s="129" t="inlineStr">
        <is>
          <t>Current Liabilities</t>
        </is>
      </c>
      <c r="B70" s="130" t="n"/>
      <c r="C70" s="130" t="n"/>
      <c r="D70" s="130" t="n"/>
      <c r="E70" s="130" t="n"/>
      <c r="F70" s="130" t="n"/>
      <c r="G70" s="151" t="n"/>
      <c r="H70" s="151" t="n"/>
      <c r="J70" s="115" t="inlineStr">
        <is>
          <t>Non-Current Liabilities</t>
        </is>
      </c>
      <c r="K70" s="116" t="n"/>
      <c r="M70" s="108" t="inlineStr">
        <is>
          <t>Other Non-Current Liabilities</t>
        </is>
      </c>
      <c r="N70" s="118" t="n">
        <v>152.79</v>
      </c>
      <c r="P70" s="108" t="inlineStr">
        <is>
          <t>Capitalized Lease Obligations - Long-Term</t>
        </is>
      </c>
      <c r="Q70" s="118" t="n">
        <v>418</v>
      </c>
      <c r="S70" s="108" t="inlineStr">
        <is>
          <t>Provisions - Long-Term</t>
        </is>
      </c>
      <c r="T70" s="118" t="n">
        <v>587.7</v>
      </c>
      <c r="V70" s="108" t="inlineStr">
        <is>
          <t>Current Portion of Long-Term Debt excluding Capitalized Leases</t>
        </is>
      </c>
      <c r="W70" s="119" t="n">
        <v>15</v>
      </c>
    </row>
    <row r="71">
      <c r="A71" s="131" t="inlineStr">
        <is>
          <t>Trade Accounts Payable &amp; Accruals - Short-Term</t>
        </is>
      </c>
      <c r="B71" s="132" t="n">
        <v>569.2</v>
      </c>
      <c r="C71" s="132" t="n">
        <v>531</v>
      </c>
      <c r="D71" s="132" t="n">
        <v>526.2</v>
      </c>
      <c r="E71" s="132" t="n">
        <v>567.2</v>
      </c>
      <c r="F71" s="132" t="n">
        <v>486</v>
      </c>
      <c r="G71" s="153" t="n"/>
      <c r="H71" s="153" t="n"/>
      <c r="J71" s="117" t="inlineStr">
        <is>
          <t>Debt - Long-Term - Total</t>
        </is>
      </c>
      <c r="K71" s="118" t="n">
        <v>5580</v>
      </c>
      <c r="M71" s="117" t="inlineStr">
        <is>
          <t>Total Non-Current Liabilities</t>
        </is>
      </c>
      <c r="N71" s="118" t="n">
        <v>1631.18</v>
      </c>
      <c r="P71" s="117" t="inlineStr">
        <is>
          <t>Deferred Tax &amp; Investment Tax Credits - Long-Term</t>
        </is>
      </c>
      <c r="Q71" s="118" t="n">
        <v>3511</v>
      </c>
      <c r="S71" s="108" t="inlineStr">
        <is>
          <t>Post Employment Benefits - Pension &amp; Other - Long-Term</t>
        </is>
      </c>
      <c r="T71" s="118" t="n">
        <v>587.7</v>
      </c>
      <c r="V71" s="117" t="inlineStr">
        <is>
          <t>Dividends/Distributions Payable</t>
        </is>
      </c>
      <c r="W71" s="119" t="n">
        <v>8.460000000000001</v>
      </c>
    </row>
    <row r="72">
      <c r="A72" s="133" t="inlineStr">
        <is>
          <t>Trade Accounts &amp; Trade Notes Payable - Short-Term</t>
        </is>
      </c>
      <c r="B72" s="132" t="n">
        <v>438.5</v>
      </c>
      <c r="C72" s="132" t="n">
        <v>407</v>
      </c>
      <c r="D72" s="132" t="n">
        <v>390.4</v>
      </c>
      <c r="E72" s="132" t="n">
        <v>454.5</v>
      </c>
      <c r="F72" s="132" t="n">
        <v>365.5</v>
      </c>
      <c r="G72" s="153" t="n"/>
      <c r="H72" s="153" t="n"/>
      <c r="J72" s="108" t="inlineStr">
        <is>
          <t>Long-Term Debt excluding Capitalized Leases</t>
        </is>
      </c>
      <c r="K72" s="118" t="n">
        <v>5293</v>
      </c>
      <c r="M72" s="115" t="inlineStr">
        <is>
          <t>Total Liabilities</t>
        </is>
      </c>
      <c r="N72" s="116" t="n"/>
      <c r="P72" s="108" t="inlineStr">
        <is>
          <t>Deferred Tax - Liability - Long-Term</t>
        </is>
      </c>
      <c r="Q72" s="118" t="n">
        <v>3511</v>
      </c>
      <c r="S72" s="108" t="inlineStr">
        <is>
          <t>Other Non-Current Liabilities</t>
        </is>
      </c>
      <c r="T72" s="118" t="n">
        <v>1445.62</v>
      </c>
      <c r="V72" s="117" t="inlineStr">
        <is>
          <t>Operating Lease Liabilities - Current Portion/Short-Term</t>
        </is>
      </c>
      <c r="W72" s="119" t="n">
        <v>4.03</v>
      </c>
    </row>
    <row r="73">
      <c r="A73" s="133" t="inlineStr">
        <is>
          <t>Accrued Expenses - Short-Term</t>
        </is>
      </c>
      <c r="B73" s="132" t="n">
        <v>130.7</v>
      </c>
      <c r="C73" s="132" t="n">
        <v>124</v>
      </c>
      <c r="D73" s="132" t="n">
        <v>135.8</v>
      </c>
      <c r="E73" s="132" t="n">
        <v>112.7</v>
      </c>
      <c r="F73" s="132" t="n">
        <v>120.5</v>
      </c>
      <c r="G73" s="153" t="n"/>
      <c r="H73" s="153" t="n"/>
      <c r="J73" s="108" t="inlineStr">
        <is>
          <t>Debt - Non-Convertible - Long-Term</t>
        </is>
      </c>
      <c r="K73" s="118" t="n">
        <v>5293</v>
      </c>
      <c r="M73" s="136" t="inlineStr">
        <is>
          <t>Total Liabilities</t>
        </is>
      </c>
      <c r="N73" s="137" t="n">
        <v>2009.17</v>
      </c>
      <c r="P73" s="117" t="inlineStr">
        <is>
          <t>Operating Lease Liabilities - Long-Term</t>
        </is>
      </c>
      <c r="Q73" s="118" t="n">
        <v>1232</v>
      </c>
      <c r="S73" s="117" t="inlineStr">
        <is>
          <t>Total Non-Current Liabilities</t>
        </is>
      </c>
      <c r="T73" s="118" t="n">
        <v>7960.2</v>
      </c>
      <c r="V73" s="117" t="inlineStr">
        <is>
          <t>Other Current Liabilities - Total</t>
        </is>
      </c>
      <c r="W73" s="119" t="n">
        <v>7.69</v>
      </c>
    </row>
    <row r="74">
      <c r="A74" s="131" t="inlineStr">
        <is>
          <t>Short-Term Debt &amp; Current Portion of Long-Term Debt</t>
        </is>
      </c>
      <c r="B74" s="135" t="n">
        <v>6.2</v>
      </c>
      <c r="C74" s="132" t="n">
        <v>411.2</v>
      </c>
      <c r="D74" s="135" t="n">
        <v>13</v>
      </c>
      <c r="E74" s="132" t="n">
        <v>122.8</v>
      </c>
      <c r="F74" s="135" t="n">
        <v>40.6</v>
      </c>
      <c r="G74" s="152" t="n"/>
      <c r="H74" s="152" t="n"/>
      <c r="J74" s="108" t="inlineStr">
        <is>
          <t>Capitalized Lease Obligations - Long-Term</t>
        </is>
      </c>
      <c r="K74" s="118" t="n">
        <v>287</v>
      </c>
      <c r="M74" s="115" t="inlineStr">
        <is>
          <t>Shareholders' Equity</t>
        </is>
      </c>
      <c r="N74" s="116" t="n"/>
      <c r="P74" s="117" t="inlineStr">
        <is>
          <t>Other Non-Current Liabilities - Total</t>
        </is>
      </c>
      <c r="Q74" s="118" t="n">
        <v>2458</v>
      </c>
      <c r="S74" s="115" t="inlineStr">
        <is>
          <t>Total Liabilities</t>
        </is>
      </c>
      <c r="T74" s="116" t="n"/>
      <c r="V74" s="108" t="inlineStr">
        <is>
          <t>Other Current Liabilities</t>
        </is>
      </c>
      <c r="W74" s="119" t="n">
        <v>7.69</v>
      </c>
    </row>
    <row r="75">
      <c r="A75" s="133" t="inlineStr">
        <is>
          <t>Short-Term Debt &amp; Notes Payable</t>
        </is>
      </c>
      <c r="B75" s="138" t="n"/>
      <c r="C75" s="138" t="n"/>
      <c r="D75" s="138" t="n">
        <v>0</v>
      </c>
      <c r="E75" s="132" t="n">
        <v>100</v>
      </c>
      <c r="F75" s="138" t="n"/>
      <c r="G75" s="154" t="n"/>
      <c r="H75" s="154" t="n"/>
      <c r="J75" s="117" t="inlineStr">
        <is>
          <t>Deferred Tax &amp; Investment Tax Credits - Long-Term</t>
        </is>
      </c>
      <c r="K75" s="118" t="n">
        <v>1266</v>
      </c>
      <c r="M75" s="117" t="inlineStr">
        <is>
          <t>Shareholders' Equity - Attributable to Parent Shareholders - Total</t>
        </is>
      </c>
      <c r="N75" s="118" t="n">
        <v>1640.94</v>
      </c>
      <c r="P75" s="108" t="inlineStr">
        <is>
          <t>Provisions - Long-Term</t>
        </is>
      </c>
      <c r="Q75" s="118" t="n">
        <v>605</v>
      </c>
      <c r="S75" s="136" t="inlineStr">
        <is>
          <t>Total Liabilities</t>
        </is>
      </c>
      <c r="T75" s="140" t="n">
        <v>15343.83</v>
      </c>
      <c r="V75" s="136" t="inlineStr">
        <is>
          <t>Total Current Liabilities</t>
        </is>
      </c>
      <c r="W75" s="137" t="n">
        <v>245</v>
      </c>
    </row>
    <row r="76">
      <c r="A76" s="133" t="inlineStr">
        <is>
          <t>Current Portion of Long-Term Debt including Capitalized Leases</t>
        </is>
      </c>
      <c r="B76" s="135" t="n">
        <v>6.2</v>
      </c>
      <c r="C76" s="132" t="n">
        <v>411.2</v>
      </c>
      <c r="D76" s="135" t="n">
        <v>13</v>
      </c>
      <c r="E76" s="135" t="n">
        <v>22.8</v>
      </c>
      <c r="F76" s="135" t="n">
        <v>40.6</v>
      </c>
      <c r="G76" s="152" t="n"/>
      <c r="H76" s="152" t="n"/>
      <c r="J76" s="108" t="inlineStr">
        <is>
          <t>Deferred Tax - Liability - Long-Term</t>
        </is>
      </c>
      <c r="K76" s="118" t="n">
        <v>1266</v>
      </c>
      <c r="M76" s="108" t="inlineStr">
        <is>
          <t>Common Equity Attributable to Parent Shareholders</t>
        </is>
      </c>
      <c r="N76" s="118" t="n">
        <v>1640.94</v>
      </c>
      <c r="P76" s="108" t="inlineStr">
        <is>
          <t>Post Employment Benefits - Pension &amp; Other - Long-Term</t>
        </is>
      </c>
      <c r="Q76" s="118" t="n">
        <v>248</v>
      </c>
      <c r="S76" s="115" t="inlineStr">
        <is>
          <t>Shareholders' Equity</t>
        </is>
      </c>
      <c r="T76" s="116" t="n"/>
      <c r="V76" s="115" t="inlineStr">
        <is>
          <t>Non-Current Liabilities</t>
        </is>
      </c>
      <c r="W76" s="116" t="n"/>
    </row>
    <row r="77">
      <c r="A77" s="133" t="inlineStr">
        <is>
          <t>Current Portion of Long-Term Debt excluding Capitalized Leases</t>
        </is>
      </c>
      <c r="B77" s="135" t="n">
        <v>0.4</v>
      </c>
      <c r="C77" s="132" t="n">
        <v>400.5</v>
      </c>
      <c r="D77" s="135" t="n">
        <v>0.5</v>
      </c>
      <c r="E77" s="135" t="n">
        <v>0.5</v>
      </c>
      <c r="F77" s="135" t="n">
        <v>5.2</v>
      </c>
      <c r="G77" s="152" t="n"/>
      <c r="H77" s="152" t="n"/>
      <c r="J77" s="117" t="inlineStr">
        <is>
          <t>Operating Lease Liabilities - Long-Term</t>
        </is>
      </c>
      <c r="K77" s="118" t="n">
        <v>320</v>
      </c>
      <c r="M77" s="108" t="inlineStr">
        <is>
          <t>Common Stock - Treasury/Repurchased</t>
        </is>
      </c>
      <c r="N77" s="119" t="n">
        <v>3.63</v>
      </c>
      <c r="P77" s="108" t="inlineStr">
        <is>
          <t>Asset Retirement Obligation - Long-Term</t>
        </is>
      </c>
      <c r="Q77" s="118" t="n">
        <v>357</v>
      </c>
      <c r="S77" s="117" t="inlineStr">
        <is>
          <t>Shareholders' Equity - Attributable to Parent Shareholders - Total</t>
        </is>
      </c>
      <c r="T77" s="134" t="n">
        <v>13314.01</v>
      </c>
      <c r="V77" s="117" t="inlineStr">
        <is>
          <t>Debt - Long-Term - Total</t>
        </is>
      </c>
      <c r="W77" s="118" t="n">
        <v>1223.32</v>
      </c>
    </row>
    <row r="78">
      <c r="A78" s="133" t="inlineStr">
        <is>
          <t>Capitalized Leases - Current Portion</t>
        </is>
      </c>
      <c r="B78" s="135" t="n">
        <v>5.8</v>
      </c>
      <c r="C78" s="135" t="n">
        <v>10.7</v>
      </c>
      <c r="D78" s="135" t="n">
        <v>12.5</v>
      </c>
      <c r="E78" s="135" t="n">
        <v>22.3</v>
      </c>
      <c r="F78" s="135" t="n">
        <v>35.4</v>
      </c>
      <c r="G78" s="152" t="n"/>
      <c r="H78" s="152" t="n"/>
      <c r="J78" s="117" t="inlineStr">
        <is>
          <t>Other Non-Current Liabilities - Total</t>
        </is>
      </c>
      <c r="K78" s="118" t="n">
        <v>616</v>
      </c>
      <c r="M78" s="108" t="inlineStr">
        <is>
          <t>Common Equity - Contributed</t>
        </is>
      </c>
      <c r="N78" s="118" t="n">
        <v>630.21</v>
      </c>
      <c r="P78" s="108" t="inlineStr">
        <is>
          <t>Other Non-Current Liabilities</t>
        </is>
      </c>
      <c r="Q78" s="118" t="n">
        <v>1853</v>
      </c>
      <c r="S78" s="108" t="inlineStr">
        <is>
          <t>Common Equity Attributable to Parent Shareholders</t>
        </is>
      </c>
      <c r="T78" s="134" t="n">
        <v>13314.01</v>
      </c>
      <c r="V78" s="108" t="inlineStr">
        <is>
          <t>Long-Term Debt excluding Capitalized Leases</t>
        </is>
      </c>
      <c r="W78" s="118" t="n">
        <v>1223.32</v>
      </c>
    </row>
    <row r="79">
      <c r="A79" s="131" t="inlineStr">
        <is>
          <t>Liabilities Held for Sale/Discontinued Operations - Short-Term</t>
        </is>
      </c>
      <c r="B79" s="135" t="n">
        <v>29.3</v>
      </c>
      <c r="C79" s="138" t="n"/>
      <c r="D79" s="138" t="n"/>
      <c r="E79" s="138" t="n"/>
      <c r="F79" s="138" t="n"/>
      <c r="G79" s="154" t="n"/>
      <c r="H79" s="154" t="n"/>
      <c r="J79" s="108" t="inlineStr">
        <is>
          <t>Other Non-Current Liabilities</t>
        </is>
      </c>
      <c r="K79" s="118" t="n">
        <v>616</v>
      </c>
      <c r="M79" s="108" t="inlineStr">
        <is>
          <t>Common Stock - Issued &amp; Paid</t>
        </is>
      </c>
      <c r="N79" s="119" t="n">
        <v>0.57</v>
      </c>
      <c r="P79" s="117" t="inlineStr">
        <is>
          <t>Minority Interest - Non-Equity</t>
        </is>
      </c>
      <c r="Q79" s="118" t="n">
        <v>430</v>
      </c>
      <c r="S79" s="108" t="inlineStr">
        <is>
          <t>Common Equity - Contributed</t>
        </is>
      </c>
      <c r="T79" s="118" t="n">
        <v>7699.11</v>
      </c>
      <c r="V79" s="108" t="inlineStr">
        <is>
          <t>Debt - Non-Convertible - Long-Term</t>
        </is>
      </c>
      <c r="W79" s="118" t="n">
        <v>1223.32</v>
      </c>
    </row>
    <row r="80">
      <c r="A80" s="131" t="inlineStr">
        <is>
          <t>Operating Lease Liabilities - Current Portion/Short-Term</t>
        </is>
      </c>
      <c r="B80" s="135" t="n">
        <v>44.5</v>
      </c>
      <c r="C80" s="135" t="n">
        <v>49.3</v>
      </c>
      <c r="D80" s="135" t="n">
        <v>47.3</v>
      </c>
      <c r="E80" s="135" t="n">
        <v>48.1</v>
      </c>
      <c r="F80" s="135" t="n">
        <v>49.2</v>
      </c>
      <c r="G80" s="152" t="n"/>
      <c r="H80" s="152" t="n"/>
      <c r="J80" s="117" t="inlineStr">
        <is>
          <t>Total Non-Current Liabilities</t>
        </is>
      </c>
      <c r="K80" s="118" t="n">
        <v>7782</v>
      </c>
      <c r="M80" s="108" t="inlineStr">
        <is>
          <t>Common Stock - Additional Paid in Capital including Option Reserve</t>
        </is>
      </c>
      <c r="N80" s="118" t="n">
        <v>629.64</v>
      </c>
      <c r="P80" s="117" t="inlineStr">
        <is>
          <t>Total Non-Current Liabilities</t>
        </is>
      </c>
      <c r="Q80" s="134" t="n">
        <v>24527</v>
      </c>
      <c r="S80" s="108" t="inlineStr">
        <is>
          <t>Common Stock - Issued &amp; Paid</t>
        </is>
      </c>
      <c r="T80" s="118" t="n">
        <v>318.13</v>
      </c>
      <c r="V80" s="117" t="inlineStr">
        <is>
          <t>Deferred Tax &amp; Investment Tax Credits - Long-Term</t>
        </is>
      </c>
      <c r="W80" s="118" t="n">
        <v>239.94</v>
      </c>
    </row>
    <row r="81">
      <c r="A81" s="131" t="inlineStr">
        <is>
          <t>Other Current Liabilities - Total</t>
        </is>
      </c>
      <c r="B81" s="132" t="n">
        <v>306.9</v>
      </c>
      <c r="C81" s="132" t="n">
        <v>247.6</v>
      </c>
      <c r="D81" s="132" t="n">
        <v>211.1</v>
      </c>
      <c r="E81" s="132" t="n">
        <v>218.5</v>
      </c>
      <c r="F81" s="132" t="n">
        <v>193.5</v>
      </c>
      <c r="G81" s="153" t="n"/>
      <c r="H81" s="153" t="n"/>
      <c r="J81" s="115" t="inlineStr">
        <is>
          <t>Total Liabilities</t>
        </is>
      </c>
      <c r="K81" s="116" t="n"/>
      <c r="M81" s="108" t="inlineStr">
        <is>
          <t>Equity - Non-Contributed - Reserves &amp; Retained Earnings</t>
        </is>
      </c>
      <c r="N81" s="118" t="n">
        <v>1014.36</v>
      </c>
      <c r="P81" s="115" t="inlineStr">
        <is>
          <t>Total Liabilities</t>
        </is>
      </c>
      <c r="Q81" s="116" t="n"/>
      <c r="S81" s="108" t="inlineStr">
        <is>
          <t>Common Stock - Additional Paid in Capital including Option Reserve</t>
        </is>
      </c>
      <c r="T81" s="118" t="n">
        <v>7380.98</v>
      </c>
      <c r="V81" s="108" t="inlineStr">
        <is>
          <t>Deferred Tax - Liability - Long-Term</t>
        </is>
      </c>
      <c r="W81" s="118" t="n">
        <v>239.94</v>
      </c>
    </row>
    <row r="82">
      <c r="A82" s="133" t="inlineStr">
        <is>
          <t>Other Current Liabilities</t>
        </is>
      </c>
      <c r="B82" s="132" t="n">
        <v>306.9</v>
      </c>
      <c r="C82" s="132" t="n">
        <v>247.6</v>
      </c>
      <c r="D82" s="132" t="n">
        <v>211.1</v>
      </c>
      <c r="E82" s="132" t="n">
        <v>218.5</v>
      </c>
      <c r="F82" s="132" t="n">
        <v>193.5</v>
      </c>
      <c r="G82" s="153" t="n"/>
      <c r="H82" s="153" t="n"/>
      <c r="J82" s="136" t="inlineStr">
        <is>
          <t>Total Liabilities</t>
        </is>
      </c>
      <c r="K82" s="137" t="n">
        <v>8677</v>
      </c>
      <c r="M82" s="108" t="inlineStr">
        <is>
          <t>Retained Earnings - Total</t>
        </is>
      </c>
      <c r="N82" s="118" t="n">
        <v>1024.62</v>
      </c>
      <c r="P82" s="136" t="inlineStr">
        <is>
          <t>Total Liabilities</t>
        </is>
      </c>
      <c r="Q82" s="140" t="n">
        <v>33281</v>
      </c>
      <c r="S82" s="108" t="inlineStr">
        <is>
          <t>Equity - Non-Contributed - Reserves &amp; Retained Earnings</t>
        </is>
      </c>
      <c r="T82" s="118" t="n">
        <v>5614.9</v>
      </c>
      <c r="V82" s="117" t="inlineStr">
        <is>
          <t>Operating Lease Liabilities - Long-Term</t>
        </is>
      </c>
      <c r="W82" s="119" t="n">
        <v>33.6</v>
      </c>
    </row>
    <row r="83">
      <c r="A83" s="141" t="inlineStr">
        <is>
          <t>Total Current Liabilities</t>
        </is>
      </c>
      <c r="B83" s="142" t="n">
        <v>956.1</v>
      </c>
      <c r="C83" s="142" t="n">
        <v>1239.1</v>
      </c>
      <c r="D83" s="142" t="n">
        <v>797.6</v>
      </c>
      <c r="E83" s="142" t="n">
        <v>956.6</v>
      </c>
      <c r="F83" s="142" t="n">
        <v>769.3</v>
      </c>
      <c r="G83" s="155" t="n"/>
      <c r="H83" s="155" t="n"/>
      <c r="J83" s="115" t="inlineStr">
        <is>
          <t>Shareholders' Equity</t>
        </is>
      </c>
      <c r="K83" s="116" t="n"/>
      <c r="M83" s="108" t="inlineStr">
        <is>
          <t>Comprehensive Income - Accumulated - Total</t>
        </is>
      </c>
      <c r="N83" s="145" t="n">
        <v>-10.26</v>
      </c>
      <c r="P83" s="115" t="inlineStr">
        <is>
          <t>Shareholders' Equity</t>
        </is>
      </c>
      <c r="Q83" s="116" t="n"/>
      <c r="S83" s="108" t="inlineStr">
        <is>
          <t>Retained Earnings - Total</t>
        </is>
      </c>
      <c r="T83" s="118" t="n">
        <v>6076.91</v>
      </c>
      <c r="V83" s="117" t="inlineStr">
        <is>
          <t>Other Non-Current Liabilities - Total</t>
        </is>
      </c>
      <c r="W83" s="119" t="n">
        <v>66.03</v>
      </c>
    </row>
    <row r="84">
      <c r="A84" s="129" t="inlineStr">
        <is>
          <t>Non-Current Liabilities</t>
        </is>
      </c>
      <c r="B84" s="130" t="n"/>
      <c r="C84" s="130" t="n"/>
      <c r="D84" s="130" t="n"/>
      <c r="E84" s="130" t="n"/>
      <c r="F84" s="130" t="n"/>
      <c r="G84" s="151" t="n"/>
      <c r="H84" s="151" t="n"/>
      <c r="J84" s="117" t="inlineStr">
        <is>
          <t>Shareholders' Equity - Attributable to Parent Shareholders - Total</t>
        </is>
      </c>
      <c r="K84" s="134" t="n">
        <v>10032</v>
      </c>
      <c r="M84" s="108" t="inlineStr">
        <is>
          <t>Common Equity - Total</t>
        </is>
      </c>
      <c r="N84" s="118" t="n">
        <v>1640.94</v>
      </c>
      <c r="P84" s="117" t="inlineStr">
        <is>
          <t>Shareholders' Equity - Attributable to Parent Shareholders - Total</t>
        </is>
      </c>
      <c r="Q84" s="134" t="n">
        <v>24004</v>
      </c>
      <c r="S84" s="108" t="inlineStr">
        <is>
          <t>Comprehensive Income - Accumulated - Total</t>
        </is>
      </c>
      <c r="T84" s="139" t="n">
        <v>-462.01</v>
      </c>
      <c r="V84" s="108" t="inlineStr">
        <is>
          <t>Other Non-Current Liabilities</t>
        </is>
      </c>
      <c r="W84" s="119" t="n">
        <v>66.03</v>
      </c>
    </row>
    <row r="85">
      <c r="A85" s="131" t="inlineStr">
        <is>
          <t>Debt - Long-Term - Total</t>
        </is>
      </c>
      <c r="B85" s="132" t="n">
        <v>4366.7</v>
      </c>
      <c r="C85" s="132" t="n">
        <v>4916.6</v>
      </c>
      <c r="D85" s="132" t="n">
        <v>3893.9</v>
      </c>
      <c r="E85" s="132" t="n">
        <v>3910</v>
      </c>
      <c r="F85" s="132" t="n">
        <v>3935.3</v>
      </c>
      <c r="G85" s="153" t="n"/>
      <c r="H85" s="153" t="n"/>
      <c r="J85" s="108" t="inlineStr">
        <is>
          <t>Preferred Shareholders Equity</t>
        </is>
      </c>
      <c r="K85" s="134" t="n">
        <v>0</v>
      </c>
      <c r="M85" s="115" t="inlineStr">
        <is>
          <t>Total Shareholders' Equity</t>
        </is>
      </c>
      <c r="N85" s="116" t="n"/>
      <c r="P85" s="108" t="inlineStr">
        <is>
          <t>Preferred Shareholders Equity</t>
        </is>
      </c>
      <c r="Q85" s="119" t="n">
        <v>1</v>
      </c>
      <c r="S85" s="108" t="inlineStr">
        <is>
          <t>Hedging Reserves</t>
        </is>
      </c>
      <c r="T85" s="139" t="n">
        <v>-120.64</v>
      </c>
      <c r="V85" s="117" t="inlineStr">
        <is>
          <t>Total Non-Current Liabilities</t>
        </is>
      </c>
      <c r="W85" s="118" t="n">
        <v>1562.88</v>
      </c>
    </row>
    <row r="86">
      <c r="A86" s="133" t="inlineStr">
        <is>
          <t>Long-Term Debt excluding Capitalized Leases</t>
        </is>
      </c>
      <c r="B86" s="132" t="n">
        <v>4361.7</v>
      </c>
      <c r="C86" s="132" t="n">
        <v>4906.9</v>
      </c>
      <c r="D86" s="132" t="n">
        <v>3877.3</v>
      </c>
      <c r="E86" s="132" t="n">
        <v>3875.2</v>
      </c>
      <c r="F86" s="132" t="n">
        <v>3874.8</v>
      </c>
      <c r="G86" s="153" t="n"/>
      <c r="H86" s="153" t="n"/>
      <c r="J86" s="108" t="inlineStr">
        <is>
          <t>Preferred Stock - Non-Redeemable</t>
        </is>
      </c>
      <c r="K86" s="134" t="n">
        <v>0</v>
      </c>
      <c r="M86" s="136" t="inlineStr">
        <is>
          <t>Total Shareholders' Equity - including Minority Interest &amp; Hybrid Debt</t>
        </is>
      </c>
      <c r="N86" s="137" t="n">
        <v>1640.94</v>
      </c>
      <c r="P86" s="108" t="inlineStr">
        <is>
          <t>Preferred Stock - Non-Redeemable</t>
        </is>
      </c>
      <c r="Q86" s="119" t="n">
        <v>1</v>
      </c>
      <c r="S86" s="108" t="inlineStr">
        <is>
          <t>Foreign Currency Translation Adjustment - Accumulated</t>
        </is>
      </c>
      <c r="T86" s="134" t="n">
        <v>17051.44</v>
      </c>
      <c r="V86" s="115" t="inlineStr">
        <is>
          <t>Total Liabilities</t>
        </is>
      </c>
      <c r="W86" s="116" t="n"/>
    </row>
    <row r="87">
      <c r="A87" s="133" t="inlineStr">
        <is>
          <t>Debt - Non-Convertible - Long-Term</t>
        </is>
      </c>
      <c r="B87" s="132" t="n">
        <v>4361.7</v>
      </c>
      <c r="C87" s="132" t="n">
        <v>4906.9</v>
      </c>
      <c r="D87" s="132" t="n">
        <v>3877.3</v>
      </c>
      <c r="E87" s="132" t="n">
        <v>3875.2</v>
      </c>
      <c r="F87" s="132" t="n">
        <v>3874.8</v>
      </c>
      <c r="G87" s="153" t="n"/>
      <c r="H87" s="153" t="n"/>
      <c r="J87" s="108" t="inlineStr">
        <is>
          <t>Common Equity Attributable to Parent Shareholders</t>
        </is>
      </c>
      <c r="K87" s="134" t="n">
        <v>10032</v>
      </c>
      <c r="M87" s="115" t="inlineStr">
        <is>
          <t>Total Liabilities &amp; Shareholders' Equity</t>
        </is>
      </c>
      <c r="N87" s="116" t="n"/>
      <c r="P87" s="108" t="inlineStr">
        <is>
          <t>Common Equity Attributable to Parent Shareholders</t>
        </is>
      </c>
      <c r="Q87" s="134" t="n">
        <v>24003</v>
      </c>
      <c r="S87" s="108" t="inlineStr">
        <is>
          <t>Comprehensive Income - Pension Liabilities</t>
        </is>
      </c>
      <c r="T87" s="139" t="n">
        <v>-7152</v>
      </c>
      <c r="V87" s="136" t="inlineStr">
        <is>
          <t>Total Liabilities</t>
        </is>
      </c>
      <c r="W87" s="137" t="n">
        <v>1807.89</v>
      </c>
    </row>
    <row r="88">
      <c r="A88" s="133" t="inlineStr">
        <is>
          <t>Capitalized Lease Obligations - Long-Term</t>
        </is>
      </c>
      <c r="B88" s="135" t="n">
        <v>5</v>
      </c>
      <c r="C88" s="135" t="n">
        <v>9.699999999999999</v>
      </c>
      <c r="D88" s="135" t="n">
        <v>16.6</v>
      </c>
      <c r="E88" s="135" t="n">
        <v>34.8</v>
      </c>
      <c r="F88" s="135" t="n">
        <v>60.5</v>
      </c>
      <c r="G88" s="152" t="n"/>
      <c r="H88" s="152" t="n"/>
      <c r="J88" s="108" t="inlineStr">
        <is>
          <t>Common Equity - Contributed</t>
        </is>
      </c>
      <c r="K88" s="118" t="n">
        <v>3570</v>
      </c>
      <c r="M88" s="136" t="inlineStr">
        <is>
          <t>Total Liabilities &amp; Equity</t>
        </is>
      </c>
      <c r="N88" s="137" t="n">
        <v>3650.11</v>
      </c>
      <c r="P88" s="108" t="inlineStr">
        <is>
          <t>Common Stock - Treasury/Repurchased</t>
        </is>
      </c>
      <c r="Q88" s="118" t="n">
        <v>2016</v>
      </c>
      <c r="S88" s="108" t="inlineStr">
        <is>
          <t>Comprehensive Income - Other - Total</t>
        </is>
      </c>
      <c r="T88" s="146" t="n">
        <v>-10240.82</v>
      </c>
      <c r="V88" s="115" t="inlineStr">
        <is>
          <t>Shareholders' Equity</t>
        </is>
      </c>
      <c r="W88" s="116" t="n"/>
    </row>
    <row r="89">
      <c r="A89" s="131" t="inlineStr">
        <is>
          <t>Deferred Tax &amp; Investment Tax Credits - Long-Term</t>
        </is>
      </c>
      <c r="B89" s="132" t="n">
        <v>1358.3</v>
      </c>
      <c r="C89" s="132" t="n">
        <v>1336.5</v>
      </c>
      <c r="D89" s="132" t="n">
        <v>1028.9</v>
      </c>
      <c r="E89" s="132" t="n">
        <v>1072.8</v>
      </c>
      <c r="F89" s="132" t="n">
        <v>1005.9</v>
      </c>
      <c r="G89" s="153" t="n"/>
      <c r="H89" s="153" t="n"/>
      <c r="J89" s="108" t="inlineStr">
        <is>
          <t>Common Stock - Issued &amp; Paid</t>
        </is>
      </c>
      <c r="K89" s="119" t="n">
        <v>1</v>
      </c>
      <c r="M89" s="115" t="inlineStr">
        <is>
          <t>Share/Per Share - Common</t>
        </is>
      </c>
      <c r="N89" s="116" t="n"/>
      <c r="P89" s="108" t="inlineStr">
        <is>
          <t>Common Equity - Contributed</t>
        </is>
      </c>
      <c r="Q89" s="118" t="n">
        <v>683</v>
      </c>
      <c r="S89" s="108" t="inlineStr">
        <is>
          <t>Common Equity - Total</t>
        </is>
      </c>
      <c r="T89" s="134" t="n">
        <v>13314.01</v>
      </c>
      <c r="V89" s="117" t="inlineStr">
        <is>
          <t>Shareholders' Equity - Attributable to Parent Shareholders - Total</t>
        </is>
      </c>
      <c r="W89" s="118" t="n">
        <v>1456.7</v>
      </c>
    </row>
    <row r="90">
      <c r="A90" s="133" t="inlineStr">
        <is>
          <t>Deferred Tax - Liability - Long-Term</t>
        </is>
      </c>
      <c r="B90" s="132" t="n">
        <v>1358.3</v>
      </c>
      <c r="C90" s="132" t="n">
        <v>1336.5</v>
      </c>
      <c r="D90" s="132" t="n">
        <v>1028.9</v>
      </c>
      <c r="E90" s="132" t="n">
        <v>1072.8</v>
      </c>
      <c r="F90" s="132" t="n">
        <v>1005.9</v>
      </c>
      <c r="G90" s="153" t="n"/>
      <c r="H90" s="153" t="n"/>
      <c r="J90" s="108" t="inlineStr">
        <is>
          <t>Common Stock - Additional Paid in Capital including Option Reserve</t>
        </is>
      </c>
      <c r="K90" s="118" t="n">
        <v>3569</v>
      </c>
      <c r="M90" s="117" t="inlineStr">
        <is>
          <t>Common Shares - Issued - Total</t>
        </is>
      </c>
      <c r="N90" s="119" t="n">
        <v>57.1</v>
      </c>
      <c r="P90" s="108" t="inlineStr">
        <is>
          <t>Common Stock - Issued &amp; Paid</t>
        </is>
      </c>
      <c r="Q90" s="118" t="n">
        <v>286</v>
      </c>
      <c r="S90" s="117" t="inlineStr">
        <is>
          <t>Minority Interest - Equity</t>
        </is>
      </c>
      <c r="T90" s="118" t="n">
        <v>307.67</v>
      </c>
      <c r="V90" s="108" t="inlineStr">
        <is>
          <t>Preferred Shareholders Equity</t>
        </is>
      </c>
      <c r="W90" s="134" t="n">
        <v>0</v>
      </c>
    </row>
    <row r="91">
      <c r="A91" s="131" t="inlineStr">
        <is>
          <t>Operating Lease Liabilities - Long-Term</t>
        </is>
      </c>
      <c r="B91" s="132" t="n">
        <v>522.6</v>
      </c>
      <c r="C91" s="132" t="n">
        <v>521.4</v>
      </c>
      <c r="D91" s="132" t="n">
        <v>507.4</v>
      </c>
      <c r="E91" s="132" t="n">
        <v>548.4</v>
      </c>
      <c r="F91" s="132" t="n">
        <v>642.5</v>
      </c>
      <c r="G91" s="153" t="n"/>
      <c r="H91" s="153" t="n"/>
      <c r="J91" s="108" t="inlineStr">
        <is>
          <t>Equity - Non-Contributed - Reserves &amp; Retained Earnings</t>
        </is>
      </c>
      <c r="K91" s="118" t="n">
        <v>6462</v>
      </c>
      <c r="M91" s="108" t="inlineStr">
        <is>
          <t>Common Shares - Outstanding - Total</t>
        </is>
      </c>
      <c r="N91" s="119" t="n">
        <v>56.66</v>
      </c>
      <c r="P91" s="108" t="inlineStr">
        <is>
          <t>Common Stock - Additional Paid in Capital including Option Reserve</t>
        </is>
      </c>
      <c r="Q91" s="118" t="n">
        <v>397</v>
      </c>
      <c r="S91" s="115" t="inlineStr">
        <is>
          <t>Total Shareholders' Equity</t>
        </is>
      </c>
      <c r="T91" s="116" t="n"/>
      <c r="V91" s="108" t="inlineStr">
        <is>
          <t>Preferred Stock - Non-Redeemable</t>
        </is>
      </c>
      <c r="W91" s="134" t="n">
        <v>0</v>
      </c>
    </row>
    <row r="92">
      <c r="A92" s="131" t="inlineStr">
        <is>
          <t>Other Non-Current Liabilities - Total</t>
        </is>
      </c>
      <c r="B92" s="132" t="n">
        <v>947.8</v>
      </c>
      <c r="C92" s="132" t="n">
        <v>948.7</v>
      </c>
      <c r="D92" s="132" t="n">
        <v>810</v>
      </c>
      <c r="E92" s="132" t="n">
        <v>794.6</v>
      </c>
      <c r="F92" s="132" t="n">
        <v>761.9</v>
      </c>
      <c r="G92" s="153" t="n"/>
      <c r="H92" s="153" t="n"/>
      <c r="J92" s="108" t="inlineStr">
        <is>
          <t>Retained Earnings - Total</t>
        </is>
      </c>
      <c r="K92" s="118" t="n">
        <v>6402</v>
      </c>
      <c r="M92" s="108" t="inlineStr">
        <is>
          <t>Common Shares - Treasury - Total</t>
        </is>
      </c>
      <c r="N92" s="119" t="n">
        <v>0.43</v>
      </c>
      <c r="P92" s="108" t="inlineStr">
        <is>
          <t>Equity - Non-Contributed - Reserves &amp; Retained Earnings</t>
        </is>
      </c>
      <c r="Q92" s="134" t="n">
        <v>25336</v>
      </c>
      <c r="S92" s="136" t="inlineStr">
        <is>
          <t>Total Shareholders' Equity - including Minority Interest &amp; Hybrid Debt</t>
        </is>
      </c>
      <c r="T92" s="140" t="n">
        <v>13621.68</v>
      </c>
      <c r="V92" s="108" t="inlineStr">
        <is>
          <t>Preferred Stock - Convertible - Non-Redeemable</t>
        </is>
      </c>
      <c r="W92" s="134" t="n">
        <v>0</v>
      </c>
    </row>
    <row r="93">
      <c r="A93" s="133" t="inlineStr">
        <is>
          <t>Provisions - Long-Term</t>
        </is>
      </c>
      <c r="B93" s="132" t="n">
        <v>520.7</v>
      </c>
      <c r="C93" s="132" t="n">
        <v>502.6</v>
      </c>
      <c r="D93" s="132" t="n">
        <v>407.7</v>
      </c>
      <c r="E93" s="132" t="n">
        <v>393.5</v>
      </c>
      <c r="F93" s="132" t="n">
        <v>421.5</v>
      </c>
      <c r="G93" s="153" t="n"/>
      <c r="H93" s="153" t="n"/>
      <c r="J93" s="108" t="inlineStr">
        <is>
          <t>Comprehensive Income - Accumulated - Total</t>
        </is>
      </c>
      <c r="K93" s="119" t="n">
        <v>60</v>
      </c>
      <c r="M93" s="117" t="inlineStr">
        <is>
          <t>Common Shares - Authorized - Issue Specific</t>
        </is>
      </c>
      <c r="N93" s="118" t="n">
        <v>300</v>
      </c>
      <c r="P93" s="108" t="inlineStr">
        <is>
          <t>Retained Earnings - Total</t>
        </is>
      </c>
      <c r="Q93" s="134" t="n">
        <v>25593</v>
      </c>
      <c r="S93" s="115" t="inlineStr">
        <is>
          <t>Total Liabilities &amp; Shareholders' Equity</t>
        </is>
      </c>
      <c r="T93" s="116" t="n"/>
      <c r="V93" s="108" t="inlineStr">
        <is>
          <t>Common Equity Attributable to Parent Shareholders</t>
        </is>
      </c>
      <c r="W93" s="118" t="n">
        <v>1456.7</v>
      </c>
    </row>
    <row r="94">
      <c r="A94" s="133" t="inlineStr">
        <is>
          <t>Post Employment Benefits - Pension &amp; Other - Long-Term</t>
        </is>
      </c>
      <c r="B94" s="135" t="n">
        <v>64.2</v>
      </c>
      <c r="C94" s="135" t="n">
        <v>75.2</v>
      </c>
      <c r="D94" s="135" t="n">
        <v>83.59999999999999</v>
      </c>
      <c r="E94" s="135" t="n">
        <v>82.2</v>
      </c>
      <c r="F94" s="132" t="n">
        <v>106.3</v>
      </c>
      <c r="G94" s="153" t="n"/>
      <c r="H94" s="153" t="n"/>
      <c r="J94" s="108" t="inlineStr">
        <is>
          <t>Foreign Currency Translation Adjustment - Accumulated</t>
        </is>
      </c>
      <c r="K94" s="145" t="n">
        <v>-2</v>
      </c>
      <c r="M94" s="117" t="inlineStr">
        <is>
          <t>Common Shares - Issued - Issue Specific</t>
        </is>
      </c>
      <c r="N94" s="119" t="n">
        <v>57.1</v>
      </c>
      <c r="P94" s="108" t="inlineStr">
        <is>
          <t>Comprehensive Income - Accumulated - Total</t>
        </is>
      </c>
      <c r="Q94" s="139" t="n">
        <v>-257</v>
      </c>
      <c r="S94" s="136" t="inlineStr">
        <is>
          <t>Total Liabilities &amp; Equity</t>
        </is>
      </c>
      <c r="T94" s="140" t="n">
        <v>28965.51</v>
      </c>
      <c r="V94" s="108" t="inlineStr">
        <is>
          <t>Common Equity - Contributed</t>
        </is>
      </c>
      <c r="W94" s="119" t="n">
        <v>0.33</v>
      </c>
    </row>
    <row r="95">
      <c r="A95" s="133" t="inlineStr">
        <is>
          <t>Asset Retirement Obligation - Long-Term</t>
        </is>
      </c>
      <c r="B95" s="132" t="n">
        <v>456.5</v>
      </c>
      <c r="C95" s="132" t="n">
        <v>427.4</v>
      </c>
      <c r="D95" s="132" t="n">
        <v>324.1</v>
      </c>
      <c r="E95" s="132" t="n">
        <v>311.3</v>
      </c>
      <c r="F95" s="132" t="n">
        <v>315.2</v>
      </c>
      <c r="G95" s="153" t="n"/>
      <c r="H95" s="153" t="n"/>
      <c r="J95" s="108" t="inlineStr">
        <is>
          <t>Comprehensive Income - Pension Liabilities</t>
        </is>
      </c>
      <c r="K95" s="119" t="n">
        <v>62</v>
      </c>
      <c r="M95" s="108" t="inlineStr">
        <is>
          <t>Common Shares - Outstanding - Issue Specific</t>
        </is>
      </c>
      <c r="N95" s="119" t="n">
        <v>56.66</v>
      </c>
      <c r="P95" s="108" t="inlineStr">
        <is>
          <t>Hedging Reserves</t>
        </is>
      </c>
      <c r="Q95" s="145" t="n">
        <v>-48</v>
      </c>
      <c r="S95" s="115" t="inlineStr">
        <is>
          <t>Share/Per Share - Common</t>
        </is>
      </c>
      <c r="T95" s="116" t="n"/>
      <c r="V95" s="108" t="inlineStr">
        <is>
          <t>Common Stock - Issued &amp; Paid</t>
        </is>
      </c>
      <c r="W95" s="119" t="n">
        <v>0.33</v>
      </c>
    </row>
    <row r="96">
      <c r="A96" s="133" t="inlineStr">
        <is>
          <t>Deferred Revenue - Long-Term</t>
        </is>
      </c>
      <c r="B96" s="132" t="n">
        <v>130.6</v>
      </c>
      <c r="C96" s="132" t="n">
        <v>137.8</v>
      </c>
      <c r="D96" s="132" t="n">
        <v>145.3</v>
      </c>
      <c r="E96" s="132" t="n">
        <v>159.8</v>
      </c>
      <c r="F96" s="132" t="n">
        <v>167.1</v>
      </c>
      <c r="G96" s="153" t="n"/>
      <c r="H96" s="153" t="n"/>
      <c r="J96" s="108" t="inlineStr">
        <is>
          <t>Common Equity - Total</t>
        </is>
      </c>
      <c r="K96" s="134" t="n">
        <v>10032</v>
      </c>
      <c r="M96" s="108" t="inlineStr">
        <is>
          <t>Common Shares - Treasury - Issue Specific</t>
        </is>
      </c>
      <c r="N96" s="119" t="n">
        <v>0.43</v>
      </c>
      <c r="P96" s="108" t="inlineStr">
        <is>
          <t>Foreign Currency Translation Adjustment - Accumulated</t>
        </is>
      </c>
      <c r="Q96" s="139" t="n">
        <v>-187</v>
      </c>
      <c r="S96" s="117" t="inlineStr">
        <is>
          <t>Common Shares - Issued - Total</t>
        </is>
      </c>
      <c r="T96" s="134" t="n">
        <v>14508.33</v>
      </c>
      <c r="V96" s="108" t="inlineStr">
        <is>
          <t>Common Stock - Additional Paid in Capital including Option Reserve</t>
        </is>
      </c>
      <c r="W96" s="134" t="n">
        <v>0</v>
      </c>
    </row>
    <row r="97">
      <c r="A97" s="133" t="inlineStr">
        <is>
          <t>Other Non-Current Liabilities</t>
        </is>
      </c>
      <c r="B97" s="132" t="n">
        <v>296.5</v>
      </c>
      <c r="C97" s="132" t="n">
        <v>308.3</v>
      </c>
      <c r="D97" s="132" t="n">
        <v>257</v>
      </c>
      <c r="E97" s="132" t="n">
        <v>241.3</v>
      </c>
      <c r="F97" s="132" t="n">
        <v>173.3</v>
      </c>
      <c r="G97" s="153" t="n"/>
      <c r="H97" s="153" t="n"/>
      <c r="J97" s="117" t="inlineStr">
        <is>
          <t>Minority Interest - Equity</t>
        </is>
      </c>
      <c r="K97" s="119" t="n">
        <v>2</v>
      </c>
      <c r="M97" s="115" t="inlineStr">
        <is>
          <t>Share/Per Share - Other</t>
        </is>
      </c>
      <c r="N97" s="116" t="n"/>
      <c r="P97" s="108" t="inlineStr">
        <is>
          <t>Comprehensive Income - Pension Liabilities</t>
        </is>
      </c>
      <c r="Q97" s="145" t="n">
        <v>-22</v>
      </c>
      <c r="S97" s="108" t="inlineStr">
        <is>
          <t>Common Shares - Outstanding - Total</t>
        </is>
      </c>
      <c r="T97" s="134" t="n">
        <v>14508.33</v>
      </c>
      <c r="V97" s="108" t="inlineStr">
        <is>
          <t>Equity - Non-Contributed - Reserves &amp; Retained Earnings</t>
        </is>
      </c>
      <c r="W97" s="118" t="n">
        <v>1456.37</v>
      </c>
    </row>
    <row r="98">
      <c r="A98" s="131" t="inlineStr">
        <is>
          <t>Total Non-Current Liabilities</t>
        </is>
      </c>
      <c r="B98" s="132" t="n">
        <v>7195.4</v>
      </c>
      <c r="C98" s="132" t="n">
        <v>7723.2</v>
      </c>
      <c r="D98" s="132" t="n">
        <v>6240.2</v>
      </c>
      <c r="E98" s="132" t="n">
        <v>6325.8</v>
      </c>
      <c r="F98" s="132" t="n">
        <v>6345.6</v>
      </c>
      <c r="G98" s="153" t="n"/>
      <c r="H98" s="153" t="n"/>
      <c r="J98" s="115" t="inlineStr">
        <is>
          <t>Total Shareholders' Equity</t>
        </is>
      </c>
      <c r="K98" s="116" t="n"/>
      <c r="M98" s="117" t="inlineStr">
        <is>
          <t>Asset Allocation Factor - Issue Specific</t>
        </is>
      </c>
      <c r="N98" s="119" t="n">
        <v>1</v>
      </c>
      <c r="P98" s="108" t="inlineStr">
        <is>
          <t>Common Equity - Total</t>
        </is>
      </c>
      <c r="Q98" s="134" t="n">
        <v>24003</v>
      </c>
      <c r="S98" s="108" t="inlineStr">
        <is>
          <t>Common Shares - Treasury - Total</t>
        </is>
      </c>
      <c r="T98" s="134" t="n">
        <v>0</v>
      </c>
      <c r="V98" s="108" t="inlineStr">
        <is>
          <t>Retained Earnings - Total</t>
        </is>
      </c>
      <c r="W98" s="118" t="n">
        <v>1459.5</v>
      </c>
    </row>
    <row r="99">
      <c r="A99" s="129" t="inlineStr">
        <is>
          <t>Total Liabilities</t>
        </is>
      </c>
      <c r="B99" s="130" t="n"/>
      <c r="C99" s="130" t="n"/>
      <c r="D99" s="130" t="n"/>
      <c r="E99" s="130" t="n"/>
      <c r="F99" s="130" t="n"/>
      <c r="G99" s="151" t="n"/>
      <c r="H99" s="151" t="n"/>
      <c r="J99" s="136" t="inlineStr">
        <is>
          <t>Total Shareholders' Equity - including Minority Interest &amp; Hybrid Debt</t>
        </is>
      </c>
      <c r="K99" s="140" t="n">
        <v>10034</v>
      </c>
      <c r="M99" s="115" t="inlineStr">
        <is>
          <t>Right of Use Tangible Assets</t>
        </is>
      </c>
      <c r="N99" s="116" t="n"/>
      <c r="P99" s="117" t="inlineStr">
        <is>
          <t>Minority Interest - Equity</t>
        </is>
      </c>
      <c r="Q99" s="118" t="n">
        <v>1044</v>
      </c>
      <c r="S99" s="117" t="inlineStr">
        <is>
          <t>Common Shares - Issued - Issue Specific</t>
        </is>
      </c>
      <c r="T99" s="134" t="n">
        <v>29016.66</v>
      </c>
      <c r="V99" s="108" t="inlineStr">
        <is>
          <t>Comprehensive Income - Accumulated - Total</t>
        </is>
      </c>
      <c r="W99" s="145" t="n">
        <v>-3.12</v>
      </c>
    </row>
    <row r="100">
      <c r="A100" s="141" t="inlineStr">
        <is>
          <t>Total Liabilities</t>
        </is>
      </c>
      <c r="B100" s="142" t="n">
        <v>8151.5</v>
      </c>
      <c r="C100" s="142" t="n">
        <v>8962.299999999999</v>
      </c>
      <c r="D100" s="142" t="n">
        <v>7037.8</v>
      </c>
      <c r="E100" s="142" t="n">
        <v>7282.4</v>
      </c>
      <c r="F100" s="142" t="n">
        <v>7114.9</v>
      </c>
      <c r="G100" s="155" t="n"/>
      <c r="H100" s="155" t="n"/>
      <c r="J100" s="115" t="inlineStr">
        <is>
          <t>Total Liabilities &amp; Shareholders' Equity</t>
        </is>
      </c>
      <c r="K100" s="116" t="n"/>
      <c r="M100" s="117" t="inlineStr">
        <is>
          <t>Right of Use Tangible Assets - Total - Net - Supplemental</t>
        </is>
      </c>
      <c r="N100" s="119" t="n">
        <v>52.59</v>
      </c>
      <c r="P100" s="115" t="inlineStr">
        <is>
          <t>Total Shareholders' Equity</t>
        </is>
      </c>
      <c r="Q100" s="116" t="n"/>
      <c r="S100" s="108" t="inlineStr">
        <is>
          <t>Common Shares - Outstanding - Issue Specific</t>
        </is>
      </c>
      <c r="T100" s="134" t="n">
        <v>29016.66</v>
      </c>
      <c r="V100" s="108" t="inlineStr">
        <is>
          <t>Common Equity - Total</t>
        </is>
      </c>
      <c r="W100" s="118" t="n">
        <v>1456.7</v>
      </c>
    </row>
    <row r="101">
      <c r="A101" s="129" t="inlineStr">
        <is>
          <t>Shareholders' Equity</t>
        </is>
      </c>
      <c r="B101" s="130" t="n"/>
      <c r="C101" s="130" t="n"/>
      <c r="D101" s="130" t="n"/>
      <c r="E101" s="130" t="n"/>
      <c r="F101" s="130" t="n"/>
      <c r="G101" s="151" t="n"/>
      <c r="H101" s="151" t="n"/>
      <c r="J101" s="136" t="inlineStr">
        <is>
          <t>Total Liabilities &amp; Equity</t>
        </is>
      </c>
      <c r="K101" s="140" t="n">
        <v>18711</v>
      </c>
      <c r="M101" s="108" t="inlineStr">
        <is>
          <t>Right of Use Tangible Assets - Operating Lease - Net - Supplemental</t>
        </is>
      </c>
      <c r="N101" s="119" t="n">
        <v>52.59</v>
      </c>
      <c r="P101" s="136" t="inlineStr">
        <is>
          <t>Total Shareholders' Equity - including Minority Interest &amp; Hybrid Debt</t>
        </is>
      </c>
      <c r="Q101" s="140" t="n">
        <v>25048</v>
      </c>
      <c r="S101" s="108" t="inlineStr">
        <is>
          <t>Common Shares - Treasury - Issue Specific</t>
        </is>
      </c>
      <c r="T101" s="134" t="n">
        <v>0</v>
      </c>
      <c r="V101" s="115" t="inlineStr">
        <is>
          <t>Total Shareholders' Equity</t>
        </is>
      </c>
      <c r="W101" s="116" t="n"/>
    </row>
    <row r="102">
      <c r="A102" s="131" t="inlineStr">
        <is>
          <t>Shareholders' Equity - Attributable to Parent Shareholders - Total</t>
        </is>
      </c>
      <c r="B102" s="132" t="n">
        <v>8525.1</v>
      </c>
      <c r="C102" s="132" t="n">
        <v>8118.6</v>
      </c>
      <c r="D102" s="132" t="n">
        <v>7483.4</v>
      </c>
      <c r="E102" s="132" t="n">
        <v>6928.6</v>
      </c>
      <c r="F102" s="132" t="n">
        <v>6545</v>
      </c>
      <c r="G102" s="153" t="n"/>
      <c r="H102" s="153" t="n"/>
      <c r="J102" s="115" t="inlineStr">
        <is>
          <t>Share/Per Share - Common</t>
        </is>
      </c>
      <c r="K102" s="116" t="n"/>
      <c r="M102" s="117" t="inlineStr">
        <is>
          <t>Property, Plant &amp; Equipment - excluding Right of Use Tangible Assets &amp; Capital Leases - Net</t>
        </is>
      </c>
      <c r="N102" s="118" t="n">
        <v>2028.93</v>
      </c>
      <c r="P102" s="115" t="inlineStr">
        <is>
          <t>Total Liabilities &amp; Shareholders' Equity</t>
        </is>
      </c>
      <c r="Q102" s="116" t="n"/>
      <c r="S102" s="117" t="inlineStr">
        <is>
          <t>Common Shares - Issued - Issue Specific</t>
        </is>
      </c>
      <c r="T102" s="134" t="n">
        <v>14508.33</v>
      </c>
      <c r="V102" s="136" t="inlineStr">
        <is>
          <t>Total Shareholders' Equity - including Minority Interest &amp; Hybrid Debt</t>
        </is>
      </c>
      <c r="W102" s="137" t="n">
        <v>1456.7</v>
      </c>
    </row>
    <row r="103">
      <c r="A103" s="133" t="inlineStr">
        <is>
          <t>Common Equity Attributable to Parent Shareholders</t>
        </is>
      </c>
      <c r="B103" s="132" t="n">
        <v>8525.1</v>
      </c>
      <c r="C103" s="132" t="n">
        <v>8118.6</v>
      </c>
      <c r="D103" s="132" t="n">
        <v>7483.4</v>
      </c>
      <c r="E103" s="132" t="n">
        <v>6928.6</v>
      </c>
      <c r="F103" s="132" t="n">
        <v>6545</v>
      </c>
      <c r="G103" s="153" t="n"/>
      <c r="H103" s="153" t="n"/>
      <c r="J103" s="117" t="inlineStr">
        <is>
          <t>Common Shares - Issued - Total</t>
        </is>
      </c>
      <c r="K103" s="119" t="n">
        <v>60.31</v>
      </c>
      <c r="M103" s="115" t="inlineStr">
        <is>
          <t>Right of Use Liabilities</t>
        </is>
      </c>
      <c r="N103" s="116" t="n"/>
      <c r="P103" s="136" t="inlineStr">
        <is>
          <t>Total Liabilities &amp; Equity</t>
        </is>
      </c>
      <c r="Q103" s="140" t="n">
        <v>58329</v>
      </c>
      <c r="S103" s="108" t="inlineStr">
        <is>
          <t>Common Shares - Outstanding - Issue Specific</t>
        </is>
      </c>
      <c r="T103" s="134" t="n">
        <v>14508.33</v>
      </c>
      <c r="V103" s="115" t="inlineStr">
        <is>
          <t>Total Liabilities &amp; Shareholders' Equity</t>
        </is>
      </c>
      <c r="W103" s="116" t="n"/>
    </row>
    <row r="104">
      <c r="A104" s="133" t="inlineStr">
        <is>
          <t>Common Equity - Contributed</t>
        </is>
      </c>
      <c r="B104" s="132" t="n">
        <v>3060.6</v>
      </c>
      <c r="C104" s="132" t="n">
        <v>3032.2</v>
      </c>
      <c r="D104" s="132" t="n">
        <v>3012.2</v>
      </c>
      <c r="E104" s="132" t="n">
        <v>2971.9</v>
      </c>
      <c r="F104" s="132" t="n">
        <v>2949.2</v>
      </c>
      <c r="G104" s="153" t="n"/>
      <c r="H104" s="153" t="n"/>
      <c r="J104" s="108" t="inlineStr">
        <is>
          <t>Common Shares - Outstanding - Total</t>
        </is>
      </c>
      <c r="K104" s="119" t="n">
        <v>60.31</v>
      </c>
      <c r="M104" s="117" t="inlineStr">
        <is>
          <t>Total Operating Lease Liabilities</t>
        </is>
      </c>
      <c r="N104" s="119" t="n">
        <v>52.59</v>
      </c>
      <c r="P104" s="115" t="inlineStr">
        <is>
          <t>Share/Per Share - Common</t>
        </is>
      </c>
      <c r="Q104" s="116" t="n"/>
      <c r="S104" s="108" t="inlineStr">
        <is>
          <t>Common Shares - Treasury - Issue Specific</t>
        </is>
      </c>
      <c r="T104" s="134" t="n">
        <v>0</v>
      </c>
      <c r="V104" s="136" t="inlineStr">
        <is>
          <t>Total Liabilities &amp; Equity</t>
        </is>
      </c>
      <c r="W104" s="137" t="n">
        <v>3264.59</v>
      </c>
    </row>
    <row r="105">
      <c r="A105" s="133" t="inlineStr">
        <is>
          <t>Common Stock - Issued &amp; Paid</t>
        </is>
      </c>
      <c r="B105" s="132" t="n">
        <v>130.6</v>
      </c>
      <c r="C105" s="132" t="n">
        <v>132.1</v>
      </c>
      <c r="D105" s="132" t="n">
        <v>132.1</v>
      </c>
      <c r="E105" s="132" t="n">
        <v>132.9</v>
      </c>
      <c r="F105" s="132" t="n">
        <v>132.7</v>
      </c>
      <c r="G105" s="153" t="n"/>
      <c r="H105" s="153" t="n"/>
      <c r="J105" s="108" t="inlineStr">
        <is>
          <t>Common Shares - Treasury - Total</t>
        </is>
      </c>
      <c r="K105" s="134" t="n">
        <v>0</v>
      </c>
      <c r="M105" s="108" t="inlineStr">
        <is>
          <t>Operating Lease Liabilities - Current Portion/Short-Term - Supplemental</t>
        </is>
      </c>
      <c r="N105" s="119" t="n">
        <v>15.94</v>
      </c>
      <c r="P105" s="117" t="inlineStr">
        <is>
          <t>Common Shares - Issued - Total</t>
        </is>
      </c>
      <c r="Q105" s="118" t="n">
        <v>706.95</v>
      </c>
      <c r="S105" s="117" t="inlineStr">
        <is>
          <t>Common Shares - Issued - Issue Specific - DR</t>
        </is>
      </c>
      <c r="T105" s="118" t="n">
        <v>1450.83</v>
      </c>
      <c r="V105" s="115" t="inlineStr">
        <is>
          <t>Share/Per Share - Common</t>
        </is>
      </c>
      <c r="W105" s="116" t="n"/>
    </row>
    <row r="106">
      <c r="A106" s="133" t="inlineStr">
        <is>
          <t>Common Stock - Additional Paid in Capital including Option Reserve</t>
        </is>
      </c>
      <c r="B106" s="132" t="n">
        <v>2930</v>
      </c>
      <c r="C106" s="132" t="n">
        <v>2900.1</v>
      </c>
      <c r="D106" s="132" t="n">
        <v>2880.1</v>
      </c>
      <c r="E106" s="132" t="n">
        <v>2839</v>
      </c>
      <c r="F106" s="132" t="n">
        <v>2816.5</v>
      </c>
      <c r="G106" s="153" t="n"/>
      <c r="H106" s="153" t="n"/>
      <c r="J106" s="117" t="inlineStr">
        <is>
          <t>Common Shares - Authorized - Issue Specific</t>
        </is>
      </c>
      <c r="K106" s="118" t="n">
        <v>100</v>
      </c>
      <c r="M106" s="108" t="inlineStr">
        <is>
          <t>Operating Lease Liabilities - Long-Term - Supplemental</t>
        </is>
      </c>
      <c r="N106" s="119" t="n">
        <v>36.65</v>
      </c>
      <c r="P106" s="108" t="inlineStr">
        <is>
          <t>Common Shares - Outstanding - Total</t>
        </is>
      </c>
      <c r="Q106" s="118" t="n">
        <v>668.63</v>
      </c>
      <c r="S106" s="108" t="inlineStr">
        <is>
          <t>Common Shares - Outstanding - Issue Specific - DR</t>
        </is>
      </c>
      <c r="T106" s="118" t="n">
        <v>1450.83</v>
      </c>
      <c r="V106" s="117" t="inlineStr">
        <is>
          <t>Common Shares - Issued - Total</t>
        </is>
      </c>
      <c r="W106" s="119" t="n">
        <v>32.97</v>
      </c>
    </row>
    <row r="107">
      <c r="A107" s="133" t="inlineStr">
        <is>
          <t>Equity - Non-Contributed - Reserves &amp; Retained Earnings</t>
        </is>
      </c>
      <c r="B107" s="132" t="n">
        <v>5464.5</v>
      </c>
      <c r="C107" s="132" t="n">
        <v>5086.4</v>
      </c>
      <c r="D107" s="132" t="n">
        <v>4471.2</v>
      </c>
      <c r="E107" s="132" t="n">
        <v>3956.7</v>
      </c>
      <c r="F107" s="132" t="n">
        <v>3595.8</v>
      </c>
      <c r="G107" s="153" t="n"/>
      <c r="H107" s="153" t="n"/>
      <c r="J107" s="117" t="inlineStr">
        <is>
          <t>Common Shares - Issued - Issue Specific</t>
        </is>
      </c>
      <c r="K107" s="119" t="n">
        <v>60.31</v>
      </c>
      <c r="M107" s="117" t="inlineStr">
        <is>
          <t>Finance and Operating Lease Liabilities - Total</t>
        </is>
      </c>
      <c r="N107" s="119" t="n">
        <v>52.59</v>
      </c>
      <c r="P107" s="108" t="inlineStr">
        <is>
          <t>Common Shares - Treasury - Total</t>
        </is>
      </c>
      <c r="Q107" s="119" t="n">
        <v>38.32</v>
      </c>
      <c r="S107" s="108" t="inlineStr">
        <is>
          <t>Common Shares - Treasury - Issue Specific - DR</t>
        </is>
      </c>
      <c r="T107" s="134" t="n">
        <v>0</v>
      </c>
      <c r="V107" s="108" t="inlineStr">
        <is>
          <t>Common Shares - Outstanding - Total</t>
        </is>
      </c>
      <c r="W107" s="119" t="n">
        <v>32.97</v>
      </c>
    </row>
    <row r="108">
      <c r="A108" s="133" t="inlineStr">
        <is>
          <t>Retained Earnings - Total</t>
        </is>
      </c>
      <c r="B108" s="132" t="n">
        <v>5590.1</v>
      </c>
      <c r="C108" s="132" t="n">
        <v>5213.8</v>
      </c>
      <c r="D108" s="132" t="n">
        <v>4615</v>
      </c>
      <c r="E108" s="132" t="n">
        <v>4111.4</v>
      </c>
      <c r="F108" s="132" t="n">
        <v>3748.5</v>
      </c>
      <c r="G108" s="153" t="n"/>
      <c r="H108" s="153" t="n"/>
      <c r="J108" s="108" t="inlineStr">
        <is>
          <t>Common Shares - Outstanding - Issue Specific</t>
        </is>
      </c>
      <c r="K108" s="119" t="n">
        <v>60.31</v>
      </c>
      <c r="M108" s="117" t="inlineStr">
        <is>
          <t>Debt including Finance and Operating Lease Liabilities</t>
        </is>
      </c>
      <c r="N108" s="118" t="n">
        <v>1218.13</v>
      </c>
      <c r="P108" s="117" t="inlineStr">
        <is>
          <t>Common Shares - Authorized - Issue Specific</t>
        </is>
      </c>
      <c r="Q108" s="118" t="n">
        <v>1250</v>
      </c>
      <c r="S108" s="117" t="inlineStr">
        <is>
          <t>Common Shares - Issued - Issue Specific - CPO</t>
        </is>
      </c>
      <c r="T108" s="134" t="n">
        <v>14508.33</v>
      </c>
      <c r="V108" s="108" t="inlineStr">
        <is>
          <t>Common Shares - Treasury - Total</t>
        </is>
      </c>
      <c r="W108" s="134" t="n">
        <v>0</v>
      </c>
    </row>
    <row r="109">
      <c r="A109" s="133" t="inlineStr">
        <is>
          <t>Comprehensive Income - Accumulated - Total</t>
        </is>
      </c>
      <c r="B109" s="143" t="n">
        <v>-125.6</v>
      </c>
      <c r="C109" s="143" t="n">
        <v>-127.4</v>
      </c>
      <c r="D109" s="143" t="n">
        <v>-143.8</v>
      </c>
      <c r="E109" s="143" t="n">
        <v>-154.7</v>
      </c>
      <c r="F109" s="143" t="n">
        <v>-152.7</v>
      </c>
      <c r="G109" s="157" t="n"/>
      <c r="H109" s="157" t="n"/>
      <c r="J109" s="108" t="inlineStr">
        <is>
          <t>Common Shares - Treasury - Issue Specific</t>
        </is>
      </c>
      <c r="K109" s="134" t="n">
        <v>0</v>
      </c>
      <c r="M109" s="115" t="inlineStr">
        <is>
          <t>Long-Term &amp; Short-Term</t>
        </is>
      </c>
      <c r="N109" s="116" t="n"/>
      <c r="P109" s="117" t="inlineStr">
        <is>
          <t>Common Shares - Issued - Issue Specific</t>
        </is>
      </c>
      <c r="Q109" s="118" t="n">
        <v>706.95</v>
      </c>
      <c r="S109" s="108" t="inlineStr">
        <is>
          <t>Common Shares - Outstanding - Issue Specific - CPO</t>
        </is>
      </c>
      <c r="T109" s="134" t="n">
        <v>14508.33</v>
      </c>
      <c r="V109" s="117" t="inlineStr">
        <is>
          <t>Common Shares - Authorized - Issue Specific</t>
        </is>
      </c>
      <c r="W109" s="118" t="n">
        <v>100</v>
      </c>
    </row>
    <row r="110">
      <c r="A110" s="133" t="inlineStr">
        <is>
          <t>Hedging Reserves</t>
        </is>
      </c>
      <c r="B110" s="147" t="n">
        <v>-16</v>
      </c>
      <c r="C110" s="147" t="n">
        <v>-17.7</v>
      </c>
      <c r="D110" s="147" t="n">
        <v>-19.4</v>
      </c>
      <c r="E110" s="147" t="n">
        <v>-21</v>
      </c>
      <c r="F110" s="147" t="n">
        <v>-22.5</v>
      </c>
      <c r="G110" s="156" t="n"/>
      <c r="H110" s="156" t="n"/>
      <c r="J110" s="115" t="inlineStr">
        <is>
          <t>Share/Per Share - Other</t>
        </is>
      </c>
      <c r="K110" s="116" t="n"/>
      <c r="M110" s="117" t="inlineStr">
        <is>
          <t>Investments - Total</t>
        </is>
      </c>
      <c r="N110" s="119" t="n">
        <v>55.32</v>
      </c>
      <c r="P110" s="108" t="inlineStr">
        <is>
          <t>Common Shares - Outstanding - Issue Specific</t>
        </is>
      </c>
      <c r="Q110" s="118" t="n">
        <v>668.63</v>
      </c>
      <c r="S110" s="108" t="inlineStr">
        <is>
          <t>Common Shares - Treasury - Issue Specific - CPO</t>
        </is>
      </c>
      <c r="T110" s="134" t="n">
        <v>0</v>
      </c>
      <c r="V110" s="117" t="inlineStr">
        <is>
          <t>Common Shares - Issued - Issue Specific</t>
        </is>
      </c>
      <c r="W110" s="119" t="n">
        <v>32.97</v>
      </c>
    </row>
    <row r="111">
      <c r="A111" s="133" t="inlineStr">
        <is>
          <t>Comprehensive Income - Pension Liabilities</t>
        </is>
      </c>
      <c r="B111" s="143" t="n">
        <v>-109.6</v>
      </c>
      <c r="C111" s="143" t="n">
        <v>-109.7</v>
      </c>
      <c r="D111" s="143" t="n">
        <v>-124.4</v>
      </c>
      <c r="E111" s="143" t="n">
        <v>-133.7</v>
      </c>
      <c r="F111" s="143" t="n">
        <v>-130.2</v>
      </c>
      <c r="G111" s="157" t="n"/>
      <c r="H111" s="157" t="n"/>
      <c r="J111" s="117" t="inlineStr">
        <is>
          <t>Asset Allocation Factor - Issue Specific</t>
        </is>
      </c>
      <c r="K111" s="119" t="n">
        <v>1</v>
      </c>
      <c r="M111" s="117" t="inlineStr">
        <is>
          <t>Loans &amp; Receivables - Total</t>
        </is>
      </c>
      <c r="N111" s="118" t="n">
        <v>355.56</v>
      </c>
      <c r="P111" s="108" t="inlineStr">
        <is>
          <t>Common Shares - Treasury - Issue Specific</t>
        </is>
      </c>
      <c r="Q111" s="119" t="n">
        <v>38.32</v>
      </c>
      <c r="S111" s="115" t="inlineStr">
        <is>
          <t>Share/Per Share - Other</t>
        </is>
      </c>
      <c r="T111" s="116" t="n"/>
      <c r="V111" s="108" t="inlineStr">
        <is>
          <t>Common Shares - Outstanding - Issue Specific</t>
        </is>
      </c>
      <c r="W111" s="119" t="n">
        <v>32.97</v>
      </c>
    </row>
    <row r="112">
      <c r="A112" s="133" t="inlineStr">
        <is>
          <t>Common Equity - Total</t>
        </is>
      </c>
      <c r="B112" s="132" t="n">
        <v>8525.1</v>
      </c>
      <c r="C112" s="132" t="n">
        <v>8118.6</v>
      </c>
      <c r="D112" s="132" t="n">
        <v>7483.4</v>
      </c>
      <c r="E112" s="132" t="n">
        <v>6928.6</v>
      </c>
      <c r="F112" s="132" t="n">
        <v>6545</v>
      </c>
      <c r="G112" s="153" t="n"/>
      <c r="H112" s="153" t="n"/>
      <c r="J112" s="115" t="inlineStr">
        <is>
          <t>Right of Use Tangible Assets</t>
        </is>
      </c>
      <c r="K112" s="116" t="n"/>
      <c r="M112" s="108" t="inlineStr">
        <is>
          <t>Accounts &amp; Notes Receivable - Trade - Gross - Total</t>
        </is>
      </c>
      <c r="N112" s="118" t="n">
        <v>155.84</v>
      </c>
      <c r="P112" s="117" t="inlineStr">
        <is>
          <t>Common Shares - Issued - Issue Specific - DR</t>
        </is>
      </c>
      <c r="Q112" s="118" t="n">
        <v>706.95</v>
      </c>
      <c r="S112" s="117" t="inlineStr">
        <is>
          <t>Asset Allocation Factor - Issue Specific</t>
        </is>
      </c>
      <c r="T112" s="119" t="n">
        <v>0.67</v>
      </c>
      <c r="V112" s="108" t="inlineStr">
        <is>
          <t>Common Shares - Treasury - Issue Specific</t>
        </is>
      </c>
      <c r="W112" s="134" t="n">
        <v>0</v>
      </c>
    </row>
    <row r="113">
      <c r="A113" s="131" t="inlineStr">
        <is>
          <t>Minority Interest - Equity</t>
        </is>
      </c>
      <c r="B113" s="135" t="n">
        <v>23.8</v>
      </c>
      <c r="C113" s="135" t="n">
        <v>23.9</v>
      </c>
      <c r="D113" s="135" t="n">
        <v>24.5</v>
      </c>
      <c r="E113" s="135" t="n">
        <v>23.6</v>
      </c>
      <c r="F113" s="135" t="n">
        <v>22.7</v>
      </c>
      <c r="G113" s="152" t="n"/>
      <c r="H113" s="152" t="n"/>
      <c r="J113" s="117" t="inlineStr">
        <is>
          <t>Right of Use Tangible Assets - Total - Net - Supplemental</t>
        </is>
      </c>
      <c r="K113" s="118" t="n">
        <v>656</v>
      </c>
      <c r="M113" s="117" t="inlineStr">
        <is>
          <t>Payables &amp; Accrued Expenses</t>
        </is>
      </c>
      <c r="N113" s="118" t="n">
        <v>309.22</v>
      </c>
      <c r="P113" s="108" t="inlineStr">
        <is>
          <t>Common Shares - Outstanding - Issue Specific - DR</t>
        </is>
      </c>
      <c r="Q113" s="118" t="n">
        <v>668.63</v>
      </c>
      <c r="S113" s="117" t="inlineStr">
        <is>
          <t>Asset Allocation Factor - Issue Specific</t>
        </is>
      </c>
      <c r="T113" s="119" t="n">
        <v>0.33</v>
      </c>
      <c r="V113" s="115" t="inlineStr">
        <is>
          <t>Share/Per Share - Other</t>
        </is>
      </c>
      <c r="W113" s="116" t="n"/>
    </row>
    <row r="114">
      <c r="A114" s="129" t="inlineStr">
        <is>
          <t>Total Shareholders' Equity</t>
        </is>
      </c>
      <c r="B114" s="130" t="n"/>
      <c r="C114" s="130" t="n"/>
      <c r="D114" s="130" t="n"/>
      <c r="E114" s="130" t="n"/>
      <c r="F114" s="130" t="n"/>
      <c r="G114" s="151" t="n"/>
      <c r="H114" s="151" t="n"/>
      <c r="J114" s="108" t="inlineStr">
        <is>
          <t>Right of Use Tangible Assets - Operating Lease - Net - Supplemental</t>
        </is>
      </c>
      <c r="K114" s="118" t="n">
        <v>367</v>
      </c>
      <c r="M114" s="108" t="inlineStr">
        <is>
          <t>Trade Account Payables - Total</t>
        </is>
      </c>
      <c r="N114" s="118" t="n">
        <v>145.58</v>
      </c>
      <c r="P114" s="108" t="inlineStr">
        <is>
          <t>Common Shares - Treasury - Issue Specific - DR</t>
        </is>
      </c>
      <c r="Q114" s="119" t="n">
        <v>38.32</v>
      </c>
      <c r="S114" s="117" t="inlineStr">
        <is>
          <t>Asset Allocation Factor - Issue Specific</t>
        </is>
      </c>
      <c r="T114" s="119" t="n">
        <v>1</v>
      </c>
      <c r="V114" s="117" t="inlineStr">
        <is>
          <t>Asset Allocation Factor - Issue Specific</t>
        </is>
      </c>
      <c r="W114" s="119" t="n">
        <v>1</v>
      </c>
    </row>
    <row r="115">
      <c r="A115" s="141" t="inlineStr">
        <is>
          <t>Total Shareholders' Equity - including Minority Interest &amp; Hybrid Debt</t>
        </is>
      </c>
      <c r="B115" s="142" t="n">
        <v>8548.9</v>
      </c>
      <c r="C115" s="142" t="n">
        <v>8142.5</v>
      </c>
      <c r="D115" s="142" t="n">
        <v>7507.9</v>
      </c>
      <c r="E115" s="142" t="n">
        <v>6952.2</v>
      </c>
      <c r="F115" s="142" t="n">
        <v>6567.7</v>
      </c>
      <c r="G115" s="155" t="n"/>
      <c r="H115" s="155" t="n"/>
      <c r="J115" s="108" t="inlineStr">
        <is>
          <t>Right of Use Tangible Assets - Capital/Finance Lease - Net - Supplemental</t>
        </is>
      </c>
      <c r="K115" s="118" t="n">
        <v>289</v>
      </c>
      <c r="M115" s="108" t="inlineStr">
        <is>
          <t>Accrued Expenses</t>
        </is>
      </c>
      <c r="N115" s="118" t="n">
        <v>163.64</v>
      </c>
      <c r="P115" s="115" t="inlineStr">
        <is>
          <t>Share/Per Share - Preferred</t>
        </is>
      </c>
      <c r="Q115" s="116" t="n"/>
      <c r="S115" s="117" t="inlineStr">
        <is>
          <t>Asset Allocation Factor - Issue Specific</t>
        </is>
      </c>
      <c r="T115" s="119" t="n">
        <v>1</v>
      </c>
      <c r="V115" s="115" t="inlineStr">
        <is>
          <t>Right of Use Tangible Assets</t>
        </is>
      </c>
      <c r="W115" s="116" t="n"/>
    </row>
    <row r="116">
      <c r="A116" s="129" t="inlineStr">
        <is>
          <t>Total Liabilities &amp; Shareholders' Equity</t>
        </is>
      </c>
      <c r="B116" s="130" t="n"/>
      <c r="C116" s="130" t="n"/>
      <c r="D116" s="130" t="n"/>
      <c r="E116" s="130" t="n"/>
      <c r="F116" s="130" t="n"/>
      <c r="G116" s="151" t="n"/>
      <c r="H116" s="151" t="n"/>
      <c r="J116" s="117" t="inlineStr">
        <is>
          <t>Property, Plant &amp; Equipment - excluding Right of Use Tangible Assets &amp; Capital Leases - Net</t>
        </is>
      </c>
      <c r="K116" s="134" t="n">
        <v>10001</v>
      </c>
      <c r="M116" s="117" t="inlineStr">
        <is>
          <t>Contract Assets - Short-Term - Unbilled Revenue in Excess of Advance Consideration &amp; Progress Billings</t>
        </is>
      </c>
      <c r="N116" s="118" t="n">
        <v>204.91</v>
      </c>
      <c r="P116" s="117" t="inlineStr">
        <is>
          <t>Preferred Shares - Authorized - Issue Specific</t>
        </is>
      </c>
      <c r="Q116" s="119" t="n">
        <v>0.15</v>
      </c>
      <c r="S116" s="115" t="inlineStr">
        <is>
          <t>Right of Use Tangible Assets</t>
        </is>
      </c>
      <c r="T116" s="116" t="n"/>
      <c r="V116" s="117" t="inlineStr">
        <is>
          <t>Right of Use Tangible Assets - Total - Net - Supplemental</t>
        </is>
      </c>
      <c r="W116" s="119" t="n">
        <v>29.31</v>
      </c>
    </row>
    <row r="117">
      <c r="A117" s="141" t="inlineStr">
        <is>
          <t>Total Liabilities &amp; Equity</t>
        </is>
      </c>
      <c r="B117" s="144" t="n">
        <v>16700.4</v>
      </c>
      <c r="C117" s="144" t="n">
        <v>17104.8</v>
      </c>
      <c r="D117" s="144" t="n">
        <v>14545.7</v>
      </c>
      <c r="E117" s="144" t="n">
        <v>14234.6</v>
      </c>
      <c r="F117" s="144" t="n">
        <v>13682.6</v>
      </c>
      <c r="G117" s="171" t="n"/>
      <c r="H117" s="171" t="n"/>
      <c r="J117" s="115" t="inlineStr">
        <is>
          <t>Right of Use Liabilities</t>
        </is>
      </c>
      <c r="K117" s="116" t="n"/>
      <c r="M117" s="115" t="inlineStr">
        <is>
          <t>Debt Related</t>
        </is>
      </c>
      <c r="N117" s="116" t="n"/>
      <c r="P117" s="117" t="inlineStr">
        <is>
          <t>Preferred Shares - Authorized - Issue Specific</t>
        </is>
      </c>
      <c r="Q117" s="119" t="n">
        <v>0.87</v>
      </c>
      <c r="S117" s="117" t="inlineStr">
        <is>
          <t>Right of Use Tangible Assets - Total - Net - Supplemental</t>
        </is>
      </c>
      <c r="T117" s="118" t="n">
        <v>1114.39</v>
      </c>
      <c r="V117" s="108" t="inlineStr">
        <is>
          <t>Right of Use Tangible Assets - Operating Lease - Net - Supplemental</t>
        </is>
      </c>
      <c r="W117" s="119" t="n">
        <v>29.31</v>
      </c>
    </row>
    <row r="118">
      <c r="A118" s="129" t="inlineStr">
        <is>
          <t>Share/Per Share - Common</t>
        </is>
      </c>
      <c r="B118" s="130" t="n"/>
      <c r="C118" s="130" t="n"/>
      <c r="D118" s="130" t="n"/>
      <c r="E118" s="130" t="n"/>
      <c r="F118" s="130" t="n"/>
      <c r="G118" s="151" t="n"/>
      <c r="H118" s="151" t="n"/>
      <c r="J118" s="117" t="inlineStr">
        <is>
          <t>Total Operating Lease Liabilities</t>
        </is>
      </c>
      <c r="K118" s="118" t="n">
        <v>382</v>
      </c>
      <c r="M118" s="117" t="inlineStr">
        <is>
          <t>Net Debt</t>
        </is>
      </c>
      <c r="N118" s="118" t="n">
        <v>1042.12</v>
      </c>
      <c r="P118" s="117" t="inlineStr">
        <is>
          <t>Preferred Shares - Issued - Issue Specific</t>
        </is>
      </c>
      <c r="Q118" s="119" t="n">
        <v>0.05</v>
      </c>
      <c r="S118" s="108" t="inlineStr">
        <is>
          <t>Right of Use Tangible Assets - Capital/Finance Lease - Net - Supplemental</t>
        </is>
      </c>
      <c r="T118" s="118" t="n">
        <v>1114.39</v>
      </c>
      <c r="V118" s="117" t="inlineStr">
        <is>
          <t>Property, Plant &amp; Equipment - excluding Right of Use Tangible Assets &amp; Capital Leases - Net</t>
        </is>
      </c>
      <c r="W118" s="118" t="n">
        <v>1792.98</v>
      </c>
    </row>
    <row r="119">
      <c r="A119" s="131" t="inlineStr">
        <is>
          <t>Common Shares - Issued - Total</t>
        </is>
      </c>
      <c r="B119" s="132" t="n">
        <v>130.6</v>
      </c>
      <c r="C119" s="132" t="n">
        <v>132.1</v>
      </c>
      <c r="D119" s="132" t="n">
        <v>132.1</v>
      </c>
      <c r="E119" s="132" t="n">
        <v>132.9</v>
      </c>
      <c r="F119" s="132" t="n">
        <v>132.7</v>
      </c>
      <c r="G119" s="153" t="n"/>
      <c r="H119" s="153" t="n"/>
      <c r="J119" s="108" t="inlineStr">
        <is>
          <t>Operating Lease Liabilities - Current Portion/Short-Term - Supplemental</t>
        </is>
      </c>
      <c r="K119" s="119" t="n">
        <v>62</v>
      </c>
      <c r="M119" s="117" t="inlineStr">
        <is>
          <t>Debt - Total</t>
        </is>
      </c>
      <c r="N119" s="118" t="n">
        <v>1165.54</v>
      </c>
      <c r="P119" s="108" t="inlineStr">
        <is>
          <t>Preferred Shares - Outstanding - Issue Specific</t>
        </is>
      </c>
      <c r="Q119" s="119" t="n">
        <v>0.05</v>
      </c>
      <c r="S119" s="117" t="inlineStr">
        <is>
          <t>Property, Plant &amp; Equipment - excluding Right of Use Tangible Assets &amp; Capital Leases - Net</t>
        </is>
      </c>
      <c r="T119" s="134" t="n">
        <v>11054.09</v>
      </c>
      <c r="V119" s="115" t="inlineStr">
        <is>
          <t>Right of Use Liabilities</t>
        </is>
      </c>
      <c r="W119" s="116" t="n"/>
    </row>
    <row r="120">
      <c r="A120" s="133" t="inlineStr">
        <is>
          <t>Common Shares - Outstanding - Total</t>
        </is>
      </c>
      <c r="B120" s="132" t="n">
        <v>130.6</v>
      </c>
      <c r="C120" s="132" t="n">
        <v>132.1</v>
      </c>
      <c r="D120" s="132" t="n">
        <v>132.1</v>
      </c>
      <c r="E120" s="132" t="n">
        <v>132.9</v>
      </c>
      <c r="F120" s="132" t="n">
        <v>132.7</v>
      </c>
      <c r="G120" s="153" t="n"/>
      <c r="H120" s="153" t="n"/>
      <c r="J120" s="108" t="inlineStr">
        <is>
          <t>Operating Lease Liabilities - Long-Term - Supplemental</t>
        </is>
      </c>
      <c r="K120" s="118" t="n">
        <v>320</v>
      </c>
      <c r="M120" s="115" t="inlineStr">
        <is>
          <t>Debt Maturity</t>
        </is>
      </c>
      <c r="N120" s="116" t="n"/>
      <c r="P120" s="108" t="inlineStr">
        <is>
          <t>Preferred Shares - Treasury - Issue Specific</t>
        </is>
      </c>
      <c r="Q120" s="134" t="n">
        <v>0</v>
      </c>
      <c r="S120" s="115" t="inlineStr">
        <is>
          <t>Right of Use Liabilities</t>
        </is>
      </c>
      <c r="T120" s="116" t="n"/>
      <c r="V120" s="117" t="inlineStr">
        <is>
          <t>Total Operating Lease Liabilities</t>
        </is>
      </c>
      <c r="W120" s="119" t="n">
        <v>37.63</v>
      </c>
    </row>
    <row r="121">
      <c r="A121" s="133" t="inlineStr">
        <is>
          <t>Common Shares - Treasury - Total</t>
        </is>
      </c>
      <c r="B121" s="138" t="n">
        <v>0</v>
      </c>
      <c r="C121" s="138" t="n">
        <v>0</v>
      </c>
      <c r="D121" s="138" t="n">
        <v>0</v>
      </c>
      <c r="E121" s="138" t="n">
        <v>0</v>
      </c>
      <c r="F121" s="138" t="n">
        <v>0</v>
      </c>
      <c r="G121" s="154" t="n"/>
      <c r="H121" s="154" t="n"/>
      <c r="J121" s="117" t="inlineStr">
        <is>
          <t>Finance and Operating Lease Liabilities - Total</t>
        </is>
      </c>
      <c r="K121" s="118" t="n">
        <v>684</v>
      </c>
      <c r="M121" s="117" t="inlineStr">
        <is>
          <t>Debt - Long-Term - Maturities - Total</t>
        </is>
      </c>
      <c r="N121" s="118" t="n">
        <v>1181.14</v>
      </c>
      <c r="P121" s="117" t="inlineStr">
        <is>
          <t>Preferred Shares - Issued - Issue Specific</t>
        </is>
      </c>
      <c r="Q121" s="119" t="n">
        <v>0.87</v>
      </c>
      <c r="S121" s="117" t="inlineStr">
        <is>
          <t>Finance and Operating Lease Liabilities - Total</t>
        </is>
      </c>
      <c r="T121" s="118" t="n">
        <v>1135.63</v>
      </c>
      <c r="V121" s="108" t="inlineStr">
        <is>
          <t>Operating Lease Liabilities - Current Portion/Short-Term - Supplemental</t>
        </is>
      </c>
      <c r="W121" s="119" t="n">
        <v>4.03</v>
      </c>
    </row>
    <row r="122">
      <c r="A122" s="131" t="inlineStr">
        <is>
          <t>Common Shares - Authorized - Issue Specific</t>
        </is>
      </c>
      <c r="B122" s="132" t="n">
        <v>480</v>
      </c>
      <c r="C122" s="132" t="n">
        <v>480</v>
      </c>
      <c r="D122" s="132" t="n">
        <v>480</v>
      </c>
      <c r="E122" s="132" t="n">
        <v>480</v>
      </c>
      <c r="F122" s="132" t="n">
        <v>480</v>
      </c>
      <c r="G122" s="153" t="n"/>
      <c r="H122" s="153" t="n"/>
      <c r="J122" s="117" t="inlineStr">
        <is>
          <t>Debt including Finance and Operating Lease Liabilities</t>
        </is>
      </c>
      <c r="K122" s="118" t="n">
        <v>6007</v>
      </c>
      <c r="M122" s="108" t="inlineStr">
        <is>
          <t>Debt - Long-Term - Maturities - within 1 Year</t>
        </is>
      </c>
      <c r="N122" s="119" t="n">
        <v>11.71</v>
      </c>
      <c r="P122" s="108" t="inlineStr">
        <is>
          <t>Preferred Shares - Outstanding - Issue Specific</t>
        </is>
      </c>
      <c r="Q122" s="119" t="n">
        <v>0.87</v>
      </c>
      <c r="S122" s="117" t="inlineStr">
        <is>
          <t>Debt including Finance and Operating Lease Liabilities</t>
        </is>
      </c>
      <c r="T122" s="118" t="n">
        <v>6779.99</v>
      </c>
      <c r="V122" s="108" t="inlineStr">
        <is>
          <t>Operating Lease Liabilities - Long-Term - Supplemental</t>
        </is>
      </c>
      <c r="W122" s="119" t="n">
        <v>33.6</v>
      </c>
    </row>
    <row r="123">
      <c r="A123" s="131" t="inlineStr">
        <is>
          <t>Common Shares - Issued - Issue Specific</t>
        </is>
      </c>
      <c r="B123" s="132" t="n">
        <v>130.6</v>
      </c>
      <c r="C123" s="132" t="n">
        <v>132.1</v>
      </c>
      <c r="D123" s="132" t="n">
        <v>132.1</v>
      </c>
      <c r="E123" s="132" t="n">
        <v>132.9</v>
      </c>
      <c r="F123" s="132" t="n">
        <v>132.7</v>
      </c>
      <c r="G123" s="153" t="n"/>
      <c r="H123" s="153" t="n"/>
      <c r="J123" s="115" t="inlineStr">
        <is>
          <t>Long-Term &amp; Short-Term</t>
        </is>
      </c>
      <c r="K123" s="116" t="n"/>
      <c r="M123" s="108" t="inlineStr">
        <is>
          <t>Debt - Long-Term - Maturities - Year 2</t>
        </is>
      </c>
      <c r="N123" s="119" t="n">
        <v>16.66</v>
      </c>
      <c r="P123" s="108" t="inlineStr">
        <is>
          <t>Preferred Shares - Treasury - Issue Specific</t>
        </is>
      </c>
      <c r="Q123" s="134" t="n">
        <v>0</v>
      </c>
      <c r="S123" s="115" t="inlineStr">
        <is>
          <t>Long-Term &amp; Short-Term</t>
        </is>
      </c>
      <c r="T123" s="116" t="n"/>
      <c r="V123" s="117" t="inlineStr">
        <is>
          <t>Finance and Operating Lease Liabilities - Total</t>
        </is>
      </c>
      <c r="W123" s="119" t="n">
        <v>37.63</v>
      </c>
    </row>
    <row r="124">
      <c r="A124" s="133" t="inlineStr">
        <is>
          <t>Common Shares - Outstanding - Issue Specific</t>
        </is>
      </c>
      <c r="B124" s="132" t="n">
        <v>130.6</v>
      </c>
      <c r="C124" s="132" t="n">
        <v>132.1</v>
      </c>
      <c r="D124" s="132" t="n">
        <v>132.1</v>
      </c>
      <c r="E124" s="132" t="n">
        <v>132.9</v>
      </c>
      <c r="F124" s="132" t="n">
        <v>132.7</v>
      </c>
      <c r="G124" s="153" t="n"/>
      <c r="H124" s="153" t="n"/>
      <c r="J124" s="117" t="inlineStr">
        <is>
          <t>Loans &amp; Receivables - Total</t>
        </is>
      </c>
      <c r="K124" s="118" t="n">
        <v>723</v>
      </c>
      <c r="M124" s="108" t="inlineStr">
        <is>
          <t>Debt - Long-Term - Maturities - Year 3</t>
        </is>
      </c>
      <c r="N124" s="119" t="n">
        <v>18.23</v>
      </c>
      <c r="P124" s="115" t="inlineStr">
        <is>
          <t>Share/Per Share - Other</t>
        </is>
      </c>
      <c r="Q124" s="116" t="n"/>
      <c r="S124" s="117" t="inlineStr">
        <is>
          <t>Investments - Total</t>
        </is>
      </c>
      <c r="T124" s="118" t="n">
        <v>237.36</v>
      </c>
      <c r="V124" s="117" t="inlineStr">
        <is>
          <t>Debt including Finance and Operating Lease Liabilities</t>
        </is>
      </c>
      <c r="W124" s="118" t="n">
        <v>1275.95</v>
      </c>
    </row>
    <row r="125">
      <c r="A125" s="133" t="inlineStr">
        <is>
          <t>Common Shares - Treasury - Issue Specific</t>
        </is>
      </c>
      <c r="B125" s="138" t="n">
        <v>0</v>
      </c>
      <c r="C125" s="138" t="n">
        <v>0</v>
      </c>
      <c r="D125" s="138" t="n">
        <v>0</v>
      </c>
      <c r="E125" s="138" t="n">
        <v>0</v>
      </c>
      <c r="F125" s="138" t="n">
        <v>0</v>
      </c>
      <c r="G125" s="154" t="n"/>
      <c r="H125" s="154" t="n"/>
      <c r="J125" s="108" t="inlineStr">
        <is>
          <t>Accounts &amp; Notes Receivable - Trade - Gross - Total</t>
        </is>
      </c>
      <c r="K125" s="118" t="n">
        <v>715</v>
      </c>
      <c r="M125" s="108" t="inlineStr">
        <is>
          <t>Debt - Long-Term - Maturities - Year 4</t>
        </is>
      </c>
      <c r="N125" s="119" t="n">
        <v>23.2</v>
      </c>
      <c r="P125" s="117" t="inlineStr">
        <is>
          <t>Asset Allocation Factor - Issue Specific</t>
        </is>
      </c>
      <c r="Q125" s="119" t="n">
        <v>1</v>
      </c>
      <c r="S125" s="117" t="inlineStr">
        <is>
          <t>Loans &amp; Receivables - Total</t>
        </is>
      </c>
      <c r="T125" s="118" t="n">
        <v>2684.85</v>
      </c>
      <c r="V125" s="115" t="inlineStr">
        <is>
          <t>Long-Term &amp; Short-Term</t>
        </is>
      </c>
      <c r="W125" s="116" t="n"/>
    </row>
    <row r="126">
      <c r="A126" s="129" t="inlineStr">
        <is>
          <t>Share/Per Share - Other</t>
        </is>
      </c>
      <c r="B126" s="130" t="n"/>
      <c r="C126" s="130" t="n"/>
      <c r="D126" s="130" t="n"/>
      <c r="E126" s="130" t="n"/>
      <c r="F126" s="130" t="n"/>
      <c r="G126" s="151" t="n"/>
      <c r="H126" s="151" t="n"/>
      <c r="J126" s="117" t="inlineStr">
        <is>
          <t>Assets Held for Sale/Discontinued Operations - Long-Term &amp; Short-Term</t>
        </is>
      </c>
      <c r="K126" s="118" t="n">
        <v>1230</v>
      </c>
      <c r="M126" s="108" t="inlineStr">
        <is>
          <t>Debt - Long-Term - Maturities - Year 5</t>
        </is>
      </c>
      <c r="N126" s="118" t="n">
        <v>215.1</v>
      </c>
      <c r="P126" s="117" t="inlineStr">
        <is>
          <t>Asset Allocation Factor - Issue Specific</t>
        </is>
      </c>
      <c r="Q126" s="119" t="n">
        <v>1</v>
      </c>
      <c r="S126" s="117" t="inlineStr">
        <is>
          <t>Assets Held for Sale/Discontinued Operations - Long-Term &amp; Short-Term</t>
        </is>
      </c>
      <c r="T126" s="119" t="n">
        <v>41.67</v>
      </c>
      <c r="V126" s="117" t="inlineStr">
        <is>
          <t>Loans &amp; Receivables - Total</t>
        </is>
      </c>
      <c r="W126" s="118" t="n">
        <v>222.35</v>
      </c>
    </row>
    <row r="127">
      <c r="A127" s="131" t="inlineStr">
        <is>
          <t>Asset Allocation Factor - Issue Specific</t>
        </is>
      </c>
      <c r="B127" s="135" t="n">
        <v>1</v>
      </c>
      <c r="C127" s="135" t="n">
        <v>1</v>
      </c>
      <c r="D127" s="135" t="n">
        <v>1</v>
      </c>
      <c r="E127" s="135" t="n">
        <v>1</v>
      </c>
      <c r="F127" s="135" t="n">
        <v>1</v>
      </c>
      <c r="G127" s="152" t="n"/>
      <c r="H127" s="152" t="n"/>
      <c r="J127" s="117" t="inlineStr">
        <is>
          <t>Other Assets - Total</t>
        </is>
      </c>
      <c r="K127" s="118" t="n">
        <v>883</v>
      </c>
      <c r="M127" s="108" t="inlineStr">
        <is>
          <t>Debt - Long-Term - Maturities - Remaining</t>
        </is>
      </c>
      <c r="N127" s="118" t="n">
        <v>896.25</v>
      </c>
      <c r="P127" s="115" t="inlineStr">
        <is>
          <t>Right of Use Tangible Assets</t>
        </is>
      </c>
      <c r="Q127" s="116" t="n"/>
      <c r="S127" s="117" t="inlineStr">
        <is>
          <t>Other Assets - Total</t>
        </is>
      </c>
      <c r="T127" s="118" t="n">
        <v>536.48</v>
      </c>
      <c r="V127" s="108" t="inlineStr">
        <is>
          <t>Accounts &amp; Notes Receivable - Trade - Gross - Total</t>
        </is>
      </c>
      <c r="W127" s="118" t="n">
        <v>218.73</v>
      </c>
    </row>
    <row r="128">
      <c r="A128" s="129" t="inlineStr">
        <is>
          <t>Right of Use Tangible Assets</t>
        </is>
      </c>
      <c r="B128" s="130" t="n"/>
      <c r="C128" s="130" t="n"/>
      <c r="D128" s="130" t="n"/>
      <c r="E128" s="130" t="n"/>
      <c r="F128" s="130" t="n"/>
      <c r="G128" s="151" t="n"/>
      <c r="H128" s="151" t="n"/>
      <c r="J128" s="117" t="inlineStr">
        <is>
          <t>Payables &amp; Accrued Expenses</t>
        </is>
      </c>
      <c r="K128" s="118" t="n">
        <v>540</v>
      </c>
      <c r="M128" s="117" t="inlineStr">
        <is>
          <t>Debt - Long-Term - Maturities - 2-3 Years</t>
        </is>
      </c>
      <c r="N128" s="119" t="n">
        <v>34.89</v>
      </c>
      <c r="P128" s="117" t="inlineStr">
        <is>
          <t>Right of Use Tangible Assets - Total - Net - Supplemental</t>
        </is>
      </c>
      <c r="Q128" s="134" t="n"/>
      <c r="S128" s="117" t="inlineStr">
        <is>
          <t>Income Taxes - Payable - Long-Term &amp; Short-Term</t>
        </is>
      </c>
      <c r="T128" s="118" t="n">
        <v>437.13</v>
      </c>
      <c r="V128" s="117" t="inlineStr">
        <is>
          <t>Other Assets - Total</t>
        </is>
      </c>
      <c r="W128" s="119" t="n">
        <v>37.8</v>
      </c>
    </row>
    <row r="129">
      <c r="A129" s="131" t="inlineStr">
        <is>
          <t>Right of Use Tangible Assets - Total - Net - Supplemental</t>
        </is>
      </c>
      <c r="B129" s="138" t="n"/>
      <c r="C129" s="138" t="n"/>
      <c r="D129" s="138" t="n"/>
      <c r="E129" s="138" t="n"/>
      <c r="F129" s="138" t="n"/>
      <c r="G129" s="154" t="n"/>
      <c r="H129" s="154" t="n"/>
      <c r="J129" s="108" t="inlineStr">
        <is>
          <t>Trade Account Payables - Total</t>
        </is>
      </c>
      <c r="K129" s="118" t="n">
        <v>389</v>
      </c>
      <c r="M129" s="117" t="inlineStr">
        <is>
          <t>Debt - Long-Term - Maturities - 4-5 Years</t>
        </is>
      </c>
      <c r="N129" s="118" t="n">
        <v>238.29</v>
      </c>
      <c r="P129" s="108" t="inlineStr">
        <is>
          <t>Right of Use Tangible Assets - Operating Lease - Net - Supplemental</t>
        </is>
      </c>
      <c r="Q129" s="118" t="n">
        <v>1471</v>
      </c>
      <c r="S129" s="117" t="inlineStr">
        <is>
          <t>Payables &amp; Accrued Expenses</t>
        </is>
      </c>
      <c r="T129" s="118" t="n">
        <v>3477.3</v>
      </c>
      <c r="V129" s="117" t="inlineStr">
        <is>
          <t>Dividends Payable</t>
        </is>
      </c>
      <c r="W129" s="119" t="n">
        <v>8.460000000000001</v>
      </c>
    </row>
    <row r="130">
      <c r="A130" s="133" t="inlineStr">
        <is>
          <t>Right of Use Tangible Assets - Operating Lease - Net - Supplemental</t>
        </is>
      </c>
      <c r="B130" s="132" t="n">
        <v>521.5</v>
      </c>
      <c r="C130" s="132" t="n">
        <v>526.4</v>
      </c>
      <c r="D130" s="132" t="n">
        <v>511.7</v>
      </c>
      <c r="E130" s="132" t="n">
        <v>572.6</v>
      </c>
      <c r="F130" s="132" t="n">
        <v>691.4</v>
      </c>
      <c r="G130" s="153" t="n"/>
      <c r="H130" s="153" t="n"/>
      <c r="J130" s="108" t="inlineStr">
        <is>
          <t>Accrued Expenses</t>
        </is>
      </c>
      <c r="K130" s="118" t="n">
        <v>151</v>
      </c>
      <c r="M130" s="117" t="inlineStr">
        <is>
          <t>Debt - Long-Term - Maturities - Year 6 &amp; Beyond</t>
        </is>
      </c>
      <c r="N130" s="118" t="n">
        <v>896.25</v>
      </c>
      <c r="P130" s="115" t="inlineStr">
        <is>
          <t>Right of Use Liabilities</t>
        </is>
      </c>
      <c r="Q130" s="116" t="n"/>
      <c r="S130" s="108" t="inlineStr">
        <is>
          <t>Trade Account Payables - Total</t>
        </is>
      </c>
      <c r="T130" s="118" t="n">
        <v>3107.89</v>
      </c>
      <c r="V130" s="117" t="inlineStr">
        <is>
          <t>Payables &amp; Accrued Expenses</t>
        </is>
      </c>
      <c r="W130" s="118" t="n">
        <v>209.82</v>
      </c>
    </row>
    <row r="131">
      <c r="A131" s="133" t="inlineStr">
        <is>
          <t>Right of Use Tangible Assets - Total - Gross - Supplemental</t>
        </is>
      </c>
      <c r="B131" s="132" t="n">
        <v>709.5</v>
      </c>
      <c r="C131" s="132" t="n">
        <v>727.9</v>
      </c>
      <c r="D131" s="132" t="n">
        <v>698.4</v>
      </c>
      <c r="E131" s="132" t="n">
        <v>758.6</v>
      </c>
      <c r="F131" s="132" t="n">
        <v>807.4</v>
      </c>
      <c r="G131" s="153" t="n"/>
      <c r="H131" s="153" t="n"/>
      <c r="J131" s="115" t="inlineStr">
        <is>
          <t>Debt Related</t>
        </is>
      </c>
      <c r="K131" s="116" t="n"/>
      <c r="M131" s="115" t="inlineStr">
        <is>
          <t>Weighted Average Leases</t>
        </is>
      </c>
      <c r="N131" s="116" t="n"/>
      <c r="P131" s="117" t="inlineStr">
        <is>
          <t>Total Operating Lease Liabilities</t>
        </is>
      </c>
      <c r="Q131" s="118" t="n">
        <v>1518</v>
      </c>
      <c r="S131" s="108" t="inlineStr">
        <is>
          <t>Accrued Expenses</t>
        </is>
      </c>
      <c r="T131" s="118" t="n">
        <v>369.41</v>
      </c>
      <c r="V131" s="108" t="inlineStr">
        <is>
          <t>Trade Account Payables - Total</t>
        </is>
      </c>
      <c r="W131" s="118" t="n">
        <v>129.9</v>
      </c>
    </row>
    <row r="132">
      <c r="A132" s="133" t="inlineStr">
        <is>
          <t>Right of Use Tangible Assets - Operating Lease - Gross - Supplemental</t>
        </is>
      </c>
      <c r="B132" s="132" t="n">
        <v>674.2</v>
      </c>
      <c r="C132" s="132" t="n">
        <v>673.2</v>
      </c>
      <c r="D132" s="132" t="n">
        <v>636.1</v>
      </c>
      <c r="E132" s="132" t="n">
        <v>665.4</v>
      </c>
      <c r="F132" s="132" t="n">
        <v>771.1</v>
      </c>
      <c r="G132" s="153" t="n"/>
      <c r="H132" s="153" t="n"/>
      <c r="J132" s="117" t="inlineStr">
        <is>
          <t>Net Debt</t>
        </is>
      </c>
      <c r="K132" s="118" t="n">
        <v>5558</v>
      </c>
      <c r="M132" s="117" t="inlineStr">
        <is>
          <t>Wgt Avg Remaining Lease Term (Years)-Operating Lease-US GAAP</t>
        </is>
      </c>
      <c r="N132" s="119" t="n">
        <v>2.15</v>
      </c>
      <c r="P132" s="108" t="inlineStr">
        <is>
          <t>Operating Lease Liabilities - Current Portion/Short-Term - Supplemental</t>
        </is>
      </c>
      <c r="Q132" s="118" t="n">
        <v>286</v>
      </c>
      <c r="S132" s="117" t="inlineStr">
        <is>
          <t>Liabilities Held for Sale/Discontinued Operations - Long-term &amp; Short-Term</t>
        </is>
      </c>
      <c r="T132" s="119" t="n">
        <v>4.23</v>
      </c>
      <c r="V132" s="108" t="inlineStr">
        <is>
          <t>Accrued Expenses</t>
        </is>
      </c>
      <c r="W132" s="119" t="n">
        <v>79.93000000000001</v>
      </c>
    </row>
    <row r="133">
      <c r="A133" s="133" t="inlineStr">
        <is>
          <t>Right of Use Tangible Assets - Capital/Finance Lease - Gross - Supplemental</t>
        </is>
      </c>
      <c r="B133" s="135" t="n">
        <v>35.3</v>
      </c>
      <c r="C133" s="135" t="n">
        <v>54.7</v>
      </c>
      <c r="D133" s="135" t="n">
        <v>62.3</v>
      </c>
      <c r="E133" s="135" t="n">
        <v>93.2</v>
      </c>
      <c r="F133" s="135" t="n">
        <v>36.3</v>
      </c>
      <c r="G133" s="152" t="n"/>
      <c r="H133" s="152" t="n"/>
      <c r="J133" s="117" t="inlineStr">
        <is>
          <t>Debt - Total</t>
        </is>
      </c>
      <c r="K133" s="118" t="n">
        <v>5625</v>
      </c>
      <c r="M133" s="117" t="inlineStr">
        <is>
          <t>Weighted Average Discount Rate - Operating Lease - US GAAP</t>
        </is>
      </c>
      <c r="N133" s="148" t="n">
        <v>0</v>
      </c>
      <c r="P133" s="108" t="inlineStr">
        <is>
          <t>Operating Lease Liabilities - Long-Term - Supplemental</t>
        </is>
      </c>
      <c r="Q133" s="118" t="n">
        <v>1232</v>
      </c>
      <c r="S133" s="115" t="inlineStr">
        <is>
          <t>Debt Related</t>
        </is>
      </c>
      <c r="T133" s="116" t="n"/>
      <c r="V133" s="115" t="inlineStr">
        <is>
          <t>Debt Related</t>
        </is>
      </c>
      <c r="W133" s="116" t="n"/>
    </row>
    <row r="134">
      <c r="A134" s="131" t="inlineStr">
        <is>
          <t>Property, Plant &amp; Equipment - excluding Right of Use Tangible Assets &amp; Capital Leases - Net</t>
        </is>
      </c>
      <c r="B134" s="138" t="n"/>
      <c r="C134" s="138" t="n"/>
      <c r="D134" s="138" t="n"/>
      <c r="E134" s="138" t="n"/>
      <c r="F134" s="138" t="n"/>
      <c r="G134" s="154" t="n"/>
      <c r="H134" s="154" t="n"/>
      <c r="J134" s="117" t="inlineStr">
        <is>
          <t>Revolving Line of Credit - Outstanding - Supplemental</t>
        </is>
      </c>
      <c r="K134" s="119" t="n">
        <v>3</v>
      </c>
      <c r="M134" s="115" t="inlineStr">
        <is>
          <t>Other</t>
        </is>
      </c>
      <c r="N134" s="116" t="n"/>
      <c r="P134" s="117" t="inlineStr">
        <is>
          <t>Finance and Operating Lease Liabilities - Total</t>
        </is>
      </c>
      <c r="Q134" s="118" t="n">
        <v>2052</v>
      </c>
      <c r="S134" s="117" t="inlineStr">
        <is>
          <t>Net Debt</t>
        </is>
      </c>
      <c r="T134" s="118" t="n">
        <v>4803.92</v>
      </c>
      <c r="V134" s="117" t="inlineStr">
        <is>
          <t>Net Debt</t>
        </is>
      </c>
      <c r="W134" s="118" t="n">
        <v>1217.92</v>
      </c>
    </row>
    <row r="135">
      <c r="A135" s="133" t="inlineStr">
        <is>
          <t>Property, Plant &amp; Equipment - excluding Right of Use Tangible Assets &amp; Capital Leases - Gross</t>
        </is>
      </c>
      <c r="B135" s="138" t="n">
        <v>14469.4</v>
      </c>
      <c r="C135" s="138" t="n">
        <v>14462.1</v>
      </c>
      <c r="D135" s="138" t="n">
        <v>11773.2</v>
      </c>
      <c r="E135" s="138" t="n">
        <v>11213.2</v>
      </c>
      <c r="F135" s="138" t="n">
        <v>10408.1</v>
      </c>
      <c r="G135" s="154" t="n"/>
      <c r="H135" s="154" t="n"/>
      <c r="J135" s="117" t="inlineStr">
        <is>
          <t>Revolving Line of Credit - Unutilized/Unused Amount</t>
        </is>
      </c>
      <c r="K135" s="118" t="n">
        <v>797</v>
      </c>
      <c r="M135" s="117" t="inlineStr">
        <is>
          <t>Contract Liabilities - Short-Term - Advance Consideration &amp; Progress Billings in Excess of Unbilled Revenue</t>
        </is>
      </c>
      <c r="N135" s="119" t="n">
        <v>33.77</v>
      </c>
      <c r="P135" s="117" t="inlineStr">
        <is>
          <t>Debt including Finance and Operating Lease Liabilities</t>
        </is>
      </c>
      <c r="Q135" s="134" t="n">
        <v>19705</v>
      </c>
      <c r="S135" s="117" t="inlineStr">
        <is>
          <t>Debt - Total</t>
        </is>
      </c>
      <c r="T135" s="118" t="n">
        <v>6779.99</v>
      </c>
      <c r="V135" s="117" t="inlineStr">
        <is>
          <t>Debt - Total</t>
        </is>
      </c>
      <c r="W135" s="118" t="n">
        <v>1238.32</v>
      </c>
    </row>
    <row r="136">
      <c r="A136" s="129" t="inlineStr">
        <is>
          <t>Right of Use Liabilities</t>
        </is>
      </c>
      <c r="B136" s="130" t="n"/>
      <c r="C136" s="130" t="n"/>
      <c r="D136" s="130" t="n"/>
      <c r="E136" s="130" t="n"/>
      <c r="F136" s="130" t="n"/>
      <c r="G136" s="151" t="n"/>
      <c r="H136" s="151" t="n"/>
      <c r="J136" s="117" t="inlineStr">
        <is>
          <t>Revolving Line of Credit - Total Principal Amount</t>
        </is>
      </c>
      <c r="K136" s="118" t="n">
        <v>800</v>
      </c>
      <c r="M136" s="117" t="inlineStr">
        <is>
          <t>Accruals - Short-Term</t>
        </is>
      </c>
      <c r="N136" s="118" t="n">
        <v>459.52</v>
      </c>
      <c r="P136" s="115" t="inlineStr">
        <is>
          <t>Long-Term &amp; Short-Term</t>
        </is>
      </c>
      <c r="Q136" s="116" t="n"/>
      <c r="S136" s="115" t="inlineStr">
        <is>
          <t>Debt Maturity</t>
        </is>
      </c>
      <c r="T136" s="116" t="n"/>
      <c r="V136" s="117" t="inlineStr">
        <is>
          <t>Revolving Line of Credit - Outstanding - Supplemental</t>
        </is>
      </c>
      <c r="W136" s="118" t="n">
        <v>209.9</v>
      </c>
    </row>
    <row r="137">
      <c r="A137" s="131" t="inlineStr">
        <is>
          <t>Total Operating Lease Liabilities</t>
        </is>
      </c>
      <c r="B137" s="132" t="n">
        <v>567.1</v>
      </c>
      <c r="C137" s="132" t="n">
        <v>570.7</v>
      </c>
      <c r="D137" s="132" t="n">
        <v>554.7</v>
      </c>
      <c r="E137" s="132" t="n">
        <v>596.5</v>
      </c>
      <c r="F137" s="132" t="n">
        <v>691.7</v>
      </c>
      <c r="G137" s="153" t="n"/>
      <c r="H137" s="153" t="n"/>
      <c r="J137" s="115" t="inlineStr">
        <is>
          <t>Debt Maturity</t>
        </is>
      </c>
      <c r="K137" s="116" t="n"/>
      <c r="M137" s="117" t="inlineStr">
        <is>
          <t>Asset Accruals</t>
        </is>
      </c>
      <c r="N137" s="118" t="n">
        <v>3007.03</v>
      </c>
      <c r="P137" s="117" t="inlineStr">
        <is>
          <t>Loans &amp; Receivables - Total</t>
        </is>
      </c>
      <c r="Q137" s="118" t="n">
        <v>5452</v>
      </c>
      <c r="S137" s="117" t="inlineStr">
        <is>
          <t>Debt - Long-Term - Maturities - Total</t>
        </is>
      </c>
      <c r="T137" s="118" t="n">
        <v>5644.36</v>
      </c>
      <c r="V137" s="117" t="inlineStr">
        <is>
          <t>Revolving Line of Credit - Unutilized/Unused Amount</t>
        </is>
      </c>
      <c r="W137" s="118" t="n">
        <v>540.1</v>
      </c>
    </row>
    <row r="138">
      <c r="A138" s="133" t="inlineStr">
        <is>
          <t>Operating Lease Liabilities - Current Portion/Short-Term - Supplemental</t>
        </is>
      </c>
      <c r="B138" s="135" t="n">
        <v>44.5</v>
      </c>
      <c r="C138" s="135" t="n">
        <v>49.3</v>
      </c>
      <c r="D138" s="135" t="n">
        <v>47.3</v>
      </c>
      <c r="E138" s="135" t="n">
        <v>48.1</v>
      </c>
      <c r="F138" s="135" t="n">
        <v>49.2</v>
      </c>
      <c r="G138" s="152" t="n"/>
      <c r="H138" s="152" t="n"/>
      <c r="J138" s="117" t="inlineStr">
        <is>
          <t>Debt - Long-Term - Maturities - Total</t>
        </is>
      </c>
      <c r="K138" s="118" t="n">
        <v>5323</v>
      </c>
      <c r="M138" s="117" t="inlineStr">
        <is>
          <t>Cash &amp; Cash Equivalents - Total</t>
        </is>
      </c>
      <c r="N138" s="118" t="n">
        <v>123.42</v>
      </c>
      <c r="P138" s="108" t="inlineStr">
        <is>
          <t>Accounts &amp; Notes Receivable - Trade - Gross - Total</t>
        </is>
      </c>
      <c r="Q138" s="118" t="n">
        <v>5315</v>
      </c>
      <c r="S138" s="108" t="inlineStr">
        <is>
          <t>Debt - Long-Term - Maturities - within 1 Year</t>
        </is>
      </c>
      <c r="T138" s="118" t="n">
        <v>1187.26</v>
      </c>
      <c r="V138" s="117" t="inlineStr">
        <is>
          <t>Revolving Line of Credit - Total Principal Amount</t>
        </is>
      </c>
      <c r="W138" s="118" t="n">
        <v>750</v>
      </c>
    </row>
    <row r="139">
      <c r="A139" s="133" t="inlineStr">
        <is>
          <t>Operating Lease Liabilities - Long-Term - Supplemental</t>
        </is>
      </c>
      <c r="B139" s="132" t="n">
        <v>522.6</v>
      </c>
      <c r="C139" s="132" t="n">
        <v>521.4</v>
      </c>
      <c r="D139" s="132" t="n">
        <v>507.4</v>
      </c>
      <c r="E139" s="132" t="n">
        <v>548.4</v>
      </c>
      <c r="F139" s="132" t="n">
        <v>642.5</v>
      </c>
      <c r="G139" s="153" t="n"/>
      <c r="H139" s="153" t="n"/>
      <c r="J139" s="108" t="inlineStr">
        <is>
          <t>Debt - Long-Term - Maturities - within 1 Year</t>
        </is>
      </c>
      <c r="K139" s="118" t="n">
        <v>792</v>
      </c>
      <c r="M139" s="117" t="inlineStr">
        <is>
          <t>Cash &amp; Short Term Investments - Total</t>
        </is>
      </c>
      <c r="N139" s="118" t="n">
        <v>123.42</v>
      </c>
      <c r="P139" s="117" t="inlineStr">
        <is>
          <t>Other Assets - Total</t>
        </is>
      </c>
      <c r="Q139" s="118" t="n">
        <v>1079</v>
      </c>
      <c r="S139" s="108" t="inlineStr">
        <is>
          <t>Debt - Long-Term - Maturities - Year 2</t>
        </is>
      </c>
      <c r="T139" s="118" t="n">
        <v>628.34</v>
      </c>
      <c r="V139" s="115" t="inlineStr">
        <is>
          <t>Debt Maturity</t>
        </is>
      </c>
      <c r="W139" s="116" t="n"/>
    </row>
    <row r="140">
      <c r="A140" s="131" t="inlineStr">
        <is>
          <t>Finance and Operating Lease Liabilities - Total</t>
        </is>
      </c>
      <c r="B140" s="132" t="n">
        <v>577.9</v>
      </c>
      <c r="C140" s="132" t="n">
        <v>591.1</v>
      </c>
      <c r="D140" s="132" t="n">
        <v>583.8</v>
      </c>
      <c r="E140" s="132" t="n">
        <v>653.6</v>
      </c>
      <c r="F140" s="132" t="n">
        <v>787.6</v>
      </c>
      <c r="G140" s="153" t="n"/>
      <c r="H140" s="153" t="n"/>
      <c r="J140" s="108" t="inlineStr">
        <is>
          <t>Debt - Long-Term - Maturities - Year 2</t>
        </is>
      </c>
      <c r="K140" s="119" t="n">
        <v>30</v>
      </c>
      <c r="M140" s="117" t="inlineStr">
        <is>
          <t>Debt - including Preferred Equity &amp; Minority Interest - Total</t>
        </is>
      </c>
      <c r="N140" s="118" t="n">
        <v>1165.54</v>
      </c>
      <c r="P140" s="117" t="inlineStr">
        <is>
          <t>Income Taxes - Payable - Long-Term &amp; Short-Term</t>
        </is>
      </c>
      <c r="Q140" s="118" t="n">
        <v>106</v>
      </c>
      <c r="S140" s="108" t="inlineStr">
        <is>
          <t>Debt - Long-Term - Maturities - Year 3</t>
        </is>
      </c>
      <c r="T140" s="118" t="n">
        <v>627.75</v>
      </c>
      <c r="V140" s="117" t="inlineStr">
        <is>
          <t>Debt - Long-Term - Maturities - Total</t>
        </is>
      </c>
      <c r="W140" s="118" t="n">
        <v>1246.25</v>
      </c>
    </row>
    <row r="141">
      <c r="A141" s="131" t="inlineStr">
        <is>
          <t>Debt including Finance and Operating Lease Liabilities</t>
        </is>
      </c>
      <c r="B141" s="132" t="n">
        <v>4940</v>
      </c>
      <c r="C141" s="132" t="n">
        <v>5898.5</v>
      </c>
      <c r="D141" s="132" t="n">
        <v>4461.6</v>
      </c>
      <c r="E141" s="132" t="n">
        <v>4629.3</v>
      </c>
      <c r="F141" s="132" t="n">
        <v>4667.6</v>
      </c>
      <c r="G141" s="153" t="n"/>
      <c r="H141" s="153" t="n"/>
      <c r="J141" s="108" t="inlineStr">
        <is>
          <t>Debt - Long-Term - Maturities - Year 3</t>
        </is>
      </c>
      <c r="K141" s="134" t="n">
        <v>0</v>
      </c>
      <c r="M141" s="117" t="inlineStr">
        <is>
          <t>Investments - Permanent</t>
        </is>
      </c>
      <c r="N141" s="119" t="n">
        <v>55.32</v>
      </c>
      <c r="P141" s="117" t="inlineStr">
        <is>
          <t>Payables &amp; Accrued Expenses</t>
        </is>
      </c>
      <c r="Q141" s="118" t="n">
        <v>5459</v>
      </c>
      <c r="S141" s="108" t="inlineStr">
        <is>
          <t>Debt - Long-Term - Maturities - Year 4</t>
        </is>
      </c>
      <c r="T141" s="118" t="n">
        <v>880.86</v>
      </c>
      <c r="V141" s="108" t="inlineStr">
        <is>
          <t>Debt - Long-Term - Maturities - within 1 Year</t>
        </is>
      </c>
      <c r="W141" s="119" t="n">
        <v>15</v>
      </c>
    </row>
    <row r="142">
      <c r="A142" s="129" t="inlineStr">
        <is>
          <t>Long-Term &amp; Short-Term</t>
        </is>
      </c>
      <c r="B142" s="130" t="n"/>
      <c r="C142" s="130" t="n"/>
      <c r="D142" s="130" t="n"/>
      <c r="E142" s="130" t="n"/>
      <c r="F142" s="130" t="n"/>
      <c r="G142" s="151" t="n"/>
      <c r="H142" s="151" t="n"/>
      <c r="J142" s="108" t="inlineStr">
        <is>
          <t>Debt - Long-Term - Maturities - Year 4</t>
        </is>
      </c>
      <c r="K142" s="134" t="n">
        <v>0</v>
      </c>
      <c r="M142" s="117" t="inlineStr">
        <is>
          <t>Net Book Capital</t>
        </is>
      </c>
      <c r="N142" s="118" t="n">
        <v>2683.06</v>
      </c>
      <c r="P142" s="108" t="inlineStr">
        <is>
          <t>Trade Account Payables - Total</t>
        </is>
      </c>
      <c r="Q142" s="118" t="n">
        <v>3263</v>
      </c>
      <c r="S142" s="108" t="inlineStr">
        <is>
          <t>Debt - Long-Term - Maturities - Remaining</t>
        </is>
      </c>
      <c r="T142" s="118" t="n">
        <v>2320.15</v>
      </c>
      <c r="V142" s="108" t="inlineStr">
        <is>
          <t>Debt - Long-Term - Maturities - Year 2</t>
        </is>
      </c>
      <c r="W142" s="119" t="n">
        <v>15</v>
      </c>
    </row>
    <row r="143">
      <c r="A143" s="131" t="inlineStr">
        <is>
          <t>Investments - Total</t>
        </is>
      </c>
      <c r="B143" s="135" t="n">
        <v>33.7</v>
      </c>
      <c r="C143" s="135" t="n">
        <v>31.3</v>
      </c>
      <c r="D143" s="135" t="n">
        <v>31.3</v>
      </c>
      <c r="E143" s="135" t="n">
        <v>31.8</v>
      </c>
      <c r="F143" s="135" t="n">
        <v>34.1</v>
      </c>
      <c r="G143" s="152" t="n"/>
      <c r="H143" s="152" t="n"/>
      <c r="J143" s="108" t="inlineStr">
        <is>
          <t>Debt - Long-Term - Maturities - Year 5</t>
        </is>
      </c>
      <c r="K143" s="118" t="n">
        <v>473</v>
      </c>
      <c r="M143" s="117" t="inlineStr">
        <is>
          <t>Net Operating Assets</t>
        </is>
      </c>
      <c r="N143" s="118" t="n">
        <v>2683.06</v>
      </c>
      <c r="P143" s="108" t="inlineStr">
        <is>
          <t>Accrued Expenses</t>
        </is>
      </c>
      <c r="Q143" s="118" t="n">
        <v>2196</v>
      </c>
      <c r="S143" s="117" t="inlineStr">
        <is>
          <t>Debt - Long-Term - Maturities - 2-3 Years</t>
        </is>
      </c>
      <c r="T143" s="118" t="n">
        <v>1256.09</v>
      </c>
      <c r="V143" s="108" t="inlineStr">
        <is>
          <t>Debt - Long-Term - Maturities - Year 3</t>
        </is>
      </c>
      <c r="W143" s="119" t="n">
        <v>15</v>
      </c>
    </row>
    <row r="144">
      <c r="A144" s="131" t="inlineStr">
        <is>
          <t>Loans &amp; Receivables - Total</t>
        </is>
      </c>
      <c r="B144" s="132" t="n">
        <v>887.7</v>
      </c>
      <c r="C144" s="132" t="n">
        <v>892.3</v>
      </c>
      <c r="D144" s="132" t="n">
        <v>889.7</v>
      </c>
      <c r="E144" s="132" t="n">
        <v>1045.3</v>
      </c>
      <c r="F144" s="132" t="n">
        <v>838.7</v>
      </c>
      <c r="G144" s="153" t="n"/>
      <c r="H144" s="153" t="n"/>
      <c r="J144" s="108" t="inlineStr">
        <is>
          <t>Debt - Long-Term - Maturities - Remaining</t>
        </is>
      </c>
      <c r="K144" s="118" t="n">
        <v>4028</v>
      </c>
      <c r="M144" s="117" t="inlineStr">
        <is>
          <t>Provisions - Total</t>
        </is>
      </c>
      <c r="N144" s="118" t="n">
        <v>287.92</v>
      </c>
      <c r="P144" s="115" t="inlineStr">
        <is>
          <t>Debt Related</t>
        </is>
      </c>
      <c r="Q144" s="116" t="n"/>
      <c r="S144" s="117" t="inlineStr">
        <is>
          <t>Debt - Long-Term - Maturities - 4-5 Years</t>
        </is>
      </c>
      <c r="T144" s="118" t="n">
        <v>880.86</v>
      </c>
      <c r="V144" s="108" t="inlineStr">
        <is>
          <t>Debt - Long-Term - Maturities - Year 4</t>
        </is>
      </c>
      <c r="W144" s="119" t="n">
        <v>15</v>
      </c>
    </row>
    <row r="145">
      <c r="A145" s="133" t="inlineStr">
        <is>
          <t>Accounts &amp; Notes Receivable - Trade - Gross - Total</t>
        </is>
      </c>
      <c r="B145" s="132" t="n">
        <v>898.2</v>
      </c>
      <c r="C145" s="132" t="n">
        <v>905.5</v>
      </c>
      <c r="D145" s="132" t="n">
        <v>903.3</v>
      </c>
      <c r="E145" s="132" t="n">
        <v>856.5</v>
      </c>
      <c r="F145" s="132" t="n">
        <v>793.5</v>
      </c>
      <c r="G145" s="153" t="n"/>
      <c r="H145" s="153" t="n"/>
      <c r="J145" s="117" t="inlineStr">
        <is>
          <t>Debt - Long-Term - Maturities - 2-3 Years</t>
        </is>
      </c>
      <c r="K145" s="119" t="n">
        <v>30</v>
      </c>
      <c r="M145" s="117" t="inlineStr">
        <is>
          <t>Shareholders Equity - Common</t>
        </is>
      </c>
      <c r="N145" s="118" t="n">
        <v>1640.94</v>
      </c>
      <c r="P145" s="117" t="inlineStr">
        <is>
          <t>Net Debt</t>
        </is>
      </c>
      <c r="Q145" s="134" t="n">
        <v>14091</v>
      </c>
      <c r="S145" s="117" t="inlineStr">
        <is>
          <t>Debt - Long-Term - Maturities - Year 6 &amp; Beyond</t>
        </is>
      </c>
      <c r="T145" s="118" t="n">
        <v>2320.15</v>
      </c>
      <c r="V145" s="108" t="inlineStr">
        <is>
          <t>Debt - Long-Term - Maturities - Year 5</t>
        </is>
      </c>
      <c r="W145" s="118" t="n">
        <v>436.25</v>
      </c>
    </row>
    <row r="146">
      <c r="A146" s="131" t="inlineStr">
        <is>
          <t>Assets Held for Sale/Discontinued Operations - Long-Term &amp; Short-Term</t>
        </is>
      </c>
      <c r="B146" s="132" t="n">
        <v>708.5</v>
      </c>
      <c r="C146" s="138" t="n"/>
      <c r="D146" s="138" t="n"/>
      <c r="E146" s="138" t="n"/>
      <c r="F146" s="138" t="n"/>
      <c r="G146" s="154" t="n"/>
      <c r="H146" s="154" t="n"/>
      <c r="J146" s="117" t="inlineStr">
        <is>
          <t>Debt - Long-Term - Maturities - 4-5 Years</t>
        </is>
      </c>
      <c r="K146" s="118" t="n">
        <v>473</v>
      </c>
      <c r="M146" s="117" t="inlineStr">
        <is>
          <t>Tangible Total Equity</t>
        </is>
      </c>
      <c r="N146" s="118" t="n">
        <v>1088.59</v>
      </c>
      <c r="P146" s="117" t="inlineStr">
        <is>
          <t>Debt - Total</t>
        </is>
      </c>
      <c r="Q146" s="134" t="n">
        <v>18187</v>
      </c>
      <c r="S146" s="115" t="inlineStr">
        <is>
          <t>Other</t>
        </is>
      </c>
      <c r="T146" s="116" t="n"/>
      <c r="V146" s="108" t="inlineStr">
        <is>
          <t>Debt - Long-Term - Maturities - Remaining</t>
        </is>
      </c>
      <c r="W146" s="118" t="n">
        <v>750</v>
      </c>
    </row>
    <row r="147">
      <c r="A147" s="131" t="inlineStr">
        <is>
          <t>Other Assets - Total</t>
        </is>
      </c>
      <c r="B147" s="132" t="n">
        <v>266.7</v>
      </c>
      <c r="C147" s="132" t="n">
        <v>449</v>
      </c>
      <c r="D147" s="132" t="n">
        <v>356.2</v>
      </c>
      <c r="E147" s="132" t="n">
        <v>401.2</v>
      </c>
      <c r="F147" s="132" t="n">
        <v>369.6</v>
      </c>
      <c r="G147" s="153" t="n"/>
      <c r="H147" s="153" t="n"/>
      <c r="J147" s="117" t="inlineStr">
        <is>
          <t>Debt - Long-Term - Maturities - Year 6 &amp; Beyond</t>
        </is>
      </c>
      <c r="K147" s="118" t="n">
        <v>4028</v>
      </c>
      <c r="M147" s="117" t="inlineStr">
        <is>
          <t>Tangible Book Value</t>
        </is>
      </c>
      <c r="N147" s="118" t="n">
        <v>1088.59</v>
      </c>
      <c r="P147" s="115" t="inlineStr">
        <is>
          <t>Debt Maturity</t>
        </is>
      </c>
      <c r="Q147" s="116" t="n"/>
      <c r="S147" s="117" t="inlineStr">
        <is>
          <t>Minority Interest - Total</t>
        </is>
      </c>
      <c r="T147" s="118" t="n">
        <v>307.67</v>
      </c>
      <c r="V147" s="117" t="inlineStr">
        <is>
          <t>Debt - Long-Term - Maturities - 2-3 Years</t>
        </is>
      </c>
      <c r="W147" s="119" t="n">
        <v>30</v>
      </c>
    </row>
    <row r="148">
      <c r="A148" s="131" t="inlineStr">
        <is>
          <t>Payables &amp; Accrued Expenses</t>
        </is>
      </c>
      <c r="B148" s="132" t="n">
        <v>569.2</v>
      </c>
      <c r="C148" s="132" t="n">
        <v>531</v>
      </c>
      <c r="D148" s="132" t="n">
        <v>526.2</v>
      </c>
      <c r="E148" s="132" t="n">
        <v>567.2</v>
      </c>
      <c r="F148" s="132" t="n">
        <v>486</v>
      </c>
      <c r="G148" s="153" t="n"/>
      <c r="H148" s="153" t="n"/>
      <c r="J148" s="115" t="inlineStr">
        <is>
          <t>Capital Lease Maturity</t>
        </is>
      </c>
      <c r="K148" s="116" t="n"/>
      <c r="M148" s="117" t="inlineStr">
        <is>
          <t>Total Book Capital</t>
        </is>
      </c>
      <c r="N148" s="118" t="n">
        <v>2806.48</v>
      </c>
      <c r="P148" s="117" t="inlineStr">
        <is>
          <t>Debt - Long-Term - Maturities - Total</t>
        </is>
      </c>
      <c r="Q148" s="134" t="n">
        <v>17533</v>
      </c>
      <c r="S148" s="117" t="inlineStr">
        <is>
          <t>Accruals - Short-Term</t>
        </is>
      </c>
      <c r="T148" s="139" t="n">
        <v>-3109.22</v>
      </c>
      <c r="V148" s="117" t="inlineStr">
        <is>
          <t>Debt - Long-Term - Maturities - 4-5 Years</t>
        </is>
      </c>
      <c r="W148" s="118" t="n">
        <v>451.25</v>
      </c>
    </row>
    <row r="149">
      <c r="A149" s="133" t="inlineStr">
        <is>
          <t>Trade Account Payables - Total</t>
        </is>
      </c>
      <c r="B149" s="132" t="n">
        <v>438.5</v>
      </c>
      <c r="C149" s="132" t="n">
        <v>407</v>
      </c>
      <c r="D149" s="132" t="n">
        <v>390.4</v>
      </c>
      <c r="E149" s="132" t="n">
        <v>454.5</v>
      </c>
      <c r="F149" s="132" t="n">
        <v>365.5</v>
      </c>
      <c r="G149" s="153" t="n"/>
      <c r="H149" s="153" t="n"/>
      <c r="J149" s="117" t="inlineStr">
        <is>
          <t>Capital Lease Maturities - Total</t>
        </is>
      </c>
      <c r="K149" s="118" t="n">
        <v>314</v>
      </c>
      <c r="M149" s="117" t="inlineStr">
        <is>
          <t>Total Capital</t>
        </is>
      </c>
      <c r="N149" s="118" t="n">
        <v>2806.48</v>
      </c>
      <c r="P149" s="108" t="inlineStr">
        <is>
          <t>Debt - Long-Term - Maturities - within 1 Year</t>
        </is>
      </c>
      <c r="Q149" s="118" t="n">
        <v>1055</v>
      </c>
      <c r="S149" s="117" t="inlineStr">
        <is>
          <t>Asset Accruals</t>
        </is>
      </c>
      <c r="T149" s="134" t="n">
        <v>19845.46</v>
      </c>
      <c r="V149" s="117" t="inlineStr">
        <is>
          <t>Debt - Long-Term - Maturities - Year 6 &amp; Beyond</t>
        </is>
      </c>
      <c r="W149" s="118" t="n">
        <v>750</v>
      </c>
    </row>
    <row r="150">
      <c r="A150" s="133" t="inlineStr">
        <is>
          <t>Accrued Expenses</t>
        </is>
      </c>
      <c r="B150" s="132" t="n">
        <v>130.7</v>
      </c>
      <c r="C150" s="132" t="n">
        <v>124</v>
      </c>
      <c r="D150" s="132" t="n">
        <v>135.8</v>
      </c>
      <c r="E150" s="132" t="n">
        <v>112.7</v>
      </c>
      <c r="F150" s="132" t="n">
        <v>120.5</v>
      </c>
      <c r="G150" s="153" t="n"/>
      <c r="H150" s="153" t="n"/>
      <c r="J150" s="108" t="inlineStr">
        <is>
          <t>Capital Lease Maturities - Due within 1 Year</t>
        </is>
      </c>
      <c r="K150" s="119" t="n">
        <v>28</v>
      </c>
      <c r="M150" s="117" t="inlineStr">
        <is>
          <t>Total Long Term Capital</t>
        </is>
      </c>
      <c r="N150" s="118" t="n">
        <v>3272.12</v>
      </c>
      <c r="P150" s="108" t="inlineStr">
        <is>
          <t>Debt - Long-Term - Maturities - Year 2</t>
        </is>
      </c>
      <c r="Q150" s="118" t="n">
        <v>2237</v>
      </c>
      <c r="S150" s="117" t="inlineStr">
        <is>
          <t>Cash &amp; Cash Equivalents - Total</t>
        </is>
      </c>
      <c r="T150" s="118" t="n">
        <v>1822.36</v>
      </c>
      <c r="V150" s="115" t="inlineStr">
        <is>
          <t>Weighted Average Leases</t>
        </is>
      </c>
      <c r="W150" s="116" t="n"/>
    </row>
    <row r="151">
      <c r="A151" s="131" t="inlineStr">
        <is>
          <t>Liabilities Held for Sale/Discontinued Operations - Long-term &amp; Short-Term</t>
        </is>
      </c>
      <c r="B151" s="135" t="n">
        <v>29.3</v>
      </c>
      <c r="C151" s="138" t="n"/>
      <c r="D151" s="138" t="n"/>
      <c r="E151" s="138" t="n"/>
      <c r="F151" s="138" t="n"/>
      <c r="G151" s="154" t="n"/>
      <c r="H151" s="154" t="n"/>
      <c r="J151" s="108" t="inlineStr">
        <is>
          <t>Capital Lease Maturities - Due in Year 2</t>
        </is>
      </c>
      <c r="K151" s="119" t="n">
        <v>27</v>
      </c>
      <c r="M151" s="117" t="inlineStr">
        <is>
          <t>Total Fixed Assets - Net</t>
        </is>
      </c>
      <c r="N151" s="118" t="n">
        <v>2169.52</v>
      </c>
      <c r="P151" s="108" t="inlineStr">
        <is>
          <t>Debt - Long-Term - Maturities - Year 3</t>
        </is>
      </c>
      <c r="Q151" s="118" t="n">
        <v>2000</v>
      </c>
      <c r="S151" s="117" t="inlineStr">
        <is>
          <t>Cash &amp; Short Term Investments - Total</t>
        </is>
      </c>
      <c r="T151" s="118" t="n">
        <v>1976.07</v>
      </c>
      <c r="V151" s="117" t="inlineStr">
        <is>
          <t>Wgt Avg Remaining Lease Term (Years)-Operating Lease-US GAAP</t>
        </is>
      </c>
      <c r="W151" s="119" t="n">
        <v>12.6</v>
      </c>
    </row>
    <row r="152">
      <c r="A152" s="129" t="inlineStr">
        <is>
          <t>Debt Related</t>
        </is>
      </c>
      <c r="B152" s="130" t="n"/>
      <c r="C152" s="130" t="n"/>
      <c r="D152" s="130" t="n"/>
      <c r="E152" s="130" t="n"/>
      <c r="F152" s="130" t="n"/>
      <c r="G152" s="151" t="n"/>
      <c r="H152" s="151" t="n"/>
      <c r="J152" s="108" t="inlineStr">
        <is>
          <t>Capital Lease Maturities - Due in Year 3</t>
        </is>
      </c>
      <c r="K152" s="119" t="n">
        <v>29</v>
      </c>
      <c r="M152" s="117" t="inlineStr">
        <is>
          <t>Unearned Revenue - Total</t>
        </is>
      </c>
      <c r="N152" s="119" t="n">
        <v>33.77</v>
      </c>
      <c r="P152" s="108" t="inlineStr">
        <is>
          <t>Debt - Long-Term - Maturities - Year 4</t>
        </is>
      </c>
      <c r="Q152" s="118" t="n">
        <v>3673</v>
      </c>
      <c r="S152" s="117" t="inlineStr">
        <is>
          <t>Debt - including Preferred Equity &amp; Minority Interest - Total</t>
        </is>
      </c>
      <c r="T152" s="118" t="n">
        <v>7087.67</v>
      </c>
      <c r="V152" s="117" t="inlineStr">
        <is>
          <t>Weighted Average Discount Rate - Operating Lease - US GAAP</t>
        </is>
      </c>
      <c r="W152" s="148" t="n">
        <v>0</v>
      </c>
    </row>
    <row r="153">
      <c r="A153" s="131" t="inlineStr">
        <is>
          <t>Net Debt</t>
        </is>
      </c>
      <c r="B153" s="132" t="n">
        <v>4189.6</v>
      </c>
      <c r="C153" s="132" t="n">
        <v>4768.1</v>
      </c>
      <c r="D153" s="132" t="n">
        <v>2975.8</v>
      </c>
      <c r="E153" s="132" t="n">
        <v>3871.4</v>
      </c>
      <c r="F153" s="132" t="n">
        <v>3740.9</v>
      </c>
      <c r="G153" s="153" t="n"/>
      <c r="H153" s="153" t="n"/>
      <c r="J153" s="108" t="inlineStr">
        <is>
          <t>Capital Lease Maturities - Due in Year 4</t>
        </is>
      </c>
      <c r="K153" s="119" t="n">
        <v>25</v>
      </c>
      <c r="M153" s="117" t="inlineStr">
        <is>
          <t>Working Capital</t>
        </is>
      </c>
      <c r="N153" s="118" t="n">
        <v>582.9299999999999</v>
      </c>
      <c r="P153" s="108" t="inlineStr">
        <is>
          <t>Debt - Long-Term - Maturities - Remaining</t>
        </is>
      </c>
      <c r="Q153" s="118" t="n">
        <v>8568</v>
      </c>
      <c r="S153" s="117" t="inlineStr">
        <is>
          <t>Investments - Permanent</t>
        </is>
      </c>
      <c r="T153" s="118" t="n">
        <v>875.78</v>
      </c>
      <c r="V153" s="115" t="inlineStr">
        <is>
          <t>Other</t>
        </is>
      </c>
      <c r="W153" s="116" t="n"/>
    </row>
    <row r="154">
      <c r="A154" s="131" t="inlineStr">
        <is>
          <t>Debt - Total</t>
        </is>
      </c>
      <c r="B154" s="132" t="n">
        <v>4372.9</v>
      </c>
      <c r="C154" s="132" t="n">
        <v>5327.8</v>
      </c>
      <c r="D154" s="132" t="n">
        <v>3906.9</v>
      </c>
      <c r="E154" s="132" t="n">
        <v>4032.8</v>
      </c>
      <c r="F154" s="132" t="n">
        <v>3975.9</v>
      </c>
      <c r="G154" s="153" t="n"/>
      <c r="H154" s="153" t="n"/>
      <c r="J154" s="108" t="inlineStr">
        <is>
          <t>Capital Lease Maturities - Due in Year 5</t>
        </is>
      </c>
      <c r="K154" s="119" t="n">
        <v>25</v>
      </c>
      <c r="M154" s="117" t="inlineStr">
        <is>
          <t>Working Capital - Non-Cash</t>
        </is>
      </c>
      <c r="N154" s="118" t="n">
        <v>459.52</v>
      </c>
      <c r="P154" s="117" t="inlineStr">
        <is>
          <t>Debt - Long-Term - Maturities - 2-3 Years</t>
        </is>
      </c>
      <c r="Q154" s="118" t="n">
        <v>4237</v>
      </c>
      <c r="S154" s="117" t="inlineStr">
        <is>
          <t>Net Book Capital</t>
        </is>
      </c>
      <c r="T154" s="134" t="n">
        <v>18425.6</v>
      </c>
      <c r="V154" s="117" t="inlineStr">
        <is>
          <t>Accruals - Short-Term</t>
        </is>
      </c>
      <c r="W154" s="118" t="n">
        <v>403.25</v>
      </c>
    </row>
    <row r="155">
      <c r="A155" s="131" t="inlineStr">
        <is>
          <t>Revolving Line of Credit - Outstanding - Supplemental</t>
        </is>
      </c>
      <c r="B155" s="135" t="n">
        <v>23.1</v>
      </c>
      <c r="C155" s="135" t="n">
        <v>95.2</v>
      </c>
      <c r="D155" s="135" t="n">
        <v>83.2</v>
      </c>
      <c r="E155" s="132" t="n">
        <v>178.6</v>
      </c>
      <c r="F155" s="135" t="n">
        <v>59.6</v>
      </c>
      <c r="G155" s="152" t="n"/>
      <c r="H155" s="152" t="n"/>
      <c r="J155" s="108" t="inlineStr">
        <is>
          <t>Capital Lease Maturities - Remaining Maturities</t>
        </is>
      </c>
      <c r="K155" s="118" t="n">
        <v>345</v>
      </c>
      <c r="M155" s="117" t="inlineStr">
        <is>
          <t>Working Capital excluding Other Current Assets &amp; Liabilities</t>
        </is>
      </c>
      <c r="N155" s="118" t="n">
        <v>624.05</v>
      </c>
      <c r="P155" s="117" t="inlineStr">
        <is>
          <t>Debt - Long-Term - Maturities - 4-5 Years</t>
        </is>
      </c>
      <c r="Q155" s="118" t="n">
        <v>3673</v>
      </c>
      <c r="S155" s="117" t="inlineStr">
        <is>
          <t>Net Operating Assets</t>
        </is>
      </c>
      <c r="T155" s="134" t="n">
        <v>18425.6</v>
      </c>
      <c r="V155" s="117" t="inlineStr">
        <is>
          <t>Asset Accruals</t>
        </is>
      </c>
      <c r="W155" s="118" t="n">
        <v>2774.29</v>
      </c>
    </row>
    <row r="156">
      <c r="A156" s="131" t="inlineStr">
        <is>
          <t>Revolving Line of Credit - Unutilized/Unused Amount</t>
        </is>
      </c>
      <c r="B156" s="132" t="n">
        <v>1576.9</v>
      </c>
      <c r="C156" s="132" t="n">
        <v>1504.8</v>
      </c>
      <c r="D156" s="132" t="n">
        <v>1516.8</v>
      </c>
      <c r="E156" s="132" t="n">
        <v>1421.4</v>
      </c>
      <c r="F156" s="132" t="n">
        <v>940.4</v>
      </c>
      <c r="G156" s="153" t="n"/>
      <c r="H156" s="153" t="n"/>
      <c r="J156" s="108" t="inlineStr">
        <is>
          <t>Capital Lease Maturities - Interest Costs</t>
        </is>
      </c>
      <c r="K156" s="118" t="n">
        <v>165</v>
      </c>
      <c r="M156" s="117" t="inlineStr">
        <is>
          <t>Book Value excluding Other Equity</t>
        </is>
      </c>
      <c r="N156" s="118" t="n">
        <v>1640.94</v>
      </c>
      <c r="P156" s="117" t="inlineStr">
        <is>
          <t>Debt - Long-Term - Maturities - Year 6 &amp; Beyond</t>
        </is>
      </c>
      <c r="Q156" s="118" t="n">
        <v>8568</v>
      </c>
      <c r="S156" s="117" t="inlineStr">
        <is>
          <t>Provisions - Total</t>
        </is>
      </c>
      <c r="T156" s="118" t="n">
        <v>1770.81</v>
      </c>
      <c r="V156" s="117" t="inlineStr">
        <is>
          <t>Cash &amp; Cash Equivalents - Total</t>
        </is>
      </c>
      <c r="W156" s="119" t="n">
        <v>20.4</v>
      </c>
    </row>
    <row r="157">
      <c r="A157" s="131" t="inlineStr">
        <is>
          <t>Revolving Line of Credit - Total Principal Amount</t>
        </is>
      </c>
      <c r="B157" s="132" t="n">
        <v>1600</v>
      </c>
      <c r="C157" s="132" t="n">
        <v>1600</v>
      </c>
      <c r="D157" s="132" t="n">
        <v>1600</v>
      </c>
      <c r="E157" s="132" t="n">
        <v>1600</v>
      </c>
      <c r="F157" s="132" t="n">
        <v>1000</v>
      </c>
      <c r="G157" s="153" t="n"/>
      <c r="H157" s="153" t="n"/>
      <c r="J157" s="117" t="inlineStr">
        <is>
          <t>Capital Lease Maturities - Due in 2-3 Years</t>
        </is>
      </c>
      <c r="K157" s="119" t="n">
        <v>56</v>
      </c>
      <c r="M157" s="117" t="inlineStr">
        <is>
          <t>Order Backlog</t>
        </is>
      </c>
      <c r="N157" s="118" t="n">
        <v>1032.1</v>
      </c>
      <c r="P157" s="115" t="inlineStr">
        <is>
          <t>Capital Lease Maturity</t>
        </is>
      </c>
      <c r="Q157" s="116" t="n"/>
      <c r="S157" s="117" t="inlineStr">
        <is>
          <t>Shareholders Equity - Common</t>
        </is>
      </c>
      <c r="T157" s="134" t="n">
        <v>13314.01</v>
      </c>
      <c r="V157" s="117" t="inlineStr">
        <is>
          <t>Cash &amp; Short Term Investments - Total</t>
        </is>
      </c>
      <c r="W157" s="119" t="n">
        <v>20.4</v>
      </c>
    </row>
    <row r="158">
      <c r="A158" s="129" t="inlineStr">
        <is>
          <t>Debt Maturity</t>
        </is>
      </c>
      <c r="B158" s="130" t="n"/>
      <c r="C158" s="130" t="n"/>
      <c r="D158" s="130" t="n"/>
      <c r="E158" s="130" t="n"/>
      <c r="F158" s="130" t="n"/>
      <c r="G158" s="151" t="n"/>
      <c r="H158" s="151" t="n"/>
      <c r="J158" s="117" t="inlineStr">
        <is>
          <t>Capital Lease Maturities - Due in 4-5 Years</t>
        </is>
      </c>
      <c r="K158" s="119" t="n">
        <v>50</v>
      </c>
      <c r="M158" s="115" t="inlineStr">
        <is>
          <t>Shareholders</t>
        </is>
      </c>
      <c r="N158" s="116" t="n"/>
      <c r="P158" s="117" t="inlineStr">
        <is>
          <t>Capital Lease Maturities - Total</t>
        </is>
      </c>
      <c r="Q158" s="118" t="n">
        <v>534</v>
      </c>
      <c r="S158" s="117" t="inlineStr">
        <is>
          <t>Tangible Total Equity</t>
        </is>
      </c>
      <c r="T158" s="118" t="n">
        <v>4461.86</v>
      </c>
      <c r="V158" s="117" t="inlineStr">
        <is>
          <t>Debt - including Preferred Equity &amp; Minority Interest - Total</t>
        </is>
      </c>
      <c r="W158" s="118" t="n">
        <v>1238.32</v>
      </c>
    </row>
    <row r="159">
      <c r="A159" s="131" t="inlineStr">
        <is>
          <t>Debt - Long-Term - Maturities - Total</t>
        </is>
      </c>
      <c r="B159" s="132" t="n">
        <v>4440.6</v>
      </c>
      <c r="C159" s="132" t="n">
        <v>4841.1</v>
      </c>
      <c r="D159" s="132" t="n">
        <v>3391.5</v>
      </c>
      <c r="E159" s="132" t="n">
        <v>3392</v>
      </c>
      <c r="F159" s="132" t="n">
        <v>3949.6</v>
      </c>
      <c r="G159" s="153" t="n"/>
      <c r="H159" s="153" t="n"/>
      <c r="J159" s="117" t="inlineStr">
        <is>
          <t>Capital Lease Maturities - Due in Year 6 &amp; Beyond</t>
        </is>
      </c>
      <c r="K159" s="118" t="n">
        <v>345</v>
      </c>
      <c r="M159" s="117" t="inlineStr">
        <is>
          <t>Common Shareholders - Number</t>
        </is>
      </c>
      <c r="N159" s="118" t="n">
        <v>7500</v>
      </c>
      <c r="P159" s="108" t="inlineStr">
        <is>
          <t>Capital Lease Maturities - Due within 1 Year</t>
        </is>
      </c>
      <c r="Q159" s="118" t="n">
        <v>121</v>
      </c>
      <c r="S159" s="117" t="inlineStr">
        <is>
          <t>Tangible Book Value</t>
        </is>
      </c>
      <c r="T159" s="118" t="n">
        <v>4154.18</v>
      </c>
      <c r="V159" s="117" t="inlineStr">
        <is>
          <t>Investments - Permanent</t>
        </is>
      </c>
      <c r="W159" s="118" t="n">
        <v>140.09</v>
      </c>
    </row>
    <row r="160">
      <c r="A160" s="133" t="inlineStr">
        <is>
          <t>Debt - Long-Term - Maturities - within 1 Year</t>
        </is>
      </c>
      <c r="B160" s="135" t="n">
        <v>0.4</v>
      </c>
      <c r="C160" s="132" t="n">
        <v>400.5</v>
      </c>
      <c r="D160" s="135" t="n">
        <v>0.5</v>
      </c>
      <c r="E160" s="135" t="n">
        <v>0.5</v>
      </c>
      <c r="F160" s="135" t="n">
        <v>5.2</v>
      </c>
      <c r="G160" s="152" t="n"/>
      <c r="H160" s="152" t="n"/>
      <c r="J160" s="115" t="inlineStr">
        <is>
          <t>Weighted Average Leases</t>
        </is>
      </c>
      <c r="K160" s="116" t="n"/>
      <c r="M160" s="115" t="inlineStr">
        <is>
          <t>Operating Lease Maturity</t>
        </is>
      </c>
      <c r="N160" s="116" t="n"/>
      <c r="P160" s="108" t="inlineStr">
        <is>
          <t>Capital Lease Maturities - Due in Year 2</t>
        </is>
      </c>
      <c r="Q160" s="118" t="n">
        <v>132</v>
      </c>
      <c r="S160" s="117" t="inlineStr">
        <is>
          <t>Total Book Capital</t>
        </is>
      </c>
      <c r="T160" s="134" t="n">
        <v>20094</v>
      </c>
      <c r="V160" s="117" t="inlineStr">
        <is>
          <t>Net Book Capital</t>
        </is>
      </c>
      <c r="W160" s="118" t="n">
        <v>2674.62</v>
      </c>
    </row>
    <row r="161">
      <c r="A161" s="133" t="inlineStr">
        <is>
          <t>Debt - Long-Term - Maturities - Year 3</t>
        </is>
      </c>
      <c r="B161" s="132" t="n">
        <v>1650</v>
      </c>
      <c r="C161" s="132" t="n">
        <v>900.4</v>
      </c>
      <c r="D161" s="132" t="n">
        <v>1350.9</v>
      </c>
      <c r="E161" s="132" t="n">
        <v>1351.4</v>
      </c>
      <c r="F161" s="132" t="n">
        <v>1504.2</v>
      </c>
      <c r="G161" s="153" t="n"/>
      <c r="H161" s="153" t="n"/>
      <c r="J161" s="117" t="inlineStr">
        <is>
          <t>Wgt Avg Remaining Lease Term (Years)-Operating Lease-US GAAP</t>
        </is>
      </c>
      <c r="K161" s="119" t="n">
        <v>10.2</v>
      </c>
      <c r="M161" s="117" t="inlineStr">
        <is>
          <t>Operating Lease Payments - Total</t>
        </is>
      </c>
      <c r="N161" s="119" t="n">
        <v>52.59</v>
      </c>
      <c r="P161" s="108" t="inlineStr">
        <is>
          <t>Capital Lease Maturities - Due in Year 3</t>
        </is>
      </c>
      <c r="Q161" s="119" t="n">
        <v>85</v>
      </c>
      <c r="S161" s="117" t="inlineStr">
        <is>
          <t>Total Capital</t>
        </is>
      </c>
      <c r="T161" s="134" t="n">
        <v>20401.67</v>
      </c>
      <c r="V161" s="117" t="inlineStr">
        <is>
          <t>Net Operating Assets</t>
        </is>
      </c>
      <c r="W161" s="118" t="n">
        <v>2674.62</v>
      </c>
    </row>
    <row r="162">
      <c r="A162" s="133" t="inlineStr">
        <is>
          <t>Debt - Long-Term - Maturities - Remaining</t>
        </is>
      </c>
      <c r="B162" s="132" t="n">
        <v>2790.2</v>
      </c>
      <c r="C162" s="132" t="n">
        <v>3540.2</v>
      </c>
      <c r="D162" s="132" t="n">
        <v>2040.1</v>
      </c>
      <c r="E162" s="132" t="n">
        <v>2040.1</v>
      </c>
      <c r="F162" s="132" t="n">
        <v>2440.2</v>
      </c>
      <c r="G162" s="153" t="n"/>
      <c r="H162" s="153" t="n"/>
      <c r="J162" s="117" t="inlineStr">
        <is>
          <t>Wgt Avg Remaining Lease Term (Years) - Finance Lease</t>
        </is>
      </c>
      <c r="K162" s="119" t="n">
        <v>22</v>
      </c>
      <c r="M162" s="108" t="inlineStr">
        <is>
          <t>Operating Lease Payments - Due in Year 1</t>
        </is>
      </c>
      <c r="N162" s="119" t="n">
        <v>17.51</v>
      </c>
      <c r="P162" s="108" t="inlineStr">
        <is>
          <t>Capital Lease Maturities - Due in Year 4</t>
        </is>
      </c>
      <c r="Q162" s="119" t="n">
        <v>58</v>
      </c>
      <c r="S162" s="117" t="inlineStr">
        <is>
          <t>Total Long Term Capital</t>
        </is>
      </c>
      <c r="T162" s="134" t="n">
        <v>21581.88</v>
      </c>
      <c r="V162" s="117" t="inlineStr">
        <is>
          <t>Provisions - Total</t>
        </is>
      </c>
      <c r="W162" s="118" t="n">
        <v>239.94</v>
      </c>
    </row>
    <row r="163">
      <c r="A163" s="131" t="inlineStr">
        <is>
          <t>Debt - Long-Term - Maturities - 2-3 Years</t>
        </is>
      </c>
      <c r="B163" s="132" t="n">
        <v>1650</v>
      </c>
      <c r="C163" s="132" t="n">
        <v>900.4</v>
      </c>
      <c r="D163" s="132" t="n">
        <v>1350.9</v>
      </c>
      <c r="E163" s="132" t="n">
        <v>1351.4</v>
      </c>
      <c r="F163" s="132" t="n">
        <v>1504.2</v>
      </c>
      <c r="G163" s="153" t="n"/>
      <c r="H163" s="153" t="n"/>
      <c r="J163" s="117" t="inlineStr">
        <is>
          <t>Weighted Average Discount Rate - Operating Lease - US GAAP</t>
        </is>
      </c>
      <c r="K163" s="148" t="n">
        <v>0</v>
      </c>
      <c r="M163" s="108" t="inlineStr">
        <is>
          <t>Operating Lease Payments - Due in Year 2</t>
        </is>
      </c>
      <c r="N163" s="119" t="n">
        <v>14.02</v>
      </c>
      <c r="P163" s="108" t="inlineStr">
        <is>
          <t>Capital Lease Maturities - Due in Year 5</t>
        </is>
      </c>
      <c r="Q163" s="119" t="n">
        <v>88</v>
      </c>
      <c r="S163" s="117" t="inlineStr">
        <is>
          <t>Total Fixed Assets - Net</t>
        </is>
      </c>
      <c r="T163" s="134" t="n">
        <v>15571.06</v>
      </c>
      <c r="V163" s="117" t="inlineStr">
        <is>
          <t>Shareholders Equity - Common</t>
        </is>
      </c>
      <c r="W163" s="118" t="n">
        <v>1456.7</v>
      </c>
    </row>
    <row r="164">
      <c r="A164" s="131" t="inlineStr">
        <is>
          <t>Debt - Long-Term - Maturities - Year 6 &amp; Beyond</t>
        </is>
      </c>
      <c r="B164" s="132" t="n">
        <v>2790.2</v>
      </c>
      <c r="C164" s="132" t="n">
        <v>3540.2</v>
      </c>
      <c r="D164" s="132" t="n">
        <v>2040.1</v>
      </c>
      <c r="E164" s="132" t="n">
        <v>2040.1</v>
      </c>
      <c r="F164" s="132" t="n">
        <v>2440.2</v>
      </c>
      <c r="G164" s="153" t="n"/>
      <c r="H164" s="153" t="n"/>
      <c r="J164" s="117" t="inlineStr">
        <is>
          <t>Weighted Average Discount Rate - Finance Lease</t>
        </is>
      </c>
      <c r="K164" s="148" t="n">
        <v>0</v>
      </c>
      <c r="M164" s="108" t="inlineStr">
        <is>
          <t>Operating Lease Payments - Due in Year 3</t>
        </is>
      </c>
      <c r="N164" s="119" t="n">
        <v>10.25</v>
      </c>
      <c r="P164" s="108" t="inlineStr">
        <is>
          <t>Capital Lease Maturities - Remaining Maturities</t>
        </is>
      </c>
      <c r="Q164" s="118" t="n">
        <v>225</v>
      </c>
      <c r="S164" s="117" t="inlineStr">
        <is>
          <t>Working Capital</t>
        </is>
      </c>
      <c r="T164" s="139" t="n">
        <v>-1286.86</v>
      </c>
      <c r="V164" s="117" t="inlineStr">
        <is>
          <t>Tangible Total Equity</t>
        </is>
      </c>
      <c r="W164" s="118" t="n">
        <v>860.95</v>
      </c>
    </row>
    <row r="165">
      <c r="A165" s="129" t="inlineStr">
        <is>
          <t>Capital Lease Maturity</t>
        </is>
      </c>
      <c r="B165" s="130" t="n"/>
      <c r="C165" s="130" t="n"/>
      <c r="D165" s="130" t="n"/>
      <c r="E165" s="130" t="n"/>
      <c r="F165" s="130" t="n"/>
      <c r="G165" s="151" t="n"/>
      <c r="H165" s="151" t="n"/>
      <c r="J165" s="115" t="inlineStr">
        <is>
          <t>Other</t>
        </is>
      </c>
      <c r="K165" s="116" t="n"/>
      <c r="M165" s="108" t="inlineStr">
        <is>
          <t>Operating Lease Payments - Due in Year 4</t>
        </is>
      </c>
      <c r="N165" s="119" t="n">
        <v>6.35</v>
      </c>
      <c r="P165" s="108" t="inlineStr">
        <is>
          <t>Capital Lease Maturities - Interest Costs</t>
        </is>
      </c>
      <c r="Q165" s="118" t="n">
        <v>175</v>
      </c>
      <c r="S165" s="117" t="inlineStr">
        <is>
          <t>Working Capital - Non-Cash</t>
        </is>
      </c>
      <c r="T165" s="139" t="n">
        <v>-3262.93</v>
      </c>
      <c r="V165" s="117" t="inlineStr">
        <is>
          <t>Tangible Book Value</t>
        </is>
      </c>
      <c r="W165" s="118" t="n">
        <v>860.95</v>
      </c>
    </row>
    <row r="166">
      <c r="A166" s="131" t="inlineStr">
        <is>
          <t>Capital Lease Maturities - Total</t>
        </is>
      </c>
      <c r="B166" s="135" t="n">
        <v>10.8</v>
      </c>
      <c r="C166" s="135" t="n">
        <v>20.4</v>
      </c>
      <c r="D166" s="135" t="n">
        <v>29.1</v>
      </c>
      <c r="E166" s="135" t="n">
        <v>57.1</v>
      </c>
      <c r="F166" s="135" t="n">
        <v>95.90000000000001</v>
      </c>
      <c r="G166" s="152" t="n"/>
      <c r="H166" s="152" t="n"/>
      <c r="J166" s="117" t="inlineStr">
        <is>
          <t>Minority Interest - Total</t>
        </is>
      </c>
      <c r="K166" s="119" t="n">
        <v>2</v>
      </c>
      <c r="M166" s="108" t="inlineStr">
        <is>
          <t>Operating Lease Payments - Due in Year 5</t>
        </is>
      </c>
      <c r="N166" s="119" t="n">
        <v>3.34</v>
      </c>
      <c r="P166" s="117" t="inlineStr">
        <is>
          <t>Capital Lease Maturities - Due in 2-3 Years</t>
        </is>
      </c>
      <c r="Q166" s="118" t="n">
        <v>217</v>
      </c>
      <c r="S166" s="117" t="inlineStr">
        <is>
          <t>Working Capital excluding Other Current Assets &amp; Liabilities</t>
        </is>
      </c>
      <c r="T166" s="118" t="n">
        <v>723.6799999999999</v>
      </c>
      <c r="V166" s="117" t="inlineStr">
        <is>
          <t>Total Book Capital</t>
        </is>
      </c>
      <c r="W166" s="118" t="n">
        <v>2695.02</v>
      </c>
    </row>
    <row r="167">
      <c r="A167" s="133" t="inlineStr">
        <is>
          <t>Capital Lease Maturities - Due within 1 Year</t>
        </is>
      </c>
      <c r="B167" s="135" t="n">
        <v>6.1</v>
      </c>
      <c r="C167" s="135" t="n">
        <v>11.2</v>
      </c>
      <c r="D167" s="135" t="n">
        <v>13.1</v>
      </c>
      <c r="E167" s="135" t="n">
        <v>23.2</v>
      </c>
      <c r="F167" s="135" t="n">
        <v>33.9</v>
      </c>
      <c r="G167" s="152" t="n"/>
      <c r="H167" s="152" t="n"/>
      <c r="J167" s="117" t="inlineStr">
        <is>
          <t>Accruals - Short-Term</t>
        </is>
      </c>
      <c r="K167" s="118" t="n">
        <v>2231</v>
      </c>
      <c r="M167" s="108" t="inlineStr">
        <is>
          <t>Operating Lease Payments - Remaining Maturities</t>
        </is>
      </c>
      <c r="N167" s="119" t="n">
        <v>9.43</v>
      </c>
      <c r="P167" s="117" t="inlineStr">
        <is>
          <t>Capital Lease Maturities - Due in 4-5 Years</t>
        </is>
      </c>
      <c r="Q167" s="118" t="n">
        <v>146</v>
      </c>
      <c r="S167" s="117" t="inlineStr">
        <is>
          <t>Book Value excluding Other Equity</t>
        </is>
      </c>
      <c r="T167" s="134" t="n">
        <v>13314.01</v>
      </c>
      <c r="V167" s="117" t="inlineStr">
        <is>
          <t>Total Capital</t>
        </is>
      </c>
      <c r="W167" s="118" t="n">
        <v>2695.02</v>
      </c>
    </row>
    <row r="168">
      <c r="A168" s="133" t="inlineStr">
        <is>
          <t>Capital Lease Maturities - Due in Year 2</t>
        </is>
      </c>
      <c r="B168" s="135" t="n">
        <v>2.8</v>
      </c>
      <c r="C168" s="135" t="n">
        <v>6.7</v>
      </c>
      <c r="D168" s="135" t="n">
        <v>10</v>
      </c>
      <c r="E168" s="135" t="n">
        <v>17.3</v>
      </c>
      <c r="F168" s="135" t="n">
        <v>27.1</v>
      </c>
      <c r="G168" s="152" t="n"/>
      <c r="H168" s="152" t="n"/>
      <c r="J168" s="117" t="inlineStr">
        <is>
          <t>Asset Accruals</t>
        </is>
      </c>
      <c r="K168" s="134" t="n">
        <v>15030</v>
      </c>
      <c r="M168" s="108" t="inlineStr">
        <is>
          <t>Operating Lease Payments - Interest Cost/Imputed Interest</t>
        </is>
      </c>
      <c r="N168" s="119" t="n">
        <v>8.31</v>
      </c>
      <c r="P168" s="117" t="inlineStr">
        <is>
          <t>Capital Lease Maturities - Due in Year 6 &amp; Beyond</t>
        </is>
      </c>
      <c r="Q168" s="118" t="n">
        <v>225</v>
      </c>
      <c r="S168" s="115" t="inlineStr">
        <is>
          <t>Employees</t>
        </is>
      </c>
      <c r="T168" s="116" t="n"/>
      <c r="V168" s="117" t="inlineStr">
        <is>
          <t>Total Long Term Capital</t>
        </is>
      </c>
      <c r="W168" s="118" t="n">
        <v>3019.58</v>
      </c>
    </row>
    <row r="169">
      <c r="A169" s="133" t="inlineStr">
        <is>
          <t>Capital Lease Maturities - Due in Year 3</t>
        </is>
      </c>
      <c r="B169" s="135" t="n">
        <v>1.5</v>
      </c>
      <c r="C169" s="135" t="n">
        <v>2.1</v>
      </c>
      <c r="D169" s="135" t="n">
        <v>5.5</v>
      </c>
      <c r="E169" s="135" t="n">
        <v>11.8</v>
      </c>
      <c r="F169" s="135" t="n">
        <v>19.7</v>
      </c>
      <c r="G169" s="152" t="n"/>
      <c r="H169" s="152" t="n"/>
      <c r="J169" s="117" t="inlineStr">
        <is>
          <t>Cash &amp; Cash Equivalents - Total</t>
        </is>
      </c>
      <c r="K169" s="119" t="n">
        <v>67</v>
      </c>
      <c r="M169" s="117" t="inlineStr">
        <is>
          <t>Operating Lease Payments - Due in 2-3 Years</t>
        </is>
      </c>
      <c r="N169" s="119" t="n">
        <v>24.27</v>
      </c>
      <c r="P169" s="115" t="inlineStr">
        <is>
          <t>Weighted Average Leases</t>
        </is>
      </c>
      <c r="Q169" s="116" t="n"/>
      <c r="S169" s="117" t="inlineStr">
        <is>
          <t>Employees - Full-Time/Full-Time Equivalents - Period End</t>
        </is>
      </c>
      <c r="T169" s="134" t="n">
        <v>39462</v>
      </c>
      <c r="V169" s="117" t="inlineStr">
        <is>
          <t>Total Fixed Assets - Net</t>
        </is>
      </c>
      <c r="W169" s="118" t="n">
        <v>2126.04</v>
      </c>
    </row>
    <row r="170">
      <c r="A170" s="133" t="inlineStr">
        <is>
          <t>Capital Lease Maturities - Due in Year 4</t>
        </is>
      </c>
      <c r="B170" s="135" t="n">
        <v>0.6</v>
      </c>
      <c r="C170" s="135" t="n">
        <v>0.8</v>
      </c>
      <c r="D170" s="135" t="n">
        <v>1.2</v>
      </c>
      <c r="E170" s="135" t="n">
        <v>5.9</v>
      </c>
      <c r="F170" s="135" t="n">
        <v>12.2</v>
      </c>
      <c r="G170" s="152" t="n"/>
      <c r="H170" s="152" t="n"/>
      <c r="J170" s="117" t="inlineStr">
        <is>
          <t>Cash &amp; Short Term Investments - Total</t>
        </is>
      </c>
      <c r="K170" s="119" t="n">
        <v>67</v>
      </c>
      <c r="M170" s="117" t="inlineStr">
        <is>
          <t>Operating Lease Payments - Due in 4-5 Years</t>
        </is>
      </c>
      <c r="N170" s="119" t="n">
        <v>9.69</v>
      </c>
      <c r="P170" s="117" t="inlineStr">
        <is>
          <t>Wgt Avg Remaining Lease Term (Years)-Operating Lease-US GAAP</t>
        </is>
      </c>
      <c r="Q170" s="119" t="n">
        <v>4.32</v>
      </c>
      <c r="S170" s="117" t="inlineStr">
        <is>
          <t>Employees - Full-Time/Full-Time Equivalents - Current Date</t>
        </is>
      </c>
      <c r="T170" s="134" t="n">
        <v>39462</v>
      </c>
      <c r="V170" s="117" t="inlineStr">
        <is>
          <t>Working Capital</t>
        </is>
      </c>
      <c r="W170" s="118" t="n">
        <v>423.65</v>
      </c>
    </row>
    <row r="171">
      <c r="A171" s="133" t="inlineStr">
        <is>
          <t>Capital Lease Maturities - Due in Year 5</t>
        </is>
      </c>
      <c r="B171" s="135" t="n">
        <v>0.2</v>
      </c>
      <c r="C171" s="135" t="n">
        <v>0.4</v>
      </c>
      <c r="D171" s="135" t="n">
        <v>0.4</v>
      </c>
      <c r="E171" s="135" t="n">
        <v>0.6</v>
      </c>
      <c r="F171" s="135" t="n">
        <v>5.3</v>
      </c>
      <c r="G171" s="152" t="n"/>
      <c r="H171" s="152" t="n"/>
      <c r="J171" s="117" t="inlineStr">
        <is>
          <t>Debt - including Preferred Equity &amp; Minority Interest - Total</t>
        </is>
      </c>
      <c r="K171" s="118" t="n">
        <v>5627</v>
      </c>
      <c r="M171" s="117" t="inlineStr">
        <is>
          <t>Operating Lease Payments - Due in Year 6 &amp; Beyond</t>
        </is>
      </c>
      <c r="N171" s="119" t="n">
        <v>9.43</v>
      </c>
      <c r="P171" s="117" t="inlineStr">
        <is>
          <t>Wgt Avg Remaining Lease Term (Years) - Finance Lease</t>
        </is>
      </c>
      <c r="Q171" s="119" t="n">
        <v>4.94</v>
      </c>
      <c r="V171" s="117" t="inlineStr">
        <is>
          <t>Working Capital - Non-Cash</t>
        </is>
      </c>
      <c r="W171" s="118" t="n">
        <v>403.25</v>
      </c>
    </row>
    <row r="172">
      <c r="A172" s="133" t="inlineStr">
        <is>
          <t>Capital Lease Maturities - Remaining Maturities</t>
        </is>
      </c>
      <c r="B172" s="135" t="n">
        <v>0.1</v>
      </c>
      <c r="C172" s="138" t="n">
        <v>0</v>
      </c>
      <c r="D172" s="138" t="n"/>
      <c r="E172" s="138" t="n">
        <v>0</v>
      </c>
      <c r="F172" s="138" t="n">
        <v>0</v>
      </c>
      <c r="G172" s="154" t="n"/>
      <c r="H172" s="154" t="n"/>
      <c r="J172" s="117" t="inlineStr">
        <is>
          <t>Net Book Capital</t>
        </is>
      </c>
      <c r="K172" s="134" t="n">
        <v>15592</v>
      </c>
      <c r="M172" s="115" t="inlineStr">
        <is>
          <t>Employees</t>
        </is>
      </c>
      <c r="N172" s="116" t="n"/>
      <c r="P172" s="117" t="inlineStr">
        <is>
          <t>Weighted Average Discount Rate - Operating Lease - US GAAP</t>
        </is>
      </c>
      <c r="Q172" s="148" t="n">
        <v>0</v>
      </c>
      <c r="V172" s="117" t="inlineStr">
        <is>
          <t>Working Capital excluding Other Current Assets &amp; Liabilities</t>
        </is>
      </c>
      <c r="W172" s="118" t="n">
        <v>431.34</v>
      </c>
    </row>
    <row r="173">
      <c r="A173" s="133" t="inlineStr">
        <is>
          <t>Capital Lease Maturities - Interest Costs</t>
        </is>
      </c>
      <c r="B173" s="135" t="n">
        <v>0.5</v>
      </c>
      <c r="C173" s="135" t="n">
        <v>0.8</v>
      </c>
      <c r="D173" s="135" t="n">
        <v>1.1</v>
      </c>
      <c r="E173" s="135" t="n">
        <v>1.7</v>
      </c>
      <c r="F173" s="135" t="n">
        <v>2.3</v>
      </c>
      <c r="G173" s="152" t="n"/>
      <c r="H173" s="152" t="n"/>
      <c r="J173" s="117" t="inlineStr">
        <is>
          <t>Net Operating Assets</t>
        </is>
      </c>
      <c r="K173" s="134" t="n">
        <v>15592</v>
      </c>
      <c r="M173" s="117" t="inlineStr">
        <is>
          <t>Employees - Full-Time/Full-Time Equivalents - Period End</t>
        </is>
      </c>
      <c r="N173" s="118" t="n">
        <v>5298</v>
      </c>
      <c r="P173" s="117" t="inlineStr">
        <is>
          <t>Weighted Average Discount Rate - Finance Lease</t>
        </is>
      </c>
      <c r="Q173" s="148" t="n">
        <v>0</v>
      </c>
      <c r="V173" s="117" t="inlineStr">
        <is>
          <t>Book Value excluding Other Equity</t>
        </is>
      </c>
      <c r="W173" s="118" t="n">
        <v>1456.7</v>
      </c>
    </row>
    <row r="174">
      <c r="A174" s="131" t="inlineStr">
        <is>
          <t>Capital Lease Maturities - Due in 2-3 Years</t>
        </is>
      </c>
      <c r="B174" s="135" t="n">
        <v>4.3</v>
      </c>
      <c r="C174" s="135" t="n">
        <v>8.800000000000001</v>
      </c>
      <c r="D174" s="135" t="n">
        <v>15.5</v>
      </c>
      <c r="E174" s="135" t="n">
        <v>29.1</v>
      </c>
      <c r="F174" s="135" t="n">
        <v>46.8</v>
      </c>
      <c r="G174" s="152" t="n"/>
      <c r="H174" s="152" t="n"/>
      <c r="J174" s="117" t="inlineStr">
        <is>
          <t>Provisions - Total</t>
        </is>
      </c>
      <c r="K174" s="118" t="n">
        <v>1266</v>
      </c>
      <c r="M174" s="117" t="inlineStr">
        <is>
          <t>Employees - Full-Time/Full-Time Equivalents - Current Date</t>
        </is>
      </c>
      <c r="N174" s="118" t="n">
        <v>5298</v>
      </c>
      <c r="P174" s="115" t="inlineStr">
        <is>
          <t>Other</t>
        </is>
      </c>
      <c r="Q174" s="116" t="n"/>
      <c r="V174" s="115" t="inlineStr">
        <is>
          <t>Shareholders</t>
        </is>
      </c>
      <c r="W174" s="116" t="n"/>
    </row>
    <row r="175">
      <c r="A175" s="131" t="inlineStr">
        <is>
          <t>Capital Lease Maturities - Due in 4-5 Years</t>
        </is>
      </c>
      <c r="B175" s="135" t="n">
        <v>0.8</v>
      </c>
      <c r="C175" s="135" t="n">
        <v>1.2</v>
      </c>
      <c r="D175" s="135" t="n">
        <v>1.6</v>
      </c>
      <c r="E175" s="135" t="n">
        <v>6.5</v>
      </c>
      <c r="F175" s="135" t="n">
        <v>17.5</v>
      </c>
      <c r="G175" s="152" t="n"/>
      <c r="H175" s="152" t="n"/>
      <c r="J175" s="117" t="inlineStr">
        <is>
          <t>Shareholders Equity - Common</t>
        </is>
      </c>
      <c r="K175" s="134" t="n">
        <v>10032</v>
      </c>
      <c r="P175" s="117" t="inlineStr">
        <is>
          <t>Contract Liabilities - Short-Term - Advance Consideration &amp; Progress Billings in Excess of Unbilled Revenue</t>
        </is>
      </c>
      <c r="Q175" s="118" t="n">
        <v>405</v>
      </c>
      <c r="V175" s="117" t="inlineStr">
        <is>
          <t>Common Shareholders - Number</t>
        </is>
      </c>
      <c r="W175" s="118" t="n">
        <v>1050</v>
      </c>
    </row>
    <row r="176">
      <c r="A176" s="131" t="inlineStr">
        <is>
          <t>Capital Lease Maturities - Due in Year 6 &amp; Beyond</t>
        </is>
      </c>
      <c r="B176" s="135" t="n">
        <v>0.1</v>
      </c>
      <c r="C176" s="138" t="n">
        <v>0</v>
      </c>
      <c r="D176" s="138" t="n"/>
      <c r="E176" s="138" t="n">
        <v>0</v>
      </c>
      <c r="F176" s="138" t="n">
        <v>0</v>
      </c>
      <c r="G176" s="154" t="n"/>
      <c r="H176" s="154" t="n"/>
      <c r="J176" s="117" t="inlineStr">
        <is>
          <t>Tangible Total Equity</t>
        </is>
      </c>
      <c r="K176" s="118" t="n">
        <v>5961</v>
      </c>
      <c r="P176" s="117" t="inlineStr">
        <is>
          <t>Minority Interest - Total</t>
        </is>
      </c>
      <c r="Q176" s="118" t="n">
        <v>1474</v>
      </c>
      <c r="V176" s="115" t="inlineStr">
        <is>
          <t>Operating Lease Maturity</t>
        </is>
      </c>
      <c r="W176" s="116" t="n"/>
    </row>
    <row r="177">
      <c r="A177" s="129" t="inlineStr">
        <is>
          <t>Weighted Average Leases</t>
        </is>
      </c>
      <c r="B177" s="130" t="n"/>
      <c r="C177" s="130" t="n"/>
      <c r="D177" s="130" t="n"/>
      <c r="E177" s="130" t="n"/>
      <c r="F177" s="130" t="n"/>
      <c r="G177" s="151" t="n"/>
      <c r="H177" s="151" t="n"/>
      <c r="J177" s="117" t="inlineStr">
        <is>
          <t>Tangible Book Value</t>
        </is>
      </c>
      <c r="K177" s="118" t="n">
        <v>5959</v>
      </c>
      <c r="P177" s="117" t="inlineStr">
        <is>
          <t>Accruals - Short-Term</t>
        </is>
      </c>
      <c r="Q177" s="118" t="n">
        <v>2404</v>
      </c>
      <c r="V177" s="117" t="inlineStr">
        <is>
          <t>Operating Lease Payments - Total</t>
        </is>
      </c>
      <c r="W177" s="119" t="n">
        <v>37.63</v>
      </c>
    </row>
    <row r="178">
      <c r="A178" s="131" t="inlineStr">
        <is>
          <t>Wgt Avg Remaining Lease Term (Years)-Operating Lease-US GAAP</t>
        </is>
      </c>
      <c r="B178" s="135" t="n">
        <v>18.9</v>
      </c>
      <c r="C178" s="135" t="n">
        <v>18.9</v>
      </c>
      <c r="D178" s="135" t="n">
        <v>19.5</v>
      </c>
      <c r="E178" s="135" t="n">
        <v>19.7</v>
      </c>
      <c r="F178" s="135" t="n">
        <v>21</v>
      </c>
      <c r="G178" s="152" t="n"/>
      <c r="H178" s="152" t="n"/>
      <c r="J178" s="117" t="inlineStr">
        <is>
          <t>Total Book Capital</t>
        </is>
      </c>
      <c r="K178" s="134" t="n">
        <v>15657</v>
      </c>
      <c r="P178" s="117" t="inlineStr">
        <is>
          <t>Asset Accruals</t>
        </is>
      </c>
      <c r="Q178" s="134" t="n">
        <v>41134</v>
      </c>
      <c r="V178" s="108" t="inlineStr">
        <is>
          <t>Operating Lease Payments - Due in Year 1</t>
        </is>
      </c>
      <c r="W178" s="119" t="n">
        <v>5.01</v>
      </c>
    </row>
    <row r="179">
      <c r="A179" s="131" t="inlineStr">
        <is>
          <t>Wgt Avg Remaining Lease Term (Years) - Finance Lease</t>
        </is>
      </c>
      <c r="B179" s="135" t="n">
        <v>2.4</v>
      </c>
      <c r="C179" s="135" t="n">
        <v>2.2</v>
      </c>
      <c r="D179" s="135" t="n">
        <v>2.5</v>
      </c>
      <c r="E179" s="135" t="n">
        <v>3</v>
      </c>
      <c r="F179" s="135" t="n">
        <v>3.3</v>
      </c>
      <c r="G179" s="152" t="n"/>
      <c r="H179" s="152" t="n"/>
      <c r="J179" s="117" t="inlineStr">
        <is>
          <t>Total Capital</t>
        </is>
      </c>
      <c r="K179" s="134" t="n">
        <v>15659</v>
      </c>
      <c r="P179" s="117" t="inlineStr">
        <is>
          <t>Cash &amp; Cash Equivalents - Total</t>
        </is>
      </c>
      <c r="Q179" s="118" t="n">
        <v>4096</v>
      </c>
      <c r="V179" s="108" t="inlineStr">
        <is>
          <t>Operating Lease Payments - Due in Year 2</t>
        </is>
      </c>
      <c r="W179" s="119" t="n">
        <v>4.24</v>
      </c>
    </row>
    <row r="180">
      <c r="A180" s="131" t="inlineStr">
        <is>
          <t>Weighted Average Discount Rate - Operating Lease - US GAAP</t>
        </is>
      </c>
      <c r="B180" s="149" t="n">
        <v>0</v>
      </c>
      <c r="C180" s="149" t="n">
        <v>0</v>
      </c>
      <c r="D180" s="149" t="n">
        <v>0</v>
      </c>
      <c r="E180" s="149" t="n">
        <v>0</v>
      </c>
      <c r="F180" s="149" t="n">
        <v>0</v>
      </c>
      <c r="G180" s="150" t="n"/>
      <c r="H180" s="150" t="n"/>
      <c r="J180" s="117" t="inlineStr">
        <is>
          <t>Total Long Term Capital</t>
        </is>
      </c>
      <c r="K180" s="134" t="n">
        <v>17816</v>
      </c>
      <c r="P180" s="117" t="inlineStr">
        <is>
          <t>Cash &amp; Short Term Investments - Total</t>
        </is>
      </c>
      <c r="Q180" s="118" t="n">
        <v>4096</v>
      </c>
      <c r="V180" s="108" t="inlineStr">
        <is>
          <t>Operating Lease Payments - Due in Year 3</t>
        </is>
      </c>
      <c r="W180" s="119" t="n">
        <v>3.55</v>
      </c>
    </row>
    <row r="181">
      <c r="A181" s="131" t="inlineStr">
        <is>
          <t>Weighted Average Discount Rate - Finance Lease</t>
        </is>
      </c>
      <c r="B181" s="149" t="n">
        <v>0</v>
      </c>
      <c r="C181" s="149" t="n">
        <v>0</v>
      </c>
      <c r="D181" s="149" t="n">
        <v>0</v>
      </c>
      <c r="E181" s="149" t="n">
        <v>0</v>
      </c>
      <c r="F181" s="149" t="n">
        <v>0</v>
      </c>
      <c r="G181" s="150" t="n"/>
      <c r="H181" s="150" t="n"/>
      <c r="J181" s="117" t="inlineStr">
        <is>
          <t>Total Fixed Assets - Net</t>
        </is>
      </c>
      <c r="K181" s="134" t="n">
        <v>11904</v>
      </c>
      <c r="P181" s="117" t="inlineStr">
        <is>
          <t>Debt - including Preferred Equity &amp; Minority Interest - Total</t>
        </is>
      </c>
      <c r="Q181" s="134" t="n">
        <v>19662</v>
      </c>
      <c r="V181" s="108" t="inlineStr">
        <is>
          <t>Operating Lease Payments - Due in Year 4</t>
        </is>
      </c>
      <c r="W181" s="119" t="n">
        <v>3.59</v>
      </c>
    </row>
    <row r="182">
      <c r="A182" s="129" t="inlineStr">
        <is>
          <t>Other</t>
        </is>
      </c>
      <c r="B182" s="130" t="n"/>
      <c r="C182" s="130" t="n"/>
      <c r="D182" s="130" t="n"/>
      <c r="E182" s="130" t="n"/>
      <c r="F182" s="130" t="n"/>
      <c r="G182" s="151" t="n"/>
      <c r="H182" s="151" t="n"/>
      <c r="J182" s="117" t="inlineStr">
        <is>
          <t>Working Capital</t>
        </is>
      </c>
      <c r="K182" s="118" t="n">
        <v>2298</v>
      </c>
      <c r="P182" s="117" t="inlineStr">
        <is>
          <t>Investments - Permanent</t>
        </is>
      </c>
      <c r="Q182" s="118" t="n">
        <v>502</v>
      </c>
      <c r="V182" s="108" t="inlineStr">
        <is>
          <t>Operating Lease Payments - Due in Year 5</t>
        </is>
      </c>
      <c r="W182" s="119" t="n">
        <v>3.73</v>
      </c>
    </row>
    <row r="183">
      <c r="A183" s="131" t="inlineStr">
        <is>
          <t>Minority Interest - Total</t>
        </is>
      </c>
      <c r="B183" s="135" t="n">
        <v>23.8</v>
      </c>
      <c r="C183" s="135" t="n">
        <v>23.9</v>
      </c>
      <c r="D183" s="135" t="n">
        <v>24.5</v>
      </c>
      <c r="E183" s="135" t="n">
        <v>23.6</v>
      </c>
      <c r="F183" s="135" t="n">
        <v>22.7</v>
      </c>
      <c r="G183" s="152" t="n"/>
      <c r="H183" s="152" t="n"/>
      <c r="J183" s="117" t="inlineStr">
        <is>
          <t>Working Capital - Non-Cash</t>
        </is>
      </c>
      <c r="K183" s="118" t="n">
        <v>2231</v>
      </c>
      <c r="P183" s="117" t="inlineStr">
        <is>
          <t>Net Book Capital</t>
        </is>
      </c>
      <c r="Q183" s="134" t="n">
        <v>39139</v>
      </c>
      <c r="V183" s="108" t="inlineStr">
        <is>
          <t>Operating Lease Payments - Remaining Maturities</t>
        </is>
      </c>
      <c r="W183" s="119" t="n">
        <v>30</v>
      </c>
    </row>
    <row r="184">
      <c r="A184" s="131" t="inlineStr">
        <is>
          <t>Accruals - Short-Term</t>
        </is>
      </c>
      <c r="B184" s="132" t="n">
        <v>1428.5</v>
      </c>
      <c r="C184" s="132" t="n">
        <v>466.9</v>
      </c>
      <c r="D184" s="132" t="n">
        <v>796.2</v>
      </c>
      <c r="E184" s="132" t="n">
        <v>784</v>
      </c>
      <c r="F184" s="132" t="n">
        <v>692.3</v>
      </c>
      <c r="G184" s="153" t="n"/>
      <c r="H184" s="153" t="n"/>
      <c r="J184" s="117" t="inlineStr">
        <is>
          <t>Working Capital excluding Other Current Assets &amp; Liabilities</t>
        </is>
      </c>
      <c r="K184" s="118" t="n">
        <v>2451</v>
      </c>
      <c r="P184" s="117" t="inlineStr">
        <is>
          <t>Net Operating Assets</t>
        </is>
      </c>
      <c r="Q184" s="134" t="n">
        <v>39569</v>
      </c>
      <c r="V184" s="108" t="inlineStr">
        <is>
          <t>Operating Lease Payments - Interest Cost/Imputed Interest</t>
        </is>
      </c>
      <c r="W184" s="119" t="n">
        <v>12.49</v>
      </c>
    </row>
    <row r="185">
      <c r="A185" s="131" t="inlineStr">
        <is>
          <t>Asset Accruals</t>
        </is>
      </c>
      <c r="B185" s="138" t="n">
        <v>12736.2</v>
      </c>
      <c r="C185" s="138" t="n">
        <v>12757</v>
      </c>
      <c r="D185" s="138" t="n">
        <v>10082.9</v>
      </c>
      <c r="E185" s="138" t="n">
        <v>10383.6</v>
      </c>
      <c r="F185" s="132" t="n">
        <v>9750.9</v>
      </c>
      <c r="G185" s="153" t="n"/>
      <c r="H185" s="153" t="n"/>
      <c r="J185" s="117" t="inlineStr">
        <is>
          <t>Book Value excluding Other Equity</t>
        </is>
      </c>
      <c r="K185" s="134" t="n">
        <v>10032</v>
      </c>
      <c r="P185" s="117" t="inlineStr">
        <is>
          <t>Provisions - Total</t>
        </is>
      </c>
      <c r="Q185" s="118" t="n">
        <v>4116</v>
      </c>
      <c r="V185" s="117" t="inlineStr">
        <is>
          <t>Operating Lease Payments - Due in 2-3 Years</t>
        </is>
      </c>
      <c r="W185" s="119" t="n">
        <v>7.79</v>
      </c>
    </row>
    <row r="186">
      <c r="A186" s="131" t="inlineStr">
        <is>
          <t>Cash &amp; Cash Equivalents - Total</t>
        </is>
      </c>
      <c r="B186" s="132" t="n">
        <v>183.3</v>
      </c>
      <c r="C186" s="132" t="n">
        <v>559.7</v>
      </c>
      <c r="D186" s="132" t="n">
        <v>931.1</v>
      </c>
      <c r="E186" s="132" t="n">
        <v>161.4</v>
      </c>
      <c r="F186" s="132" t="n">
        <v>235</v>
      </c>
      <c r="G186" s="153" t="n"/>
      <c r="H186" s="153" t="n"/>
      <c r="J186" s="115" t="inlineStr">
        <is>
          <t>Shareholders</t>
        </is>
      </c>
      <c r="K186" s="116" t="n"/>
      <c r="P186" s="117" t="inlineStr">
        <is>
          <t>Shareholders Equity - Common</t>
        </is>
      </c>
      <c r="Q186" s="134" t="n">
        <v>24003</v>
      </c>
      <c r="V186" s="117" t="inlineStr">
        <is>
          <t>Operating Lease Payments - Due in 4-5 Years</t>
        </is>
      </c>
      <c r="W186" s="119" t="n">
        <v>7.31</v>
      </c>
    </row>
    <row r="187">
      <c r="A187" s="131" t="inlineStr">
        <is>
          <t>Cash &amp; Short Term Investments - Total</t>
        </is>
      </c>
      <c r="B187" s="132" t="n">
        <v>183.3</v>
      </c>
      <c r="C187" s="132" t="n">
        <v>559.7</v>
      </c>
      <c r="D187" s="132" t="n">
        <v>931.1</v>
      </c>
      <c r="E187" s="132" t="n">
        <v>161.4</v>
      </c>
      <c r="F187" s="132" t="n">
        <v>235</v>
      </c>
      <c r="G187" s="153" t="n"/>
      <c r="H187" s="153" t="n"/>
      <c r="J187" s="117" t="inlineStr">
        <is>
          <t>Common Shareholders - Number</t>
        </is>
      </c>
      <c r="K187" s="118" t="n">
        <v>614</v>
      </c>
      <c r="P187" s="117" t="inlineStr">
        <is>
          <t>Tangible Total Equity</t>
        </is>
      </c>
      <c r="Q187" s="118" t="n">
        <v>9901</v>
      </c>
      <c r="V187" s="117" t="inlineStr">
        <is>
          <t>Operating Lease Payments - Due in Year 6 &amp; Beyond</t>
        </is>
      </c>
      <c r="W187" s="119" t="n">
        <v>30</v>
      </c>
    </row>
    <row r="188">
      <c r="A188" s="131" t="inlineStr">
        <is>
          <t>Debt - including Preferred Equity &amp; Minority Interest - Total</t>
        </is>
      </c>
      <c r="B188" s="132" t="n">
        <v>4396.7</v>
      </c>
      <c r="C188" s="132" t="n">
        <v>5351.7</v>
      </c>
      <c r="D188" s="132" t="n">
        <v>3931.4</v>
      </c>
      <c r="E188" s="132" t="n">
        <v>4056.4</v>
      </c>
      <c r="F188" s="132" t="n">
        <v>3998.6</v>
      </c>
      <c r="G188" s="153" t="n"/>
      <c r="H188" s="153" t="n"/>
      <c r="J188" s="115" t="inlineStr">
        <is>
          <t>Operating Lease Maturity</t>
        </is>
      </c>
      <c r="K188" s="116" t="n"/>
      <c r="P188" s="117" t="inlineStr">
        <is>
          <t>Tangible Book Value</t>
        </is>
      </c>
      <c r="Q188" s="118" t="n">
        <v>8856</v>
      </c>
      <c r="V188" s="115" t="inlineStr">
        <is>
          <t>Employees</t>
        </is>
      </c>
      <c r="W188" s="116" t="n"/>
    </row>
    <row r="189">
      <c r="A189" s="131" t="inlineStr">
        <is>
          <t>Investments - Permanent</t>
        </is>
      </c>
      <c r="B189" s="135" t="n">
        <v>33.7</v>
      </c>
      <c r="C189" s="135" t="n">
        <v>31.3</v>
      </c>
      <c r="D189" s="135" t="n">
        <v>31.3</v>
      </c>
      <c r="E189" s="135" t="n">
        <v>31.8</v>
      </c>
      <c r="F189" s="135" t="n">
        <v>34.1</v>
      </c>
      <c r="G189" s="152" t="n"/>
      <c r="H189" s="152" t="n"/>
      <c r="J189" s="117" t="inlineStr">
        <is>
          <t>Operating Lease Payments - Total</t>
        </is>
      </c>
      <c r="K189" s="118" t="n">
        <v>392</v>
      </c>
      <c r="P189" s="117" t="inlineStr">
        <is>
          <t>Total Book Capital</t>
        </is>
      </c>
      <c r="Q189" s="134" t="n">
        <v>42190</v>
      </c>
      <c r="V189" s="117" t="inlineStr">
        <is>
          <t>Employees - Full-Time/Full-Time Equivalents - Period End</t>
        </is>
      </c>
      <c r="W189" s="118" t="n">
        <v>2500</v>
      </c>
    </row>
    <row r="190">
      <c r="A190" s="131" t="inlineStr">
        <is>
          <t>Net Book Capital</t>
        </is>
      </c>
      <c r="B190" s="138" t="n">
        <v>12738.5</v>
      </c>
      <c r="C190" s="138" t="n">
        <v>12910.6</v>
      </c>
      <c r="D190" s="138" t="n">
        <v>10483.7</v>
      </c>
      <c r="E190" s="138" t="n">
        <v>10823.6</v>
      </c>
      <c r="F190" s="138" t="n">
        <v>10308.6</v>
      </c>
      <c r="G190" s="154" t="n"/>
      <c r="H190" s="154" t="n"/>
      <c r="J190" s="108" t="inlineStr">
        <is>
          <t>Operating Lease Payments - Due in Year 1</t>
        </is>
      </c>
      <c r="K190" s="119" t="n">
        <v>80</v>
      </c>
      <c r="P190" s="117" t="inlineStr">
        <is>
          <t>Total Capital</t>
        </is>
      </c>
      <c r="Q190" s="134" t="n">
        <v>43665</v>
      </c>
      <c r="V190" s="117" t="inlineStr">
        <is>
          <t>Employees - Full-Time/Full-Time Equivalents - Current Date</t>
        </is>
      </c>
      <c r="W190" s="118" t="n">
        <v>2500</v>
      </c>
    </row>
    <row r="191">
      <c r="A191" s="131" t="inlineStr">
        <is>
          <t>Net Operating Assets</t>
        </is>
      </c>
      <c r="B191" s="138" t="n">
        <v>12738.5</v>
      </c>
      <c r="C191" s="138" t="n">
        <v>12910.6</v>
      </c>
      <c r="D191" s="138" t="n">
        <v>10483.7</v>
      </c>
      <c r="E191" s="138" t="n">
        <v>10823.6</v>
      </c>
      <c r="F191" s="138" t="n">
        <v>10308.6</v>
      </c>
      <c r="G191" s="154" t="n"/>
      <c r="H191" s="154" t="n"/>
      <c r="J191" s="108" t="inlineStr">
        <is>
          <t>Operating Lease Payments - Due in Year 2</t>
        </is>
      </c>
      <c r="K191" s="119" t="n">
        <v>69</v>
      </c>
      <c r="P191" s="117" t="inlineStr">
        <is>
          <t>Total Long Term Capital</t>
        </is>
      </c>
      <c r="Q191" s="134" t="n">
        <v>49145</v>
      </c>
    </row>
    <row r="192">
      <c r="A192" s="131" t="inlineStr">
        <is>
          <t>Provisions - Total</t>
        </is>
      </c>
      <c r="B192" s="132" t="n">
        <v>1879</v>
      </c>
      <c r="C192" s="132" t="n">
        <v>1839.1</v>
      </c>
      <c r="D192" s="132" t="n">
        <v>1436.6</v>
      </c>
      <c r="E192" s="132" t="n">
        <v>1466.3</v>
      </c>
      <c r="F192" s="132" t="n">
        <v>1427.4</v>
      </c>
      <c r="G192" s="153" t="n"/>
      <c r="H192" s="153" t="n"/>
      <c r="J192" s="108" t="inlineStr">
        <is>
          <t>Operating Lease Payments - Due in Year 3</t>
        </is>
      </c>
      <c r="K192" s="119" t="n">
        <v>58</v>
      </c>
      <c r="P192" s="117" t="inlineStr">
        <is>
          <t>Total Fixed Assets - Net</t>
        </is>
      </c>
      <c r="Q192" s="134" t="n">
        <v>29976</v>
      </c>
    </row>
    <row r="193">
      <c r="A193" s="131" t="inlineStr">
        <is>
          <t>Shareholders Equity - Common</t>
        </is>
      </c>
      <c r="B193" s="132" t="n">
        <v>8525.1</v>
      </c>
      <c r="C193" s="132" t="n">
        <v>8118.6</v>
      </c>
      <c r="D193" s="132" t="n">
        <v>7483.4</v>
      </c>
      <c r="E193" s="132" t="n">
        <v>6928.6</v>
      </c>
      <c r="F193" s="132" t="n">
        <v>6545</v>
      </c>
      <c r="G193" s="153" t="n"/>
      <c r="H193" s="153" t="n"/>
      <c r="J193" s="108" t="inlineStr">
        <is>
          <t>Operating Lease Payments - Due in Year 4</t>
        </is>
      </c>
      <c r="K193" s="119" t="n">
        <v>44</v>
      </c>
      <c r="P193" s="117" t="inlineStr">
        <is>
          <t>Unearned Revenue - Total</t>
        </is>
      </c>
      <c r="Q193" s="118" t="n">
        <v>405</v>
      </c>
    </row>
    <row r="194">
      <c r="A194" s="131" t="inlineStr">
        <is>
          <t>Tangible Total Equity</t>
        </is>
      </c>
      <c r="B194" s="132" t="n">
        <v>3279</v>
      </c>
      <c r="C194" s="132" t="n">
        <v>2639.7</v>
      </c>
      <c r="D194" s="132" t="n">
        <v>2515.5</v>
      </c>
      <c r="E194" s="132" t="n">
        <v>1560.5</v>
      </c>
      <c r="F194" s="132" t="n">
        <v>1122</v>
      </c>
      <c r="G194" s="153" t="n"/>
      <c r="H194" s="153" t="n"/>
      <c r="J194" s="108" t="inlineStr">
        <is>
          <t>Operating Lease Payments - Due in Year 5</t>
        </is>
      </c>
      <c r="K194" s="119" t="n">
        <v>36</v>
      </c>
      <c r="P194" s="117" t="inlineStr">
        <is>
          <t>Working Capital</t>
        </is>
      </c>
      <c r="Q194" s="118" t="n">
        <v>6500</v>
      </c>
    </row>
    <row r="195">
      <c r="A195" s="131" t="inlineStr">
        <is>
          <t>Tangible Book Value</t>
        </is>
      </c>
      <c r="B195" s="132" t="n">
        <v>3255.2</v>
      </c>
      <c r="C195" s="132" t="n">
        <v>2615.8</v>
      </c>
      <c r="D195" s="132" t="n">
        <v>2491</v>
      </c>
      <c r="E195" s="132" t="n">
        <v>1536.9</v>
      </c>
      <c r="F195" s="132" t="n">
        <v>1099.3</v>
      </c>
      <c r="G195" s="153" t="n"/>
      <c r="H195" s="153" t="n"/>
      <c r="J195" s="108" t="inlineStr">
        <is>
          <t>Operating Lease Payments - Remaining Maturities</t>
        </is>
      </c>
      <c r="K195" s="118" t="n">
        <v>208</v>
      </c>
      <c r="P195" s="117" t="inlineStr">
        <is>
          <t>Working Capital - Non-Cash</t>
        </is>
      </c>
      <c r="Q195" s="118" t="n">
        <v>2404</v>
      </c>
    </row>
    <row r="196">
      <c r="A196" s="131" t="inlineStr">
        <is>
          <t>Total Book Capital</t>
        </is>
      </c>
      <c r="B196" s="138" t="n">
        <v>12898</v>
      </c>
      <c r="C196" s="138" t="n">
        <v>13446.4</v>
      </c>
      <c r="D196" s="138" t="n">
        <v>11390.3</v>
      </c>
      <c r="E196" s="138" t="n">
        <v>10961.4</v>
      </c>
      <c r="F196" s="138" t="n">
        <v>10520.9</v>
      </c>
      <c r="G196" s="154" t="n"/>
      <c r="H196" s="154" t="n"/>
      <c r="J196" s="108" t="inlineStr">
        <is>
          <t>Operating Lease Payments - Interest Cost/Imputed Interest</t>
        </is>
      </c>
      <c r="K196" s="118" t="n">
        <v>103</v>
      </c>
      <c r="P196" s="117" t="inlineStr">
        <is>
          <t>Working Capital excluding Other Current Assets &amp; Liabilities</t>
        </is>
      </c>
      <c r="Q196" s="118" t="n">
        <v>8051</v>
      </c>
    </row>
    <row r="197">
      <c r="A197" s="131" t="inlineStr">
        <is>
          <t>Total Capital</t>
        </is>
      </c>
      <c r="B197" s="138" t="n">
        <v>12921.8</v>
      </c>
      <c r="C197" s="138" t="n">
        <v>13470.3</v>
      </c>
      <c r="D197" s="138" t="n">
        <v>11414.8</v>
      </c>
      <c r="E197" s="138" t="n">
        <v>10985</v>
      </c>
      <c r="F197" s="138" t="n">
        <v>10543.6</v>
      </c>
      <c r="G197" s="154" t="n"/>
      <c r="H197" s="154" t="n"/>
      <c r="J197" s="117" t="inlineStr">
        <is>
          <t>Operating Lease Payments - Due in 2-3 Years</t>
        </is>
      </c>
      <c r="K197" s="118" t="n">
        <v>127</v>
      </c>
      <c r="P197" s="117" t="inlineStr">
        <is>
          <t>Book Value excluding Other Equity</t>
        </is>
      </c>
      <c r="Q197" s="134" t="n">
        <v>24003</v>
      </c>
    </row>
    <row r="198">
      <c r="A198" s="131" t="inlineStr">
        <is>
          <t>Total Long Term Capital</t>
        </is>
      </c>
      <c r="B198" s="138" t="n">
        <v>15744.3</v>
      </c>
      <c r="C198" s="138" t="n">
        <v>15865.7</v>
      </c>
      <c r="D198" s="138" t="n">
        <v>13748.1</v>
      </c>
      <c r="E198" s="138" t="n">
        <v>13278</v>
      </c>
      <c r="F198" s="138" t="n">
        <v>12913.3</v>
      </c>
      <c r="G198" s="154" t="n"/>
      <c r="H198" s="154" t="n"/>
      <c r="J198" s="117" t="inlineStr">
        <is>
          <t>Operating Lease Payments - Due in 4-5 Years</t>
        </is>
      </c>
      <c r="K198" s="119" t="n">
        <v>80</v>
      </c>
      <c r="P198" s="115" t="inlineStr">
        <is>
          <t>Shareholders</t>
        </is>
      </c>
      <c r="Q198" s="116" t="n"/>
    </row>
    <row r="199">
      <c r="A199" s="131" t="inlineStr">
        <is>
          <t>Total Fixed Assets - Net</t>
        </is>
      </c>
      <c r="B199" s="138" t="n">
        <v>10351.6</v>
      </c>
      <c r="C199" s="138" t="n">
        <v>11051</v>
      </c>
      <c r="D199" s="132" t="n">
        <v>8489.1</v>
      </c>
      <c r="E199" s="132" t="n">
        <v>8643</v>
      </c>
      <c r="F199" s="132" t="n">
        <v>8289.299999999999</v>
      </c>
      <c r="G199" s="153" t="n"/>
      <c r="H199" s="153" t="n"/>
      <c r="J199" s="117" t="inlineStr">
        <is>
          <t>Operating Lease Payments - Due in Year 6 &amp; Beyond</t>
        </is>
      </c>
      <c r="K199" s="118" t="n">
        <v>208</v>
      </c>
      <c r="P199" s="117" t="inlineStr">
        <is>
          <t>Common Shareholders - Number</t>
        </is>
      </c>
      <c r="Q199" s="134" t="n">
        <v>14350</v>
      </c>
    </row>
    <row r="200">
      <c r="A200" s="131" t="inlineStr">
        <is>
          <t>Unearned Revenue - Total</t>
        </is>
      </c>
      <c r="B200" s="132" t="n">
        <v>130.6</v>
      </c>
      <c r="C200" s="132" t="n">
        <v>137.8</v>
      </c>
      <c r="D200" s="132" t="n">
        <v>145.3</v>
      </c>
      <c r="E200" s="132" t="n">
        <v>159.8</v>
      </c>
      <c r="F200" s="132" t="n">
        <v>167.1</v>
      </c>
      <c r="G200" s="153" t="n"/>
      <c r="H200" s="153" t="n"/>
      <c r="J200" s="115" t="inlineStr">
        <is>
          <t>Employees</t>
        </is>
      </c>
      <c r="K200" s="116" t="n"/>
      <c r="P200" s="115" t="inlineStr">
        <is>
          <t>Operating Lease Maturity</t>
        </is>
      </c>
      <c r="Q200" s="116" t="n"/>
    </row>
    <row r="201">
      <c r="A201" s="131" t="inlineStr">
        <is>
          <t>Working Capital</t>
        </is>
      </c>
      <c r="B201" s="132" t="n">
        <v>1611.8</v>
      </c>
      <c r="C201" s="132" t="n">
        <v>1026.6</v>
      </c>
      <c r="D201" s="132" t="n">
        <v>1727.3</v>
      </c>
      <c r="E201" s="132" t="n">
        <v>945.4</v>
      </c>
      <c r="F201" s="132" t="n">
        <v>927.3</v>
      </c>
      <c r="G201" s="153" t="n"/>
      <c r="H201" s="153" t="n"/>
      <c r="J201" s="117" t="inlineStr">
        <is>
          <t>Employees - Full-Time/Full-Time Equivalents - Period End</t>
        </is>
      </c>
      <c r="K201" s="118" t="n">
        <v>9600</v>
      </c>
      <c r="P201" s="117" t="inlineStr">
        <is>
          <t>Operating Lease Payments - Total</t>
        </is>
      </c>
      <c r="Q201" s="118" t="n">
        <v>1518</v>
      </c>
    </row>
    <row r="202">
      <c r="A202" s="131" t="inlineStr">
        <is>
          <t>Working Capital - Non-Cash</t>
        </is>
      </c>
      <c r="B202" s="132" t="n">
        <v>1428.5</v>
      </c>
      <c r="C202" s="132" t="n">
        <v>466.9</v>
      </c>
      <c r="D202" s="132" t="n">
        <v>796.2</v>
      </c>
      <c r="E202" s="132" t="n">
        <v>784</v>
      </c>
      <c r="F202" s="132" t="n">
        <v>692.3</v>
      </c>
      <c r="G202" s="153" t="n"/>
      <c r="H202" s="153" t="n"/>
      <c r="J202" s="117" t="inlineStr">
        <is>
          <t>Employees - Full-Time/Full-Time Equivalents - Current Date</t>
        </is>
      </c>
      <c r="K202" s="118" t="n">
        <v>9600</v>
      </c>
      <c r="P202" s="108" t="inlineStr">
        <is>
          <t>Operating Lease Payments - Due in Year 1</t>
        </is>
      </c>
      <c r="Q202" s="118" t="n">
        <v>311</v>
      </c>
    </row>
    <row r="203">
      <c r="A203" s="131" t="inlineStr">
        <is>
          <t>Working Capital excluding Other Current Assets &amp; Liabilities</t>
        </is>
      </c>
      <c r="B203" s="132" t="n">
        <v>1810.8</v>
      </c>
      <c r="C203" s="132" t="n">
        <v>1142.3</v>
      </c>
      <c r="D203" s="132" t="n">
        <v>1849.9</v>
      </c>
      <c r="E203" s="132" t="n">
        <v>1047.9</v>
      </c>
      <c r="F203" s="132" t="n">
        <v>1019.2</v>
      </c>
      <c r="G203" s="153" t="n"/>
      <c r="H203" s="153" t="n"/>
      <c r="P203" s="108" t="inlineStr">
        <is>
          <t>Operating Lease Payments - Due in Year 2</t>
        </is>
      </c>
      <c r="Q203" s="118" t="n">
        <v>253</v>
      </c>
    </row>
    <row r="204">
      <c r="A204" s="131" t="inlineStr">
        <is>
          <t>Book Value excluding Other Equity</t>
        </is>
      </c>
      <c r="B204" s="132" t="n">
        <v>8525.1</v>
      </c>
      <c r="C204" s="132" t="n">
        <v>8118.6</v>
      </c>
      <c r="D204" s="132" t="n">
        <v>7483.4</v>
      </c>
      <c r="E204" s="132" t="n">
        <v>6928.6</v>
      </c>
      <c r="F204" s="132" t="n">
        <v>6545</v>
      </c>
      <c r="G204" s="153" t="n"/>
      <c r="H204" s="153" t="n"/>
      <c r="P204" s="108" t="inlineStr">
        <is>
          <t>Operating Lease Payments - Due in Year 3</t>
        </is>
      </c>
      <c r="Q204" s="118" t="n">
        <v>214</v>
      </c>
    </row>
    <row r="205">
      <c r="A205" s="131" t="inlineStr">
        <is>
          <t>Total Indefinite-lived Intangible Assets - Net (excl Goodwill) - Supplemental</t>
        </is>
      </c>
      <c r="B205" s="138" t="n">
        <v>0</v>
      </c>
      <c r="C205" s="138" t="n">
        <v>0</v>
      </c>
      <c r="D205" s="138" t="n"/>
      <c r="E205" s="138" t="n"/>
      <c r="F205" s="138" t="n"/>
      <c r="G205" s="154" t="n"/>
      <c r="H205" s="154" t="n"/>
      <c r="P205" s="108" t="inlineStr">
        <is>
          <t>Operating Lease Payments - Due in Year 4</t>
        </is>
      </c>
      <c r="Q205" s="118" t="n">
        <v>172</v>
      </c>
    </row>
    <row r="206">
      <c r="A206" s="129" t="inlineStr">
        <is>
          <t>Shareholders</t>
        </is>
      </c>
      <c r="B206" s="130" t="n"/>
      <c r="C206" s="130" t="n"/>
      <c r="D206" s="130" t="n"/>
      <c r="E206" s="130" t="n"/>
      <c r="F206" s="130" t="n"/>
      <c r="G206" s="151" t="n"/>
      <c r="H206" s="151" t="n"/>
      <c r="P206" s="108" t="inlineStr">
        <is>
          <t>Operating Lease Payments - Due in Year 5</t>
        </is>
      </c>
      <c r="Q206" s="118" t="n">
        <v>143</v>
      </c>
    </row>
    <row r="207">
      <c r="A207" s="131" t="inlineStr">
        <is>
          <t>Common Shareholders - Number</t>
        </is>
      </c>
      <c r="B207" s="132" t="n">
        <v>1877</v>
      </c>
      <c r="C207" s="132" t="n">
        <v>1977</v>
      </c>
      <c r="D207" s="132" t="n">
        <v>2058</v>
      </c>
      <c r="E207" s="132" t="n">
        <v>2158</v>
      </c>
      <c r="F207" s="132" t="n">
        <v>2277</v>
      </c>
      <c r="G207" s="153" t="n"/>
      <c r="H207" s="153" t="n"/>
      <c r="P207" s="108" t="inlineStr">
        <is>
          <t>Operating Lease Payments - Remaining Maturities</t>
        </is>
      </c>
      <c r="Q207" s="118" t="n">
        <v>790</v>
      </c>
    </row>
    <row r="208">
      <c r="A208" s="129" t="inlineStr">
        <is>
          <t>Operating Lease Maturity</t>
        </is>
      </c>
      <c r="B208" s="130" t="n"/>
      <c r="C208" s="130" t="n"/>
      <c r="D208" s="130" t="n"/>
      <c r="E208" s="130" t="n"/>
      <c r="F208" s="130" t="n"/>
      <c r="G208" s="151" t="n"/>
      <c r="H208" s="151" t="n"/>
      <c r="P208" s="108" t="inlineStr">
        <is>
          <t>Operating Lease Payments - Interest Cost/Imputed Interest</t>
        </is>
      </c>
      <c r="Q208" s="118" t="n">
        <v>365</v>
      </c>
    </row>
    <row r="209">
      <c r="A209" s="131" t="inlineStr">
        <is>
          <t>Operating Lease Payments - Total</t>
        </is>
      </c>
      <c r="B209" s="132" t="n">
        <v>567.1</v>
      </c>
      <c r="C209" s="132" t="n">
        <v>570.7</v>
      </c>
      <c r="D209" s="132" t="n">
        <v>554.7</v>
      </c>
      <c r="E209" s="132" t="n">
        <v>596.5</v>
      </c>
      <c r="F209" s="132" t="n">
        <v>691.7</v>
      </c>
      <c r="G209" s="153" t="n"/>
      <c r="H209" s="153" t="n"/>
      <c r="P209" s="117" t="inlineStr">
        <is>
          <t>Operating Lease Payments - Due in 2-3 Years</t>
        </is>
      </c>
      <c r="Q209" s="118" t="n">
        <v>467</v>
      </c>
    </row>
    <row r="210">
      <c r="A210" s="133" t="inlineStr">
        <is>
          <t>Operating Lease Payments - Due in Year 1</t>
        </is>
      </c>
      <c r="B210" s="135" t="n">
        <v>70.40000000000001</v>
      </c>
      <c r="C210" s="135" t="n">
        <v>73.8</v>
      </c>
      <c r="D210" s="135" t="n">
        <v>69.8</v>
      </c>
      <c r="E210" s="135" t="n">
        <v>70</v>
      </c>
      <c r="F210" s="135" t="n">
        <v>72.5</v>
      </c>
      <c r="G210" s="152" t="n"/>
      <c r="H210" s="152" t="n"/>
      <c r="P210" s="117" t="inlineStr">
        <is>
          <t>Operating Lease Payments - Due in 4-5 Years</t>
        </is>
      </c>
      <c r="Q210" s="118" t="n">
        <v>315</v>
      </c>
    </row>
    <row r="211">
      <c r="A211" s="133" t="inlineStr">
        <is>
          <t>Operating Lease Payments - Due in Year 2</t>
        </is>
      </c>
      <c r="B211" s="135" t="n">
        <v>65.59999999999999</v>
      </c>
      <c r="C211" s="135" t="n">
        <v>66.7</v>
      </c>
      <c r="D211" s="135" t="n">
        <v>63.9</v>
      </c>
      <c r="E211" s="135" t="n">
        <v>65.3</v>
      </c>
      <c r="F211" s="135" t="n">
        <v>66</v>
      </c>
      <c r="G211" s="152" t="n"/>
      <c r="H211" s="152" t="n"/>
      <c r="P211" s="117" t="inlineStr">
        <is>
          <t>Operating Lease Payments - Due in Year 6 &amp; Beyond</t>
        </is>
      </c>
      <c r="Q211" s="118" t="n">
        <v>790</v>
      </c>
    </row>
    <row r="212">
      <c r="A212" s="133" t="inlineStr">
        <is>
          <t>Operating Lease Payments - Due in Year 3</t>
        </is>
      </c>
      <c r="B212" s="135" t="n">
        <v>58.8</v>
      </c>
      <c r="C212" s="135" t="n">
        <v>62.2</v>
      </c>
      <c r="D212" s="135" t="n">
        <v>57.3</v>
      </c>
      <c r="E212" s="135" t="n">
        <v>60.9</v>
      </c>
      <c r="F212" s="135" t="n">
        <v>63.3</v>
      </c>
      <c r="G212" s="152" t="n"/>
      <c r="H212" s="152" t="n"/>
      <c r="P212" s="115" t="inlineStr">
        <is>
          <t>Employees</t>
        </is>
      </c>
      <c r="Q212" s="116" t="n"/>
    </row>
    <row r="213">
      <c r="A213" s="133" t="inlineStr">
        <is>
          <t>Operating Lease Payments - Due in Year 4</t>
        </is>
      </c>
      <c r="B213" s="135" t="n">
        <v>54.6</v>
      </c>
      <c r="C213" s="135" t="n">
        <v>55.2</v>
      </c>
      <c r="D213" s="135" t="n">
        <v>52.8</v>
      </c>
      <c r="E213" s="135" t="n">
        <v>54.7</v>
      </c>
      <c r="F213" s="135" t="n">
        <v>61</v>
      </c>
      <c r="G213" s="152" t="n"/>
      <c r="H213" s="152" t="n"/>
      <c r="P213" s="117" t="inlineStr">
        <is>
          <t>Employees - Full-Time/Full-Time Equivalents - Period End</t>
        </is>
      </c>
      <c r="Q213" s="134" t="n">
        <v>83032</v>
      </c>
    </row>
    <row r="214">
      <c r="A214" s="133" t="inlineStr">
        <is>
          <t>Operating Lease Payments - Due in Year 5</t>
        </is>
      </c>
      <c r="B214" s="135" t="n">
        <v>51.6</v>
      </c>
      <c r="C214" s="135" t="n">
        <v>50.8</v>
      </c>
      <c r="D214" s="135" t="n">
        <v>47.4</v>
      </c>
      <c r="E214" s="135" t="n">
        <v>50.5</v>
      </c>
      <c r="F214" s="135" t="n">
        <v>56.3</v>
      </c>
      <c r="G214" s="152" t="n"/>
      <c r="H214" s="152" t="n"/>
      <c r="P214" s="117" t="inlineStr">
        <is>
          <t>Employees - Full-Time/Full-Time Equivalents - Current Date</t>
        </is>
      </c>
      <c r="Q214" s="134" t="n">
        <v>83032</v>
      </c>
    </row>
    <row r="215">
      <c r="A215" s="133" t="inlineStr">
        <is>
          <t>Operating Lease Payments - Remaining Maturities</t>
        </is>
      </c>
      <c r="B215" s="132" t="n">
        <v>638.3</v>
      </c>
      <c r="C215" s="132" t="n">
        <v>608.7</v>
      </c>
      <c r="D215" s="132" t="n">
        <v>606.5</v>
      </c>
      <c r="E215" s="132" t="n">
        <v>658.3</v>
      </c>
      <c r="F215" s="132" t="n">
        <v>797.2</v>
      </c>
      <c r="G215" s="153" t="n"/>
      <c r="H215" s="153" t="n"/>
    </row>
    <row r="216">
      <c r="A216" s="133" t="inlineStr">
        <is>
          <t>Operating Lease Payments - Interest Cost/Imputed Interest</t>
        </is>
      </c>
      <c r="B216" s="132" t="n">
        <v>372.2</v>
      </c>
      <c r="C216" s="132" t="n">
        <v>346.7</v>
      </c>
      <c r="D216" s="132" t="n">
        <v>343</v>
      </c>
      <c r="E216" s="132" t="n">
        <v>363.2</v>
      </c>
      <c r="F216" s="132" t="n">
        <v>424.6</v>
      </c>
      <c r="G216" s="153" t="n"/>
      <c r="H216" s="153" t="n"/>
    </row>
    <row r="217">
      <c r="A217" s="131" t="inlineStr">
        <is>
          <t>Operating Lease Payments - Due in 2-3 Years</t>
        </is>
      </c>
      <c r="B217" s="132" t="n">
        <v>124.4</v>
      </c>
      <c r="C217" s="132" t="n">
        <v>128.9</v>
      </c>
      <c r="D217" s="132" t="n">
        <v>121.2</v>
      </c>
      <c r="E217" s="132" t="n">
        <v>126.2</v>
      </c>
      <c r="F217" s="132" t="n">
        <v>129.3</v>
      </c>
      <c r="G217" s="153" t="n"/>
      <c r="H217" s="153" t="n"/>
    </row>
    <row r="218">
      <c r="A218" s="131" t="inlineStr">
        <is>
          <t>Operating Lease Payments - Due in 4-5 Years</t>
        </is>
      </c>
      <c r="B218" s="132" t="n">
        <v>106.2</v>
      </c>
      <c r="C218" s="132" t="n">
        <v>106</v>
      </c>
      <c r="D218" s="132" t="n">
        <v>100.2</v>
      </c>
      <c r="E218" s="132" t="n">
        <v>105.2</v>
      </c>
      <c r="F218" s="132" t="n">
        <v>117.3</v>
      </c>
      <c r="G218" s="153" t="n"/>
      <c r="H218" s="153" t="n"/>
    </row>
    <row r="219">
      <c r="A219" s="131" t="inlineStr">
        <is>
          <t>Operating Lease Payments - Due in Year 6 &amp; Beyond</t>
        </is>
      </c>
      <c r="B219" s="132" t="n">
        <v>638.3</v>
      </c>
      <c r="C219" s="132" t="n">
        <v>608.7</v>
      </c>
      <c r="D219" s="132" t="n">
        <v>606.5</v>
      </c>
      <c r="E219" s="132" t="n">
        <v>658.3</v>
      </c>
      <c r="F219" s="132" t="n">
        <v>797.2</v>
      </c>
      <c r="G219" s="153" t="n"/>
      <c r="H219" s="153" t="n"/>
    </row>
    <row r="220">
      <c r="A220" s="129" t="inlineStr">
        <is>
          <t>Employees</t>
        </is>
      </c>
      <c r="B220" s="130" t="n"/>
      <c r="C220" s="130" t="n"/>
      <c r="D220" s="130" t="n"/>
      <c r="E220" s="130" t="n"/>
      <c r="F220" s="130" t="n"/>
      <c r="G220" s="151" t="n"/>
      <c r="H220" s="151" t="n"/>
    </row>
    <row r="221">
      <c r="A221" s="131" t="inlineStr">
        <is>
          <t>Employees - Full-Time/Full-Time Equivalents - Period End</t>
        </is>
      </c>
      <c r="B221" s="138" t="n">
        <v>11172</v>
      </c>
      <c r="C221" s="138" t="n">
        <v>11436</v>
      </c>
      <c r="D221" s="138" t="n">
        <v>10382</v>
      </c>
      <c r="E221" s="138" t="n">
        <v>11397</v>
      </c>
      <c r="F221" s="138" t="n">
        <v>11437</v>
      </c>
      <c r="G221" s="154" t="n"/>
      <c r="H221" s="154" t="n"/>
    </row>
    <row r="222">
      <c r="A222" s="131" t="inlineStr">
        <is>
          <t>Employees - Full-Time/Full-Time Equivalents - Current Date</t>
        </is>
      </c>
      <c r="B222" s="138" t="n">
        <v>11172</v>
      </c>
      <c r="C222" s="138" t="n">
        <v>11436</v>
      </c>
      <c r="D222" s="138" t="n">
        <v>10382</v>
      </c>
      <c r="E222" s="138" t="n">
        <v>11397</v>
      </c>
      <c r="F222" s="138" t="n">
        <v>11437</v>
      </c>
      <c r="G222" s="154" t="n"/>
      <c r="H222" s="154" t="n"/>
    </row>
    <row r="223"/>
    <row r="224"/>
    <row r="225">
      <c r="A225" s="125" t="inlineStr">
        <is>
          <t>Income Statement - Standardized (Currency: Standardized)</t>
        </is>
      </c>
      <c r="B225" s="125" t="n"/>
      <c r="C225" s="125" t="n"/>
      <c r="D225" s="125" t="n"/>
      <c r="E225" s="125" t="n"/>
      <c r="F225" s="125" t="n"/>
      <c r="G225" s="126" t="n"/>
      <c r="H225" s="126" t="n"/>
      <c r="J225" s="111" t="inlineStr">
        <is>
          <t>Income Statement - Standardized (Currency: Standardized)</t>
        </is>
      </c>
      <c r="K225" s="111" t="n"/>
      <c r="M225" s="111" t="inlineStr">
        <is>
          <t>Income Statement - Standardized (Currency: Standardized)</t>
        </is>
      </c>
      <c r="N225" s="111" t="n"/>
      <c r="P225" s="111" t="inlineStr">
        <is>
          <t>Income Statement - Standardized (Currency: Standardized)</t>
        </is>
      </c>
      <c r="Q225" s="111" t="n"/>
      <c r="S225" s="111" t="inlineStr">
        <is>
          <t>Income Statement - Standardized (Currency: Standardized)</t>
        </is>
      </c>
      <c r="T225" s="111" t="n"/>
      <c r="V225" s="111" t="inlineStr">
        <is>
          <t>Income Statement - Standardized (Currency: Standardized)</t>
        </is>
      </c>
      <c r="W225" s="111" t="n"/>
    </row>
    <row r="226">
      <c r="A226" s="125" t="inlineStr">
        <is>
          <t>Field Name</t>
        </is>
      </c>
      <c r="B226" s="127" t="inlineStr">
        <is>
          <t>31-12-2025</t>
        </is>
      </c>
      <c r="C226" s="127" t="inlineStr">
        <is>
          <t>31-12-2024</t>
        </is>
      </c>
      <c r="D226" s="127" t="inlineStr">
        <is>
          <t>31-12-2023</t>
        </is>
      </c>
      <c r="E226" s="127" t="inlineStr">
        <is>
          <t>31-12-2022</t>
        </is>
      </c>
      <c r="F226" s="127" t="inlineStr">
        <is>
          <t>31-12-2021</t>
        </is>
      </c>
      <c r="G226" s="128" t="n"/>
      <c r="H226" s="128" t="n"/>
      <c r="J226" s="111" t="inlineStr">
        <is>
          <t>Field Name</t>
        </is>
      </c>
      <c r="K226" s="112" t="inlineStr">
        <is>
          <t>31-12-2025</t>
        </is>
      </c>
      <c r="M226" s="111" t="inlineStr">
        <is>
          <t>Field Name</t>
        </is>
      </c>
      <c r="N226" s="112" t="inlineStr">
        <is>
          <t>31-12-2025</t>
        </is>
      </c>
      <c r="P226" s="111" t="inlineStr">
        <is>
          <t>Field Name</t>
        </is>
      </c>
      <c r="Q226" s="112" t="inlineStr">
        <is>
          <t>31-12-2025</t>
        </is>
      </c>
      <c r="S226" s="111" t="inlineStr">
        <is>
          <t>Field Name</t>
        </is>
      </c>
      <c r="T226" s="112" t="inlineStr">
        <is>
          <t>31-12-2025</t>
        </is>
      </c>
      <c r="V226" s="111" t="inlineStr">
        <is>
          <t>Field Name</t>
        </is>
      </c>
      <c r="W226" s="112" t="inlineStr">
        <is>
          <t>31-03-2025</t>
        </is>
      </c>
    </row>
    <row r="227">
      <c r="A227" s="129" t="inlineStr">
        <is>
          <t>Revenues</t>
        </is>
      </c>
      <c r="B227" s="130" t="n"/>
      <c r="C227" s="130" t="n"/>
      <c r="D227" s="130" t="n"/>
      <c r="E227" s="130" t="n"/>
      <c r="F227" s="130" t="n"/>
      <c r="G227" s="151" t="n"/>
      <c r="H227" s="151" t="n"/>
      <c r="J227" s="115" t="inlineStr">
        <is>
          <t>Revenues</t>
        </is>
      </c>
      <c r="K227" s="116" t="n"/>
      <c r="M227" s="115" t="inlineStr">
        <is>
          <t>Revenues</t>
        </is>
      </c>
      <c r="N227" s="116" t="n"/>
      <c r="P227" s="115" t="inlineStr">
        <is>
          <t>Revenues</t>
        </is>
      </c>
      <c r="Q227" s="116" t="n"/>
      <c r="S227" s="115" t="inlineStr">
        <is>
          <t>Revenues</t>
        </is>
      </c>
      <c r="T227" s="116" t="n"/>
      <c r="V227" s="115" t="inlineStr">
        <is>
          <t>Revenues</t>
        </is>
      </c>
      <c r="W227" s="116" t="n"/>
    </row>
    <row r="228">
      <c r="A228" s="131" t="inlineStr">
        <is>
          <t>Revenue from Goods &amp; Services</t>
        </is>
      </c>
      <c r="B228" s="132" t="n">
        <v>7941.1</v>
      </c>
      <c r="C228" s="132" t="n">
        <v>7417.7</v>
      </c>
      <c r="D228" s="132" t="n">
        <v>7781.9</v>
      </c>
      <c r="E228" s="132" t="n">
        <v>7315.2</v>
      </c>
      <c r="F228" s="132" t="n">
        <v>5552.2</v>
      </c>
      <c r="G228" s="153" t="n"/>
      <c r="H228" s="153" t="n"/>
      <c r="J228" s="117" t="inlineStr">
        <is>
          <t>Revenue from Goods &amp; Services</t>
        </is>
      </c>
      <c r="K228" s="118" t="n">
        <v>6150</v>
      </c>
      <c r="M228" s="117" t="inlineStr">
        <is>
          <t>Revenue from Goods &amp; Services</t>
        </is>
      </c>
      <c r="N228" s="118" t="n">
        <v>3146.01</v>
      </c>
      <c r="P228" s="117" t="inlineStr">
        <is>
          <t>Revenue from Goods &amp; Services</t>
        </is>
      </c>
      <c r="Q228" s="134" t="n">
        <v>37447</v>
      </c>
      <c r="S228" s="117" t="inlineStr">
        <is>
          <t>Revenue from Goods &amp; Services</t>
        </is>
      </c>
      <c r="T228" s="134" t="n">
        <v>16131.88</v>
      </c>
      <c r="V228" s="117" t="inlineStr">
        <is>
          <t>Revenue from Goods &amp; Services</t>
        </is>
      </c>
      <c r="W228" s="118" t="n">
        <v>2260.51</v>
      </c>
    </row>
    <row r="229">
      <c r="A229" s="133" t="inlineStr">
        <is>
          <t>Sales of Goods &amp; Services - Net - Unclassified</t>
        </is>
      </c>
      <c r="B229" s="132" t="n">
        <v>7941.1</v>
      </c>
      <c r="C229" s="132" t="n">
        <v>7417.7</v>
      </c>
      <c r="D229" s="132" t="n">
        <v>7781.9</v>
      </c>
      <c r="E229" s="132" t="n">
        <v>7315.2</v>
      </c>
      <c r="F229" s="132" t="n">
        <v>5552.2</v>
      </c>
      <c r="G229" s="153" t="n"/>
      <c r="H229" s="153" t="n"/>
      <c r="J229" s="108" t="inlineStr">
        <is>
          <t>Sales of Goods &amp; Services - Net - Unclassified</t>
        </is>
      </c>
      <c r="K229" s="118" t="n">
        <v>6150</v>
      </c>
      <c r="M229" s="108" t="inlineStr">
        <is>
          <t>Sales of Goods &amp; Services - Net - Unclassified</t>
        </is>
      </c>
      <c r="N229" s="118" t="n">
        <v>3146.01</v>
      </c>
      <c r="P229" s="108" t="inlineStr">
        <is>
          <t>Sales of Goods &amp; Services - Net - Unclassified</t>
        </is>
      </c>
      <c r="Q229" s="134" t="n">
        <v>37447</v>
      </c>
      <c r="S229" s="136" t="inlineStr">
        <is>
          <t>Revenue from Business Activities - Total</t>
        </is>
      </c>
      <c r="T229" s="140" t="n">
        <v>16131.88</v>
      </c>
      <c r="V229" s="108" t="inlineStr">
        <is>
          <t>Sales of Goods &amp; Services - Net - Unclassified</t>
        </is>
      </c>
      <c r="W229" s="118" t="n">
        <v>2260.51</v>
      </c>
    </row>
    <row r="230">
      <c r="A230" s="141" t="inlineStr">
        <is>
          <t>Revenue from Business Activities - Total</t>
        </is>
      </c>
      <c r="B230" s="142" t="n">
        <v>7941.1</v>
      </c>
      <c r="C230" s="142" t="n">
        <v>7417.7</v>
      </c>
      <c r="D230" s="142" t="n">
        <v>7781.9</v>
      </c>
      <c r="E230" s="142" t="n">
        <v>7315.2</v>
      </c>
      <c r="F230" s="142" t="n">
        <v>5552.2</v>
      </c>
      <c r="G230" s="155" t="n"/>
      <c r="H230" s="155" t="n"/>
      <c r="J230" s="136" t="inlineStr">
        <is>
          <t>Revenue from Business Activities - Total</t>
        </is>
      </c>
      <c r="K230" s="137" t="n">
        <v>6150</v>
      </c>
      <c r="M230" s="136" t="inlineStr">
        <is>
          <t>Revenue from Business Activities - Total</t>
        </is>
      </c>
      <c r="N230" s="137" t="n">
        <v>3146.01</v>
      </c>
      <c r="P230" s="136" t="inlineStr">
        <is>
          <t>Revenue from Business Activities - Total</t>
        </is>
      </c>
      <c r="Q230" s="140" t="n">
        <v>37447</v>
      </c>
      <c r="S230" s="115" t="inlineStr">
        <is>
          <t>Operating Expenses</t>
        </is>
      </c>
      <c r="T230" s="116" t="n"/>
      <c r="V230" s="136" t="inlineStr">
        <is>
          <t>Revenue from Business Activities - Total</t>
        </is>
      </c>
      <c r="W230" s="137" t="n">
        <v>2260.51</v>
      </c>
    </row>
    <row r="231">
      <c r="A231" s="129" t="inlineStr">
        <is>
          <t>Operating Expenses</t>
        </is>
      </c>
      <c r="B231" s="130" t="n"/>
      <c r="C231" s="130" t="n"/>
      <c r="D231" s="130" t="n"/>
      <c r="E231" s="130" t="n"/>
      <c r="F231" s="130" t="n"/>
      <c r="G231" s="151" t="n"/>
      <c r="H231" s="151" t="n"/>
      <c r="J231" s="115" t="inlineStr">
        <is>
          <t>Operating Expenses</t>
        </is>
      </c>
      <c r="K231" s="116" t="n"/>
      <c r="M231" s="115" t="inlineStr">
        <is>
          <t>Operating Expenses</t>
        </is>
      </c>
      <c r="N231" s="116" t="n"/>
      <c r="P231" s="115" t="inlineStr">
        <is>
          <t>Operating Expenses</t>
        </is>
      </c>
      <c r="Q231" s="116" t="n"/>
      <c r="S231" s="117" t="inlineStr">
        <is>
          <t>Cost of Operating Revenue</t>
        </is>
      </c>
      <c r="T231" s="134" t="n">
        <v>10821.37</v>
      </c>
      <c r="V231" s="115" t="inlineStr">
        <is>
          <t>Operating Expenses</t>
        </is>
      </c>
      <c r="W231" s="116" t="n"/>
    </row>
    <row r="232">
      <c r="A232" s="131" t="inlineStr">
        <is>
          <t>Cost of Operating Revenue</t>
        </is>
      </c>
      <c r="B232" s="132" t="n">
        <v>5766.5</v>
      </c>
      <c r="C232" s="132" t="n">
        <v>5418.1</v>
      </c>
      <c r="D232" s="132" t="n">
        <v>5833.4</v>
      </c>
      <c r="E232" s="132" t="n">
        <v>5757.5</v>
      </c>
      <c r="F232" s="132" t="n">
        <v>4178.8</v>
      </c>
      <c r="G232" s="153" t="n"/>
      <c r="H232" s="153" t="n"/>
      <c r="J232" s="117" t="inlineStr">
        <is>
          <t>Cost of Operating Revenue</t>
        </is>
      </c>
      <c r="K232" s="118" t="n">
        <v>4261</v>
      </c>
      <c r="M232" s="117" t="inlineStr">
        <is>
          <t>Cost of Operating Revenue</t>
        </is>
      </c>
      <c r="N232" s="118" t="n">
        <v>2568.68</v>
      </c>
      <c r="P232" s="117" t="inlineStr">
        <is>
          <t>Cost of Operating Revenue</t>
        </is>
      </c>
      <c r="Q232" s="134" t="n">
        <v>23919</v>
      </c>
      <c r="S232" s="108" t="inlineStr">
        <is>
          <t>Cost of Revenues - Total</t>
        </is>
      </c>
      <c r="T232" s="134" t="n">
        <v>10821.37</v>
      </c>
      <c r="V232" s="117" t="inlineStr">
        <is>
          <t>Cost of Operating Revenue</t>
        </is>
      </c>
      <c r="W232" s="118" t="n">
        <v>1587.37</v>
      </c>
    </row>
    <row r="233">
      <c r="A233" s="133" t="inlineStr">
        <is>
          <t>Cost of Revenues - Total</t>
        </is>
      </c>
      <c r="B233" s="132" t="n">
        <v>5766.5</v>
      </c>
      <c r="C233" s="132" t="n">
        <v>5418.1</v>
      </c>
      <c r="D233" s="132" t="n">
        <v>5833.4</v>
      </c>
      <c r="E233" s="132" t="n">
        <v>5757.5</v>
      </c>
      <c r="F233" s="132" t="n">
        <v>4178.8</v>
      </c>
      <c r="G233" s="153" t="n"/>
      <c r="H233" s="153" t="n"/>
      <c r="J233" s="108" t="inlineStr">
        <is>
          <t>Cost of Revenues - Total</t>
        </is>
      </c>
      <c r="K233" s="118" t="n">
        <v>4261</v>
      </c>
      <c r="M233" s="108" t="inlineStr">
        <is>
          <t>Cost of Revenues - Total</t>
        </is>
      </c>
      <c r="N233" s="118" t="n">
        <v>2568.68</v>
      </c>
      <c r="P233" s="108" t="inlineStr">
        <is>
          <t>Cost of Revenues - Total</t>
        </is>
      </c>
      <c r="Q233" s="134" t="n">
        <v>23919</v>
      </c>
      <c r="S233" s="136" t="inlineStr">
        <is>
          <t>Gross Profit - Industrials/Property - Total</t>
        </is>
      </c>
      <c r="T233" s="137" t="n">
        <v>5310.51</v>
      </c>
      <c r="V233" s="108" t="inlineStr">
        <is>
          <t>Cost of Revenues - Total</t>
        </is>
      </c>
      <c r="W233" s="118" t="n">
        <v>1587.37</v>
      </c>
    </row>
    <row r="234">
      <c r="A234" s="141" t="inlineStr">
        <is>
          <t>Gross Profit - Industrials/Property - Total</t>
        </is>
      </c>
      <c r="B234" s="142" t="n">
        <v>2174.6</v>
      </c>
      <c r="C234" s="142" t="n">
        <v>1999.6</v>
      </c>
      <c r="D234" s="142" t="n">
        <v>1948.5</v>
      </c>
      <c r="E234" s="142" t="n">
        <v>1557.7</v>
      </c>
      <c r="F234" s="142" t="n">
        <v>1373.4</v>
      </c>
      <c r="G234" s="155" t="n"/>
      <c r="H234" s="155" t="n"/>
      <c r="J234" s="136" t="inlineStr">
        <is>
          <t>Gross Profit - Industrials/Property - Total</t>
        </is>
      </c>
      <c r="K234" s="137" t="n">
        <v>1889</v>
      </c>
      <c r="M234" s="136" t="inlineStr">
        <is>
          <t>Gross Profit - Industrials/Property - Total</t>
        </is>
      </c>
      <c r="N234" s="137" t="n">
        <v>577.33</v>
      </c>
      <c r="P234" s="108" t="inlineStr">
        <is>
          <t>Cost of Revenues - Unclassified</t>
        </is>
      </c>
      <c r="Q234" s="134" t="n">
        <v>23919</v>
      </c>
      <c r="S234" s="117" t="inlineStr">
        <is>
          <t>Selling, General &amp; Administrative Expenses - Total</t>
        </is>
      </c>
      <c r="T234" s="118" t="n">
        <v>3521.37</v>
      </c>
      <c r="V234" s="136" t="inlineStr">
        <is>
          <t>Gross Profit - Industrials/Property - Total</t>
        </is>
      </c>
      <c r="W234" s="137" t="n">
        <v>673.14</v>
      </c>
    </row>
    <row r="235">
      <c r="A235" s="131" t="inlineStr">
        <is>
          <t>Selling, General &amp; Administrative Expenses - Total</t>
        </is>
      </c>
      <c r="B235" s="132" t="n">
        <v>564.1</v>
      </c>
      <c r="C235" s="132" t="n">
        <v>531.1</v>
      </c>
      <c r="D235" s="132" t="n">
        <v>542.8</v>
      </c>
      <c r="E235" s="132" t="n">
        <v>515.1</v>
      </c>
      <c r="F235" s="132" t="n">
        <v>417.6</v>
      </c>
      <c r="G235" s="153" t="n"/>
      <c r="H235" s="153" t="n"/>
      <c r="J235" s="117" t="inlineStr">
        <is>
          <t>Selling, General &amp; Administrative Expenses - Total</t>
        </is>
      </c>
      <c r="K235" s="118" t="n">
        <v>443</v>
      </c>
      <c r="M235" s="117" t="inlineStr">
        <is>
          <t>Selling, General &amp; Administrative Expenses - Total</t>
        </is>
      </c>
      <c r="N235" s="118" t="n">
        <v>280.65</v>
      </c>
      <c r="P235" s="108" t="inlineStr">
        <is>
          <t>Material Expenses</t>
        </is>
      </c>
      <c r="Q235" s="118" t="n">
        <v>292</v>
      </c>
      <c r="S235" s="117" t="inlineStr">
        <is>
          <t>Other Operating Expense/(Income) - Net</t>
        </is>
      </c>
      <c r="T235" s="118" t="n">
        <v>784.29</v>
      </c>
      <c r="V235" s="117" t="inlineStr">
        <is>
          <t>Selling, General &amp; Administrative Expenses - Total</t>
        </is>
      </c>
      <c r="W235" s="119" t="n">
        <v>73.94</v>
      </c>
    </row>
    <row r="236">
      <c r="A236" s="131" t="inlineStr">
        <is>
          <t>Other Operating Expense/(Income) - Net</t>
        </is>
      </c>
      <c r="B236" s="135" t="n">
        <v>83.09999999999999</v>
      </c>
      <c r="C236" s="135" t="n">
        <v>72.40000000000001</v>
      </c>
      <c r="D236" s="135" t="n">
        <v>83.5</v>
      </c>
      <c r="E236" s="135" t="n">
        <v>13.1</v>
      </c>
      <c r="F236" s="147" t="n">
        <v>-15.9</v>
      </c>
      <c r="G236" s="156" t="n"/>
      <c r="H236" s="156" t="n"/>
      <c r="J236" s="108" t="inlineStr">
        <is>
          <t>Selling, General &amp; Administrative Expenses - Unclassified</t>
        </is>
      </c>
      <c r="K236" s="118" t="n">
        <v>397</v>
      </c>
      <c r="M236" s="117" t="inlineStr">
        <is>
          <t>Other Operating Expense/(Income) - Net</t>
        </is>
      </c>
      <c r="N236" s="145" t="n">
        <v>-0.8</v>
      </c>
      <c r="P236" s="108" t="inlineStr">
        <is>
          <t>Ground leases/Rental Expenses in Cost of Revenues</t>
        </is>
      </c>
      <c r="Q236" s="118" t="n">
        <v>292</v>
      </c>
      <c r="S236" s="108" t="inlineStr">
        <is>
          <t>Other Operating Income - Total</t>
        </is>
      </c>
      <c r="T236" s="134" t="n">
        <v>0</v>
      </c>
      <c r="V236" s="117" t="inlineStr">
        <is>
          <t>Other Operating Expense/(Income) - Net</t>
        </is>
      </c>
      <c r="W236" s="145" t="n">
        <v>-6.42</v>
      </c>
    </row>
    <row r="237">
      <c r="A237" s="133" t="inlineStr">
        <is>
          <t>Other Operating Expense</t>
        </is>
      </c>
      <c r="B237" s="135" t="n">
        <v>43.3</v>
      </c>
      <c r="C237" s="135" t="n">
        <v>69.7</v>
      </c>
      <c r="D237" s="135" t="n">
        <v>26.4</v>
      </c>
      <c r="E237" s="135" t="n">
        <v>34</v>
      </c>
      <c r="F237" s="135" t="n">
        <v>65.09999999999999</v>
      </c>
      <c r="G237" s="152" t="n"/>
      <c r="H237" s="152" t="n"/>
      <c r="J237" s="108" t="inlineStr">
        <is>
          <t>Labor &amp; Related Expenses including Stock-Based Compensation in Selling, General &amp; Administrative Expenses</t>
        </is>
      </c>
      <c r="K237" s="119" t="n">
        <v>46</v>
      </c>
      <c r="M237" s="108" t="inlineStr">
        <is>
          <t>Non-Recurring Adjustments - Operating - Decrease/(Increase)</t>
        </is>
      </c>
      <c r="N237" s="119" t="n">
        <v>0.8</v>
      </c>
      <c r="P237" s="136" t="inlineStr">
        <is>
          <t>Gross Profit - Industrials/Property - Total</t>
        </is>
      </c>
      <c r="Q237" s="140" t="n">
        <v>13528</v>
      </c>
      <c r="S237" s="108" t="inlineStr">
        <is>
          <t>Other Operating Expense</t>
        </is>
      </c>
      <c r="T237" s="118" t="n">
        <v>784.29</v>
      </c>
      <c r="V237" s="117" t="inlineStr">
        <is>
          <t>Operating Expenses - Total</t>
        </is>
      </c>
      <c r="W237" s="118" t="n">
        <v>1654.89</v>
      </c>
    </row>
    <row r="238">
      <c r="A238" s="133" t="inlineStr">
        <is>
          <t>Non-Recurring Adjustments - Operating - Decrease/(Increase)</t>
        </is>
      </c>
      <c r="B238" s="135" t="n">
        <v>2.6</v>
      </c>
      <c r="C238" s="135" t="n">
        <v>34</v>
      </c>
      <c r="D238" s="135" t="n">
        <v>10</v>
      </c>
      <c r="E238" s="135" t="n">
        <v>20.9</v>
      </c>
      <c r="F238" s="135" t="n">
        <v>81</v>
      </c>
      <c r="G238" s="152" t="n"/>
      <c r="H238" s="152" t="n"/>
      <c r="J238" s="117" t="inlineStr">
        <is>
          <t>Other Operating Expense/(Income) - Net</t>
        </is>
      </c>
      <c r="K238" s="145" t="n">
        <v>-47</v>
      </c>
      <c r="M238" s="117" t="inlineStr">
        <is>
          <t>Operating Expenses - Total</t>
        </is>
      </c>
      <c r="N238" s="118" t="n">
        <v>2848.54</v>
      </c>
      <c r="P238" s="117" t="inlineStr">
        <is>
          <t>Selling, General &amp; Administrative Expenses - Total</t>
        </is>
      </c>
      <c r="Q238" s="118" t="n">
        <v>8205</v>
      </c>
      <c r="S238" s="117" t="inlineStr">
        <is>
          <t>Operating Expenses - Total</t>
        </is>
      </c>
      <c r="T238" s="134" t="n">
        <v>15127.03</v>
      </c>
      <c r="V238" s="115" t="inlineStr">
        <is>
          <t>Operating Profit</t>
        </is>
      </c>
      <c r="W238" s="116" t="n"/>
    </row>
    <row r="239">
      <c r="A239" s="133" t="inlineStr">
        <is>
          <t>Supplementary Adjustments - Operating - Decrease/(Increase)</t>
        </is>
      </c>
      <c r="B239" s="147" t="n">
        <v>-42.4</v>
      </c>
      <c r="C239" s="147" t="n">
        <v>-36.7</v>
      </c>
      <c r="D239" s="147" t="n">
        <v>-67.09999999999999</v>
      </c>
      <c r="E239" s="138" t="n"/>
      <c r="F239" s="138" t="n"/>
      <c r="G239" s="154" t="n"/>
      <c r="H239" s="154" t="n"/>
      <c r="J239" s="117" t="inlineStr">
        <is>
          <t>Operating Expenses - Total</t>
        </is>
      </c>
      <c r="K239" s="118" t="n">
        <v>4657</v>
      </c>
      <c r="M239" s="115" t="inlineStr">
        <is>
          <t>Operating Profit</t>
        </is>
      </c>
      <c r="N239" s="116" t="n"/>
      <c r="P239" s="108" t="inlineStr">
        <is>
          <t>Selling, General &amp; Administrative Expenses - Unclassified</t>
        </is>
      </c>
      <c r="Q239" s="118" t="n">
        <v>8013</v>
      </c>
      <c r="S239" s="115" t="inlineStr">
        <is>
          <t>Operating Profit</t>
        </is>
      </c>
      <c r="T239" s="116" t="n"/>
      <c r="V239" s="136" t="inlineStr">
        <is>
          <t>Operating Profit before Non-Recurring Income/Expense</t>
        </is>
      </c>
      <c r="W239" s="137" t="n">
        <v>605.62</v>
      </c>
    </row>
    <row r="240">
      <c r="A240" s="131" t="inlineStr">
        <is>
          <t>Operating Expenses - Total</t>
        </is>
      </c>
      <c r="B240" s="132" t="n">
        <v>6413.7</v>
      </c>
      <c r="C240" s="132" t="n">
        <v>6021.6</v>
      </c>
      <c r="D240" s="132" t="n">
        <v>6459.7</v>
      </c>
      <c r="E240" s="132" t="n">
        <v>6285.7</v>
      </c>
      <c r="F240" s="132" t="n">
        <v>4580.5</v>
      </c>
      <c r="G240" s="153" t="n"/>
      <c r="H240" s="153" t="n"/>
      <c r="J240" s="115" t="inlineStr">
        <is>
          <t>Operating Profit</t>
        </is>
      </c>
      <c r="K240" s="116" t="n"/>
      <c r="M240" s="136" t="inlineStr">
        <is>
          <t>Operating Profit before Non-Recurring Income/Expense</t>
        </is>
      </c>
      <c r="N240" s="137" t="n">
        <v>297.47</v>
      </c>
      <c r="P240" s="108" t="inlineStr">
        <is>
          <t>Amortization of Intangibles in Selling, General &amp; Administrative Expenses</t>
        </is>
      </c>
      <c r="Q240" s="118" t="n">
        <v>192</v>
      </c>
      <c r="S240" s="136" t="inlineStr">
        <is>
          <t>Operating Profit before Non-Recurring Income/Expense</t>
        </is>
      </c>
      <c r="T240" s="137" t="n">
        <v>1004.85</v>
      </c>
      <c r="V240" s="115" t="inlineStr">
        <is>
          <t>Non-Operating Expenses</t>
        </is>
      </c>
      <c r="W240" s="116" t="n"/>
    </row>
    <row r="241">
      <c r="A241" s="129" t="inlineStr">
        <is>
          <t>Operating Profit</t>
        </is>
      </c>
      <c r="B241" s="130" t="n"/>
      <c r="C241" s="130" t="n"/>
      <c r="D241" s="130" t="n"/>
      <c r="E241" s="130" t="n"/>
      <c r="F241" s="130" t="n"/>
      <c r="G241" s="151" t="n"/>
      <c r="H241" s="151" t="n"/>
      <c r="J241" s="136" t="inlineStr">
        <is>
          <t>Operating Profit before Non-Recurring Income/Expense</t>
        </is>
      </c>
      <c r="K241" s="137" t="n">
        <v>1493</v>
      </c>
      <c r="M241" s="115" t="inlineStr">
        <is>
          <t>Non-Operating Expenses</t>
        </is>
      </c>
      <c r="N241" s="116" t="n"/>
      <c r="P241" s="117" t="inlineStr">
        <is>
          <t>Operating Expenses - Total</t>
        </is>
      </c>
      <c r="Q241" s="134" t="n">
        <v>32124</v>
      </c>
      <c r="S241" s="115" t="inlineStr">
        <is>
          <t>Non-Operating Expenses</t>
        </is>
      </c>
      <c r="T241" s="116" t="n"/>
      <c r="V241" s="117" t="inlineStr">
        <is>
          <t>Financing Income/(Expense) - Net - Total</t>
        </is>
      </c>
      <c r="W241" s="145" t="n">
        <v>-40.53</v>
      </c>
    </row>
    <row r="242">
      <c r="A242" s="141" t="inlineStr">
        <is>
          <t>Operating Profit before Non-Recurring Income/Expense</t>
        </is>
      </c>
      <c r="B242" s="142" t="n">
        <v>1527.4</v>
      </c>
      <c r="C242" s="142" t="n">
        <v>1396.1</v>
      </c>
      <c r="D242" s="142" t="n">
        <v>1322.2</v>
      </c>
      <c r="E242" s="142" t="n">
        <v>1029.5</v>
      </c>
      <c r="F242" s="142" t="n">
        <v>971.7</v>
      </c>
      <c r="G242" s="155" t="n"/>
      <c r="H242" s="155" t="n"/>
      <c r="J242" s="115" t="inlineStr">
        <is>
          <t>Non-Operating Expenses</t>
        </is>
      </c>
      <c r="K242" s="116" t="n"/>
      <c r="M242" s="117" t="inlineStr">
        <is>
          <t>Financing Income/(Expense) - Net - Total</t>
        </is>
      </c>
      <c r="N242" s="145" t="n">
        <v>-81.94</v>
      </c>
      <c r="P242" s="115" t="inlineStr">
        <is>
          <t>Operating Profit</t>
        </is>
      </c>
      <c r="Q242" s="116" t="n"/>
      <c r="S242" s="117" t="inlineStr">
        <is>
          <t>Financing Income/(Expense) - Net - Total</t>
        </is>
      </c>
      <c r="T242" s="139" t="n">
        <v>-262.28</v>
      </c>
      <c r="V242" s="108" t="inlineStr">
        <is>
          <t>Interest Expense - Net of (Interest Income)</t>
        </is>
      </c>
      <c r="W242" s="119" t="n">
        <v>38.52</v>
      </c>
    </row>
    <row r="243">
      <c r="A243" s="129" t="inlineStr">
        <is>
          <t>Non-Operating Expenses</t>
        </is>
      </c>
      <c r="B243" s="130" t="n"/>
      <c r="C243" s="130" t="n"/>
      <c r="D243" s="130" t="n"/>
      <c r="E243" s="130" t="n"/>
      <c r="F243" s="130" t="n"/>
      <c r="G243" s="151" t="n"/>
      <c r="H243" s="151" t="n"/>
      <c r="J243" s="117" t="inlineStr">
        <is>
          <t>Financing Income/(Expense) - Net - Total</t>
        </is>
      </c>
      <c r="K243" s="139" t="n">
        <v>-240</v>
      </c>
      <c r="M243" s="108" t="inlineStr">
        <is>
          <t>Interest Expense - Net of (Interest Income)</t>
        </is>
      </c>
      <c r="N243" s="119" t="n">
        <v>81.94</v>
      </c>
      <c r="P243" s="136" t="inlineStr">
        <is>
          <t>Operating Profit before Non-Recurring Income/Expense</t>
        </is>
      </c>
      <c r="Q243" s="137" t="n">
        <v>5323</v>
      </c>
      <c r="S243" s="108" t="inlineStr">
        <is>
          <t>Interest Expense - Net of (Interest Income)</t>
        </is>
      </c>
      <c r="T243" s="118" t="n">
        <v>284.88</v>
      </c>
      <c r="V243" s="108" t="inlineStr">
        <is>
          <t>Interest Income - Non-Bank</t>
        </is>
      </c>
      <c r="W243" s="119" t="n">
        <v>1.72</v>
      </c>
    </row>
    <row r="244">
      <c r="A244" s="131" t="inlineStr">
        <is>
          <t>Financing Income/(Expense) - Net - Total</t>
        </is>
      </c>
      <c r="B244" s="143" t="n">
        <v>-226.3</v>
      </c>
      <c r="C244" s="143" t="n">
        <v>-170.3</v>
      </c>
      <c r="D244" s="143" t="n">
        <v>-179.6</v>
      </c>
      <c r="E244" s="143" t="n">
        <v>-168.4</v>
      </c>
      <c r="F244" s="143" t="n">
        <v>-147.7</v>
      </c>
      <c r="G244" s="157" t="n"/>
      <c r="H244" s="157" t="n"/>
      <c r="J244" s="108" t="inlineStr">
        <is>
          <t>Interest Expense - Net of (Interest Income)</t>
        </is>
      </c>
      <c r="K244" s="118" t="n">
        <v>220</v>
      </c>
      <c r="M244" s="108" t="inlineStr">
        <is>
          <t>Interest Expense - Net of Capitalized Interest</t>
        </is>
      </c>
      <c r="N244" s="119" t="n">
        <v>81.94</v>
      </c>
      <c r="P244" s="115" t="inlineStr">
        <is>
          <t>Non-Operating Expenses</t>
        </is>
      </c>
      <c r="Q244" s="116" t="n"/>
      <c r="S244" s="108" t="inlineStr">
        <is>
          <t>Interest Income - Non-Bank</t>
        </is>
      </c>
      <c r="T244" s="119" t="n">
        <v>15.9</v>
      </c>
      <c r="V244" s="108" t="inlineStr">
        <is>
          <t>Interest Expense - Net of Capitalized Interest</t>
        </is>
      </c>
      <c r="W244" s="119" t="n">
        <v>40.24</v>
      </c>
    </row>
    <row r="245">
      <c r="A245" s="133" t="inlineStr">
        <is>
          <t>Interest Expense - Net of (Interest Income)</t>
        </is>
      </c>
      <c r="B245" s="132" t="n">
        <v>226.3</v>
      </c>
      <c r="C245" s="132" t="n">
        <v>170.3</v>
      </c>
      <c r="D245" s="132" t="n">
        <v>179.6</v>
      </c>
      <c r="E245" s="132" t="n">
        <v>168.4</v>
      </c>
      <c r="F245" s="132" t="n">
        <v>147.7</v>
      </c>
      <c r="G245" s="153" t="n"/>
      <c r="H245" s="153" t="n"/>
      <c r="J245" s="108" t="inlineStr">
        <is>
          <t>Interest Income - Non-Bank</t>
        </is>
      </c>
      <c r="K245" s="119" t="n">
        <v>10</v>
      </c>
      <c r="M245" s="117" t="inlineStr">
        <is>
          <t>Other Non-Operating Income/(Expense) - Total</t>
        </is>
      </c>
      <c r="N245" s="119" t="n">
        <v>5.77</v>
      </c>
      <c r="P245" s="117" t="inlineStr">
        <is>
          <t>Financing Income/(Expense) - Net - Total</t>
        </is>
      </c>
      <c r="Q245" s="139" t="n">
        <v>-664</v>
      </c>
      <c r="S245" s="108" t="inlineStr">
        <is>
          <t>Interest Expense - Net of Capitalized Interest</t>
        </is>
      </c>
      <c r="T245" s="118" t="n">
        <v>300.78</v>
      </c>
      <c r="V245" s="108" t="inlineStr">
        <is>
          <t>Non-Interest Financial Income/(Expense) - Total</t>
        </is>
      </c>
      <c r="W245" s="145" t="n">
        <v>-2.01</v>
      </c>
    </row>
    <row r="246">
      <c r="A246" s="133" t="inlineStr">
        <is>
          <t>Interest Income - Non-Bank</t>
        </is>
      </c>
      <c r="B246" s="135" t="n">
        <v>13.4</v>
      </c>
      <c r="C246" s="135" t="n">
        <v>20.9</v>
      </c>
      <c r="D246" s="135" t="n">
        <v>16.5</v>
      </c>
      <c r="E246" s="135" t="n">
        <v>0.8</v>
      </c>
      <c r="F246" s="135" t="n">
        <v>1.6</v>
      </c>
      <c r="G246" s="152" t="n"/>
      <c r="H246" s="152" t="n"/>
      <c r="J246" s="108" t="inlineStr">
        <is>
          <t>Interest Expense - Net of Capitalized Interest</t>
        </is>
      </c>
      <c r="K246" s="118" t="n">
        <v>230</v>
      </c>
      <c r="M246" s="117" t="inlineStr">
        <is>
          <t>Normalized Pre-tax Profit</t>
        </is>
      </c>
      <c r="N246" s="118" t="n">
        <v>221.31</v>
      </c>
      <c r="P246" s="108" t="inlineStr">
        <is>
          <t>Interest Expense - Net of (Interest Income)</t>
        </is>
      </c>
      <c r="Q246" s="118" t="n">
        <v>664</v>
      </c>
      <c r="S246" s="108" t="inlineStr">
        <is>
          <t>Non-Interest Financial Income/(Expense) - Total</t>
        </is>
      </c>
      <c r="T246" s="119" t="n">
        <v>22.6</v>
      </c>
      <c r="V246" s="108" t="inlineStr">
        <is>
          <t>Non-Interest Financial Income/(Expense) - Other - Net</t>
        </is>
      </c>
      <c r="W246" s="145" t="n">
        <v>-2.01</v>
      </c>
    </row>
    <row r="247">
      <c r="A247" s="133" t="inlineStr">
        <is>
          <t>Interest Expense - Net of Capitalized Interest</t>
        </is>
      </c>
      <c r="B247" s="132" t="n">
        <v>239.7</v>
      </c>
      <c r="C247" s="132" t="n">
        <v>191.2</v>
      </c>
      <c r="D247" s="132" t="n">
        <v>196.1</v>
      </c>
      <c r="E247" s="132" t="n">
        <v>169.2</v>
      </c>
      <c r="F247" s="132" t="n">
        <v>149.3</v>
      </c>
      <c r="G247" s="153" t="n"/>
      <c r="H247" s="153" t="n"/>
      <c r="J247" s="108" t="inlineStr">
        <is>
          <t>Interest Expense on Capital Financing - Gross</t>
        </is>
      </c>
      <c r="K247" s="118" t="n">
        <v>230</v>
      </c>
      <c r="M247" s="115" t="inlineStr">
        <is>
          <t>Non-Recurring Income/Expense</t>
        </is>
      </c>
      <c r="N247" s="116" t="n"/>
      <c r="P247" s="108" t="inlineStr">
        <is>
          <t>Interest Income - Non-Bank</t>
        </is>
      </c>
      <c r="Q247" s="118" t="n">
        <v>146</v>
      </c>
      <c r="S247" s="108" t="inlineStr">
        <is>
          <t>Foreign Exchange Gain/(Loss) - Non-Business</t>
        </is>
      </c>
      <c r="T247" s="118" t="n">
        <v>231.8</v>
      </c>
      <c r="V247" s="117" t="inlineStr">
        <is>
          <t>Equity Earnings/(Loss) - before Taxes including Non-Recurring</t>
        </is>
      </c>
      <c r="W247" s="119" t="n">
        <v>26.4</v>
      </c>
    </row>
    <row r="248">
      <c r="A248" s="133" t="inlineStr">
        <is>
          <t>Interest Expense on Capital Financing - Gross</t>
        </is>
      </c>
      <c r="B248" s="132" t="n">
        <v>247.6</v>
      </c>
      <c r="C248" s="132" t="n">
        <v>195.2</v>
      </c>
      <c r="D248" s="132" t="n">
        <v>199.8</v>
      </c>
      <c r="E248" s="132" t="n">
        <v>172.8</v>
      </c>
      <c r="F248" s="132" t="n">
        <v>153.5</v>
      </c>
      <c r="G248" s="153" t="n"/>
      <c r="H248" s="153" t="n"/>
      <c r="J248" s="108" t="inlineStr">
        <is>
          <t>Non-Interest Financial Income/(Expense) - Total</t>
        </is>
      </c>
      <c r="K248" s="145" t="n">
        <v>-20</v>
      </c>
      <c r="M248" s="117" t="inlineStr">
        <is>
          <t>Non-Recurring Income/(Expense) - Total</t>
        </is>
      </c>
      <c r="N248" s="145" t="n">
        <v>-8.1</v>
      </c>
      <c r="P248" s="108" t="inlineStr">
        <is>
          <t>Interest Expense - Net of Capitalized Interest</t>
        </is>
      </c>
      <c r="Q248" s="118" t="n">
        <v>810</v>
      </c>
      <c r="S248" s="108" t="inlineStr">
        <is>
          <t>Non-Interest Financial Income/(Expense) - Other - Net</t>
        </is>
      </c>
      <c r="T248" s="139" t="n">
        <v>-209.2</v>
      </c>
      <c r="V248" s="117" t="inlineStr">
        <is>
          <t>Normalized Pre-tax Profit</t>
        </is>
      </c>
      <c r="W248" s="118" t="n">
        <v>591.49</v>
      </c>
    </row>
    <row r="249">
      <c r="A249" s="133" t="inlineStr">
        <is>
          <t>Interest Capitalized</t>
        </is>
      </c>
      <c r="B249" s="135" t="n">
        <v>7.9</v>
      </c>
      <c r="C249" s="135" t="n">
        <v>4</v>
      </c>
      <c r="D249" s="135" t="n">
        <v>3.7</v>
      </c>
      <c r="E249" s="135" t="n">
        <v>3.6</v>
      </c>
      <c r="F249" s="135" t="n">
        <v>4.2</v>
      </c>
      <c r="G249" s="152" t="n"/>
      <c r="H249" s="152" t="n"/>
      <c r="J249" s="108" t="inlineStr">
        <is>
          <t>Accretion - Site Closure &amp; Reclamation Expenses</t>
        </is>
      </c>
      <c r="K249" s="119" t="n">
        <v>20</v>
      </c>
      <c r="M249" s="108" t="inlineStr">
        <is>
          <t>Fair Value Adjustments - Financial Investments</t>
        </is>
      </c>
      <c r="N249" s="119" t="n">
        <v>2.9</v>
      </c>
      <c r="P249" s="117" t="inlineStr">
        <is>
          <t>Sale of Tangible &amp; Intangible Fixed Assets - Gain/(Loss)</t>
        </is>
      </c>
      <c r="Q249" s="118" t="n">
        <v>235</v>
      </c>
      <c r="S249" s="117" t="inlineStr">
        <is>
          <t>Equity Earnings/(Loss) - before Taxes including Non-Recurring</t>
        </is>
      </c>
      <c r="T249" s="119" t="n">
        <v>89.67</v>
      </c>
      <c r="V249" s="115" t="inlineStr">
        <is>
          <t>Pre-Tax Income</t>
        </is>
      </c>
      <c r="W249" s="116" t="n"/>
    </row>
    <row r="250">
      <c r="A250" s="131" t="inlineStr">
        <is>
          <t>Sale of Tangible &amp; Intangible Fixed Assets - Gain/(Loss)</t>
        </is>
      </c>
      <c r="B250" s="135" t="n">
        <v>94.8</v>
      </c>
      <c r="C250" s="135" t="n">
        <v>89</v>
      </c>
      <c r="D250" s="132" t="n">
        <v>143.5</v>
      </c>
      <c r="E250" s="135" t="n">
        <v>10.7</v>
      </c>
      <c r="F250" s="132" t="n">
        <v>120.1</v>
      </c>
      <c r="G250" s="153" t="n"/>
      <c r="H250" s="153" t="n"/>
      <c r="J250" s="117" t="inlineStr">
        <is>
          <t>Other Non-Operating Income/(Expense) - Total</t>
        </is>
      </c>
      <c r="K250" s="119" t="n">
        <v>9</v>
      </c>
      <c r="M250" s="108" t="inlineStr">
        <is>
          <t>Sale &amp; Acquisition of Group Companies - Gain/(Loss)</t>
        </is>
      </c>
      <c r="N250" s="145" t="n">
        <v>-10.8</v>
      </c>
      <c r="P250" s="117" t="inlineStr">
        <is>
          <t>Other Non-Operating Income/(Expense) - Total</t>
        </is>
      </c>
      <c r="Q250" s="119" t="n">
        <v>28</v>
      </c>
      <c r="S250" s="117" t="inlineStr">
        <is>
          <t>Normalized Pre-tax Profit</t>
        </is>
      </c>
      <c r="T250" s="118" t="n">
        <v>832.24</v>
      </c>
      <c r="V250" s="136" t="inlineStr">
        <is>
          <t>Income before Taxes</t>
        </is>
      </c>
      <c r="W250" s="137" t="n">
        <v>591.49</v>
      </c>
    </row>
    <row r="251">
      <c r="A251" s="131" t="inlineStr">
        <is>
          <t>Other Non-Operating Income/(Expense) - Total</t>
        </is>
      </c>
      <c r="B251" s="147" t="n">
        <v>-3.2</v>
      </c>
      <c r="C251" s="147" t="n">
        <v>-22.1</v>
      </c>
      <c r="D251" s="147" t="n">
        <v>-2.7</v>
      </c>
      <c r="E251" s="135" t="n">
        <v>5.1</v>
      </c>
      <c r="F251" s="135" t="n">
        <v>10.7</v>
      </c>
      <c r="G251" s="152" t="n"/>
      <c r="H251" s="152" t="n"/>
      <c r="J251" s="117" t="inlineStr">
        <is>
          <t>Normalized Pre-tax Profit</t>
        </is>
      </c>
      <c r="K251" s="118" t="n">
        <v>1262</v>
      </c>
      <c r="M251" s="108" t="inlineStr">
        <is>
          <t>Valuation of Inventory - Gain/(Loss)</t>
        </is>
      </c>
      <c r="N251" s="145" t="n">
        <v>-3.7</v>
      </c>
      <c r="P251" s="117" t="inlineStr">
        <is>
          <t>Normalized Pre-tax Profit</t>
        </is>
      </c>
      <c r="Q251" s="118" t="n">
        <v>4922</v>
      </c>
      <c r="S251" s="115" t="inlineStr">
        <is>
          <t>Non-Recurring Income/Expense</t>
        </is>
      </c>
      <c r="T251" s="116" t="n"/>
      <c r="V251" s="115" t="inlineStr">
        <is>
          <t>Taxes</t>
        </is>
      </c>
      <c r="W251" s="116" t="n"/>
    </row>
    <row r="252">
      <c r="A252" s="131" t="inlineStr">
        <is>
          <t>Normalized Pre-tax Profit</t>
        </is>
      </c>
      <c r="B252" s="132" t="n">
        <v>1392.7</v>
      </c>
      <c r="C252" s="132" t="n">
        <v>1292.7</v>
      </c>
      <c r="D252" s="132" t="n">
        <v>1283.4</v>
      </c>
      <c r="E252" s="132" t="n">
        <v>876.9</v>
      </c>
      <c r="F252" s="132" t="n">
        <v>954.8</v>
      </c>
      <c r="G252" s="153" t="n"/>
      <c r="H252" s="153" t="n"/>
      <c r="J252" s="115" t="inlineStr">
        <is>
          <t>Non-Recurring Income/Expense</t>
        </is>
      </c>
      <c r="K252" s="116" t="n"/>
      <c r="M252" s="108" t="inlineStr">
        <is>
          <t>Non-Recurring Income/(Expense) - Other - Total</t>
        </is>
      </c>
      <c r="N252" s="119" t="n">
        <v>3.5</v>
      </c>
      <c r="P252" s="115" t="inlineStr">
        <is>
          <t>Non-Recurring Income/Expense</t>
        </is>
      </c>
      <c r="Q252" s="116" t="n"/>
      <c r="S252" s="117" t="inlineStr">
        <is>
          <t>Non-Recurring Income/(Expense) - Total</t>
        </is>
      </c>
      <c r="T252" s="145" t="n">
        <v>-42.9</v>
      </c>
      <c r="V252" s="117" t="inlineStr">
        <is>
          <t>Income Taxes</t>
        </is>
      </c>
      <c r="W252" s="118" t="n">
        <v>128.07</v>
      </c>
    </row>
    <row r="253">
      <c r="A253" s="129" t="inlineStr">
        <is>
          <t>Non-Recurring Income/Expense</t>
        </is>
      </c>
      <c r="B253" s="130" t="n"/>
      <c r="C253" s="130" t="n"/>
      <c r="D253" s="130" t="n"/>
      <c r="E253" s="130" t="n"/>
      <c r="F253" s="130" t="n"/>
      <c r="G253" s="151" t="n"/>
      <c r="H253" s="151" t="n"/>
      <c r="J253" s="117" t="inlineStr">
        <is>
          <t>Non-Recurring Income/(Expense) - Total</t>
        </is>
      </c>
      <c r="K253" s="145" t="n">
        <v>-36</v>
      </c>
      <c r="M253" s="115" t="inlineStr">
        <is>
          <t>Pre-Tax Income</t>
        </is>
      </c>
      <c r="N253" s="116" t="n"/>
      <c r="P253" s="117" t="inlineStr">
        <is>
          <t>Non-Recurring Income/(Expense) - Total</t>
        </is>
      </c>
      <c r="Q253" s="139" t="n">
        <v>-117</v>
      </c>
      <c r="S253" s="108" t="inlineStr">
        <is>
          <t>Fair Value Adjustments - Financial Investments</t>
        </is>
      </c>
      <c r="T253" s="145" t="n">
        <v>-42.9</v>
      </c>
      <c r="V253" s="108" t="inlineStr">
        <is>
          <t>Income Taxes for the Year - Current</t>
        </is>
      </c>
      <c r="W253" s="118" t="n">
        <v>133.02</v>
      </c>
    </row>
    <row r="254">
      <c r="A254" s="131" t="inlineStr">
        <is>
          <t>Non-Recurring Income/(Expense) - Total</t>
        </is>
      </c>
      <c r="B254" s="147" t="n">
        <v>-2.6</v>
      </c>
      <c r="C254" s="143" t="n">
        <v>-120.6</v>
      </c>
      <c r="D254" s="147" t="n">
        <v>-38.3</v>
      </c>
      <c r="E254" s="147" t="n">
        <v>-88.8</v>
      </c>
      <c r="F254" s="147" t="n">
        <v>-81</v>
      </c>
      <c r="G254" s="156" t="n"/>
      <c r="H254" s="156" t="n"/>
      <c r="J254" s="108" t="inlineStr">
        <is>
          <t>Sale &amp; Acquisition of Group Companies - Gain/(Loss)</t>
        </is>
      </c>
      <c r="K254" s="145" t="n">
        <v>-15</v>
      </c>
      <c r="M254" s="136" t="inlineStr">
        <is>
          <t>Income before Taxes</t>
        </is>
      </c>
      <c r="N254" s="137" t="n">
        <v>213.21</v>
      </c>
      <c r="P254" s="108" t="inlineStr">
        <is>
          <t>Impairment - Tangible &amp; Intangible Fixed Assets</t>
        </is>
      </c>
      <c r="Q254" s="119" t="n">
        <v>40</v>
      </c>
      <c r="S254" s="115" t="inlineStr">
        <is>
          <t>Pre-Tax Income</t>
        </is>
      </c>
      <c r="T254" s="116" t="n"/>
      <c r="V254" s="108" t="inlineStr">
        <is>
          <t>Income Taxes - Domestic - Current</t>
        </is>
      </c>
      <c r="W254" s="118" t="n">
        <v>133.02</v>
      </c>
    </row>
    <row r="255">
      <c r="A255" s="133" t="inlineStr">
        <is>
          <t>Impairment - Tangible &amp; Intangible Fixed Assets</t>
        </is>
      </c>
      <c r="B255" s="138" t="n">
        <v>0</v>
      </c>
      <c r="C255" s="135" t="n">
        <v>86.59999999999999</v>
      </c>
      <c r="D255" s="135" t="n">
        <v>28.3</v>
      </c>
      <c r="E255" s="135" t="n">
        <v>67.90000000000001</v>
      </c>
      <c r="F255" s="138" t="n"/>
      <c r="G255" s="154" t="n"/>
      <c r="H255" s="154" t="n"/>
      <c r="J255" s="108" t="inlineStr">
        <is>
          <t>Non-Recurring Income/(Expense) - Other - Total</t>
        </is>
      </c>
      <c r="K255" s="145" t="n">
        <v>-21</v>
      </c>
      <c r="M255" s="115" t="inlineStr">
        <is>
          <t>Taxes</t>
        </is>
      </c>
      <c r="N255" s="116" t="n"/>
      <c r="P255" s="108" t="inlineStr">
        <is>
          <t>Impairment - Fixed Assets</t>
        </is>
      </c>
      <c r="Q255" s="119" t="n">
        <v>40</v>
      </c>
      <c r="S255" s="136" t="inlineStr">
        <is>
          <t>Income before Taxes</t>
        </is>
      </c>
      <c r="T255" s="137" t="n">
        <v>789.35</v>
      </c>
      <c r="V255" s="108" t="inlineStr">
        <is>
          <t>Income Taxes - Deferred</t>
        </is>
      </c>
      <c r="W255" s="145" t="n">
        <v>-4.95</v>
      </c>
    </row>
    <row r="256">
      <c r="A256" s="133" t="inlineStr">
        <is>
          <t>Impairment - Fixed Assets</t>
        </is>
      </c>
      <c r="B256" s="138" t="n">
        <v>0</v>
      </c>
      <c r="C256" s="135" t="n">
        <v>86.59999999999999</v>
      </c>
      <c r="D256" s="135" t="n">
        <v>28.3</v>
      </c>
      <c r="E256" s="135" t="n">
        <v>67.90000000000001</v>
      </c>
      <c r="F256" s="138" t="n"/>
      <c r="G256" s="154" t="n"/>
      <c r="H256" s="154" t="n"/>
      <c r="J256" s="115" t="inlineStr">
        <is>
          <t>Pre-Tax Income</t>
        </is>
      </c>
      <c r="K256" s="116" t="n"/>
      <c r="M256" s="117" t="inlineStr">
        <is>
          <t>Income Taxes</t>
        </is>
      </c>
      <c r="N256" s="119" t="n">
        <v>56.14</v>
      </c>
      <c r="P256" s="108" t="inlineStr">
        <is>
          <t>Sale &amp; Acquisition of Group Companies - Gain/(Loss)</t>
        </is>
      </c>
      <c r="Q256" s="145" t="n">
        <v>-77</v>
      </c>
      <c r="S256" s="115" t="inlineStr">
        <is>
          <t>Taxes</t>
        </is>
      </c>
      <c r="T256" s="116" t="n"/>
      <c r="V256" s="108" t="inlineStr">
        <is>
          <t>Income Taxes - Domestic - Deferred</t>
        </is>
      </c>
      <c r="W256" s="145" t="n">
        <v>-4.95</v>
      </c>
    </row>
    <row r="257">
      <c r="A257" s="133" t="inlineStr">
        <is>
          <t>Restructuring Charges</t>
        </is>
      </c>
      <c r="B257" s="138" t="n"/>
      <c r="C257" s="138" t="n"/>
      <c r="D257" s="138" t="n"/>
      <c r="E257" s="135" t="n">
        <v>7.2</v>
      </c>
      <c r="F257" s="135" t="n">
        <v>15</v>
      </c>
      <c r="G257" s="152" t="n"/>
      <c r="H257" s="152" t="n"/>
      <c r="J257" s="136" t="inlineStr">
        <is>
          <t>Income before Taxes</t>
        </is>
      </c>
      <c r="K257" s="137" t="n">
        <v>1226</v>
      </c>
      <c r="M257" s="108" t="inlineStr">
        <is>
          <t>Income Taxes for the Year - Current</t>
        </is>
      </c>
      <c r="N257" s="119" t="n">
        <v>30.65</v>
      </c>
      <c r="P257" s="115" t="inlineStr">
        <is>
          <t>Pre-Tax Income</t>
        </is>
      </c>
      <c r="Q257" s="116" t="n"/>
      <c r="S257" s="117" t="inlineStr">
        <is>
          <t>Income Taxes</t>
        </is>
      </c>
      <c r="T257" s="118" t="n">
        <v>385.01</v>
      </c>
      <c r="V257" s="115" t="inlineStr">
        <is>
          <t>Net Income After Tax</t>
        </is>
      </c>
      <c r="W257" s="116" t="n"/>
    </row>
    <row r="258">
      <c r="A258" s="133" t="inlineStr">
        <is>
          <t>Sale &amp; Acquisition of Group Companies - Gain/(Loss)</t>
        </is>
      </c>
      <c r="B258" s="147" t="n">
        <v>-2.6</v>
      </c>
      <c r="C258" s="147" t="n">
        <v>-34</v>
      </c>
      <c r="D258" s="147" t="n">
        <v>-10</v>
      </c>
      <c r="E258" s="147" t="n">
        <v>-3.1</v>
      </c>
      <c r="F258" s="147" t="n">
        <v>-1.5</v>
      </c>
      <c r="G258" s="156" t="n"/>
      <c r="H258" s="156" t="n"/>
      <c r="J258" s="115" t="inlineStr">
        <is>
          <t>Taxes</t>
        </is>
      </c>
      <c r="K258" s="116" t="n"/>
      <c r="M258" s="108" t="inlineStr">
        <is>
          <t>Income Taxes - Domestic - Current</t>
        </is>
      </c>
      <c r="N258" s="119" t="n">
        <v>30.65</v>
      </c>
      <c r="P258" s="136" t="inlineStr">
        <is>
          <t>Income before Taxes</t>
        </is>
      </c>
      <c r="Q258" s="137" t="n">
        <v>4805</v>
      </c>
      <c r="S258" s="108" t="inlineStr">
        <is>
          <t>Income Taxes for the Year - Current</t>
        </is>
      </c>
      <c r="T258" s="118" t="n">
        <v>198.53</v>
      </c>
      <c r="V258" s="117" t="inlineStr">
        <is>
          <t>Net Income after Tax</t>
        </is>
      </c>
      <c r="W258" s="118" t="n">
        <v>463.42</v>
      </c>
    </row>
    <row r="259">
      <c r="A259" s="133" t="inlineStr">
        <is>
          <t>COVID-19 Non-Recurring Income/(Expense) - Total</t>
        </is>
      </c>
      <c r="B259" s="138" t="n"/>
      <c r="C259" s="138" t="n"/>
      <c r="D259" s="138" t="n"/>
      <c r="E259" s="138" t="n">
        <v>0</v>
      </c>
      <c r="F259" s="147" t="n">
        <v>-13.4</v>
      </c>
      <c r="G259" s="156" t="n"/>
      <c r="H259" s="156" t="n"/>
      <c r="J259" s="117" t="inlineStr">
        <is>
          <t>Income Taxes</t>
        </is>
      </c>
      <c r="K259" s="118" t="n">
        <v>236</v>
      </c>
      <c r="M259" s="108" t="inlineStr">
        <is>
          <t>Income Taxes - Deferred</t>
        </is>
      </c>
      <c r="N259" s="119" t="n">
        <v>25.49</v>
      </c>
      <c r="P259" s="115" t="inlineStr">
        <is>
          <t>Taxes</t>
        </is>
      </c>
      <c r="Q259" s="116" t="n"/>
      <c r="S259" s="108" t="inlineStr">
        <is>
          <t>Income Taxes - Deferred</t>
        </is>
      </c>
      <c r="T259" s="118" t="n">
        <v>186.47</v>
      </c>
      <c r="V259" s="115" t="inlineStr">
        <is>
          <t>After Tax Income/Expense</t>
        </is>
      </c>
      <c r="W259" s="116" t="n"/>
    </row>
    <row r="260">
      <c r="A260" s="133" t="inlineStr">
        <is>
          <t>COVID-19 Non-Recurring Income/(Expense) - Other</t>
        </is>
      </c>
      <c r="B260" s="138" t="n"/>
      <c r="C260" s="138" t="n"/>
      <c r="D260" s="138" t="n"/>
      <c r="E260" s="138" t="n">
        <v>0</v>
      </c>
      <c r="F260" s="147" t="n">
        <v>-13.4</v>
      </c>
      <c r="G260" s="156" t="n"/>
      <c r="H260" s="156" t="n"/>
      <c r="J260" s="108" t="inlineStr">
        <is>
          <t>Income Taxes for the Year - Current</t>
        </is>
      </c>
      <c r="K260" s="118" t="n">
        <v>171</v>
      </c>
      <c r="M260" s="108" t="inlineStr">
        <is>
          <t>Income Taxes - Domestic - Deferred</t>
        </is>
      </c>
      <c r="N260" s="119" t="n">
        <v>25.49</v>
      </c>
      <c r="P260" s="117" t="inlineStr">
        <is>
          <t>Income Taxes</t>
        </is>
      </c>
      <c r="Q260" s="118" t="n">
        <v>1041</v>
      </c>
      <c r="S260" s="115" t="inlineStr">
        <is>
          <t>Net Income After Tax</t>
        </is>
      </c>
      <c r="T260" s="116" t="n"/>
      <c r="V260" s="136" t="inlineStr">
        <is>
          <t>Income before Discontinued Operations &amp; Extraordinary Items</t>
        </is>
      </c>
      <c r="W260" s="137" t="n">
        <v>463.42</v>
      </c>
    </row>
    <row r="261">
      <c r="A261" s="133" t="inlineStr">
        <is>
          <t>Non-Recurring Income/(Expense) - Other - Total</t>
        </is>
      </c>
      <c r="B261" s="138" t="n"/>
      <c r="C261" s="138" t="n"/>
      <c r="D261" s="138" t="n"/>
      <c r="E261" s="147" t="n">
        <v>-10.6</v>
      </c>
      <c r="F261" s="147" t="n">
        <v>-51.1</v>
      </c>
      <c r="G261" s="156" t="n"/>
      <c r="H261" s="156" t="n"/>
      <c r="J261" s="108" t="inlineStr">
        <is>
          <t>Income Taxes - Domestic - Current</t>
        </is>
      </c>
      <c r="K261" s="118" t="n">
        <v>169</v>
      </c>
      <c r="M261" s="115" t="inlineStr">
        <is>
          <t>Net Income After Tax</t>
        </is>
      </c>
      <c r="N261" s="116" t="n"/>
      <c r="P261" s="108" t="inlineStr">
        <is>
          <t>Income Taxes for the Year - Current</t>
        </is>
      </c>
      <c r="Q261" s="118" t="n">
        <v>874</v>
      </c>
      <c r="S261" s="117" t="inlineStr">
        <is>
          <t>Net Income after Tax</t>
        </is>
      </c>
      <c r="T261" s="118" t="n">
        <v>404.34</v>
      </c>
      <c r="V261" s="117" t="inlineStr">
        <is>
          <t>Net Income before Minority Interest</t>
        </is>
      </c>
      <c r="W261" s="118" t="n">
        <v>463.42</v>
      </c>
    </row>
    <row r="262">
      <c r="A262" s="129" t="inlineStr">
        <is>
          <t>Pre-Tax Income</t>
        </is>
      </c>
      <c r="B262" s="130" t="n"/>
      <c r="C262" s="130" t="n"/>
      <c r="D262" s="130" t="n"/>
      <c r="E262" s="130" t="n"/>
      <c r="F262" s="130" t="n"/>
      <c r="G262" s="151" t="n"/>
      <c r="H262" s="151" t="n"/>
      <c r="J262" s="108" t="inlineStr">
        <is>
          <t>Income Taxes - Foreign - Current</t>
        </is>
      </c>
      <c r="K262" s="119" t="n">
        <v>2</v>
      </c>
      <c r="M262" s="117" t="inlineStr">
        <is>
          <t>Net Income after Tax</t>
        </is>
      </c>
      <c r="N262" s="118" t="n">
        <v>157.07</v>
      </c>
      <c r="P262" s="108" t="inlineStr">
        <is>
          <t>Income Taxes - Domestic - Current</t>
        </is>
      </c>
      <c r="Q262" s="118" t="n">
        <v>454</v>
      </c>
      <c r="S262" s="115" t="inlineStr">
        <is>
          <t>After Tax Income/Expense</t>
        </is>
      </c>
      <c r="T262" s="116" t="n"/>
      <c r="V262" s="117" t="inlineStr">
        <is>
          <t>Net Income after Minority Interest</t>
        </is>
      </c>
      <c r="W262" s="118" t="n">
        <v>463.42</v>
      </c>
    </row>
    <row r="263">
      <c r="A263" s="141" t="inlineStr">
        <is>
          <t>Income before Taxes</t>
        </is>
      </c>
      <c r="B263" s="142" t="n">
        <v>1390.1</v>
      </c>
      <c r="C263" s="142" t="n">
        <v>1172.1</v>
      </c>
      <c r="D263" s="142" t="n">
        <v>1245.1</v>
      </c>
      <c r="E263" s="142" t="n">
        <v>788.1</v>
      </c>
      <c r="F263" s="142" t="n">
        <v>873.8</v>
      </c>
      <c r="G263" s="155" t="n"/>
      <c r="H263" s="155" t="n"/>
      <c r="J263" s="108" t="inlineStr">
        <is>
          <t>Income Taxes - Deferred</t>
        </is>
      </c>
      <c r="K263" s="119" t="n">
        <v>65</v>
      </c>
      <c r="M263" s="115" t="inlineStr">
        <is>
          <t>After Tax Income/Expense</t>
        </is>
      </c>
      <c r="N263" s="116" t="n"/>
      <c r="P263" s="108" t="inlineStr">
        <is>
          <t>Income Taxes - Foreign - Current</t>
        </is>
      </c>
      <c r="Q263" s="118" t="n">
        <v>420</v>
      </c>
      <c r="S263" s="136" t="inlineStr">
        <is>
          <t>Income before Discontinued Operations &amp; Extraordinary Items</t>
        </is>
      </c>
      <c r="T263" s="137" t="n">
        <v>404.34</v>
      </c>
      <c r="V263" s="115" t="inlineStr">
        <is>
          <t>Net Income</t>
        </is>
      </c>
      <c r="W263" s="116" t="n"/>
    </row>
    <row r="264">
      <c r="A264" s="129" t="inlineStr">
        <is>
          <t>Taxes</t>
        </is>
      </c>
      <c r="B264" s="130" t="n"/>
      <c r="C264" s="130" t="n"/>
      <c r="D264" s="130" t="n"/>
      <c r="E264" s="130" t="n"/>
      <c r="F264" s="130" t="n"/>
      <c r="G264" s="151" t="n"/>
      <c r="H264" s="151" t="n"/>
      <c r="J264" s="108" t="inlineStr">
        <is>
          <t>Income Taxes - Domestic - Deferred</t>
        </is>
      </c>
      <c r="K264" s="119" t="n">
        <v>64</v>
      </c>
      <c r="M264" s="136" t="inlineStr">
        <is>
          <t>Income before Discontinued Operations &amp; Extraordinary Items</t>
        </is>
      </c>
      <c r="N264" s="137" t="n">
        <v>157.07</v>
      </c>
      <c r="P264" s="108" t="inlineStr">
        <is>
          <t>Income Taxes - Deferred</t>
        </is>
      </c>
      <c r="Q264" s="118" t="n">
        <v>167</v>
      </c>
      <c r="S264" s="117" t="inlineStr">
        <is>
          <t>Extraordinary Activities - after Tax - Gain/(Loss)</t>
        </is>
      </c>
      <c r="T264" s="118" t="n">
        <v>565.38</v>
      </c>
      <c r="V264" s="136" t="inlineStr">
        <is>
          <t>Income Available to Common Shares</t>
        </is>
      </c>
      <c r="W264" s="137" t="n">
        <v>463.42</v>
      </c>
    </row>
    <row r="265">
      <c r="A265" s="131" t="inlineStr">
        <is>
          <t>Income Taxes</t>
        </is>
      </c>
      <c r="B265" s="132" t="n">
        <v>307.5</v>
      </c>
      <c r="C265" s="132" t="n">
        <v>251.4</v>
      </c>
      <c r="D265" s="132" t="n">
        <v>299.4</v>
      </c>
      <c r="E265" s="132" t="n">
        <v>193</v>
      </c>
      <c r="F265" s="132" t="n">
        <v>200.1</v>
      </c>
      <c r="G265" s="153" t="n"/>
      <c r="H265" s="153" t="n"/>
      <c r="J265" s="108" t="inlineStr">
        <is>
          <t>Income Taxes - Foreign - Deferred</t>
        </is>
      </c>
      <c r="K265" s="119" t="n">
        <v>1</v>
      </c>
      <c r="M265" s="117" t="inlineStr">
        <is>
          <t>Net Income before Minority Interest</t>
        </is>
      </c>
      <c r="N265" s="118" t="n">
        <v>157.07</v>
      </c>
      <c r="P265" s="108" t="inlineStr">
        <is>
          <t>Income Taxes - Domestic - Deferred</t>
        </is>
      </c>
      <c r="Q265" s="118" t="n">
        <v>255</v>
      </c>
      <c r="S265" s="108" t="inlineStr">
        <is>
          <t>Discontinued Operations - Net of Taxes - Total - Income/(Expense)</t>
        </is>
      </c>
      <c r="T265" s="118" t="n">
        <v>565.38</v>
      </c>
      <c r="V265" s="115" t="inlineStr">
        <is>
          <t>Other Comprehensive Income</t>
        </is>
      </c>
      <c r="W265" s="116" t="n"/>
    </row>
    <row r="266">
      <c r="A266" s="133" t="inlineStr">
        <is>
          <t>Income Taxes for the Year - Current</t>
        </is>
      </c>
      <c r="B266" s="132" t="n">
        <v>281.6</v>
      </c>
      <c r="C266" s="132" t="n">
        <v>261.3</v>
      </c>
      <c r="D266" s="132" t="n">
        <v>343.6</v>
      </c>
      <c r="E266" s="132" t="n">
        <v>133.4</v>
      </c>
      <c r="F266" s="132" t="n">
        <v>133.5</v>
      </c>
      <c r="G266" s="153" t="n"/>
      <c r="H266" s="153" t="n"/>
      <c r="J266" s="115" t="inlineStr">
        <is>
          <t>Net Income After Tax</t>
        </is>
      </c>
      <c r="K266" s="116" t="n"/>
      <c r="M266" s="117" t="inlineStr">
        <is>
          <t>Net Income after Minority Interest</t>
        </is>
      </c>
      <c r="N266" s="118" t="n">
        <v>157.07</v>
      </c>
      <c r="P266" s="108" t="inlineStr">
        <is>
          <t>Income Taxes - Foreign - Deferred</t>
        </is>
      </c>
      <c r="Q266" s="145" t="n">
        <v>-88</v>
      </c>
      <c r="S266" s="108" t="inlineStr">
        <is>
          <t>Discontinued Operations - Net - Income/(Expense)</t>
        </is>
      </c>
      <c r="T266" s="118" t="n">
        <v>565.38</v>
      </c>
      <c r="V266" s="117" t="inlineStr">
        <is>
          <t>Other Comprehensive Income - Starting Line</t>
        </is>
      </c>
      <c r="W266" s="118" t="n">
        <v>463.42</v>
      </c>
    </row>
    <row r="267">
      <c r="A267" s="133" t="inlineStr">
        <is>
          <t>Income Taxes - Domestic - Current</t>
        </is>
      </c>
      <c r="B267" s="132" t="n">
        <v>276.5</v>
      </c>
      <c r="C267" s="132" t="n">
        <v>256.5</v>
      </c>
      <c r="D267" s="132" t="n">
        <v>338.8</v>
      </c>
      <c r="E267" s="132" t="n">
        <v>128.8</v>
      </c>
      <c r="F267" s="132" t="n">
        <v>138.5</v>
      </c>
      <c r="G267" s="153" t="n"/>
      <c r="H267" s="153" t="n"/>
      <c r="J267" s="117" t="inlineStr">
        <is>
          <t>Net Income after Tax</t>
        </is>
      </c>
      <c r="K267" s="118" t="n">
        <v>990</v>
      </c>
      <c r="M267" s="115" t="inlineStr">
        <is>
          <t>Net Income</t>
        </is>
      </c>
      <c r="N267" s="116" t="n"/>
      <c r="P267" s="115" t="inlineStr">
        <is>
          <t>Net Income After Tax</t>
        </is>
      </c>
      <c r="Q267" s="116" t="n"/>
      <c r="S267" s="117" t="inlineStr">
        <is>
          <t>Net Income before Minority Interest</t>
        </is>
      </c>
      <c r="T267" s="118" t="n">
        <v>969.72</v>
      </c>
      <c r="V267" s="117" t="inlineStr">
        <is>
          <t>Other Comprehensive Income - Pension Related</t>
        </is>
      </c>
      <c r="W267" s="119" t="n">
        <v>0.25</v>
      </c>
    </row>
    <row r="268">
      <c r="A268" s="133" t="inlineStr">
        <is>
          <t>Income Taxes - Foreign - Current</t>
        </is>
      </c>
      <c r="B268" s="135" t="n">
        <v>5.1</v>
      </c>
      <c r="C268" s="135" t="n">
        <v>4.8</v>
      </c>
      <c r="D268" s="135" t="n">
        <v>4.8</v>
      </c>
      <c r="E268" s="135" t="n">
        <v>4.6</v>
      </c>
      <c r="F268" s="147" t="n">
        <v>-5</v>
      </c>
      <c r="G268" s="156" t="n"/>
      <c r="H268" s="156" t="n"/>
      <c r="J268" s="115" t="inlineStr">
        <is>
          <t>After Tax Income/Expense</t>
        </is>
      </c>
      <c r="K268" s="116" t="n"/>
      <c r="M268" s="136" t="inlineStr">
        <is>
          <t>Income Available to Common Shares</t>
        </is>
      </c>
      <c r="N268" s="137" t="n">
        <v>157.07</v>
      </c>
      <c r="P268" s="117" t="inlineStr">
        <is>
          <t>Net Income after Tax</t>
        </is>
      </c>
      <c r="Q268" s="118" t="n">
        <v>3764</v>
      </c>
      <c r="S268" s="117" t="inlineStr">
        <is>
          <t>Minority Interest</t>
        </is>
      </c>
      <c r="T268" s="119" t="n">
        <v>9.57</v>
      </c>
      <c r="V268" s="117" t="inlineStr">
        <is>
          <t>Other Comprehensive Income - Net of Tax - Total</t>
        </is>
      </c>
      <c r="W268" s="119" t="n">
        <v>0.25</v>
      </c>
    </row>
    <row r="269">
      <c r="A269" s="133" t="inlineStr">
        <is>
          <t>Income Taxes - Deferred</t>
        </is>
      </c>
      <c r="B269" s="135" t="n">
        <v>25.9</v>
      </c>
      <c r="C269" s="147" t="n">
        <v>-9.9</v>
      </c>
      <c r="D269" s="147" t="n">
        <v>-44.2</v>
      </c>
      <c r="E269" s="135" t="n">
        <v>59.6</v>
      </c>
      <c r="F269" s="135" t="n">
        <v>66.59999999999999</v>
      </c>
      <c r="G269" s="152" t="n"/>
      <c r="H269" s="152" t="n"/>
      <c r="J269" s="136" t="inlineStr">
        <is>
          <t>Income before Discontinued Operations &amp; Extraordinary Items</t>
        </is>
      </c>
      <c r="K269" s="137" t="n">
        <v>990</v>
      </c>
      <c r="M269" s="115" t="inlineStr">
        <is>
          <t>Other Comprehensive Income</t>
        </is>
      </c>
      <c r="N269" s="116" t="n"/>
      <c r="P269" s="115" t="inlineStr">
        <is>
          <t>After Tax Income/Expense</t>
        </is>
      </c>
      <c r="Q269" s="116" t="n"/>
      <c r="S269" s="117" t="inlineStr">
        <is>
          <t>Net Income after Minority Interest</t>
        </is>
      </c>
      <c r="T269" s="118" t="n">
        <v>960.16</v>
      </c>
      <c r="V269" s="136" t="inlineStr">
        <is>
          <t>Comprehensive Income before Minority Interest - Total</t>
        </is>
      </c>
      <c r="W269" s="137" t="n">
        <v>463.66</v>
      </c>
    </row>
    <row r="270">
      <c r="A270" s="133" t="inlineStr">
        <is>
          <t>Income Taxes - Domestic - Deferred</t>
        </is>
      </c>
      <c r="B270" s="135" t="n">
        <v>33.3</v>
      </c>
      <c r="C270" s="147" t="n">
        <v>-6.9</v>
      </c>
      <c r="D270" s="147" t="n">
        <v>-48.3</v>
      </c>
      <c r="E270" s="135" t="n">
        <v>46.7</v>
      </c>
      <c r="F270" s="135" t="n">
        <v>65.7</v>
      </c>
      <c r="G270" s="152" t="n"/>
      <c r="H270" s="152" t="n"/>
      <c r="J270" s="117" t="inlineStr">
        <is>
          <t>Extraordinary Activities - after Tax - Gain/(Loss)</t>
        </is>
      </c>
      <c r="K270" s="118" t="n">
        <v>147</v>
      </c>
      <c r="M270" s="117" t="inlineStr">
        <is>
          <t>Other Comprehensive Income - Starting Line</t>
        </is>
      </c>
      <c r="N270" s="118" t="n">
        <v>157.07</v>
      </c>
      <c r="P270" s="117" t="inlineStr">
        <is>
          <t>Equity in Earnings/(Loss) of Affiliates (after Taxes)</t>
        </is>
      </c>
      <c r="Q270" s="119" t="n">
        <v>26</v>
      </c>
      <c r="S270" s="115" t="inlineStr">
        <is>
          <t>Net Income</t>
        </is>
      </c>
      <c r="T270" s="116" t="n"/>
      <c r="V270" s="117" t="inlineStr">
        <is>
          <t>Comprehensive Income - Attributable to Parent Company Equity Holders - Total</t>
        </is>
      </c>
      <c r="W270" s="118" t="n">
        <v>463.66</v>
      </c>
    </row>
    <row r="271">
      <c r="A271" s="133" t="inlineStr">
        <is>
          <t>Income Taxes - Foreign - Deferred</t>
        </is>
      </c>
      <c r="B271" s="147" t="n">
        <v>-7.4</v>
      </c>
      <c r="C271" s="147" t="n">
        <v>-3</v>
      </c>
      <c r="D271" s="135" t="n">
        <v>4.1</v>
      </c>
      <c r="E271" s="135" t="n">
        <v>12.9</v>
      </c>
      <c r="F271" s="135" t="n">
        <v>0.9</v>
      </c>
      <c r="G271" s="152" t="n"/>
      <c r="H271" s="152" t="n"/>
      <c r="J271" s="108" t="inlineStr">
        <is>
          <t>Discontinued Operations - Net of Taxes - Total - Income/(Expense)</t>
        </is>
      </c>
      <c r="K271" s="118" t="n">
        <v>147</v>
      </c>
      <c r="M271" s="117" t="inlineStr">
        <is>
          <t>Other Comprehensive Income - Hedging Gain/(Loss)</t>
        </is>
      </c>
      <c r="N271" s="134" t="n">
        <v>0</v>
      </c>
      <c r="P271" s="136" t="inlineStr">
        <is>
          <t>Income before Discontinued Operations &amp; Extraordinary Items</t>
        </is>
      </c>
      <c r="Q271" s="137" t="n">
        <v>3790</v>
      </c>
      <c r="S271" s="136" t="inlineStr">
        <is>
          <t>Income Available to Common Shares</t>
        </is>
      </c>
      <c r="T271" s="137" t="n">
        <v>960.16</v>
      </c>
      <c r="V271" s="115" t="inlineStr">
        <is>
          <t>Share/Per Share - Basic</t>
        </is>
      </c>
      <c r="W271" s="116" t="n"/>
    </row>
    <row r="272">
      <c r="A272" s="129" t="inlineStr">
        <is>
          <t>Net Income After Tax</t>
        </is>
      </c>
      <c r="B272" s="130" t="n"/>
      <c r="C272" s="130" t="n"/>
      <c r="D272" s="130" t="n"/>
      <c r="E272" s="130" t="n"/>
      <c r="F272" s="130" t="n"/>
      <c r="G272" s="151" t="n"/>
      <c r="H272" s="151" t="n"/>
      <c r="J272" s="108" t="inlineStr">
        <is>
          <t>Discontinued Operations - Net - Income/(Expense)</t>
        </is>
      </c>
      <c r="K272" s="118" t="n">
        <v>147</v>
      </c>
      <c r="M272" s="117" t="inlineStr">
        <is>
          <t>Other Comprehensive Income - Pension Related</t>
        </is>
      </c>
      <c r="N272" s="145" t="n">
        <v>-0.96</v>
      </c>
      <c r="P272" s="117" t="inlineStr">
        <is>
          <t>Net Income before Minority Interest</t>
        </is>
      </c>
      <c r="Q272" s="118" t="n">
        <v>3790</v>
      </c>
      <c r="S272" s="115" t="inlineStr">
        <is>
          <t>Share/Per Share - Basic</t>
        </is>
      </c>
      <c r="T272" s="116" t="n"/>
      <c r="V272" s="117" t="inlineStr">
        <is>
          <t>Net Income - Basic - including Extraordinary Items Applicable to Common - Total</t>
        </is>
      </c>
      <c r="W272" s="118" t="n">
        <v>463.42</v>
      </c>
    </row>
    <row r="273">
      <c r="A273" s="131" t="inlineStr">
        <is>
          <t>Net Income after Tax</t>
        </is>
      </c>
      <c r="B273" s="132" t="n">
        <v>1082.6</v>
      </c>
      <c r="C273" s="132" t="n">
        <v>920.7</v>
      </c>
      <c r="D273" s="132" t="n">
        <v>945.7</v>
      </c>
      <c r="E273" s="132" t="n">
        <v>595.1</v>
      </c>
      <c r="F273" s="132" t="n">
        <v>673.7</v>
      </c>
      <c r="G273" s="153" t="n"/>
      <c r="H273" s="153" t="n"/>
      <c r="J273" s="117" t="inlineStr">
        <is>
          <t>Net Income before Minority Interest</t>
        </is>
      </c>
      <c r="K273" s="118" t="n">
        <v>1137</v>
      </c>
      <c r="M273" s="117" t="inlineStr">
        <is>
          <t>Other Comprehensive Income - Net of Tax - Total</t>
        </is>
      </c>
      <c r="N273" s="145" t="n">
        <v>-0.96</v>
      </c>
      <c r="P273" s="117" t="inlineStr">
        <is>
          <t>Minority Interest</t>
        </is>
      </c>
      <c r="Q273" s="119" t="n">
        <v>37</v>
      </c>
      <c r="S273" s="117" t="inlineStr">
        <is>
          <t>Net Income - Basic - including Extraordinary Items Applicable to Common - Total</t>
        </is>
      </c>
      <c r="T273" s="118" t="n">
        <v>960.16</v>
      </c>
      <c r="V273" s="108" t="inlineStr">
        <is>
          <t>Income available to Common excluding Extraordinary Items</t>
        </is>
      </c>
      <c r="W273" s="118" t="n">
        <v>463.42</v>
      </c>
    </row>
    <row r="274">
      <c r="A274" s="129" t="inlineStr">
        <is>
          <t>After Tax Income/Expense</t>
        </is>
      </c>
      <c r="B274" s="130" t="n"/>
      <c r="C274" s="130" t="n"/>
      <c r="D274" s="130" t="n"/>
      <c r="E274" s="130" t="n"/>
      <c r="F274" s="130" t="n"/>
      <c r="G274" s="151" t="n"/>
      <c r="H274" s="151" t="n"/>
      <c r="J274" s="117" t="inlineStr">
        <is>
          <t>Minority Interest</t>
        </is>
      </c>
      <c r="K274" s="134" t="n">
        <v>0</v>
      </c>
      <c r="M274" s="136" t="inlineStr">
        <is>
          <t>Comprehensive Income before Minority Interest - Total</t>
        </is>
      </c>
      <c r="N274" s="137" t="n">
        <v>156.11</v>
      </c>
      <c r="P274" s="117" t="inlineStr">
        <is>
          <t>Net Income after Minority Interest</t>
        </is>
      </c>
      <c r="Q274" s="118" t="n">
        <v>3753</v>
      </c>
      <c r="S274" s="108" t="inlineStr">
        <is>
          <t>Income available to Common excluding Extraordinary Items</t>
        </is>
      </c>
      <c r="T274" s="118" t="n">
        <v>394.77</v>
      </c>
      <c r="V274" s="108" t="inlineStr">
        <is>
          <t>Shares used to calculate Basic EPS - Total</t>
        </is>
      </c>
      <c r="W274" s="119" t="n">
        <v>33.38</v>
      </c>
    </row>
    <row r="275">
      <c r="A275" s="141" t="inlineStr">
        <is>
          <t>Income before Discontinued Operations &amp; Extraordinary Items</t>
        </is>
      </c>
      <c r="B275" s="142" t="n">
        <v>1082.6</v>
      </c>
      <c r="C275" s="142" t="n">
        <v>920.7</v>
      </c>
      <c r="D275" s="142" t="n">
        <v>945.7</v>
      </c>
      <c r="E275" s="142" t="n">
        <v>595.1</v>
      </c>
      <c r="F275" s="142" t="n">
        <v>673.7</v>
      </c>
      <c r="G275" s="155" t="n"/>
      <c r="H275" s="155" t="n"/>
      <c r="J275" s="117" t="inlineStr">
        <is>
          <t>Net Income after Minority Interest</t>
        </is>
      </c>
      <c r="K275" s="118" t="n">
        <v>1137</v>
      </c>
      <c r="M275" s="117" t="inlineStr">
        <is>
          <t>Comprehensive Income - Attributable to Parent Company Equity Holders - Total</t>
        </is>
      </c>
      <c r="N275" s="118" t="n">
        <v>156.11</v>
      </c>
      <c r="P275" s="115" t="inlineStr">
        <is>
          <t>Net Income</t>
        </is>
      </c>
      <c r="Q275" s="116" t="n"/>
      <c r="S275" s="108" t="inlineStr">
        <is>
          <t>Shares used to calculate Basic EPS - Total</t>
        </is>
      </c>
      <c r="T275" s="134" t="n">
        <v>14508.33</v>
      </c>
      <c r="V275" s="108" t="inlineStr">
        <is>
          <t>EPS - Basic - including Extraordinary Items Applicable to Common - Total</t>
        </is>
      </c>
      <c r="W275" s="119" t="n">
        <v>13.88</v>
      </c>
    </row>
    <row r="276">
      <c r="A276" s="131" t="inlineStr">
        <is>
          <t>Extraordinary Activities - after Tax - Gain/(Loss)</t>
        </is>
      </c>
      <c r="B276" s="147" t="n">
        <v>-4.5</v>
      </c>
      <c r="C276" s="147" t="n">
        <v>-7.6</v>
      </c>
      <c r="D276" s="147" t="n">
        <v>-10.8</v>
      </c>
      <c r="E276" s="147" t="n">
        <v>-18.6</v>
      </c>
      <c r="F276" s="147" t="n">
        <v>-3.3</v>
      </c>
      <c r="G276" s="156" t="n"/>
      <c r="H276" s="156" t="n"/>
      <c r="J276" s="115" t="inlineStr">
        <is>
          <t>Net Income</t>
        </is>
      </c>
      <c r="K276" s="116" t="n"/>
      <c r="M276" s="115" t="inlineStr">
        <is>
          <t>Share/Per Share - Basic</t>
        </is>
      </c>
      <c r="N276" s="116" t="n"/>
      <c r="P276" s="136" t="inlineStr">
        <is>
          <t>Income Available to Common Shares</t>
        </is>
      </c>
      <c r="Q276" s="137" t="n">
        <v>3753</v>
      </c>
      <c r="S276" s="108" t="inlineStr">
        <is>
          <t>EPS - Basic - including Extraordinary Items Applicable to Common - Total</t>
        </is>
      </c>
      <c r="T276" s="119" t="n">
        <v>0.07000000000000001</v>
      </c>
      <c r="V276" s="108" t="inlineStr">
        <is>
          <t>EPS - Basic - excluding Extraordinary Items Applicable to Common - Total</t>
        </is>
      </c>
      <c r="W276" s="119" t="n">
        <v>13.88</v>
      </c>
    </row>
    <row r="277">
      <c r="A277" s="133" t="inlineStr">
        <is>
          <t>Discontinued Operations - Net of Taxes - Total - Income/(Expense)</t>
        </is>
      </c>
      <c r="B277" s="147" t="n">
        <v>-4.5</v>
      </c>
      <c r="C277" s="147" t="n">
        <v>-7.6</v>
      </c>
      <c r="D277" s="147" t="n">
        <v>-10.8</v>
      </c>
      <c r="E277" s="147" t="n">
        <v>-18.6</v>
      </c>
      <c r="F277" s="147" t="n">
        <v>-3.3</v>
      </c>
      <c r="G277" s="156" t="n"/>
      <c r="H277" s="156" t="n"/>
      <c r="J277" s="136" t="inlineStr">
        <is>
          <t>Income Available to Common Shares</t>
        </is>
      </c>
      <c r="K277" s="137" t="n">
        <v>1137</v>
      </c>
      <c r="M277" s="117" t="inlineStr">
        <is>
          <t>Net Income - Basic - including Extraordinary Items Applicable to Common - Total</t>
        </is>
      </c>
      <c r="N277" s="118" t="n">
        <v>157.07</v>
      </c>
      <c r="P277" s="115" t="inlineStr">
        <is>
          <t>Other Comprehensive Income</t>
        </is>
      </c>
      <c r="Q277" s="116" t="n"/>
      <c r="S277" s="108" t="inlineStr">
        <is>
          <t>EPS - Basic - excluding Extraordinary Items Applicable to Common - Total</t>
        </is>
      </c>
      <c r="T277" s="119" t="n">
        <v>0.03</v>
      </c>
      <c r="V277" s="108" t="inlineStr">
        <is>
          <t>EPS - Basic - excluding Extraordinary Items - Normalized - Total</t>
        </is>
      </c>
      <c r="W277" s="119" t="n">
        <v>13.88</v>
      </c>
    </row>
    <row r="278">
      <c r="A278" s="133" t="inlineStr">
        <is>
          <t>Discontinued Operations before Tax - Total - Income/(Expense)</t>
        </is>
      </c>
      <c r="B278" s="147" t="n">
        <v>-6.1</v>
      </c>
      <c r="C278" s="147" t="n">
        <v>-10.2</v>
      </c>
      <c r="D278" s="147" t="n">
        <v>-14.7</v>
      </c>
      <c r="E278" s="147" t="n">
        <v>-25.2</v>
      </c>
      <c r="F278" s="147" t="n">
        <v>-4.5</v>
      </c>
      <c r="G278" s="156" t="n"/>
      <c r="H278" s="156" t="n"/>
      <c r="J278" s="115" t="inlineStr">
        <is>
          <t>Other Comprehensive Income</t>
        </is>
      </c>
      <c r="K278" s="116" t="n"/>
      <c r="M278" s="108" t="inlineStr">
        <is>
          <t>Income available to Common excluding Extraordinary Items</t>
        </is>
      </c>
      <c r="N278" s="118" t="n">
        <v>157.07</v>
      </c>
      <c r="P278" s="117" t="inlineStr">
        <is>
          <t>Other Comprehensive Income - Starting Line</t>
        </is>
      </c>
      <c r="Q278" s="118" t="n">
        <v>3790</v>
      </c>
      <c r="S278" s="108" t="inlineStr">
        <is>
          <t>EPS - Basic - excluding Extraordinary Items - Normalized - Total</t>
        </is>
      </c>
      <c r="T278" s="119" t="n">
        <v>0.03</v>
      </c>
      <c r="V278" s="117" t="inlineStr">
        <is>
          <t>Allocated Net Income including Extraordinary Items Applicable to Common - Issue Specific</t>
        </is>
      </c>
      <c r="W278" s="118" t="n">
        <v>463.42</v>
      </c>
    </row>
    <row r="279">
      <c r="A279" s="133" t="inlineStr">
        <is>
          <t>Discontinued Operations before Tax - Income/(Expense)</t>
        </is>
      </c>
      <c r="B279" s="147" t="n">
        <v>-6.1</v>
      </c>
      <c r="C279" s="147" t="n">
        <v>-10.2</v>
      </c>
      <c r="D279" s="147" t="n">
        <v>-14.7</v>
      </c>
      <c r="E279" s="147" t="n">
        <v>-25.2</v>
      </c>
      <c r="F279" s="147" t="n">
        <v>-4.5</v>
      </c>
      <c r="G279" s="156" t="n"/>
      <c r="H279" s="156" t="n"/>
      <c r="J279" s="117" t="inlineStr">
        <is>
          <t>Other Comprehensive Income - Starting Line</t>
        </is>
      </c>
      <c r="K279" s="118" t="n">
        <v>1137</v>
      </c>
      <c r="M279" s="108" t="inlineStr">
        <is>
          <t>Shares used to calculate Basic EPS - Total</t>
        </is>
      </c>
      <c r="N279" s="119" t="n">
        <v>56.65</v>
      </c>
      <c r="P279" s="117" t="inlineStr">
        <is>
          <t>Other Comprehensive Income - Foreign Currency</t>
        </is>
      </c>
      <c r="Q279" s="118" t="n">
        <v>713</v>
      </c>
      <c r="S279" s="117" t="inlineStr">
        <is>
          <t>Earnings Allocation Factor - Basic - Issue Specific</t>
        </is>
      </c>
      <c r="T279" s="119" t="n">
        <v>1</v>
      </c>
      <c r="V279" s="117" t="inlineStr">
        <is>
          <t>Earnings Allocation Factor - Basic - Issue Specific</t>
        </is>
      </c>
      <c r="W279" s="119" t="n">
        <v>1</v>
      </c>
    </row>
    <row r="280">
      <c r="A280" s="133" t="inlineStr">
        <is>
          <t>Discontinued Operations - Tax Impacts</t>
        </is>
      </c>
      <c r="B280" s="135" t="n">
        <v>1.6</v>
      </c>
      <c r="C280" s="135" t="n">
        <v>2.6</v>
      </c>
      <c r="D280" s="135" t="n">
        <v>3.9</v>
      </c>
      <c r="E280" s="135" t="n">
        <v>6.6</v>
      </c>
      <c r="F280" s="135" t="n">
        <v>1.2</v>
      </c>
      <c r="G280" s="152" t="n"/>
      <c r="H280" s="152" t="n"/>
      <c r="J280" s="117" t="inlineStr">
        <is>
          <t>Other Comprehensive Income - Foreign Currency</t>
        </is>
      </c>
      <c r="K280" s="119" t="n">
        <v>2</v>
      </c>
      <c r="M280" s="108" t="inlineStr">
        <is>
          <t>EPS - Basic - including Extraordinary Items Applicable to Common - Total</t>
        </is>
      </c>
      <c r="N280" s="119" t="n">
        <v>2.77</v>
      </c>
      <c r="P280" s="117" t="inlineStr">
        <is>
          <t>Other Comprehensive Income - Hedging Gain/(Loss)</t>
        </is>
      </c>
      <c r="Q280" s="119" t="n">
        <v>15</v>
      </c>
      <c r="S280" s="108" t="inlineStr">
        <is>
          <t>Shares used to calculate Basic EPS - Issue Specific - CPO</t>
        </is>
      </c>
      <c r="T280" s="134" t="n">
        <v>14508.33</v>
      </c>
      <c r="V280" s="108" t="inlineStr">
        <is>
          <t>Shares used to calculate Basic EPS - Issue Specific</t>
        </is>
      </c>
      <c r="W280" s="119" t="n">
        <v>33.38</v>
      </c>
    </row>
    <row r="281">
      <c r="A281" s="131" t="inlineStr">
        <is>
          <t>Net Income before Minority Interest</t>
        </is>
      </c>
      <c r="B281" s="132" t="n">
        <v>1078.1</v>
      </c>
      <c r="C281" s="132" t="n">
        <v>913.1</v>
      </c>
      <c r="D281" s="132" t="n">
        <v>934.9</v>
      </c>
      <c r="E281" s="132" t="n">
        <v>576.5</v>
      </c>
      <c r="F281" s="132" t="n">
        <v>670.4</v>
      </c>
      <c r="G281" s="153" t="n"/>
      <c r="H281" s="153" t="n"/>
      <c r="J281" s="117" t="inlineStr">
        <is>
          <t>Other Comprehensive Income - Pension Related</t>
        </is>
      </c>
      <c r="K281" s="119" t="n">
        <v>71</v>
      </c>
      <c r="M281" s="108" t="inlineStr">
        <is>
          <t>EPS - Basic - excluding Extraordinary Items Applicable to Common - Total</t>
        </is>
      </c>
      <c r="N281" s="119" t="n">
        <v>2.77</v>
      </c>
      <c r="P281" s="117" t="inlineStr">
        <is>
          <t>Other Comprehensive Income - Pension Related</t>
        </is>
      </c>
      <c r="Q281" s="119" t="n">
        <v>64</v>
      </c>
      <c r="S281" s="108" t="inlineStr">
        <is>
          <t>EPS - Basic - including Extraordinary Items Applicable to Common - Issue Specific - CPO</t>
        </is>
      </c>
      <c r="T281" s="119" t="n">
        <v>0.2</v>
      </c>
      <c r="V281" s="108" t="inlineStr">
        <is>
          <t>EPS - Basic - including Extraordinary Items Applicable to Common - Issue Specific</t>
        </is>
      </c>
      <c r="W281" s="119" t="n">
        <v>13.88</v>
      </c>
    </row>
    <row r="282">
      <c r="A282" s="131" t="inlineStr">
        <is>
          <t>Minority Interest</t>
        </is>
      </c>
      <c r="B282" s="135" t="n">
        <v>1.4</v>
      </c>
      <c r="C282" s="135" t="n">
        <v>1.2</v>
      </c>
      <c r="D282" s="135" t="n">
        <v>1.7</v>
      </c>
      <c r="E282" s="135" t="n">
        <v>0.9</v>
      </c>
      <c r="F282" s="147" t="n">
        <v>-0.4</v>
      </c>
      <c r="G282" s="156" t="n"/>
      <c r="H282" s="156" t="n"/>
      <c r="J282" s="117" t="inlineStr">
        <is>
          <t>Other Comprehensive Income - Net of Tax - Total</t>
        </is>
      </c>
      <c r="K282" s="119" t="n">
        <v>73</v>
      </c>
      <c r="M282" s="108" t="inlineStr">
        <is>
          <t>EPS - Basic - excluding Extraordinary Items - Normalized - Total</t>
        </is>
      </c>
      <c r="N282" s="119" t="n">
        <v>2.92</v>
      </c>
      <c r="P282" s="117" t="inlineStr">
        <is>
          <t>Other Comprehensive Income - Net of Tax - Total</t>
        </is>
      </c>
      <c r="Q282" s="118" t="n">
        <v>792</v>
      </c>
      <c r="S282" s="108" t="inlineStr">
        <is>
          <t>EPS - Basic - excluding Extraordinary Items Applicable to Common - Issue Specific - CPO</t>
        </is>
      </c>
      <c r="T282" s="119" t="n">
        <v>0.08</v>
      </c>
      <c r="V282" s="108" t="inlineStr">
        <is>
          <t>EPS - Basic - excluding Extraordinary Items Applicable to Common - Issue Specific</t>
        </is>
      </c>
      <c r="W282" s="119" t="n">
        <v>13.88</v>
      </c>
    </row>
    <row r="283">
      <c r="A283" s="131" t="inlineStr">
        <is>
          <t>Net Income after Minority Interest</t>
        </is>
      </c>
      <c r="B283" s="132" t="n">
        <v>1076.7</v>
      </c>
      <c r="C283" s="132" t="n">
        <v>911.9</v>
      </c>
      <c r="D283" s="132" t="n">
        <v>933.2</v>
      </c>
      <c r="E283" s="132" t="n">
        <v>575.6</v>
      </c>
      <c r="F283" s="132" t="n">
        <v>670.8</v>
      </c>
      <c r="G283" s="153" t="n"/>
      <c r="H283" s="153" t="n"/>
      <c r="J283" s="136" t="inlineStr">
        <is>
          <t>Comprehensive Income before Minority Interest - Total</t>
        </is>
      </c>
      <c r="K283" s="137" t="n">
        <v>1210</v>
      </c>
      <c r="M283" s="117" t="inlineStr">
        <is>
          <t>Allocated Net Income including Extraordinary Items Applicable to Common - Issue Specific</t>
        </is>
      </c>
      <c r="N283" s="118" t="n">
        <v>157.07</v>
      </c>
      <c r="P283" s="136" t="inlineStr">
        <is>
          <t>Comprehensive Income before Minority Interest - Total</t>
        </is>
      </c>
      <c r="Q283" s="137" t="n">
        <v>4582</v>
      </c>
      <c r="S283" s="108" t="inlineStr">
        <is>
          <t>EPS - Basic - excluding Extraordinary Items - Normalized - Issue Specific - CPO</t>
        </is>
      </c>
      <c r="T283" s="119" t="n">
        <v>0.03</v>
      </c>
      <c r="V283" s="108" t="inlineStr">
        <is>
          <t>EPS - Basic - excluding Extraordinary Items - Normalized - Issue Specific</t>
        </is>
      </c>
      <c r="W283" s="119" t="n">
        <v>13.88</v>
      </c>
    </row>
    <row r="284">
      <c r="A284" s="129" t="inlineStr">
        <is>
          <t>Net Income</t>
        </is>
      </c>
      <c r="B284" s="130" t="n"/>
      <c r="C284" s="130" t="n"/>
      <c r="D284" s="130" t="n"/>
      <c r="E284" s="130" t="n"/>
      <c r="F284" s="130" t="n"/>
      <c r="G284" s="151" t="n"/>
      <c r="H284" s="151" t="n"/>
      <c r="J284" s="117" t="inlineStr">
        <is>
          <t>Comprehensive Income - Attributable to Parent Company Equity Holders - Total</t>
        </is>
      </c>
      <c r="K284" s="118" t="n">
        <v>1210</v>
      </c>
      <c r="M284" s="117" t="inlineStr">
        <is>
          <t>Earnings Allocation Factor - Basic - Issue Specific</t>
        </is>
      </c>
      <c r="N284" s="119" t="n">
        <v>1</v>
      </c>
      <c r="P284" s="117" t="inlineStr">
        <is>
          <t>Comprehensive Income - Attributable to Minority Interest - Total</t>
        </is>
      </c>
      <c r="Q284" s="145" t="n">
        <v>-53</v>
      </c>
      <c r="S284" s="117" t="inlineStr">
        <is>
          <t>Earnings Allocation Factor - Basic - Issue Specific</t>
        </is>
      </c>
      <c r="T284" s="119" t="n">
        <v>1</v>
      </c>
      <c r="V284" s="117" t="inlineStr">
        <is>
          <t>EPS - Basic from Discontinued Operations &amp; Extraordinary Items</t>
        </is>
      </c>
      <c r="W284" s="134" t="n">
        <v>0</v>
      </c>
    </row>
    <row r="285">
      <c r="A285" s="141" t="inlineStr">
        <is>
          <t>Income Available to Common Shares</t>
        </is>
      </c>
      <c r="B285" s="142" t="n">
        <v>1076.7</v>
      </c>
      <c r="C285" s="142" t="n">
        <v>911.9</v>
      </c>
      <c r="D285" s="142" t="n">
        <v>933.2</v>
      </c>
      <c r="E285" s="142" t="n">
        <v>575.6</v>
      </c>
      <c r="F285" s="142" t="n">
        <v>670.8</v>
      </c>
      <c r="G285" s="155" t="n"/>
      <c r="H285" s="155" t="n"/>
      <c r="J285" s="115" t="inlineStr">
        <is>
          <t>Share/Per Share - Basic</t>
        </is>
      </c>
      <c r="K285" s="116" t="n"/>
      <c r="M285" s="108" t="inlineStr">
        <is>
          <t>Shares used to calculate Basic EPS - Issue Specific</t>
        </is>
      </c>
      <c r="N285" s="119" t="n">
        <v>56.65</v>
      </c>
      <c r="P285" s="117" t="inlineStr">
        <is>
          <t>Comprehensive Income - Attributable to Parent Company Equity Holders - Total</t>
        </is>
      </c>
      <c r="Q285" s="145" t="n">
        <v>-28</v>
      </c>
      <c r="S285" s="108" t="inlineStr">
        <is>
          <t>Shares used to calculate Basic EPS - Issue Specific - DR</t>
        </is>
      </c>
      <c r="T285" s="118" t="n">
        <v>1450.83</v>
      </c>
      <c r="V285" s="117" t="inlineStr">
        <is>
          <t>Comprehensive Earnings Per Share - Basic - Issue Specific</t>
        </is>
      </c>
      <c r="W285" s="119" t="n">
        <v>13.89</v>
      </c>
    </row>
    <row r="286">
      <c r="A286" s="129" t="inlineStr">
        <is>
          <t>Other Comprehensive Income</t>
        </is>
      </c>
      <c r="B286" s="130" t="n"/>
      <c r="C286" s="130" t="n"/>
      <c r="D286" s="130" t="n"/>
      <c r="E286" s="130" t="n"/>
      <c r="F286" s="130" t="n"/>
      <c r="G286" s="151" t="n"/>
      <c r="H286" s="151" t="n"/>
      <c r="J286" s="117" t="inlineStr">
        <is>
          <t>Net Income - Basic - including Extraordinary Items Applicable to Common - Total</t>
        </is>
      </c>
      <c r="K286" s="118" t="n">
        <v>1137</v>
      </c>
      <c r="M286" s="108" t="inlineStr">
        <is>
          <t>EPS - Basic - including Extraordinary Items Applicable to Common - Issue Specific</t>
        </is>
      </c>
      <c r="N286" s="119" t="n">
        <v>2.77</v>
      </c>
      <c r="P286" s="115" t="inlineStr">
        <is>
          <t>Share/Per Share - Basic</t>
        </is>
      </c>
      <c r="Q286" s="116" t="n"/>
      <c r="S286" s="108" t="inlineStr">
        <is>
          <t>EPS - Basic - including Extraordinary Items Applicable to Common - Issue Specific - DR</t>
        </is>
      </c>
      <c r="T286" s="119" t="n">
        <v>1.99</v>
      </c>
      <c r="V286" s="115" t="inlineStr">
        <is>
          <t>Share/Per Share - Diluted</t>
        </is>
      </c>
      <c r="W286" s="116" t="n"/>
    </row>
    <row r="287">
      <c r="A287" s="131" t="inlineStr">
        <is>
          <t>Other Comprehensive Income - Starting Line</t>
        </is>
      </c>
      <c r="B287" s="132" t="n">
        <v>1082.6</v>
      </c>
      <c r="C287" s="132" t="n">
        <v>911.9</v>
      </c>
      <c r="D287" s="132" t="n">
        <v>934.9</v>
      </c>
      <c r="E287" s="132" t="n">
        <v>576.5</v>
      </c>
      <c r="F287" s="132" t="n">
        <v>670.4</v>
      </c>
      <c r="G287" s="153" t="n"/>
      <c r="H287" s="153" t="n"/>
      <c r="J287" s="108" t="inlineStr">
        <is>
          <t>Income available to Common excluding Extraordinary Items</t>
        </is>
      </c>
      <c r="K287" s="118" t="n">
        <v>990</v>
      </c>
      <c r="M287" s="108" t="inlineStr">
        <is>
          <t>EPS - Basic - excluding Extraordinary Items Applicable to Common - Issue Specific</t>
        </is>
      </c>
      <c r="N287" s="119" t="n">
        <v>2.77</v>
      </c>
      <c r="P287" s="117" t="inlineStr">
        <is>
          <t>Net Income - Basic - including Extraordinary Items Applicable to Common - Total</t>
        </is>
      </c>
      <c r="Q287" s="118" t="n">
        <v>3753</v>
      </c>
      <c r="S287" s="108" t="inlineStr">
        <is>
          <t>EPS - Basic - excluding Extraordinary Items Applicable to Common - Issue Specific - DR</t>
        </is>
      </c>
      <c r="T287" s="119" t="n">
        <v>0.82</v>
      </c>
      <c r="V287" s="117" t="inlineStr">
        <is>
          <t>Net Income - Diluted - including Extraordinary Items Applicable to Common - Total</t>
        </is>
      </c>
      <c r="W287" s="118" t="n">
        <v>463.42</v>
      </c>
    </row>
    <row r="288">
      <c r="A288" s="131" t="inlineStr">
        <is>
          <t>Other Comprehensive Income - Hedging Gain/(Loss)</t>
        </is>
      </c>
      <c r="B288" s="135" t="n">
        <v>1.7</v>
      </c>
      <c r="C288" s="135" t="n">
        <v>1.7</v>
      </c>
      <c r="D288" s="135" t="n">
        <v>1.6</v>
      </c>
      <c r="E288" s="135" t="n">
        <v>1.5</v>
      </c>
      <c r="F288" s="135" t="n">
        <v>1.5</v>
      </c>
      <c r="G288" s="152" t="n"/>
      <c r="H288" s="152" t="n"/>
      <c r="J288" s="108" t="inlineStr">
        <is>
          <t>Shares used to calculate Basic EPS - Total</t>
        </is>
      </c>
      <c r="K288" s="119" t="n">
        <v>60.5</v>
      </c>
      <c r="M288" s="108" t="inlineStr">
        <is>
          <t>EPS - Basic - excluding Extraordinary Items - Normalized - Issue Specific</t>
        </is>
      </c>
      <c r="N288" s="119" t="n">
        <v>2.92</v>
      </c>
      <c r="P288" s="108" t="inlineStr">
        <is>
          <t>Income available to Common excluding Extraordinary Items</t>
        </is>
      </c>
      <c r="Q288" s="118" t="n">
        <v>3753</v>
      </c>
      <c r="S288" s="108" t="inlineStr">
        <is>
          <t>EPS - Basic - excluding Extraordinary Items - Normalized - Issue Specific - DR</t>
        </is>
      </c>
      <c r="T288" s="119" t="n">
        <v>0.3</v>
      </c>
      <c r="V288" s="108" t="inlineStr">
        <is>
          <t>Diluted Income available to Common excluding Extraordinary Items</t>
        </is>
      </c>
      <c r="W288" s="118" t="n">
        <v>463.42</v>
      </c>
    </row>
    <row r="289">
      <c r="A289" s="131" t="inlineStr">
        <is>
          <t>Other Comprehensive Income - Pension Related</t>
        </is>
      </c>
      <c r="B289" s="135" t="n">
        <v>0.1</v>
      </c>
      <c r="C289" s="135" t="n">
        <v>14.7</v>
      </c>
      <c r="D289" s="135" t="n">
        <v>9.300000000000001</v>
      </c>
      <c r="E289" s="147" t="n">
        <v>-3.5</v>
      </c>
      <c r="F289" s="135" t="n">
        <v>27.1</v>
      </c>
      <c r="G289" s="152" t="n"/>
      <c r="H289" s="152" t="n"/>
      <c r="J289" s="108" t="inlineStr">
        <is>
          <t>EPS - Basic - including Extraordinary Items Applicable to Common - Total</t>
        </is>
      </c>
      <c r="K289" s="119" t="n">
        <v>18.79</v>
      </c>
      <c r="M289" s="117" t="inlineStr">
        <is>
          <t>EPS - Basic from Discontinued Operations &amp; Extraordinary Items</t>
        </is>
      </c>
      <c r="N289" s="134" t="n">
        <v>0</v>
      </c>
      <c r="P289" s="108" t="inlineStr">
        <is>
          <t>Shares used to calculate Basic EPS - Total</t>
        </is>
      </c>
      <c r="Q289" s="118" t="n">
        <v>673.2</v>
      </c>
      <c r="S289" s="117" t="inlineStr">
        <is>
          <t>EPS - Basic from Discontinued Operations &amp; Extraordinary Items</t>
        </is>
      </c>
      <c r="T289" s="119" t="n">
        <v>0.04</v>
      </c>
      <c r="V289" s="108" t="inlineStr">
        <is>
          <t>Shares used to calculate Diluted EPS - Total</t>
        </is>
      </c>
      <c r="W289" s="119" t="n">
        <v>33.65</v>
      </c>
    </row>
    <row r="290">
      <c r="A290" s="131" t="inlineStr">
        <is>
          <t>Other Comprehensive Income - Net of Tax - Total</t>
        </is>
      </c>
      <c r="B290" s="135" t="n">
        <v>1.8</v>
      </c>
      <c r="C290" s="135" t="n">
        <v>16.4</v>
      </c>
      <c r="D290" s="135" t="n">
        <v>10.9</v>
      </c>
      <c r="E290" s="147" t="n">
        <v>-2</v>
      </c>
      <c r="F290" s="135" t="n">
        <v>28.6</v>
      </c>
      <c r="G290" s="152" t="n"/>
      <c r="H290" s="152" t="n"/>
      <c r="J290" s="108" t="inlineStr">
        <is>
          <t>EPS - Basic - excluding Extraordinary Items Applicable to Common - Total</t>
        </is>
      </c>
      <c r="K290" s="119" t="n">
        <v>16.36</v>
      </c>
      <c r="M290" s="117" t="inlineStr">
        <is>
          <t>Comprehensive Earnings Per Share - Basic - Issue Specific</t>
        </is>
      </c>
      <c r="N290" s="119" t="n">
        <v>2.76</v>
      </c>
      <c r="P290" s="108" t="inlineStr">
        <is>
          <t>EPS - Basic - including Extraordinary Items Applicable to Common - Total</t>
        </is>
      </c>
      <c r="Q290" s="119" t="n">
        <v>5.57</v>
      </c>
      <c r="S290" s="115" t="inlineStr">
        <is>
          <t>Share/Per Share - Diluted</t>
        </is>
      </c>
      <c r="T290" s="116" t="n"/>
      <c r="V290" s="108" t="inlineStr">
        <is>
          <t>EPS - Diluted - including Extraordinary Items Applicable to Common - Total</t>
        </is>
      </c>
      <c r="W290" s="119" t="n">
        <v>13.77</v>
      </c>
    </row>
    <row r="291">
      <c r="A291" s="141" t="inlineStr">
        <is>
          <t>Comprehensive Income before Minority Interest - Total</t>
        </is>
      </c>
      <c r="B291" s="142" t="n">
        <v>2158.4</v>
      </c>
      <c r="C291" s="142" t="n">
        <v>928.3</v>
      </c>
      <c r="D291" s="142" t="n">
        <v>945.8</v>
      </c>
      <c r="E291" s="142" t="n">
        <v>574.5</v>
      </c>
      <c r="F291" s="142" t="n">
        <v>699.4</v>
      </c>
      <c r="G291" s="155" t="n"/>
      <c r="H291" s="155" t="n"/>
      <c r="J291" s="108" t="inlineStr">
        <is>
          <t>EPS - Basic - excluding Extraordinary Items - Normalized - Total</t>
        </is>
      </c>
      <c r="K291" s="119" t="n">
        <v>16.96</v>
      </c>
      <c r="M291" s="115" t="inlineStr">
        <is>
          <t>Share/Per Share - Diluted</t>
        </is>
      </c>
      <c r="N291" s="116" t="n"/>
      <c r="P291" s="108" t="inlineStr">
        <is>
          <t>EPS - Basic - excluding Extraordinary Items Applicable to Common - Total</t>
        </is>
      </c>
      <c r="Q291" s="119" t="n">
        <v>5.57</v>
      </c>
      <c r="S291" s="117" t="inlineStr">
        <is>
          <t>Net Income - Diluted - including Extraordinary Items Applicable to Common - Total</t>
        </is>
      </c>
      <c r="T291" s="118" t="n">
        <v>960.16</v>
      </c>
      <c r="V291" s="108" t="inlineStr">
        <is>
          <t>EPS - Diluted - excluding Extraordinary Items Applicable to Common - Total</t>
        </is>
      </c>
      <c r="W291" s="119" t="n">
        <v>13.77</v>
      </c>
    </row>
    <row r="292">
      <c r="A292" s="131" t="inlineStr">
        <is>
          <t>Comprehensive Income - Attributable to Minority Interest - Total</t>
        </is>
      </c>
      <c r="B292" s="147" t="n">
        <v>-1.4</v>
      </c>
      <c r="C292" s="147" t="n">
        <v>-1.2</v>
      </c>
      <c r="D292" s="147" t="n">
        <v>-1.7</v>
      </c>
      <c r="E292" s="147" t="n">
        <v>-0.9</v>
      </c>
      <c r="F292" s="135" t="n">
        <v>0.4</v>
      </c>
      <c r="G292" s="152" t="n"/>
      <c r="H292" s="152" t="n"/>
      <c r="J292" s="117" t="inlineStr">
        <is>
          <t>Allocated Net Income including Extraordinary Items Applicable to Common - Issue Specific</t>
        </is>
      </c>
      <c r="K292" s="118" t="n">
        <v>1137</v>
      </c>
      <c r="M292" s="117" t="inlineStr">
        <is>
          <t>Net Income - Diluted - including Extraordinary Items Applicable to Common - Total</t>
        </is>
      </c>
      <c r="N292" s="118" t="n">
        <v>157.07</v>
      </c>
      <c r="P292" s="108" t="inlineStr">
        <is>
          <t>EPS - Basic - excluding Extraordinary Items - Normalized - Total</t>
        </is>
      </c>
      <c r="Q292" s="119" t="n">
        <v>5.75</v>
      </c>
      <c r="S292" s="108" t="inlineStr">
        <is>
          <t>Diluted Income available to Common excluding Extraordinary Items</t>
        </is>
      </c>
      <c r="T292" s="118" t="n">
        <v>394.77</v>
      </c>
      <c r="V292" s="108" t="inlineStr">
        <is>
          <t>EPS - Diluted - excluding Extraordinary Items - Normalized - Total</t>
        </is>
      </c>
      <c r="W292" s="119" t="n">
        <v>13.77</v>
      </c>
    </row>
    <row r="293">
      <c r="A293" s="131" t="inlineStr">
        <is>
          <t>Comprehensive Income - Attributable to Parent Company Equity Holders - Total</t>
        </is>
      </c>
      <c r="B293" s="132" t="n">
        <v>1079.9</v>
      </c>
      <c r="C293" s="132" t="n">
        <v>929.5</v>
      </c>
      <c r="D293" s="132" t="n">
        <v>947.5</v>
      </c>
      <c r="E293" s="132" t="n">
        <v>575.4</v>
      </c>
      <c r="F293" s="132" t="n">
        <v>699</v>
      </c>
      <c r="G293" s="153" t="n"/>
      <c r="H293" s="153" t="n"/>
      <c r="J293" s="117" t="inlineStr">
        <is>
          <t>Earnings Allocation Factor - Basic - Issue Specific</t>
        </is>
      </c>
      <c r="K293" s="119" t="n">
        <v>1</v>
      </c>
      <c r="M293" s="108" t="inlineStr">
        <is>
          <t>Diluted Income available to Common excluding Extraordinary Items</t>
        </is>
      </c>
      <c r="N293" s="118" t="n">
        <v>157.07</v>
      </c>
      <c r="P293" s="117" t="inlineStr">
        <is>
          <t>Allocated Net Income including Extraordinary Items Applicable to Common - Issue Specific</t>
        </is>
      </c>
      <c r="Q293" s="118" t="n">
        <v>3753</v>
      </c>
      <c r="S293" s="108" t="inlineStr">
        <is>
          <t>Shares used to calculate Diluted EPS - Total</t>
        </is>
      </c>
      <c r="T293" s="134" t="n">
        <v>14508.33</v>
      </c>
      <c r="V293" s="117" t="inlineStr">
        <is>
          <t>Allocated Diluted Net Income including Extraordinary Items Applicable to Common - Issue Specific</t>
        </is>
      </c>
      <c r="W293" s="118" t="n">
        <v>463.42</v>
      </c>
    </row>
    <row r="294">
      <c r="A294" s="129" t="inlineStr">
        <is>
          <t>Share/Per Share - Basic</t>
        </is>
      </c>
      <c r="B294" s="130" t="n"/>
      <c r="C294" s="130" t="n"/>
      <c r="D294" s="130" t="n"/>
      <c r="E294" s="130" t="n"/>
      <c r="F294" s="130" t="n"/>
      <c r="G294" s="151" t="n"/>
      <c r="H294" s="151" t="n"/>
      <c r="J294" s="108" t="inlineStr">
        <is>
          <t>Shares used to calculate Basic EPS - Issue Specific</t>
        </is>
      </c>
      <c r="K294" s="119" t="n">
        <v>60.5</v>
      </c>
      <c r="M294" s="108" t="inlineStr">
        <is>
          <t>Shares used to calculate Diluted EPS - Total</t>
        </is>
      </c>
      <c r="N294" s="119" t="n">
        <v>56.9</v>
      </c>
      <c r="P294" s="117" t="inlineStr">
        <is>
          <t>Earnings Allocation Factor - Basic - Issue Specific</t>
        </is>
      </c>
      <c r="Q294" s="119" t="n">
        <v>1</v>
      </c>
      <c r="S294" s="108" t="inlineStr">
        <is>
          <t>EPS - Diluted - including Extraordinary Items Applicable to Common - Total</t>
        </is>
      </c>
      <c r="T294" s="119" t="n">
        <v>0.07000000000000001</v>
      </c>
      <c r="V294" s="117" t="inlineStr">
        <is>
          <t>Earnings Allocation Factor - Diluted - Issue Specific</t>
        </is>
      </c>
      <c r="W294" s="119" t="n">
        <v>1</v>
      </c>
    </row>
    <row r="295">
      <c r="A295" s="131" t="inlineStr">
        <is>
          <t>Net Income - Basic - including Extraordinary Items Applicable to Common - Total</t>
        </is>
      </c>
      <c r="B295" s="132" t="n">
        <v>1076.7</v>
      </c>
      <c r="C295" s="132" t="n">
        <v>911.9</v>
      </c>
      <c r="D295" s="132" t="n">
        <v>933.2</v>
      </c>
      <c r="E295" s="132" t="n">
        <v>575.6</v>
      </c>
      <c r="F295" s="132" t="n">
        <v>670.8</v>
      </c>
      <c r="G295" s="153" t="n"/>
      <c r="H295" s="153" t="n"/>
      <c r="J295" s="108" t="inlineStr">
        <is>
          <t>EPS - Basic - including Extraordinary Items Applicable to Common - Issue Specific</t>
        </is>
      </c>
      <c r="K295" s="119" t="n">
        <v>18.79</v>
      </c>
      <c r="M295" s="108" t="inlineStr">
        <is>
          <t>EPS - Diluted - including Extraordinary Items Applicable to Common - Total</t>
        </is>
      </c>
      <c r="N295" s="119" t="n">
        <v>2.76</v>
      </c>
      <c r="P295" s="108" t="inlineStr">
        <is>
          <t>Shares used to calculate Basic EPS - Issue Specific</t>
        </is>
      </c>
      <c r="Q295" s="118" t="n">
        <v>673.2</v>
      </c>
      <c r="S295" s="108" t="inlineStr">
        <is>
          <t>EPS - Diluted - excluding Extraordinary Items Applicable to Common - Total</t>
        </is>
      </c>
      <c r="T295" s="119" t="n">
        <v>0.03</v>
      </c>
      <c r="V295" s="108" t="inlineStr">
        <is>
          <t>Shares used to calculate Diluted EPS - Issue Specific</t>
        </is>
      </c>
      <c r="W295" s="119" t="n">
        <v>33.65</v>
      </c>
    </row>
    <row r="296">
      <c r="A296" s="133" t="inlineStr">
        <is>
          <t>Income available to Common excluding Extraordinary Items</t>
        </is>
      </c>
      <c r="B296" s="132" t="n">
        <v>1081.2</v>
      </c>
      <c r="C296" s="132" t="n">
        <v>919.5</v>
      </c>
      <c r="D296" s="132" t="n">
        <v>944</v>
      </c>
      <c r="E296" s="132" t="n">
        <v>594.2</v>
      </c>
      <c r="F296" s="132" t="n">
        <v>674.1</v>
      </c>
      <c r="G296" s="153" t="n"/>
      <c r="H296" s="153" t="n"/>
      <c r="J296" s="108" t="inlineStr">
        <is>
          <t>EPS - Basic - excluding Extraordinary Items Applicable to Common - Issue Specific</t>
        </is>
      </c>
      <c r="K296" s="119" t="n">
        <v>16.36</v>
      </c>
      <c r="M296" s="108" t="inlineStr">
        <is>
          <t>EPS - Diluted - excluding Extraordinary Items Applicable to Common - Total</t>
        </is>
      </c>
      <c r="N296" s="119" t="n">
        <v>2.76</v>
      </c>
      <c r="P296" s="108" t="inlineStr">
        <is>
          <t>EPS - Basic - including Extraordinary Items Applicable to Common - Issue Specific</t>
        </is>
      </c>
      <c r="Q296" s="119" t="n">
        <v>5.57</v>
      </c>
      <c r="S296" s="108" t="inlineStr">
        <is>
          <t>EPS - Diluted - excluding Extraordinary Items - Normalized - Total</t>
        </is>
      </c>
      <c r="T296" s="119" t="n">
        <v>0.03</v>
      </c>
      <c r="V296" s="108" t="inlineStr">
        <is>
          <t>EPS - Diluted - including Extraordinary Items Applicable to Common - Issue Specific</t>
        </is>
      </c>
      <c r="W296" s="119" t="n">
        <v>13.77</v>
      </c>
    </row>
    <row r="297">
      <c r="A297" s="133" t="inlineStr">
        <is>
          <t>Shares used to calculate Basic EPS - Total</t>
        </is>
      </c>
      <c r="B297" s="132" t="n">
        <v>132</v>
      </c>
      <c r="C297" s="132" t="n">
        <v>132.3</v>
      </c>
      <c r="D297" s="132" t="n">
        <v>133</v>
      </c>
      <c r="E297" s="132" t="n">
        <v>133</v>
      </c>
      <c r="F297" s="132" t="n">
        <v>132.8</v>
      </c>
      <c r="G297" s="153" t="n"/>
      <c r="H297" s="153" t="n"/>
      <c r="J297" s="108" t="inlineStr">
        <is>
          <t>EPS - Basic - excluding Extraordinary Items - Normalized - Issue Specific</t>
        </is>
      </c>
      <c r="K297" s="119" t="n">
        <v>16.96</v>
      </c>
      <c r="M297" s="108" t="inlineStr">
        <is>
          <t>EPS - Diluted - excluding Extraordinary Items - Normalized - Total</t>
        </is>
      </c>
      <c r="N297" s="119" t="n">
        <v>2.9</v>
      </c>
      <c r="P297" s="108" t="inlineStr">
        <is>
          <t>EPS - Basic - excluding Extraordinary Items Applicable to Common - Issue Specific</t>
        </is>
      </c>
      <c r="Q297" s="119" t="n">
        <v>5.57</v>
      </c>
      <c r="S297" s="117" t="inlineStr">
        <is>
          <t>Earnings Allocation Factor - Diluted - Issue Specific</t>
        </is>
      </c>
      <c r="T297" s="119" t="n">
        <v>1</v>
      </c>
      <c r="V297" s="108" t="inlineStr">
        <is>
          <t>EPS - Diluted - excluding Extraordinary Items Applicable to Common - Issue Specific</t>
        </is>
      </c>
      <c r="W297" s="119" t="n">
        <v>13.77</v>
      </c>
    </row>
    <row r="298">
      <c r="A298" s="133" t="inlineStr">
        <is>
          <t>EPS - Basic - including Extraordinary Items Applicable to Common - Total</t>
        </is>
      </c>
      <c r="B298" s="135" t="n">
        <v>8.16</v>
      </c>
      <c r="C298" s="135" t="n">
        <v>6.89</v>
      </c>
      <c r="D298" s="135" t="n">
        <v>7.02</v>
      </c>
      <c r="E298" s="135" t="n">
        <v>4.33</v>
      </c>
      <c r="F298" s="135" t="n">
        <v>5.05</v>
      </c>
      <c r="G298" s="152" t="n"/>
      <c r="H298" s="152" t="n"/>
      <c r="J298" s="117" t="inlineStr">
        <is>
          <t>EPS - Basic from Discontinued Operations &amp; Extraordinary Items</t>
        </is>
      </c>
      <c r="K298" s="119" t="n">
        <v>2.43</v>
      </c>
      <c r="M298" s="117" t="inlineStr">
        <is>
          <t>Allocated Diluted Net Income including Extraordinary Items Applicable to Common - Issue Specific</t>
        </is>
      </c>
      <c r="N298" s="118" t="n">
        <v>157.07</v>
      </c>
      <c r="P298" s="108" t="inlineStr">
        <is>
          <t>EPS - Basic - excluding Extraordinary Items - Normalized - Issue Specific</t>
        </is>
      </c>
      <c r="Q298" s="119" t="n">
        <v>5.75</v>
      </c>
      <c r="S298" s="108" t="inlineStr">
        <is>
          <t>Shares used to calculate Diluted EPS - Issue Specific - CPO</t>
        </is>
      </c>
      <c r="T298" s="134" t="n">
        <v>14508.33</v>
      </c>
      <c r="V298" s="108" t="inlineStr">
        <is>
          <t>EPS - Diluted - excluding Extraordinary Items - Normalized - Issue Specific</t>
        </is>
      </c>
      <c r="W298" s="119" t="n">
        <v>13.77</v>
      </c>
    </row>
    <row r="299">
      <c r="A299" s="133" t="inlineStr">
        <is>
          <t>EPS - Basic - excluding Extraordinary Items Applicable to Common - Total</t>
        </is>
      </c>
      <c r="B299" s="135" t="n">
        <v>8.19</v>
      </c>
      <c r="C299" s="135" t="n">
        <v>6.95</v>
      </c>
      <c r="D299" s="135" t="n">
        <v>7.1</v>
      </c>
      <c r="E299" s="135" t="n">
        <v>4.47</v>
      </c>
      <c r="F299" s="135" t="n">
        <v>5.08</v>
      </c>
      <c r="G299" s="152" t="n"/>
      <c r="H299" s="152" t="n"/>
      <c r="J299" s="117" t="inlineStr">
        <is>
          <t>Comprehensive Earnings Per Share - Basic - Issue Specific</t>
        </is>
      </c>
      <c r="K299" s="119" t="n">
        <v>20</v>
      </c>
      <c r="M299" s="117" t="inlineStr">
        <is>
          <t>Earnings Allocation Factor - Diluted - Issue Specific</t>
        </is>
      </c>
      <c r="N299" s="119" t="n">
        <v>1</v>
      </c>
      <c r="P299" s="117" t="inlineStr">
        <is>
          <t>Earnings Allocation Factor - Basic - Issue Specific</t>
        </is>
      </c>
      <c r="Q299" s="119" t="n">
        <v>1</v>
      </c>
      <c r="S299" s="108" t="inlineStr">
        <is>
          <t>EPS - Diluted - including Extraordinary Items Applicable to Common - Issue Specific - CPO</t>
        </is>
      </c>
      <c r="T299" s="119" t="n">
        <v>0.2</v>
      </c>
      <c r="V299" s="117" t="inlineStr">
        <is>
          <t>EPS - Diluted from Discontinued Operations &amp; Extraordinary Items</t>
        </is>
      </c>
      <c r="W299" s="134" t="n">
        <v>0</v>
      </c>
    </row>
    <row r="300">
      <c r="A300" s="133" t="inlineStr">
        <is>
          <t>EPS - Basic - excluding Extraordinary Items - Normalized - Total</t>
        </is>
      </c>
      <c r="B300" s="135" t="n">
        <v>8.210000000000001</v>
      </c>
      <c r="C300" s="135" t="n">
        <v>7.86</v>
      </c>
      <c r="D300" s="135" t="n">
        <v>7.39</v>
      </c>
      <c r="E300" s="135" t="n">
        <v>5.14</v>
      </c>
      <c r="F300" s="135" t="n">
        <v>5.69</v>
      </c>
      <c r="G300" s="152" t="n"/>
      <c r="H300" s="152" t="n"/>
      <c r="J300" s="115" t="inlineStr">
        <is>
          <t>Share/Per Share - Diluted</t>
        </is>
      </c>
      <c r="K300" s="116" t="n"/>
      <c r="M300" s="108" t="inlineStr">
        <is>
          <t>Shares used to calculate Diluted EPS - Issue Specific</t>
        </is>
      </c>
      <c r="N300" s="119" t="n">
        <v>56.9</v>
      </c>
      <c r="P300" s="108" t="inlineStr">
        <is>
          <t>Shares used to calculate Basic EPS - Issue Specific - DR</t>
        </is>
      </c>
      <c r="Q300" s="118" t="n">
        <v>673.2</v>
      </c>
      <c r="S300" s="108" t="inlineStr">
        <is>
          <t>EPS - Diluted - excluding Extraordinary Items Applicable to Common - Issue Specific - CPO</t>
        </is>
      </c>
      <c r="T300" s="119" t="n">
        <v>0.08</v>
      </c>
      <c r="V300" s="117" t="inlineStr">
        <is>
          <t>Comprehensive Earnings Per Share - Diluted - Issue Specific</t>
        </is>
      </c>
      <c r="W300" s="119" t="n">
        <v>13.78</v>
      </c>
    </row>
    <row r="301">
      <c r="A301" s="131" t="inlineStr">
        <is>
          <t>Allocated Net Income including Extraordinary Items Applicable to Common - Issue Specific</t>
        </is>
      </c>
      <c r="B301" s="132" t="n">
        <v>1076.7</v>
      </c>
      <c r="C301" s="132" t="n">
        <v>911.9</v>
      </c>
      <c r="D301" s="132" t="n">
        <v>933.2</v>
      </c>
      <c r="E301" s="132" t="n">
        <v>575.6</v>
      </c>
      <c r="F301" s="132" t="n">
        <v>670.8</v>
      </c>
      <c r="G301" s="153" t="n"/>
      <c r="H301" s="153" t="n"/>
      <c r="J301" s="117" t="inlineStr">
        <is>
          <t>Net Income - Diluted - including Extraordinary Items Applicable to Common - Total</t>
        </is>
      </c>
      <c r="K301" s="118" t="n">
        <v>1137</v>
      </c>
      <c r="M301" s="108" t="inlineStr">
        <is>
          <t>EPS - Diluted - including Extraordinary Items Applicable to Common - Issue Specific</t>
        </is>
      </c>
      <c r="N301" s="119" t="n">
        <v>2.76</v>
      </c>
      <c r="P301" s="108" t="inlineStr">
        <is>
          <t>EPS - Basic - including Extraordinary Items Applicable to Common - Issue Specific - DR</t>
        </is>
      </c>
      <c r="Q301" s="119" t="n">
        <v>5.54</v>
      </c>
      <c r="S301" s="108" t="inlineStr">
        <is>
          <t>EPS - Diluted - excluding Extraordinary Items - Normalized - Issue Specific - CPO</t>
        </is>
      </c>
      <c r="T301" s="119" t="n">
        <v>0.03</v>
      </c>
      <c r="V301" s="115" t="inlineStr">
        <is>
          <t>Share/Per Share - Dividends</t>
        </is>
      </c>
      <c r="W301" s="116" t="n"/>
    </row>
    <row r="302">
      <c r="A302" s="131" t="inlineStr">
        <is>
          <t>Earnings Allocation Factor - Basic - Issue Specific</t>
        </is>
      </c>
      <c r="B302" s="135" t="n">
        <v>1</v>
      </c>
      <c r="C302" s="135" t="n">
        <v>1</v>
      </c>
      <c r="D302" s="135" t="n">
        <v>1</v>
      </c>
      <c r="E302" s="135" t="n">
        <v>1</v>
      </c>
      <c r="F302" s="135" t="n">
        <v>1</v>
      </c>
      <c r="G302" s="152" t="n"/>
      <c r="H302" s="152" t="n"/>
      <c r="J302" s="108" t="inlineStr">
        <is>
          <t>Diluted Income available to Common excluding Extraordinary Items</t>
        </is>
      </c>
      <c r="K302" s="118" t="n">
        <v>990</v>
      </c>
      <c r="M302" s="108" t="inlineStr">
        <is>
          <t>EPS - Diluted - excluding Extraordinary Items Applicable to Common - Issue Specific</t>
        </is>
      </c>
      <c r="N302" s="119" t="n">
        <v>2.76</v>
      </c>
      <c r="P302" s="108" t="inlineStr">
        <is>
          <t>EPS - Basic - excluding Extraordinary Items Applicable to Common - Issue Specific - DR</t>
        </is>
      </c>
      <c r="Q302" s="119" t="n">
        <v>5.54</v>
      </c>
      <c r="S302" s="117" t="inlineStr">
        <is>
          <t>Earnings Allocation Factor - Diluted - Issue Specific</t>
        </is>
      </c>
      <c r="T302" s="119" t="n">
        <v>1</v>
      </c>
      <c r="V302" s="117" t="inlineStr">
        <is>
          <t>DPS - Common - Gross - Issue - By Announcement Date</t>
        </is>
      </c>
      <c r="W302" s="119" t="n">
        <v>1</v>
      </c>
    </row>
    <row r="303">
      <c r="A303" s="133" t="inlineStr">
        <is>
          <t>Shares used to calculate Basic EPS - Issue Specific</t>
        </is>
      </c>
      <c r="B303" s="132" t="n">
        <v>132</v>
      </c>
      <c r="C303" s="132" t="n">
        <v>132.3</v>
      </c>
      <c r="D303" s="132" t="n">
        <v>133</v>
      </c>
      <c r="E303" s="132" t="n">
        <v>133</v>
      </c>
      <c r="F303" s="132" t="n">
        <v>132.8</v>
      </c>
      <c r="G303" s="153" t="n"/>
      <c r="H303" s="153" t="n"/>
      <c r="J303" s="108" t="inlineStr">
        <is>
          <t>Shares used to calculate Diluted EPS - Total</t>
        </is>
      </c>
      <c r="K303" s="119" t="n">
        <v>60.6</v>
      </c>
      <c r="M303" s="108" t="inlineStr">
        <is>
          <t>EPS - Diluted - excluding Extraordinary Items - Normalized - Issue Specific</t>
        </is>
      </c>
      <c r="N303" s="119" t="n">
        <v>2.9</v>
      </c>
      <c r="P303" s="108" t="inlineStr">
        <is>
          <t>EPS - Basic - excluding Extraordinary Items - Normalized - Issue Specific - DR</t>
        </is>
      </c>
      <c r="Q303" s="119" t="n">
        <v>5.75</v>
      </c>
      <c r="S303" s="108" t="inlineStr">
        <is>
          <t>Shares used to calculate Diluted EPS - Issue Specific - DR</t>
        </is>
      </c>
      <c r="T303" s="118" t="n">
        <v>1450.83</v>
      </c>
      <c r="V303" s="117" t="inlineStr">
        <is>
          <t>DPS - Common - Net - Issue - By Announcement Date</t>
        </is>
      </c>
      <c r="W303" s="119" t="n">
        <v>1</v>
      </c>
    </row>
    <row r="304">
      <c r="A304" s="133" t="inlineStr">
        <is>
          <t>EPS - Basic - including Extraordinary Items Applicable to Common - Issue Specific</t>
        </is>
      </c>
      <c r="B304" s="135" t="n">
        <v>8.16</v>
      </c>
      <c r="C304" s="135" t="n">
        <v>6.89</v>
      </c>
      <c r="D304" s="135" t="n">
        <v>7.02</v>
      </c>
      <c r="E304" s="135" t="n">
        <v>4.33</v>
      </c>
      <c r="F304" s="135" t="n">
        <v>5.05</v>
      </c>
      <c r="G304" s="152" t="n"/>
      <c r="H304" s="152" t="n"/>
      <c r="J304" s="108" t="inlineStr">
        <is>
          <t>EPS - Diluted - including Extraordinary Items Applicable to Common - Total</t>
        </is>
      </c>
      <c r="K304" s="119" t="n">
        <v>18.76</v>
      </c>
      <c r="M304" s="117" t="inlineStr">
        <is>
          <t>EPS - Diluted from Discontinued Operations &amp; Extraordinary Items</t>
        </is>
      </c>
      <c r="N304" s="134" t="n">
        <v>0</v>
      </c>
      <c r="P304" s="117" t="inlineStr">
        <is>
          <t>EPS - Basic from Discontinued Operations &amp; Extraordinary Items</t>
        </is>
      </c>
      <c r="Q304" s="134" t="n">
        <v>0</v>
      </c>
      <c r="S304" s="108" t="inlineStr">
        <is>
          <t>EPS - Diluted - including Extraordinary Items Applicable to Common - Issue Specific - DR</t>
        </is>
      </c>
      <c r="T304" s="119" t="n">
        <v>1.99</v>
      </c>
      <c r="V304" s="115" t="inlineStr">
        <is>
          <t>EBIT/EBITDA &amp; related</t>
        </is>
      </c>
      <c r="W304" s="116" t="n"/>
    </row>
    <row r="305">
      <c r="A305" s="133" t="inlineStr">
        <is>
          <t>EPS - Basic - excluding Extraordinary Items Applicable to Common - Issue Specific</t>
        </is>
      </c>
      <c r="B305" s="135" t="n">
        <v>8.19</v>
      </c>
      <c r="C305" s="135" t="n">
        <v>6.95</v>
      </c>
      <c r="D305" s="135" t="n">
        <v>7.1</v>
      </c>
      <c r="E305" s="135" t="n">
        <v>4.47</v>
      </c>
      <c r="F305" s="135" t="n">
        <v>5.08</v>
      </c>
      <c r="G305" s="152" t="n"/>
      <c r="H305" s="152" t="n"/>
      <c r="J305" s="108" t="inlineStr">
        <is>
          <t>EPS - Diluted - excluding Extraordinary Items Applicable to Common - Total</t>
        </is>
      </c>
      <c r="K305" s="119" t="n">
        <v>16.34</v>
      </c>
      <c r="M305" s="117" t="inlineStr">
        <is>
          <t>Comprehensive Earnings Per Share - Diluted - Issue Specific</t>
        </is>
      </c>
      <c r="N305" s="119" t="n">
        <v>2.74</v>
      </c>
      <c r="P305" s="117" t="inlineStr">
        <is>
          <t>Comprehensive Earnings Per Share - Basic - Issue Specific</t>
        </is>
      </c>
      <c r="Q305" s="145" t="n">
        <v>-0.04</v>
      </c>
      <c r="S305" s="108" t="inlineStr">
        <is>
          <t>EPS - Diluted - excluding Extraordinary Items Applicable to Common - Issue Specific - DR</t>
        </is>
      </c>
      <c r="T305" s="119" t="n">
        <v>0.82</v>
      </c>
      <c r="V305" s="117" t="inlineStr">
        <is>
          <t>Earnings before Interest &amp; Taxes (EBIT)</t>
        </is>
      </c>
      <c r="W305" s="118" t="n">
        <v>605.62</v>
      </c>
    </row>
    <row r="306">
      <c r="A306" s="133" t="inlineStr">
        <is>
          <t>EPS - Basic - excluding Extraordinary Items - Normalized - Issue Specific</t>
        </is>
      </c>
      <c r="B306" s="135" t="n">
        <v>8.210000000000001</v>
      </c>
      <c r="C306" s="135" t="n">
        <v>7.86</v>
      </c>
      <c r="D306" s="135" t="n">
        <v>7.39</v>
      </c>
      <c r="E306" s="135" t="n">
        <v>5.14</v>
      </c>
      <c r="F306" s="135" t="n">
        <v>5.69</v>
      </c>
      <c r="G306" s="152" t="n"/>
      <c r="H306" s="152" t="n"/>
      <c r="J306" s="108" t="inlineStr">
        <is>
          <t>EPS - Diluted - excluding Extraordinary Items - Normalized - Total</t>
        </is>
      </c>
      <c r="K306" s="119" t="n">
        <v>16.93</v>
      </c>
      <c r="M306" s="115" t="inlineStr">
        <is>
          <t>Share/Per Share - Dividends</t>
        </is>
      </c>
      <c r="N306" s="116" t="n"/>
      <c r="P306" s="117" t="inlineStr">
        <is>
          <t>Comprehensive Earnings Per Share - Basic - Issue Specific - DR</t>
        </is>
      </c>
      <c r="Q306" s="145" t="n">
        <v>-0.04</v>
      </c>
      <c r="S306" s="108" t="inlineStr">
        <is>
          <t>EPS - Diluted - excluding Extraordinary Items - Normalized - Issue Specific - DR</t>
        </is>
      </c>
      <c r="T306" s="119" t="n">
        <v>0.3</v>
      </c>
      <c r="V306" s="117" t="inlineStr">
        <is>
          <t>Earnings before Interest, Taxes, Depreciation &amp; Amortization (EBITDA)</t>
        </is>
      </c>
      <c r="W306" s="118" t="n">
        <v>764.52</v>
      </c>
    </row>
    <row r="307">
      <c r="A307" s="131" t="inlineStr">
        <is>
          <t>EPS - Basic from Discontinued Operations &amp; Extraordinary Items</t>
        </is>
      </c>
      <c r="B307" s="147" t="n">
        <v>-0.03</v>
      </c>
      <c r="C307" s="147" t="n">
        <v>-0.06</v>
      </c>
      <c r="D307" s="147" t="n">
        <v>-0.08</v>
      </c>
      <c r="E307" s="147" t="n">
        <v>-0.14</v>
      </c>
      <c r="F307" s="147" t="n">
        <v>-0.02</v>
      </c>
      <c r="G307" s="156" t="n"/>
      <c r="H307" s="156" t="n"/>
      <c r="J307" s="117" t="inlineStr">
        <is>
          <t>Allocated Diluted Net Income including Extraordinary Items Applicable to Common - Issue Specific</t>
        </is>
      </c>
      <c r="K307" s="118" t="n">
        <v>1137</v>
      </c>
      <c r="M307" s="117" t="inlineStr">
        <is>
          <t>DPS - Common - Gross - Issue - By Announcement Date</t>
        </is>
      </c>
      <c r="N307" s="134" t="n">
        <v>0</v>
      </c>
      <c r="P307" s="115" t="inlineStr">
        <is>
          <t>Share/Per Share - Diluted</t>
        </is>
      </c>
      <c r="Q307" s="116" t="n"/>
      <c r="S307" s="117" t="inlineStr">
        <is>
          <t>EPS - Diluted from Discontinued Operations &amp; Extraordinary Items</t>
        </is>
      </c>
      <c r="T307" s="119" t="n">
        <v>0.04</v>
      </c>
      <c r="V307" s="117" t="inlineStr">
        <is>
          <t>Earnings before Interest, Taxes, Depreciation &amp; Amortization (EBITDA) and Operating Lease Payments</t>
        </is>
      </c>
      <c r="W307" s="118" t="n">
        <v>772.47</v>
      </c>
    </row>
    <row r="308">
      <c r="A308" s="131" t="inlineStr">
        <is>
          <t>Comprehensive Earnings Per Share - Basic - Issue Specific</t>
        </is>
      </c>
      <c r="B308" s="135" t="n">
        <v>8.18</v>
      </c>
      <c r="C308" s="135" t="n">
        <v>7.03</v>
      </c>
      <c r="D308" s="135" t="n">
        <v>7.12</v>
      </c>
      <c r="E308" s="135" t="n">
        <v>4.33</v>
      </c>
      <c r="F308" s="135" t="n">
        <v>5.26</v>
      </c>
      <c r="G308" s="152" t="n"/>
      <c r="H308" s="152" t="n"/>
      <c r="J308" s="117" t="inlineStr">
        <is>
          <t>Earnings Allocation Factor - Diluted - Issue Specific</t>
        </is>
      </c>
      <c r="K308" s="119" t="n">
        <v>1</v>
      </c>
      <c r="M308" s="117" t="inlineStr">
        <is>
          <t>DPS - Common - Net - Issue - By Announcement Date</t>
        </is>
      </c>
      <c r="N308" s="134" t="n">
        <v>0</v>
      </c>
      <c r="P308" s="117" t="inlineStr">
        <is>
          <t>Net Income - Diluted - including Extraordinary Items Applicable to Common - Total</t>
        </is>
      </c>
      <c r="Q308" s="118" t="n">
        <v>3753</v>
      </c>
      <c r="S308" s="115" t="inlineStr">
        <is>
          <t>Share/Per Share - Dividends</t>
        </is>
      </c>
      <c r="T308" s="116" t="n"/>
      <c r="V308" s="115" t="inlineStr">
        <is>
          <t>Depreciation/Amortization - Income Statement</t>
        </is>
      </c>
      <c r="W308" s="116" t="n"/>
    </row>
    <row r="309">
      <c r="A309" s="129" t="inlineStr">
        <is>
          <t>Share/Per Share - Diluted</t>
        </is>
      </c>
      <c r="B309" s="130" t="n"/>
      <c r="C309" s="130" t="n"/>
      <c r="D309" s="130" t="n"/>
      <c r="E309" s="130" t="n"/>
      <c r="F309" s="130" t="n"/>
      <c r="G309" s="151" t="n"/>
      <c r="H309" s="151" t="n"/>
      <c r="J309" s="108" t="inlineStr">
        <is>
          <t>Shares used to calculate Diluted EPS - Issue Specific</t>
        </is>
      </c>
      <c r="K309" s="119" t="n">
        <v>60.6</v>
      </c>
      <c r="M309" s="115" t="inlineStr">
        <is>
          <t>EBIT/EBITDA &amp; related</t>
        </is>
      </c>
      <c r="N309" s="116" t="n"/>
      <c r="P309" s="108" t="inlineStr">
        <is>
          <t>Diluted Income available to Common excluding Extraordinary Items</t>
        </is>
      </c>
      <c r="Q309" s="118" t="n">
        <v>3753</v>
      </c>
      <c r="S309" s="117" t="inlineStr">
        <is>
          <t>DPS - Common - Gross - Issue - By Announcement Date</t>
        </is>
      </c>
      <c r="T309" s="134" t="n">
        <v>0</v>
      </c>
      <c r="V309" s="117" t="inlineStr">
        <is>
          <t>Depreciation &amp; Amortization - Supplemental</t>
        </is>
      </c>
      <c r="W309" s="118" t="n">
        <v>158.9</v>
      </c>
    </row>
    <row r="310">
      <c r="A310" s="131" t="inlineStr">
        <is>
          <t>Net Income - Diluted - including Extraordinary Items Applicable to Common - Total</t>
        </is>
      </c>
      <c r="B310" s="132" t="n">
        <v>1076.7</v>
      </c>
      <c r="C310" s="132" t="n">
        <v>911.9</v>
      </c>
      <c r="D310" s="132" t="n">
        <v>933.2</v>
      </c>
      <c r="E310" s="132" t="n">
        <v>575.6</v>
      </c>
      <c r="F310" s="132" t="n">
        <v>670.8</v>
      </c>
      <c r="G310" s="153" t="n"/>
      <c r="H310" s="153" t="n"/>
      <c r="J310" s="108" t="inlineStr">
        <is>
          <t>EPS - Diluted - including Extraordinary Items Applicable to Common - Issue Specific</t>
        </is>
      </c>
      <c r="K310" s="119" t="n">
        <v>18.76</v>
      </c>
      <c r="M310" s="117" t="inlineStr">
        <is>
          <t>Earnings before Interest &amp; Taxes (EBIT)</t>
        </is>
      </c>
      <c r="N310" s="118" t="n">
        <v>297.47</v>
      </c>
      <c r="P310" s="108" t="inlineStr">
        <is>
          <t>Shares used to calculate Diluted EPS - Total</t>
        </is>
      </c>
      <c r="Q310" s="118" t="n">
        <v>677</v>
      </c>
      <c r="S310" s="117" t="inlineStr">
        <is>
          <t>DPS - Common - Gross - Issue - By Announcement Date</t>
        </is>
      </c>
      <c r="T310" s="134" t="n">
        <v>0</v>
      </c>
      <c r="V310" s="108" t="inlineStr">
        <is>
          <t>Depreciation Expense - Total - Supplemental</t>
        </is>
      </c>
      <c r="W310" s="118" t="n">
        <v>147.6</v>
      </c>
    </row>
    <row r="311">
      <c r="A311" s="133" t="inlineStr">
        <is>
          <t>Diluted Income available to Common excluding Extraordinary Items</t>
        </is>
      </c>
      <c r="B311" s="132" t="n">
        <v>1081.2</v>
      </c>
      <c r="C311" s="132" t="n">
        <v>919.5</v>
      </c>
      <c r="D311" s="132" t="n">
        <v>944</v>
      </c>
      <c r="E311" s="132" t="n">
        <v>594.2</v>
      </c>
      <c r="F311" s="132" t="n">
        <v>674.1</v>
      </c>
      <c r="G311" s="153" t="n"/>
      <c r="H311" s="153" t="n"/>
      <c r="J311" s="108" t="inlineStr">
        <is>
          <t>EPS - Diluted - excluding Extraordinary Items Applicable to Common - Issue Specific</t>
        </is>
      </c>
      <c r="K311" s="119" t="n">
        <v>16.34</v>
      </c>
      <c r="M311" s="117" t="inlineStr">
        <is>
          <t>Earnings before Interest, Taxes, Depreciation &amp; Amortization (EBITDA)</t>
        </is>
      </c>
      <c r="N311" s="118" t="n">
        <v>491.21</v>
      </c>
      <c r="P311" s="108" t="inlineStr">
        <is>
          <t>EPS - Diluted - including Extraordinary Items Applicable to Common - Total</t>
        </is>
      </c>
      <c r="Q311" s="119" t="n">
        <v>5.54</v>
      </c>
      <c r="S311" s="117" t="inlineStr">
        <is>
          <t>DPS - Common - Net - Issue - By Announcement Date</t>
        </is>
      </c>
      <c r="T311" s="134" t="n">
        <v>0</v>
      </c>
      <c r="V311" s="108" t="inlineStr">
        <is>
          <t>Amortization - Total - Supplemental</t>
        </is>
      </c>
      <c r="W311" s="119" t="n">
        <v>8.4</v>
      </c>
    </row>
    <row r="312">
      <c r="A312" s="133" t="inlineStr">
        <is>
          <t>Shares used to calculate Diluted EPS - Total</t>
        </is>
      </c>
      <c r="B312" s="132" t="n">
        <v>132.7</v>
      </c>
      <c r="C312" s="132" t="n">
        <v>133.1</v>
      </c>
      <c r="D312" s="132" t="n">
        <v>133.7</v>
      </c>
      <c r="E312" s="132" t="n">
        <v>133.6</v>
      </c>
      <c r="F312" s="132" t="n">
        <v>133.5</v>
      </c>
      <c r="G312" s="153" t="n"/>
      <c r="H312" s="153" t="n"/>
      <c r="J312" s="108" t="inlineStr">
        <is>
          <t>EPS - Diluted - excluding Extraordinary Items - Normalized - Issue Specific</t>
        </is>
      </c>
      <c r="K312" s="119" t="n">
        <v>16.93</v>
      </c>
      <c r="M312" s="117" t="inlineStr">
        <is>
          <t>Earnings before Interest, Taxes, Depreciation &amp; Amortization (EBITDA) and Operating Lease Payments</t>
        </is>
      </c>
      <c r="N312" s="118" t="n">
        <v>509.78</v>
      </c>
      <c r="P312" s="108" t="inlineStr">
        <is>
          <t>EPS - Diluted - excluding Extraordinary Items Applicable to Common - Total</t>
        </is>
      </c>
      <c r="Q312" s="119" t="n">
        <v>5.54</v>
      </c>
      <c r="S312" s="117" t="inlineStr">
        <is>
          <t>DPS - Common - Net - Issue - By Announcement Date</t>
        </is>
      </c>
      <c r="T312" s="134" t="n">
        <v>0</v>
      </c>
      <c r="V312" s="108" t="inlineStr">
        <is>
          <t>Intangible Amortization - Other - Supplemental</t>
        </is>
      </c>
      <c r="W312" s="119" t="n">
        <v>8.4</v>
      </c>
    </row>
    <row r="313">
      <c r="A313" s="133" t="inlineStr">
        <is>
          <t>EPS - Diluted - including Extraordinary Items Applicable to Common - Total</t>
        </is>
      </c>
      <c r="B313" s="135" t="n">
        <v>8.109999999999999</v>
      </c>
      <c r="C313" s="135" t="n">
        <v>6.85</v>
      </c>
      <c r="D313" s="135" t="n">
        <v>6.98</v>
      </c>
      <c r="E313" s="135" t="n">
        <v>4.31</v>
      </c>
      <c r="F313" s="135" t="n">
        <v>5.02</v>
      </c>
      <c r="G313" s="152" t="n"/>
      <c r="H313" s="152" t="n"/>
      <c r="J313" s="117" t="inlineStr">
        <is>
          <t>EPS - Diluted from Discontinued Operations &amp; Extraordinary Items</t>
        </is>
      </c>
      <c r="K313" s="119" t="n">
        <v>2.43</v>
      </c>
      <c r="M313" s="115" t="inlineStr">
        <is>
          <t>Depreciation/Amortization - Income Statement</t>
        </is>
      </c>
      <c r="N313" s="116" t="n"/>
      <c r="P313" s="108" t="inlineStr">
        <is>
          <t>EPS - Diluted - excluding Extraordinary Items - Normalized - Total</t>
        </is>
      </c>
      <c r="Q313" s="119" t="n">
        <v>5.72</v>
      </c>
      <c r="S313" s="117" t="inlineStr">
        <is>
          <t>DPS - Common - Gross - Issue - DR - By Announcement Date</t>
        </is>
      </c>
      <c r="T313" s="119" t="n">
        <v>0.09</v>
      </c>
      <c r="V313" s="115" t="inlineStr">
        <is>
          <t>Depreciation/Amortization - Total</t>
        </is>
      </c>
      <c r="W313" s="116" t="n"/>
    </row>
    <row r="314">
      <c r="A314" s="133" t="inlineStr">
        <is>
          <t>EPS - Diluted - excluding Extraordinary Items Applicable to Common - Total</t>
        </is>
      </c>
      <c r="B314" s="135" t="n">
        <v>8.15</v>
      </c>
      <c r="C314" s="135" t="n">
        <v>6.91</v>
      </c>
      <c r="D314" s="135" t="n">
        <v>7.06</v>
      </c>
      <c r="E314" s="135" t="n">
        <v>4.45</v>
      </c>
      <c r="F314" s="135" t="n">
        <v>5.05</v>
      </c>
      <c r="G314" s="152" t="n"/>
      <c r="H314" s="152" t="n"/>
      <c r="J314" s="117" t="inlineStr">
        <is>
          <t>Comprehensive Earnings Per Share - Diluted - Issue Specific</t>
        </is>
      </c>
      <c r="K314" s="119" t="n">
        <v>19.97</v>
      </c>
      <c r="M314" s="117" t="inlineStr">
        <is>
          <t>Depreciation &amp; Amortization - Supplemental</t>
        </is>
      </c>
      <c r="N314" s="118" t="n">
        <v>190.3</v>
      </c>
      <c r="P314" s="117" t="inlineStr">
        <is>
          <t>Allocated Diluted Net Income including Extraordinary Items Applicable to Common - Issue Specific</t>
        </is>
      </c>
      <c r="Q314" s="118" t="n">
        <v>3753</v>
      </c>
      <c r="S314" s="117" t="inlineStr">
        <is>
          <t>DPS - Common - Net - Issue - DR - By Announcement Date</t>
        </is>
      </c>
      <c r="T314" s="119" t="n">
        <v>0.09</v>
      </c>
      <c r="V314" s="117" t="inlineStr">
        <is>
          <t>Depreciation, Depletion &amp; Amortization - Total</t>
        </is>
      </c>
      <c r="W314" s="118" t="n">
        <v>158.9</v>
      </c>
    </row>
    <row r="315">
      <c r="A315" s="133" t="inlineStr">
        <is>
          <t>EPS - Diluted - excluding Extraordinary Items - Normalized - Total</t>
        </is>
      </c>
      <c r="B315" s="135" t="n">
        <v>8.17</v>
      </c>
      <c r="C315" s="135" t="n">
        <v>7.81</v>
      </c>
      <c r="D315" s="135" t="n">
        <v>7.35</v>
      </c>
      <c r="E315" s="135" t="n">
        <v>5.11</v>
      </c>
      <c r="F315" s="135" t="n">
        <v>5.66</v>
      </c>
      <c r="G315" s="152" t="n"/>
      <c r="H315" s="152" t="n"/>
      <c r="J315" s="115" t="inlineStr">
        <is>
          <t>Share/Per Share - Dividends</t>
        </is>
      </c>
      <c r="K315" s="116" t="n"/>
      <c r="M315" s="108" t="inlineStr">
        <is>
          <t>Depreciation Expense - Total - Supplemental</t>
        </is>
      </c>
      <c r="N315" s="118" t="n">
        <v>175.5</v>
      </c>
      <c r="P315" s="117" t="inlineStr">
        <is>
          <t>Earnings Allocation Factor - Diluted - Issue Specific</t>
        </is>
      </c>
      <c r="Q315" s="119" t="n">
        <v>1</v>
      </c>
      <c r="S315" s="117" t="inlineStr">
        <is>
          <t>DPS - Common - Gross - Issue - CPO - By Announcement Date</t>
        </is>
      </c>
      <c r="T315" s="134" t="n">
        <v>0</v>
      </c>
      <c r="V315" s="108" t="inlineStr">
        <is>
          <t>Depreciation - Total</t>
        </is>
      </c>
      <c r="W315" s="118" t="n">
        <v>147.6</v>
      </c>
    </row>
    <row r="316">
      <c r="A316" s="131" t="inlineStr">
        <is>
          <t>Allocated Diluted Net Income including Extraordinary Items Applicable to Common - Issue Specific</t>
        </is>
      </c>
      <c r="B316" s="132" t="n">
        <v>1076.7</v>
      </c>
      <c r="C316" s="132" t="n">
        <v>911.9</v>
      </c>
      <c r="D316" s="132" t="n">
        <v>933.2</v>
      </c>
      <c r="E316" s="132" t="n">
        <v>575.6</v>
      </c>
      <c r="F316" s="132" t="n">
        <v>670.8</v>
      </c>
      <c r="G316" s="153" t="n"/>
      <c r="H316" s="153" t="n"/>
      <c r="J316" s="117" t="inlineStr">
        <is>
          <t>DPS - Common - Gross - Issue - By Announcement Date</t>
        </is>
      </c>
      <c r="K316" s="119" t="n">
        <v>3.24</v>
      </c>
      <c r="M316" s="108" t="inlineStr">
        <is>
          <t>Amortization - Total - Supplemental</t>
        </is>
      </c>
      <c r="N316" s="119" t="n">
        <v>14.8</v>
      </c>
      <c r="P316" s="108" t="inlineStr">
        <is>
          <t>Shares used to calculate Diluted EPS - Issue Specific</t>
        </is>
      </c>
      <c r="Q316" s="118" t="n">
        <v>677</v>
      </c>
      <c r="S316" s="117" t="inlineStr">
        <is>
          <t>DPS - Common - Net - Issue - CPO - By Announcement Date</t>
        </is>
      </c>
      <c r="T316" s="134" t="n">
        <v>0</v>
      </c>
      <c r="V316" s="108" t="inlineStr">
        <is>
          <t>Amortization of Intangible Assets excluding Goodwill - Total</t>
        </is>
      </c>
      <c r="W316" s="119" t="n">
        <v>8.4</v>
      </c>
    </row>
    <row r="317">
      <c r="A317" s="131" t="inlineStr">
        <is>
          <t>Earnings Allocation Factor - Diluted - Issue Specific</t>
        </is>
      </c>
      <c r="B317" s="135" t="n">
        <v>1</v>
      </c>
      <c r="C317" s="135" t="n">
        <v>1</v>
      </c>
      <c r="D317" s="135" t="n">
        <v>1</v>
      </c>
      <c r="E317" s="135" t="n">
        <v>1</v>
      </c>
      <c r="F317" s="135" t="n">
        <v>1</v>
      </c>
      <c r="G317" s="152" t="n"/>
      <c r="H317" s="152" t="n"/>
      <c r="J317" s="117" t="inlineStr">
        <is>
          <t>DPS - Common - Net - Issue - By Announcement Date</t>
        </is>
      </c>
      <c r="K317" s="119" t="n">
        <v>3.24</v>
      </c>
      <c r="M317" s="108" t="inlineStr">
        <is>
          <t>Intangible Amortization - Other - Supplemental</t>
        </is>
      </c>
      <c r="N317" s="119" t="n">
        <v>14.8</v>
      </c>
      <c r="P317" s="108" t="inlineStr">
        <is>
          <t>EPS - Diluted - including Extraordinary Items Applicable to Common - Issue Specific</t>
        </is>
      </c>
      <c r="Q317" s="119" t="n">
        <v>5.54</v>
      </c>
      <c r="S317" s="115" t="inlineStr">
        <is>
          <t>EBIT/EBITDA &amp; related</t>
        </is>
      </c>
      <c r="T317" s="116" t="n"/>
      <c r="V317" s="115" t="inlineStr">
        <is>
          <t>Labor &amp; Related Expenses</t>
        </is>
      </c>
      <c r="W317" s="116" t="n"/>
    </row>
    <row r="318">
      <c r="A318" s="133" t="inlineStr">
        <is>
          <t>Shares used to calculate Diluted EPS - Issue Specific</t>
        </is>
      </c>
      <c r="B318" s="132" t="n">
        <v>132.7</v>
      </c>
      <c r="C318" s="132" t="n">
        <v>133.1</v>
      </c>
      <c r="D318" s="132" t="n">
        <v>133.7</v>
      </c>
      <c r="E318" s="132" t="n">
        <v>133.6</v>
      </c>
      <c r="F318" s="132" t="n">
        <v>133.5</v>
      </c>
      <c r="G318" s="153" t="n"/>
      <c r="H318" s="153" t="n"/>
      <c r="J318" s="115" t="inlineStr">
        <is>
          <t>EBIT/EBITDA &amp; related</t>
        </is>
      </c>
      <c r="K318" s="116" t="n"/>
      <c r="M318" s="115" t="inlineStr">
        <is>
          <t>Depreciation/Amortization - Total</t>
        </is>
      </c>
      <c r="N318" s="116" t="n"/>
      <c r="P318" s="108" t="inlineStr">
        <is>
          <t>EPS - Diluted - excluding Extraordinary Items Applicable to Common - Issue Specific</t>
        </is>
      </c>
      <c r="Q318" s="119" t="n">
        <v>5.54</v>
      </c>
      <c r="S318" s="117" t="inlineStr">
        <is>
          <t>Earnings before Interest &amp; Taxes (EBIT)</t>
        </is>
      </c>
      <c r="T318" s="118" t="n">
        <v>1004.85</v>
      </c>
      <c r="V318" s="117" t="inlineStr">
        <is>
          <t>Labor &amp; Related Expenses - Supplemental</t>
        </is>
      </c>
      <c r="W318" s="134" t="n"/>
    </row>
    <row r="319">
      <c r="A319" s="133" t="inlineStr">
        <is>
          <t>EPS - Diluted - including Extraordinary Items Applicable to Common - Issue Specific</t>
        </is>
      </c>
      <c r="B319" s="135" t="n">
        <v>8.109999999999999</v>
      </c>
      <c r="C319" s="135" t="n">
        <v>6.85</v>
      </c>
      <c r="D319" s="135" t="n">
        <v>6.98</v>
      </c>
      <c r="E319" s="135" t="n">
        <v>4.31</v>
      </c>
      <c r="F319" s="135" t="n">
        <v>5.02</v>
      </c>
      <c r="G319" s="152" t="n"/>
      <c r="H319" s="152" t="n"/>
      <c r="J319" s="117" t="inlineStr">
        <is>
          <t>Earnings before Interest &amp; Taxes (EBIT)</t>
        </is>
      </c>
      <c r="K319" s="118" t="n">
        <v>1493</v>
      </c>
      <c r="M319" s="117" t="inlineStr">
        <is>
          <t>Depreciation, Depletion &amp; Amortization - Total</t>
        </is>
      </c>
      <c r="N319" s="118" t="n">
        <v>193.74</v>
      </c>
      <c r="P319" s="108" t="inlineStr">
        <is>
          <t>EPS - Diluted - excluding Extraordinary Items - Normalized - Issue Specific</t>
        </is>
      </c>
      <c r="Q319" s="119" t="n">
        <v>5.72</v>
      </c>
      <c r="S319" s="117" t="inlineStr">
        <is>
          <t>Earnings before Interest, Taxes, Depreciation &amp; Amortization (EBITDA)</t>
        </is>
      </c>
      <c r="T319" s="118" t="n">
        <v>2295.78</v>
      </c>
      <c r="V319" s="108" t="inlineStr">
        <is>
          <t>Stock-Based Compensation Expense - Net of Tax - Supplemental</t>
        </is>
      </c>
      <c r="W319" s="119" t="n">
        <v>14.81</v>
      </c>
    </row>
    <row r="320">
      <c r="A320" s="133" t="inlineStr">
        <is>
          <t>EPS - Diluted - excluding Extraordinary Items Applicable to Common - Issue Specific</t>
        </is>
      </c>
      <c r="B320" s="135" t="n">
        <v>8.15</v>
      </c>
      <c r="C320" s="135" t="n">
        <v>6.91</v>
      </c>
      <c r="D320" s="135" t="n">
        <v>7.06</v>
      </c>
      <c r="E320" s="135" t="n">
        <v>4.45</v>
      </c>
      <c r="F320" s="135" t="n">
        <v>5.05</v>
      </c>
      <c r="G320" s="152" t="n"/>
      <c r="H320" s="152" t="n"/>
      <c r="J320" s="117" t="inlineStr">
        <is>
          <t>Earnings before Interest, Taxes, Depreciation &amp; Amortization (EBITDA)</t>
        </is>
      </c>
      <c r="K320" s="118" t="n">
        <v>2130</v>
      </c>
      <c r="M320" s="108" t="inlineStr">
        <is>
          <t>Depreciation - Total</t>
        </is>
      </c>
      <c r="N320" s="118" t="n">
        <v>175.5</v>
      </c>
      <c r="P320" s="117" t="inlineStr">
        <is>
          <t>Earnings Allocation Factor - Diluted - Issue Specific</t>
        </is>
      </c>
      <c r="Q320" s="119" t="n">
        <v>1</v>
      </c>
      <c r="S320" s="115" t="inlineStr">
        <is>
          <t>Depreciation/Amortization - Income Statement</t>
        </is>
      </c>
      <c r="T320" s="116" t="n"/>
      <c r="V320" s="108" t="inlineStr">
        <is>
          <t>Stock-Based Compensation Expense - Pre-tax - Supplemental</t>
        </is>
      </c>
      <c r="W320" s="119" t="n">
        <v>18.74</v>
      </c>
    </row>
    <row r="321">
      <c r="A321" s="133" t="inlineStr">
        <is>
          <t>EPS - Diluted - excluding Extraordinary Items - Normalized - Issue Specific</t>
        </is>
      </c>
      <c r="B321" s="135" t="n">
        <v>8.17</v>
      </c>
      <c r="C321" s="135" t="n">
        <v>7.81</v>
      </c>
      <c r="D321" s="135" t="n">
        <v>7.35</v>
      </c>
      <c r="E321" s="135" t="n">
        <v>5.11</v>
      </c>
      <c r="F321" s="135" t="n">
        <v>5.66</v>
      </c>
      <c r="G321" s="152" t="n"/>
      <c r="H321" s="152" t="n"/>
      <c r="J321" s="117" t="inlineStr">
        <is>
          <t>Earnings before Interest, Taxes, Depreciation &amp; Amortization (EBITDA) and Operating Lease Payments</t>
        </is>
      </c>
      <c r="K321" s="118" t="n">
        <v>2209</v>
      </c>
      <c r="M321" s="108" t="inlineStr">
        <is>
          <t>Amortization of Intangible Assets excluding Goodwill - Total</t>
        </is>
      </c>
      <c r="N321" s="119" t="n">
        <v>14.8</v>
      </c>
      <c r="P321" s="108" t="inlineStr">
        <is>
          <t>Shares used to calculate Diluted EPS - Issue Specific - DR</t>
        </is>
      </c>
      <c r="Q321" s="118" t="n">
        <v>677</v>
      </c>
      <c r="S321" s="117" t="inlineStr">
        <is>
          <t>Depreciation &amp; Amortization - Supplemental</t>
        </is>
      </c>
      <c r="T321" s="118" t="n">
        <v>1290.93</v>
      </c>
      <c r="V321" s="108" t="inlineStr">
        <is>
          <t>Stock-Based Compensation - Tax Benefit - Supplemental</t>
        </is>
      </c>
      <c r="W321" s="119" t="n">
        <v>3.94</v>
      </c>
    </row>
    <row r="322">
      <c r="A322" s="131" t="inlineStr">
        <is>
          <t>EPS - Diluted from Discontinued Operations &amp; Extraordinary Items</t>
        </is>
      </c>
      <c r="B322" s="147" t="n">
        <v>-0.03</v>
      </c>
      <c r="C322" s="147" t="n">
        <v>-0.06</v>
      </c>
      <c r="D322" s="147" t="n">
        <v>-0.08</v>
      </c>
      <c r="E322" s="147" t="n">
        <v>-0.14</v>
      </c>
      <c r="F322" s="147" t="n">
        <v>-0.02</v>
      </c>
      <c r="G322" s="156" t="n"/>
      <c r="H322" s="156" t="n"/>
      <c r="J322" s="115" t="inlineStr">
        <is>
          <t>Depreciation/Amortization - Income Statement</t>
        </is>
      </c>
      <c r="K322" s="116" t="n"/>
      <c r="M322" s="115" t="inlineStr">
        <is>
          <t>Labor &amp; Related Expenses</t>
        </is>
      </c>
      <c r="N322" s="116" t="n"/>
      <c r="P322" s="108" t="inlineStr">
        <is>
          <t>EPS - Diluted - including Extraordinary Items Applicable to Common - Issue Specific - DR</t>
        </is>
      </c>
      <c r="Q322" s="119" t="n">
        <v>5.51</v>
      </c>
      <c r="S322" s="115" t="inlineStr">
        <is>
          <t>Depreciation/Amortization - Total</t>
        </is>
      </c>
      <c r="T322" s="116" t="n"/>
      <c r="V322" s="115" t="inlineStr">
        <is>
          <t>Auditor Fees</t>
        </is>
      </c>
      <c r="W322" s="116" t="n"/>
    </row>
    <row r="323">
      <c r="A323" s="131" t="inlineStr">
        <is>
          <t>Comprehensive Earnings Per Share - Diluted - Issue Specific</t>
        </is>
      </c>
      <c r="B323" s="135" t="n">
        <v>8.140000000000001</v>
      </c>
      <c r="C323" s="135" t="n">
        <v>6.98</v>
      </c>
      <c r="D323" s="135" t="n">
        <v>7.09</v>
      </c>
      <c r="E323" s="135" t="n">
        <v>4.31</v>
      </c>
      <c r="F323" s="135" t="n">
        <v>5.24</v>
      </c>
      <c r="G323" s="152" t="n"/>
      <c r="H323" s="152" t="n"/>
      <c r="J323" s="117" t="inlineStr">
        <is>
          <t>Depreciation &amp; Amortization - Supplemental</t>
        </is>
      </c>
      <c r="K323" s="118" t="n">
        <v>588</v>
      </c>
      <c r="M323" s="117" t="inlineStr">
        <is>
          <t>Labor &amp; Related Expenses - Supplemental</t>
        </is>
      </c>
      <c r="N323" s="134" t="n"/>
      <c r="P323" s="108" t="inlineStr">
        <is>
          <t>EPS - Diluted - excluding Extraordinary Items Applicable to Common - Issue Specific - DR</t>
        </is>
      </c>
      <c r="Q323" s="119" t="n">
        <v>5.51</v>
      </c>
      <c r="S323" s="117" t="inlineStr">
        <is>
          <t>Depreciation, Depletion &amp; Amortization - Total</t>
        </is>
      </c>
      <c r="T323" s="118" t="n">
        <v>1290.93</v>
      </c>
      <c r="V323" s="117" t="inlineStr">
        <is>
          <t>Auditor Fees</t>
        </is>
      </c>
      <c r="W323" s="119" t="n">
        <v>2.6</v>
      </c>
    </row>
    <row r="324">
      <c r="A324" s="129" t="inlineStr">
        <is>
          <t>Share/Per Share - Dividends</t>
        </is>
      </c>
      <c r="B324" s="130" t="n"/>
      <c r="C324" s="130" t="n"/>
      <c r="D324" s="130" t="n"/>
      <c r="E324" s="130" t="n"/>
      <c r="F324" s="130" t="n"/>
      <c r="G324" s="151" t="n"/>
      <c r="H324" s="151" t="n"/>
      <c r="J324" s="108" t="inlineStr">
        <is>
          <t>Depreciation Expense - Total - Supplemental</t>
        </is>
      </c>
      <c r="K324" s="118" t="n">
        <v>562</v>
      </c>
      <c r="M324" s="108" t="inlineStr">
        <is>
          <t>Stock-Based Compensation Expense - Net of Tax - Supplemental</t>
        </is>
      </c>
      <c r="N324" s="119" t="n">
        <v>9</v>
      </c>
      <c r="P324" s="108" t="inlineStr">
        <is>
          <t>EPS - Diluted - excluding Extraordinary Items - Normalized - Issue Specific - DR</t>
        </is>
      </c>
      <c r="Q324" s="119" t="n">
        <v>5.72</v>
      </c>
      <c r="S324" s="115" t="inlineStr">
        <is>
          <t>Normalized</t>
        </is>
      </c>
      <c r="T324" s="116" t="n"/>
      <c r="V324" s="108" t="inlineStr">
        <is>
          <t>Audit-Related Fees</t>
        </is>
      </c>
      <c r="W324" s="119" t="n">
        <v>2.6</v>
      </c>
    </row>
    <row r="325">
      <c r="A325" s="131" t="inlineStr">
        <is>
          <t>DPS - Common - Gross - Issue - By Announcement Date</t>
        </is>
      </c>
      <c r="B325" s="135" t="n">
        <v>1.96</v>
      </c>
      <c r="C325" s="135" t="n">
        <v>1.84</v>
      </c>
      <c r="D325" s="135" t="n">
        <v>1.72</v>
      </c>
      <c r="E325" s="135" t="n">
        <v>1.6</v>
      </c>
      <c r="F325" s="135" t="n">
        <v>1.48</v>
      </c>
      <c r="G325" s="152" t="n"/>
      <c r="H325" s="152" t="n"/>
      <c r="J325" s="108" t="inlineStr">
        <is>
          <t>Depreciation - Fin Lease Right-of-Use Assets - Total - Suppl</t>
        </is>
      </c>
      <c r="K325" s="119" t="n">
        <v>21</v>
      </c>
      <c r="M325" s="108" t="inlineStr">
        <is>
          <t>Stock-Based Compensation Expense - Pre-tax - Supplemental</t>
        </is>
      </c>
      <c r="N325" s="119" t="n">
        <v>11.39</v>
      </c>
      <c r="P325" s="117" t="inlineStr">
        <is>
          <t>EPS - Diluted from Discontinued Operations &amp; Extraordinary Items</t>
        </is>
      </c>
      <c r="Q325" s="134" t="n">
        <v>0</v>
      </c>
      <c r="S325" s="117" t="inlineStr">
        <is>
          <t>Normalized after Tax Profit</t>
        </is>
      </c>
      <c r="T325" s="118" t="n">
        <v>447.24</v>
      </c>
      <c r="V325" s="108" t="inlineStr">
        <is>
          <t>Tax Fees</t>
        </is>
      </c>
      <c r="W325" s="134" t="n">
        <v>0</v>
      </c>
    </row>
    <row r="326">
      <c r="A326" s="131" t="inlineStr">
        <is>
          <t>DPS - Common - Net - Issue - By Announcement Date</t>
        </is>
      </c>
      <c r="B326" s="135" t="n">
        <v>1.96</v>
      </c>
      <c r="C326" s="135" t="n">
        <v>1.84</v>
      </c>
      <c r="D326" s="135" t="n">
        <v>1.72</v>
      </c>
      <c r="E326" s="135" t="n">
        <v>1.6</v>
      </c>
      <c r="F326" s="135" t="n">
        <v>1.48</v>
      </c>
      <c r="G326" s="152" t="n"/>
      <c r="H326" s="152" t="n"/>
      <c r="J326" s="108" t="inlineStr">
        <is>
          <t>Amortization - Total - Supplemental</t>
        </is>
      </c>
      <c r="K326" s="119" t="n">
        <v>26</v>
      </c>
      <c r="M326" s="108" t="inlineStr">
        <is>
          <t>Stock-Based Compensation - Tax Benefit - Supplemental</t>
        </is>
      </c>
      <c r="N326" s="119" t="n">
        <v>2.39</v>
      </c>
      <c r="P326" s="117" t="inlineStr">
        <is>
          <t>Comprehensive Earnings Per Share - Diluted - Issue Specific</t>
        </is>
      </c>
      <c r="Q326" s="145" t="n">
        <v>-0.04</v>
      </c>
      <c r="S326" s="117" t="inlineStr">
        <is>
          <t>Normalized Net Income from Continuing Operations</t>
        </is>
      </c>
      <c r="T326" s="118" t="n">
        <v>447.24</v>
      </c>
      <c r="V326" s="108" t="inlineStr">
        <is>
          <t>Fees - Other</t>
        </is>
      </c>
      <c r="W326" s="134" t="n">
        <v>0</v>
      </c>
    </row>
    <row r="327">
      <c r="A327" s="129" t="inlineStr">
        <is>
          <t>EBIT/EBITDA &amp; related</t>
        </is>
      </c>
      <c r="B327" s="130" t="n"/>
      <c r="C327" s="130" t="n"/>
      <c r="D327" s="130" t="n"/>
      <c r="E327" s="130" t="n"/>
      <c r="F327" s="130" t="n"/>
      <c r="G327" s="151" t="n"/>
      <c r="H327" s="151" t="n"/>
      <c r="J327" s="108" t="inlineStr">
        <is>
          <t>Intangible Amortization - Other - Supplemental</t>
        </is>
      </c>
      <c r="K327" s="119" t="n">
        <v>26</v>
      </c>
      <c r="M327" s="115" t="inlineStr">
        <is>
          <t>Non-GAAP</t>
        </is>
      </c>
      <c r="N327" s="116" t="n"/>
      <c r="P327" s="117" t="inlineStr">
        <is>
          <t>Comprehensive Earnings Per Share - Diluted - Issue Specific - DR</t>
        </is>
      </c>
      <c r="Q327" s="145" t="n">
        <v>-0.04</v>
      </c>
      <c r="S327" s="117" t="inlineStr">
        <is>
          <t>Normalized Net Income - Bottom Line</t>
        </is>
      </c>
      <c r="T327" s="118" t="n">
        <v>437.67</v>
      </c>
      <c r="V327" s="115" t="inlineStr">
        <is>
          <t>Normalized</t>
        </is>
      </c>
      <c r="W327" s="116" t="n"/>
    </row>
    <row r="328">
      <c r="A328" s="131" t="inlineStr">
        <is>
          <t>Earnings before Interest &amp; Taxes (EBIT)</t>
        </is>
      </c>
      <c r="B328" s="132" t="n">
        <v>1527.4</v>
      </c>
      <c r="C328" s="132" t="n">
        <v>1396.1</v>
      </c>
      <c r="D328" s="132" t="n">
        <v>1322.2</v>
      </c>
      <c r="E328" s="132" t="n">
        <v>1029.5</v>
      </c>
      <c r="F328" s="132" t="n">
        <v>971.7</v>
      </c>
      <c r="G328" s="153" t="n"/>
      <c r="H328" s="153" t="n"/>
      <c r="J328" s="115" t="inlineStr">
        <is>
          <t>Depreciation/Amortization - Total</t>
        </is>
      </c>
      <c r="K328" s="116" t="n"/>
      <c r="M328" s="117" t="inlineStr">
        <is>
          <t>Non-GAAP Adjusted EBITDA - Company Reported</t>
        </is>
      </c>
      <c r="N328" s="118" t="n">
        <v>496.5</v>
      </c>
      <c r="P328" s="115" t="inlineStr">
        <is>
          <t>Share/Per Share - Dividends</t>
        </is>
      </c>
      <c r="Q328" s="116" t="n"/>
      <c r="S328" s="117" t="inlineStr">
        <is>
          <t>Earnings before Interest &amp; Taxes (EBIT) - Normalized</t>
        </is>
      </c>
      <c r="T328" s="118" t="n">
        <v>1117.12</v>
      </c>
      <c r="V328" s="117" t="inlineStr">
        <is>
          <t>Normalized after Tax Profit</t>
        </is>
      </c>
      <c r="W328" s="118" t="n">
        <v>463.42</v>
      </c>
    </row>
    <row r="329">
      <c r="A329" s="131" t="inlineStr">
        <is>
          <t>Earnings before Interest, Taxes, Depreciation &amp; Amortization (EBITDA)</t>
        </is>
      </c>
      <c r="B329" s="132" t="n">
        <v>2275.9</v>
      </c>
      <c r="C329" s="132" t="n">
        <v>2028.3</v>
      </c>
      <c r="D329" s="132" t="n">
        <v>1939.2</v>
      </c>
      <c r="E329" s="132" t="n">
        <v>1617</v>
      </c>
      <c r="F329" s="132" t="n">
        <v>1434.7</v>
      </c>
      <c r="G329" s="153" t="n"/>
      <c r="H329" s="153" t="n"/>
      <c r="J329" s="117" t="inlineStr">
        <is>
          <t>Depreciation, Depletion &amp; Amortization - Total</t>
        </is>
      </c>
      <c r="K329" s="118" t="n">
        <v>637</v>
      </c>
      <c r="M329" s="115" t="inlineStr">
        <is>
          <t>Normalized</t>
        </is>
      </c>
      <c r="N329" s="116" t="n"/>
      <c r="P329" s="117" t="inlineStr">
        <is>
          <t>DPS - Common - Gross - Issue - By Announcement Date</t>
        </is>
      </c>
      <c r="Q329" s="119" t="n">
        <v>1.48</v>
      </c>
      <c r="S329" s="117" t="inlineStr">
        <is>
          <t>Earnings before Interest, Taxes, Depreciation &amp; Amortization (EBITDA) - Normalized</t>
        </is>
      </c>
      <c r="T329" s="118" t="n">
        <v>2408.05</v>
      </c>
      <c r="V329" s="117" t="inlineStr">
        <is>
          <t>Normalized Net Income from Continuing Operations</t>
        </is>
      </c>
      <c r="W329" s="118" t="n">
        <v>463.42</v>
      </c>
    </row>
    <row r="330">
      <c r="A330" s="131" t="inlineStr">
        <is>
          <t>Earnings before Interest, Taxes, Depreciation &amp; Amortization (EBITDA) and Operating Lease Payments</t>
        </is>
      </c>
      <c r="B330" s="132" t="n">
        <v>2357.9</v>
      </c>
      <c r="C330" s="132" t="n">
        <v>2103.9</v>
      </c>
      <c r="D330" s="132" t="n">
        <v>2016.7</v>
      </c>
      <c r="E330" s="132" t="n">
        <v>1702.6</v>
      </c>
      <c r="F330" s="132" t="n">
        <v>1505.7</v>
      </c>
      <c r="G330" s="153" t="n"/>
      <c r="H330" s="153" t="n"/>
      <c r="J330" s="108" t="inlineStr">
        <is>
          <t>Depreciation - Total</t>
        </is>
      </c>
      <c r="K330" s="118" t="n">
        <v>562</v>
      </c>
      <c r="M330" s="117" t="inlineStr">
        <is>
          <t>Normalized after Tax Profit</t>
        </is>
      </c>
      <c r="N330" s="118" t="n">
        <v>165.17</v>
      </c>
      <c r="P330" s="117" t="inlineStr">
        <is>
          <t>DPS - Common - Gross - Issue - By Announcement Date</t>
        </is>
      </c>
      <c r="Q330" s="134" t="n">
        <v>0</v>
      </c>
      <c r="S330" s="115" t="inlineStr">
        <is>
          <t>Other</t>
        </is>
      </c>
      <c r="T330" s="116" t="n"/>
      <c r="V330" s="117" t="inlineStr">
        <is>
          <t>Normalized Net Income - Bottom Line</t>
        </is>
      </c>
      <c r="W330" s="118" t="n">
        <v>463.42</v>
      </c>
    </row>
    <row r="331">
      <c r="A331" s="129" t="inlineStr">
        <is>
          <t>Depreciation/Amortization - Income Statement</t>
        </is>
      </c>
      <c r="B331" s="130" t="n"/>
      <c r="C331" s="130" t="n"/>
      <c r="D331" s="130" t="n"/>
      <c r="E331" s="130" t="n"/>
      <c r="F331" s="130" t="n"/>
      <c r="G331" s="151" t="n"/>
      <c r="H331" s="151" t="n"/>
      <c r="J331" s="108" t="inlineStr">
        <is>
          <t>Amortization of Intangible Assets excluding Goodwill - Total</t>
        </is>
      </c>
      <c r="K331" s="119" t="n">
        <v>26</v>
      </c>
      <c r="M331" s="117" t="inlineStr">
        <is>
          <t>Normalized Net Income from Continuing Operations</t>
        </is>
      </c>
      <c r="N331" s="118" t="n">
        <v>165.17</v>
      </c>
      <c r="P331" s="117" t="inlineStr">
        <is>
          <t>DPS - Common - Gross - Issue - By Announcement Date</t>
        </is>
      </c>
      <c r="Q331" s="119" t="n">
        <v>0.1</v>
      </c>
      <c r="S331" s="117" t="inlineStr">
        <is>
          <t>Cost of Revenue including Operation &amp; Maintenance (Utility) - Total</t>
        </is>
      </c>
      <c r="T331" s="134" t="n">
        <v>10821.37</v>
      </c>
      <c r="V331" s="117" t="inlineStr">
        <is>
          <t>Earnings before Interest &amp; Taxes (EBIT) - Normalized</t>
        </is>
      </c>
      <c r="W331" s="118" t="n">
        <v>630</v>
      </c>
    </row>
    <row r="332">
      <c r="A332" s="131" t="inlineStr">
        <is>
          <t>Depreciation &amp; Amortization - Supplemental</t>
        </is>
      </c>
      <c r="B332" s="132" t="n">
        <v>748.5</v>
      </c>
      <c r="C332" s="132" t="n">
        <v>632.2</v>
      </c>
      <c r="D332" s="132" t="n">
        <v>617</v>
      </c>
      <c r="E332" s="132" t="n">
        <v>587.5</v>
      </c>
      <c r="F332" s="132" t="n">
        <v>463</v>
      </c>
      <c r="G332" s="153" t="n"/>
      <c r="H332" s="153" t="n"/>
      <c r="J332" s="115" t="inlineStr">
        <is>
          <t>Labor &amp; Related Expenses</t>
        </is>
      </c>
      <c r="K332" s="116" t="n"/>
      <c r="M332" s="117" t="inlineStr">
        <is>
          <t>Normalized Net Income - Bottom Line</t>
        </is>
      </c>
      <c r="N332" s="118" t="n">
        <v>165.17</v>
      </c>
      <c r="P332" s="117" t="inlineStr">
        <is>
          <t>DPS - Common - Net - Issue - By Announcement Date</t>
        </is>
      </c>
      <c r="Q332" s="119" t="n">
        <v>1.48</v>
      </c>
      <c r="S332" s="117" t="inlineStr">
        <is>
          <t>Cost of Revenues excluding Depreciation</t>
        </is>
      </c>
      <c r="T332" s="134" t="n">
        <v>10821.37</v>
      </c>
      <c r="V332" s="117" t="inlineStr">
        <is>
          <t>Earnings before Interest, Taxes, Depreciation &amp; Amortization (EBITDA) - Normalized</t>
        </is>
      </c>
      <c r="W332" s="118" t="n">
        <v>788.91</v>
      </c>
    </row>
    <row r="333">
      <c r="A333" s="133" t="inlineStr">
        <is>
          <t>Depreciation Expense - Total - Supplemental</t>
        </is>
      </c>
      <c r="B333" s="132" t="n">
        <v>659.5</v>
      </c>
      <c r="C333" s="132" t="n">
        <v>548.3</v>
      </c>
      <c r="D333" s="132" t="n">
        <v>528.9</v>
      </c>
      <c r="E333" s="132" t="n">
        <v>489.9</v>
      </c>
      <c r="F333" s="132" t="n">
        <v>394.8</v>
      </c>
      <c r="G333" s="153" t="n"/>
      <c r="H333" s="153" t="n"/>
      <c r="J333" s="117" t="inlineStr">
        <is>
          <t>Labor &amp; Related Expenses - Supplemental</t>
        </is>
      </c>
      <c r="K333" s="134" t="n"/>
      <c r="M333" s="117" t="inlineStr">
        <is>
          <t>Earnings before Interest &amp; Taxes (EBIT) - Normalized</t>
        </is>
      </c>
      <c r="N333" s="118" t="n">
        <v>303.25</v>
      </c>
      <c r="P333" s="117" t="inlineStr">
        <is>
          <t>DPS - Common - Net - Issue - By Announcement Date</t>
        </is>
      </c>
      <c r="Q333" s="134" t="n">
        <v>0</v>
      </c>
      <c r="S333" s="117" t="inlineStr">
        <is>
          <t>Interest Expense</t>
        </is>
      </c>
      <c r="T333" s="118" t="n">
        <v>300.78</v>
      </c>
      <c r="V333" s="115" t="inlineStr">
        <is>
          <t>Lease Expenses</t>
        </is>
      </c>
      <c r="W333" s="116" t="n"/>
    </row>
    <row r="334">
      <c r="A334" s="133" t="inlineStr">
        <is>
          <t>Depreciation - Fin Lease Right-of-Use Assets - Total - Suppl</t>
        </is>
      </c>
      <c r="B334" s="135" t="n">
        <v>8</v>
      </c>
      <c r="C334" s="135" t="n">
        <v>9.5</v>
      </c>
      <c r="D334" s="135" t="n">
        <v>12.8</v>
      </c>
      <c r="E334" s="135" t="n">
        <v>16.5</v>
      </c>
      <c r="F334" s="135" t="n">
        <v>7.1</v>
      </c>
      <c r="G334" s="152" t="n"/>
      <c r="H334" s="152" t="n"/>
      <c r="J334" s="108" t="inlineStr">
        <is>
          <t>Stock-Based Compensation Expense - Net of Tax - Supplemental</t>
        </is>
      </c>
      <c r="K334" s="119" t="n">
        <v>36.34</v>
      </c>
      <c r="M334" s="117" t="inlineStr">
        <is>
          <t>Earnings before Interest, Taxes, Depreciation &amp; Amortization (EBITDA) - Normalized</t>
        </is>
      </c>
      <c r="N334" s="118" t="n">
        <v>496.99</v>
      </c>
      <c r="P334" s="117" t="inlineStr">
        <is>
          <t>DPS - Common - Net - Issue - By Announcement Date</t>
        </is>
      </c>
      <c r="Q334" s="119" t="n">
        <v>0.1</v>
      </c>
      <c r="S334" s="117" t="inlineStr">
        <is>
          <t>Operating Expenses</t>
        </is>
      </c>
      <c r="T334" s="134" t="n">
        <v>15127.03</v>
      </c>
      <c r="V334" s="117" t="inlineStr">
        <is>
          <t>Lease Expense -Total - Supplemental</t>
        </is>
      </c>
      <c r="W334" s="119" t="n">
        <v>9.26</v>
      </c>
    </row>
    <row r="335">
      <c r="A335" s="133" t="inlineStr">
        <is>
          <t>Amortization - Total - Supplemental</t>
        </is>
      </c>
      <c r="B335" s="135" t="n">
        <v>89</v>
      </c>
      <c r="C335" s="135" t="n">
        <v>83.90000000000001</v>
      </c>
      <c r="D335" s="135" t="n">
        <v>88.09999999999999</v>
      </c>
      <c r="E335" s="135" t="n">
        <v>97.59999999999999</v>
      </c>
      <c r="F335" s="135" t="n">
        <v>68.2</v>
      </c>
      <c r="G335" s="152" t="n"/>
      <c r="H335" s="152" t="n"/>
      <c r="J335" s="108" t="inlineStr">
        <is>
          <t>Stock-Based Compensation Expense - Pre-tax - Supplemental</t>
        </is>
      </c>
      <c r="K335" s="119" t="n">
        <v>46</v>
      </c>
      <c r="M335" s="115" t="inlineStr">
        <is>
          <t>Lease Expenses</t>
        </is>
      </c>
      <c r="N335" s="116" t="n"/>
      <c r="P335" s="117" t="inlineStr">
        <is>
          <t>DPS - Common - Gross - Issue - DR - By Announcement Date</t>
        </is>
      </c>
      <c r="Q335" s="134" t="n">
        <v>0</v>
      </c>
      <c r="S335" s="117" t="inlineStr">
        <is>
          <t>Selling, General &amp; Administrative Expenses excluding Research &amp; Development Expenses</t>
        </is>
      </c>
      <c r="T335" s="118" t="n">
        <v>3521.37</v>
      </c>
      <c r="V335" s="108" t="inlineStr">
        <is>
          <t>Operating /Rental Expense - Supplemental</t>
        </is>
      </c>
      <c r="W335" s="119" t="n">
        <v>7.95</v>
      </c>
    </row>
    <row r="336">
      <c r="A336" s="133" t="inlineStr">
        <is>
          <t>Intangible Amortization - Other - Supplemental</t>
        </is>
      </c>
      <c r="B336" s="135" t="n">
        <v>89</v>
      </c>
      <c r="C336" s="135" t="n">
        <v>83.90000000000001</v>
      </c>
      <c r="D336" s="135" t="n">
        <v>88.09999999999999</v>
      </c>
      <c r="E336" s="135" t="n">
        <v>97.59999999999999</v>
      </c>
      <c r="F336" s="135" t="n">
        <v>68.2</v>
      </c>
      <c r="G336" s="152" t="n"/>
      <c r="H336" s="152" t="n"/>
      <c r="J336" s="108" t="inlineStr">
        <is>
          <t>Stock-Based Compensation - Tax Benefit - Supplemental</t>
        </is>
      </c>
      <c r="K336" s="119" t="n">
        <v>9.66</v>
      </c>
      <c r="M336" s="117" t="inlineStr">
        <is>
          <t>Lease Expense -Total - Supplemental</t>
        </is>
      </c>
      <c r="N336" s="134" t="n"/>
      <c r="P336" s="117" t="inlineStr">
        <is>
          <t>DPS - Common - Net - Issue - DR - By Announcement Date</t>
        </is>
      </c>
      <c r="Q336" s="134" t="n">
        <v>0</v>
      </c>
      <c r="V336" s="108" t="inlineStr">
        <is>
          <t>Short-Term Lease Cost - Supplemental</t>
        </is>
      </c>
      <c r="W336" s="119" t="n">
        <v>1.31</v>
      </c>
    </row>
    <row r="337">
      <c r="A337" s="129" t="inlineStr">
        <is>
          <t>Depreciation/Amortization - Total</t>
        </is>
      </c>
      <c r="B337" s="130" t="n"/>
      <c r="C337" s="130" t="n"/>
      <c r="D337" s="130" t="n"/>
      <c r="E337" s="130" t="n"/>
      <c r="F337" s="130" t="n"/>
      <c r="G337" s="151" t="n"/>
      <c r="H337" s="151" t="n"/>
      <c r="J337" s="115" t="inlineStr">
        <is>
          <t>Non-GAAP</t>
        </is>
      </c>
      <c r="K337" s="116" t="n"/>
      <c r="M337" s="108" t="inlineStr">
        <is>
          <t>Operating /Rental Expense - Supplemental</t>
        </is>
      </c>
      <c r="N337" s="119" t="n">
        <v>18.57</v>
      </c>
      <c r="P337" s="115" t="inlineStr">
        <is>
          <t>EBIT/EBITDA &amp; related</t>
        </is>
      </c>
      <c r="Q337" s="116" t="n"/>
      <c r="V337" s="115" t="inlineStr">
        <is>
          <t>Other</t>
        </is>
      </c>
      <c r="W337" s="116" t="n"/>
    </row>
    <row r="338">
      <c r="A338" s="131" t="inlineStr">
        <is>
          <t>Depreciation, Depletion &amp; Amortization - Total</t>
        </is>
      </c>
      <c r="B338" s="132" t="n">
        <v>748.5</v>
      </c>
      <c r="C338" s="132" t="n">
        <v>632.2</v>
      </c>
      <c r="D338" s="132" t="n">
        <v>617</v>
      </c>
      <c r="E338" s="132" t="n">
        <v>587.5</v>
      </c>
      <c r="F338" s="132" t="n">
        <v>463</v>
      </c>
      <c r="G338" s="153" t="n"/>
      <c r="H338" s="153" t="n"/>
      <c r="J338" s="117" t="inlineStr">
        <is>
          <t>Non-GAAP Adjusted EBITDA - Company Reported</t>
        </is>
      </c>
      <c r="K338" s="118" t="n">
        <v>2302</v>
      </c>
      <c r="M338" s="108" t="inlineStr">
        <is>
          <t>Variable Operating Lease Expenses - US GAAP - Supplemental</t>
        </is>
      </c>
      <c r="N338" s="119" t="n">
        <v>0.22</v>
      </c>
      <c r="P338" s="117" t="inlineStr">
        <is>
          <t>Earnings before Interest &amp; Taxes (EBIT)</t>
        </is>
      </c>
      <c r="Q338" s="118" t="n">
        <v>5323</v>
      </c>
      <c r="V338" s="117" t="inlineStr">
        <is>
          <t>Rental/Operating Lease Expense</t>
        </is>
      </c>
      <c r="W338" s="119" t="n">
        <v>7.95</v>
      </c>
    </row>
    <row r="339">
      <c r="A339" s="133" t="inlineStr">
        <is>
          <t>Depreciation - Total</t>
        </is>
      </c>
      <c r="B339" s="132" t="n">
        <v>659.5</v>
      </c>
      <c r="C339" s="132" t="n">
        <v>548.3</v>
      </c>
      <c r="D339" s="132" t="n">
        <v>528.9</v>
      </c>
      <c r="E339" s="132" t="n">
        <v>489.9</v>
      </c>
      <c r="F339" s="132" t="n">
        <v>394.8</v>
      </c>
      <c r="G339" s="153" t="n"/>
      <c r="H339" s="153" t="n"/>
      <c r="J339" s="115" t="inlineStr">
        <is>
          <t>Normalized</t>
        </is>
      </c>
      <c r="K339" s="116" t="n"/>
      <c r="M339" s="108" t="inlineStr">
        <is>
          <t>Short-Term Lease Cost - Supplemental</t>
        </is>
      </c>
      <c r="N339" s="119" t="n">
        <v>52.71</v>
      </c>
      <c r="P339" s="117" t="inlineStr">
        <is>
          <t>Earnings before Interest, Taxes, Depreciation &amp; Amortization (EBITDA)</t>
        </is>
      </c>
      <c r="Q339" s="118" t="n">
        <v>7479</v>
      </c>
      <c r="V339" s="117" t="inlineStr">
        <is>
          <t>Cost of Revenue including Operation &amp; Maintenance (Utility) - Total</t>
        </is>
      </c>
      <c r="W339" s="118" t="n">
        <v>1587.37</v>
      </c>
    </row>
    <row r="340">
      <c r="A340" s="133" t="inlineStr">
        <is>
          <t>Amortization of Intangible Assets excluding Goodwill - Total</t>
        </is>
      </c>
      <c r="B340" s="135" t="n">
        <v>89</v>
      </c>
      <c r="C340" s="135" t="n">
        <v>83.90000000000001</v>
      </c>
      <c r="D340" s="135" t="n">
        <v>88.09999999999999</v>
      </c>
      <c r="E340" s="135" t="n">
        <v>97.59999999999999</v>
      </c>
      <c r="F340" s="135" t="n">
        <v>68.2</v>
      </c>
      <c r="G340" s="152" t="n"/>
      <c r="H340" s="152" t="n"/>
      <c r="J340" s="117" t="inlineStr">
        <is>
          <t>Normalized after Tax Profit</t>
        </is>
      </c>
      <c r="K340" s="118" t="n">
        <v>1026</v>
      </c>
      <c r="M340" s="115" t="inlineStr">
        <is>
          <t>Other</t>
        </is>
      </c>
      <c r="N340" s="116" t="n"/>
      <c r="P340" s="117" t="inlineStr">
        <is>
          <t>Earnings before Interest, Taxes, Depreciation &amp; Amortization (EBITDA) and Operating Lease Payments</t>
        </is>
      </c>
      <c r="Q340" s="118" t="n">
        <v>7771</v>
      </c>
      <c r="V340" s="117" t="inlineStr">
        <is>
          <t>Cost of Revenues excluding Depreciation</t>
        </is>
      </c>
      <c r="W340" s="118" t="n">
        <v>1587.37</v>
      </c>
    </row>
    <row r="341">
      <c r="A341" s="129" t="inlineStr">
        <is>
          <t>Labor &amp; Related Expenses</t>
        </is>
      </c>
      <c r="B341" s="130" t="n"/>
      <c r="C341" s="130" t="n"/>
      <c r="D341" s="130" t="n"/>
      <c r="E341" s="130" t="n"/>
      <c r="F341" s="130" t="n"/>
      <c r="G341" s="151" t="n"/>
      <c r="H341" s="151" t="n"/>
      <c r="J341" s="117" t="inlineStr">
        <is>
          <t>Normalized Net Income from Continuing Operations</t>
        </is>
      </c>
      <c r="K341" s="118" t="n">
        <v>1026</v>
      </c>
      <c r="M341" s="117" t="inlineStr">
        <is>
          <t>Rental/Operating Lease Expense</t>
        </is>
      </c>
      <c r="N341" s="119" t="n">
        <v>18.57</v>
      </c>
      <c r="P341" s="115" t="inlineStr">
        <is>
          <t>Depreciation/Amortization - Income Statement</t>
        </is>
      </c>
      <c r="Q341" s="116" t="n"/>
      <c r="V341" s="117" t="inlineStr">
        <is>
          <t>Interest Expense</t>
        </is>
      </c>
      <c r="W341" s="119" t="n">
        <v>40.24</v>
      </c>
    </row>
    <row r="342">
      <c r="A342" s="131" t="inlineStr">
        <is>
          <t>Labor &amp; Related Expenses - Supplemental</t>
        </is>
      </c>
      <c r="B342" s="138" t="n"/>
      <c r="C342" s="138" t="n"/>
      <c r="D342" s="138" t="n"/>
      <c r="E342" s="138" t="n"/>
      <c r="F342" s="138" t="n"/>
      <c r="G342" s="154" t="n"/>
      <c r="H342" s="154" t="n"/>
      <c r="J342" s="117" t="inlineStr">
        <is>
          <t>Normalized Net Income - Bottom Line</t>
        </is>
      </c>
      <c r="K342" s="118" t="n">
        <v>1026</v>
      </c>
      <c r="M342" s="117" t="inlineStr">
        <is>
          <t>Cost of Revenue including Operation &amp; Maintenance (Utility) - Total</t>
        </is>
      </c>
      <c r="N342" s="118" t="n">
        <v>2568.68</v>
      </c>
      <c r="P342" s="117" t="inlineStr">
        <is>
          <t>Depreciation &amp; Amortization - Supplemental</t>
        </is>
      </c>
      <c r="Q342" s="118" t="n">
        <v>2156</v>
      </c>
      <c r="V342" s="117" t="inlineStr">
        <is>
          <t>Operating Expenses</t>
        </is>
      </c>
      <c r="W342" s="118" t="n">
        <v>1654.89</v>
      </c>
    </row>
    <row r="343">
      <c r="A343" s="133" t="inlineStr">
        <is>
          <t>Stock-Based Compensation Expense - Net of Tax - Supplemental</t>
        </is>
      </c>
      <c r="B343" s="135" t="n">
        <v>53.2</v>
      </c>
      <c r="C343" s="135" t="n">
        <v>42.9</v>
      </c>
      <c r="D343" s="135" t="n">
        <v>51.5</v>
      </c>
      <c r="E343" s="135" t="n">
        <v>31.8</v>
      </c>
      <c r="F343" s="135" t="n">
        <v>27.8</v>
      </c>
      <c r="G343" s="152" t="n"/>
      <c r="H343" s="152" t="n"/>
      <c r="J343" s="117" t="inlineStr">
        <is>
          <t>Earnings before Interest &amp; Taxes (EBIT) - Normalized</t>
        </is>
      </c>
      <c r="K343" s="118" t="n">
        <v>1482</v>
      </c>
      <c r="M343" s="117" t="inlineStr">
        <is>
          <t>Cost of Revenues excluding Depreciation</t>
        </is>
      </c>
      <c r="N343" s="118" t="n">
        <v>2568.68</v>
      </c>
      <c r="P343" s="108" t="inlineStr">
        <is>
          <t>Depreciation Expense - Total - Supplemental</t>
        </is>
      </c>
      <c r="Q343" s="118" t="n">
        <v>1964</v>
      </c>
      <c r="V343" s="117" t="inlineStr">
        <is>
          <t>Selling, General &amp; Administrative Expenses excluding Research &amp; Development Expenses</t>
        </is>
      </c>
      <c r="W343" s="119" t="n">
        <v>73.94</v>
      </c>
    </row>
    <row r="344">
      <c r="A344" s="133" t="inlineStr">
        <is>
          <t>Stock-Based Compensation Expense - Pre-tax - Supplemental</t>
        </is>
      </c>
      <c r="B344" s="135" t="n">
        <v>60.2</v>
      </c>
      <c r="C344" s="135" t="n">
        <v>50.6</v>
      </c>
      <c r="D344" s="135" t="n">
        <v>60.6</v>
      </c>
      <c r="E344" s="135" t="n">
        <v>38.7</v>
      </c>
      <c r="F344" s="135" t="n">
        <v>32.5</v>
      </c>
      <c r="G344" s="152" t="n"/>
      <c r="H344" s="152" t="n"/>
      <c r="J344" s="117" t="inlineStr">
        <is>
          <t>Earnings before Interest, Taxes, Depreciation &amp; Amortization (EBITDA) - Normalized</t>
        </is>
      </c>
      <c r="K344" s="118" t="n">
        <v>2119</v>
      </c>
      <c r="M344" s="117" t="inlineStr">
        <is>
          <t>Interest Expense</t>
        </is>
      </c>
      <c r="N344" s="119" t="n">
        <v>81.94</v>
      </c>
      <c r="P344" s="108" t="inlineStr">
        <is>
          <t>Depreciation - Fin Lease Right-of-Use Assets - Total - Suppl</t>
        </is>
      </c>
      <c r="Q344" s="119" t="n">
        <v>78</v>
      </c>
    </row>
    <row r="345">
      <c r="A345" s="133" t="inlineStr">
        <is>
          <t>Stock-Based Compensation - Tax Benefit - Supplemental</t>
        </is>
      </c>
      <c r="B345" s="135" t="n">
        <v>7</v>
      </c>
      <c r="C345" s="135" t="n">
        <v>7.7</v>
      </c>
      <c r="D345" s="135" t="n">
        <v>9.1</v>
      </c>
      <c r="E345" s="135" t="n">
        <v>6.9</v>
      </c>
      <c r="F345" s="135" t="n">
        <v>4.7</v>
      </c>
      <c r="G345" s="152" t="n"/>
      <c r="H345" s="152" t="n"/>
      <c r="J345" s="115" t="inlineStr">
        <is>
          <t>Lease Expenses</t>
        </is>
      </c>
      <c r="K345" s="116" t="n"/>
      <c r="M345" s="117" t="inlineStr">
        <is>
          <t>Operating Expenses</t>
        </is>
      </c>
      <c r="N345" s="118" t="n">
        <v>2848.54</v>
      </c>
      <c r="P345" s="108" t="inlineStr">
        <is>
          <t>Amortization - Total - Supplemental</t>
        </is>
      </c>
      <c r="Q345" s="118" t="n">
        <v>192</v>
      </c>
    </row>
    <row r="346">
      <c r="A346" s="129" t="inlineStr">
        <is>
          <t>Auditor Fees</t>
        </is>
      </c>
      <c r="B346" s="130" t="n"/>
      <c r="C346" s="130" t="n"/>
      <c r="D346" s="130" t="n"/>
      <c r="E346" s="130" t="n"/>
      <c r="F346" s="130" t="n"/>
      <c r="G346" s="151" t="n"/>
      <c r="H346" s="151" t="n"/>
      <c r="J346" s="117" t="inlineStr">
        <is>
          <t>Lease Expense -Total - Supplemental</t>
        </is>
      </c>
      <c r="K346" s="118" t="n">
        <v>178</v>
      </c>
      <c r="M346" s="117" t="inlineStr">
        <is>
          <t>Selling, General &amp; Administrative Expenses excluding Research &amp; Development Expenses</t>
        </is>
      </c>
      <c r="N346" s="118" t="n">
        <v>280.65</v>
      </c>
      <c r="P346" s="115" t="inlineStr">
        <is>
          <t>Depreciation/Amortization - Total</t>
        </is>
      </c>
      <c r="Q346" s="116" t="n"/>
    </row>
    <row r="347">
      <c r="A347" s="131" t="inlineStr">
        <is>
          <t>Auditor Fees</t>
        </is>
      </c>
      <c r="B347" s="138" t="n"/>
      <c r="C347" s="135" t="n">
        <v>4.36</v>
      </c>
      <c r="D347" s="135" t="n">
        <v>3.83</v>
      </c>
      <c r="E347" s="135" t="n">
        <v>3.69</v>
      </c>
      <c r="F347" s="135" t="n">
        <v>3.46</v>
      </c>
      <c r="G347" s="152" t="n"/>
      <c r="H347" s="152" t="n"/>
      <c r="J347" s="108" t="inlineStr">
        <is>
          <t>Operating /Rental Expense - Supplemental</t>
        </is>
      </c>
      <c r="K347" s="119" t="n">
        <v>79</v>
      </c>
      <c r="P347" s="117" t="inlineStr">
        <is>
          <t>Depreciation, Depletion &amp; Amortization - Total</t>
        </is>
      </c>
      <c r="Q347" s="118" t="n">
        <v>2156</v>
      </c>
    </row>
    <row r="348">
      <c r="A348" s="133" t="inlineStr">
        <is>
          <t>Audit-Related Fees</t>
        </is>
      </c>
      <c r="B348" s="138" t="n"/>
      <c r="C348" s="135" t="n">
        <v>4.36</v>
      </c>
      <c r="D348" s="135" t="n">
        <v>3.83</v>
      </c>
      <c r="E348" s="135" t="n">
        <v>3.69</v>
      </c>
      <c r="F348" s="135" t="n">
        <v>3.46</v>
      </c>
      <c r="G348" s="152" t="n"/>
      <c r="H348" s="152" t="n"/>
      <c r="J348" s="108" t="inlineStr">
        <is>
          <t>Depreciation of Financial Lease ROU Assets - Supplemental</t>
        </is>
      </c>
      <c r="K348" s="119" t="n">
        <v>21</v>
      </c>
      <c r="P348" s="108" t="inlineStr">
        <is>
          <t>Depreciation - Total</t>
        </is>
      </c>
      <c r="Q348" s="118" t="n">
        <v>1964</v>
      </c>
    </row>
    <row r="349">
      <c r="A349" s="133" t="inlineStr">
        <is>
          <t>Tax Fees</t>
        </is>
      </c>
      <c r="B349" s="138" t="n"/>
      <c r="C349" s="138" t="n"/>
      <c r="D349" s="138" t="n">
        <v>0</v>
      </c>
      <c r="E349" s="138" t="n"/>
      <c r="F349" s="138" t="n">
        <v>0</v>
      </c>
      <c r="G349" s="154" t="n"/>
      <c r="H349" s="154" t="n"/>
      <c r="J349" s="108" t="inlineStr">
        <is>
          <t>Variable Lease Expense - Unclassified - Supplemental</t>
        </is>
      </c>
      <c r="K349" s="119" t="n">
        <v>18</v>
      </c>
      <c r="P349" s="108" t="inlineStr">
        <is>
          <t>Amortization of Intangible Assets excluding Goodwill - Total</t>
        </is>
      </c>
      <c r="Q349" s="118" t="n">
        <v>192</v>
      </c>
    </row>
    <row r="350">
      <c r="A350" s="133" t="inlineStr">
        <is>
          <t>Fees - Other</t>
        </is>
      </c>
      <c r="B350" s="138" t="n"/>
      <c r="C350" s="138" t="n"/>
      <c r="D350" s="138" t="n">
        <v>0</v>
      </c>
      <c r="E350" s="138" t="n">
        <v>0</v>
      </c>
      <c r="F350" s="138" t="n">
        <v>0</v>
      </c>
      <c r="G350" s="154" t="n"/>
      <c r="H350" s="154" t="n"/>
      <c r="J350" s="108" t="inlineStr">
        <is>
          <t>Interest Expense on Financial Lease Liabilities - Supple</t>
        </is>
      </c>
      <c r="K350" s="119" t="n">
        <v>10</v>
      </c>
      <c r="P350" s="115" t="inlineStr">
        <is>
          <t>Labor &amp; Related Expenses</t>
        </is>
      </c>
      <c r="Q350" s="116" t="n"/>
    </row>
    <row r="351">
      <c r="A351" s="129" t="inlineStr">
        <is>
          <t>Non-GAAP</t>
        </is>
      </c>
      <c r="B351" s="130" t="n"/>
      <c r="C351" s="130" t="n"/>
      <c r="D351" s="130" t="n"/>
      <c r="E351" s="130" t="n"/>
      <c r="F351" s="130" t="n"/>
      <c r="G351" s="151" t="n"/>
      <c r="H351" s="151" t="n"/>
      <c r="J351" s="108" t="inlineStr">
        <is>
          <t>Short-Term Lease Cost - Supplemental</t>
        </is>
      </c>
      <c r="K351" s="119" t="n">
        <v>50</v>
      </c>
      <c r="P351" s="117" t="inlineStr">
        <is>
          <t>Labor &amp; Related Expenses - Supplemental</t>
        </is>
      </c>
      <c r="Q351" s="134" t="n"/>
    </row>
    <row r="352">
      <c r="A352" s="131" t="inlineStr">
        <is>
          <t>Non-GAAP Adjusted EBITDA - Company Reported</t>
        </is>
      </c>
      <c r="B352" s="132" t="n">
        <v>2323.6</v>
      </c>
      <c r="C352" s="132" t="n">
        <v>2057.2</v>
      </c>
      <c r="D352" s="132" t="n">
        <v>2011.3</v>
      </c>
      <c r="E352" s="132" t="n">
        <v>1625.6</v>
      </c>
      <c r="F352" s="132" t="n">
        <v>1451.3</v>
      </c>
      <c r="G352" s="153" t="n"/>
      <c r="H352" s="153" t="n"/>
      <c r="J352" s="115" t="inlineStr">
        <is>
          <t>Other</t>
        </is>
      </c>
      <c r="K352" s="116" t="n"/>
      <c r="P352" s="108" t="inlineStr">
        <is>
          <t>Stock-Based Compensation Expense - Net of Tax - Supplemental</t>
        </is>
      </c>
      <c r="Q352" s="118" t="n">
        <v>125.13</v>
      </c>
    </row>
    <row r="353">
      <c r="A353" s="131" t="inlineStr">
        <is>
          <t>Non-GAAP EPS Diluted - Company Reported</t>
        </is>
      </c>
      <c r="B353" s="135" t="n">
        <v>8</v>
      </c>
      <c r="C353" s="135" t="n">
        <v>7.53</v>
      </c>
      <c r="D353" s="135" t="n">
        <v>7</v>
      </c>
      <c r="E353" s="135" t="n">
        <v>5.11</v>
      </c>
      <c r="F353" s="135" t="n">
        <v>5.04</v>
      </c>
      <c r="G353" s="152" t="n"/>
      <c r="H353" s="152" t="n"/>
      <c r="J353" s="117" t="inlineStr">
        <is>
          <t>Rental/Operating Lease Expense</t>
        </is>
      </c>
      <c r="K353" s="119" t="n">
        <v>79</v>
      </c>
      <c r="P353" s="108" t="inlineStr">
        <is>
          <t>Stock-Based Compensation Expense - Pre-tax - Supplemental</t>
        </is>
      </c>
      <c r="Q353" s="118" t="n">
        <v>143</v>
      </c>
    </row>
    <row r="354">
      <c r="A354" s="129" t="inlineStr">
        <is>
          <t>Normalized</t>
        </is>
      </c>
      <c r="B354" s="130" t="n"/>
      <c r="C354" s="130" t="n"/>
      <c r="D354" s="130" t="n"/>
      <c r="E354" s="130" t="n"/>
      <c r="F354" s="130" t="n"/>
      <c r="G354" s="151" t="n"/>
      <c r="H354" s="151" t="n"/>
      <c r="J354" s="117" t="inlineStr">
        <is>
          <t>Cost of Revenue including Operation &amp; Maintenance (Utility) - Total</t>
        </is>
      </c>
      <c r="K354" s="118" t="n">
        <v>4261</v>
      </c>
      <c r="P354" s="108" t="inlineStr">
        <is>
          <t>Stock-Based Compensation - Tax Benefit - Supplemental</t>
        </is>
      </c>
      <c r="Q354" s="119" t="n">
        <v>17.88</v>
      </c>
    </row>
    <row r="355">
      <c r="A355" s="131" t="inlineStr">
        <is>
          <t>Normalized after Tax Profit</t>
        </is>
      </c>
      <c r="B355" s="132" t="n">
        <v>1085.2</v>
      </c>
      <c r="C355" s="132" t="n">
        <v>1041.3</v>
      </c>
      <c r="D355" s="132" t="n">
        <v>984</v>
      </c>
      <c r="E355" s="132" t="n">
        <v>683.9</v>
      </c>
      <c r="F355" s="132" t="n">
        <v>754.7</v>
      </c>
      <c r="G355" s="153" t="n"/>
      <c r="H355" s="153" t="n"/>
      <c r="J355" s="117" t="inlineStr">
        <is>
          <t>Cost of Revenues excluding Depreciation</t>
        </is>
      </c>
      <c r="K355" s="118" t="n">
        <v>4261</v>
      </c>
      <c r="P355" s="115" t="inlineStr">
        <is>
          <t>Non-GAAP</t>
        </is>
      </c>
      <c r="Q355" s="116" t="n"/>
    </row>
    <row r="356">
      <c r="A356" s="131" t="inlineStr">
        <is>
          <t>Normalized Net Income from Continuing Operations</t>
        </is>
      </c>
      <c r="B356" s="132" t="n">
        <v>1085.2</v>
      </c>
      <c r="C356" s="132" t="n">
        <v>1041.3</v>
      </c>
      <c r="D356" s="132" t="n">
        <v>984</v>
      </c>
      <c r="E356" s="132" t="n">
        <v>683.9</v>
      </c>
      <c r="F356" s="132" t="n">
        <v>754.7</v>
      </c>
      <c r="G356" s="153" t="n"/>
      <c r="H356" s="153" t="n"/>
      <c r="J356" s="117" t="inlineStr">
        <is>
          <t>Interest Expense</t>
        </is>
      </c>
      <c r="K356" s="118" t="n">
        <v>230</v>
      </c>
      <c r="P356" s="117" t="inlineStr">
        <is>
          <t>Non-GAAP Adjusted EBITDA - Company Reported</t>
        </is>
      </c>
      <c r="Q356" s="118" t="n">
        <v>7681</v>
      </c>
    </row>
    <row r="357">
      <c r="A357" s="131" t="inlineStr">
        <is>
          <t>Normalized Net Income - Bottom Line</t>
        </is>
      </c>
      <c r="B357" s="132" t="n">
        <v>1083.8</v>
      </c>
      <c r="C357" s="132" t="n">
        <v>1040.1</v>
      </c>
      <c r="D357" s="132" t="n">
        <v>982.3</v>
      </c>
      <c r="E357" s="132" t="n">
        <v>683</v>
      </c>
      <c r="F357" s="132" t="n">
        <v>755.1</v>
      </c>
      <c r="G357" s="153" t="n"/>
      <c r="H357" s="153" t="n"/>
      <c r="J357" s="117" t="inlineStr">
        <is>
          <t>Operating Expenses</t>
        </is>
      </c>
      <c r="K357" s="118" t="n">
        <v>4657</v>
      </c>
      <c r="P357" s="115" t="inlineStr">
        <is>
          <t>Normalized</t>
        </is>
      </c>
      <c r="Q357" s="116" t="n"/>
    </row>
    <row r="358">
      <c r="A358" s="131" t="inlineStr">
        <is>
          <t>Earnings before Interest &amp; Taxes (EBIT) - Normalized</t>
        </is>
      </c>
      <c r="B358" s="132" t="n">
        <v>1619</v>
      </c>
      <c r="C358" s="132" t="n">
        <v>1463</v>
      </c>
      <c r="D358" s="132" t="n">
        <v>1463</v>
      </c>
      <c r="E358" s="132" t="n">
        <v>1045.3</v>
      </c>
      <c r="F358" s="132" t="n">
        <v>1102.5</v>
      </c>
      <c r="G358" s="153" t="n"/>
      <c r="H358" s="153" t="n"/>
      <c r="J358" s="117" t="inlineStr">
        <is>
          <t>Selling, General &amp; Administrative Expenses excluding Research &amp; Development Expenses</t>
        </is>
      </c>
      <c r="K358" s="118" t="n">
        <v>443</v>
      </c>
      <c r="P358" s="117" t="inlineStr">
        <is>
          <t>Normalized after Tax Profit</t>
        </is>
      </c>
      <c r="Q358" s="118" t="n">
        <v>3881</v>
      </c>
    </row>
    <row r="359">
      <c r="A359" s="131" t="inlineStr">
        <is>
          <t>Earnings before Interest, Taxes, Depreciation &amp; Amortization (EBITDA) - Normalized</t>
        </is>
      </c>
      <c r="B359" s="132" t="n">
        <v>2367.5</v>
      </c>
      <c r="C359" s="132" t="n">
        <v>2095.2</v>
      </c>
      <c r="D359" s="132" t="n">
        <v>2080</v>
      </c>
      <c r="E359" s="132" t="n">
        <v>1632.8</v>
      </c>
      <c r="F359" s="132" t="n">
        <v>1565.5</v>
      </c>
      <c r="G359" s="153" t="n"/>
      <c r="H359" s="153" t="n"/>
      <c r="P359" s="117" t="inlineStr">
        <is>
          <t>Normalized Net Income from Continuing Operations</t>
        </is>
      </c>
      <c r="Q359" s="118" t="n">
        <v>3907</v>
      </c>
    </row>
    <row r="360">
      <c r="A360" s="129" t="inlineStr">
        <is>
          <t>Lease Expenses</t>
        </is>
      </c>
      <c r="B360" s="130" t="n"/>
      <c r="C360" s="130" t="n"/>
      <c r="D360" s="130" t="n"/>
      <c r="E360" s="130" t="n"/>
      <c r="F360" s="130" t="n"/>
      <c r="G360" s="151" t="n"/>
      <c r="H360" s="151" t="n"/>
      <c r="P360" s="117" t="inlineStr">
        <is>
          <t>Normalized Net Income - Bottom Line</t>
        </is>
      </c>
      <c r="Q360" s="118" t="n">
        <v>3870</v>
      </c>
    </row>
    <row r="361">
      <c r="A361" s="131" t="inlineStr">
        <is>
          <t>Lease Expense -Total - Supplemental</t>
        </is>
      </c>
      <c r="B361" s="132" t="n">
        <v>149.5</v>
      </c>
      <c r="C361" s="132" t="n">
        <v>150.5</v>
      </c>
      <c r="D361" s="132" t="n">
        <v>161.7</v>
      </c>
      <c r="E361" s="132" t="n">
        <v>161.2</v>
      </c>
      <c r="F361" s="132" t="n">
        <v>113.5</v>
      </c>
      <c r="G361" s="153" t="n"/>
      <c r="H361" s="153" t="n"/>
      <c r="P361" s="117" t="inlineStr">
        <is>
          <t>Earnings before Interest &amp; Taxes (EBIT) - Normalized</t>
        </is>
      </c>
      <c r="Q361" s="118" t="n">
        <v>5586</v>
      </c>
    </row>
    <row r="362">
      <c r="A362" s="133" t="inlineStr">
        <is>
          <t>Operating /Rental Expense - Supplemental</t>
        </is>
      </c>
      <c r="B362" s="135" t="n">
        <v>82</v>
      </c>
      <c r="C362" s="135" t="n">
        <v>75.59999999999999</v>
      </c>
      <c r="D362" s="135" t="n">
        <v>77.5</v>
      </c>
      <c r="E362" s="135" t="n">
        <v>85.59999999999999</v>
      </c>
      <c r="F362" s="135" t="n">
        <v>71</v>
      </c>
      <c r="G362" s="152" t="n"/>
      <c r="H362" s="152" t="n"/>
      <c r="P362" s="117" t="inlineStr">
        <is>
          <t>Earnings before Interest, Taxes, Depreciation &amp; Amortization (EBITDA) - Normalized</t>
        </is>
      </c>
      <c r="Q362" s="118" t="n">
        <v>7742</v>
      </c>
    </row>
    <row r="363">
      <c r="A363" s="133" t="inlineStr">
        <is>
          <t>Depreciation of Financial Lease ROU Assets - Supplemental</t>
        </is>
      </c>
      <c r="B363" s="135" t="n">
        <v>8</v>
      </c>
      <c r="C363" s="135" t="n">
        <v>9.5</v>
      </c>
      <c r="D363" s="135" t="n">
        <v>12.8</v>
      </c>
      <c r="E363" s="135" t="n">
        <v>16.5</v>
      </c>
      <c r="F363" s="135" t="n">
        <v>7.1</v>
      </c>
      <c r="G363" s="152" t="n"/>
      <c r="H363" s="152" t="n"/>
      <c r="P363" s="115" t="inlineStr">
        <is>
          <t>Lease Expenses</t>
        </is>
      </c>
      <c r="Q363" s="116" t="n"/>
    </row>
    <row r="364">
      <c r="A364" s="133" t="inlineStr">
        <is>
          <t>Variable Operating Lease Expenses - US GAAP - Supplemental</t>
        </is>
      </c>
      <c r="B364" s="135" t="n">
        <v>19.2</v>
      </c>
      <c r="C364" s="135" t="n">
        <v>20.6</v>
      </c>
      <c r="D364" s="135" t="n">
        <v>23.5</v>
      </c>
      <c r="E364" s="135" t="n">
        <v>14.4</v>
      </c>
      <c r="F364" s="135" t="n">
        <v>10.6</v>
      </c>
      <c r="G364" s="152" t="n"/>
      <c r="H364" s="152" t="n"/>
      <c r="P364" s="117" t="inlineStr">
        <is>
          <t>Lease Expense -Total - Supplemental</t>
        </is>
      </c>
      <c r="Q364" s="134" t="n"/>
    </row>
    <row r="365">
      <c r="A365" s="133" t="inlineStr">
        <is>
          <t>Interest Expense on Financial Lease Liabilities - Supple</t>
        </is>
      </c>
      <c r="B365" s="135" t="n">
        <v>0.5</v>
      </c>
      <c r="C365" s="135" t="n">
        <v>0.7</v>
      </c>
      <c r="D365" s="135" t="n">
        <v>0.9</v>
      </c>
      <c r="E365" s="135" t="n">
        <v>1.2</v>
      </c>
      <c r="F365" s="135" t="n">
        <v>0.6</v>
      </c>
      <c r="G365" s="152" t="n"/>
      <c r="H365" s="152" t="n"/>
      <c r="P365" s="108" t="inlineStr">
        <is>
          <t>Depreciation of Financial Lease ROU Assets - Supplemental</t>
        </is>
      </c>
      <c r="Q365" s="119" t="n">
        <v>78</v>
      </c>
    </row>
    <row r="366">
      <c r="A366" s="133" t="inlineStr">
        <is>
          <t>Short-Term Lease Cost - Supplemental</t>
        </is>
      </c>
      <c r="B366" s="135" t="n">
        <v>47.5</v>
      </c>
      <c r="C366" s="135" t="n">
        <v>46.9</v>
      </c>
      <c r="D366" s="135" t="n">
        <v>50.4</v>
      </c>
      <c r="E366" s="135" t="n">
        <v>46.4</v>
      </c>
      <c r="F366" s="135" t="n">
        <v>27.3</v>
      </c>
      <c r="G366" s="152" t="n"/>
      <c r="H366" s="152" t="n"/>
      <c r="P366" s="108" t="inlineStr">
        <is>
          <t>Variable Financial Lease Expenses - Supplemental</t>
        </is>
      </c>
      <c r="Q366" s="119" t="n">
        <v>78</v>
      </c>
    </row>
    <row r="367">
      <c r="A367" s="133" t="inlineStr">
        <is>
          <t>Sublease Income - Supplemental</t>
        </is>
      </c>
      <c r="B367" s="135" t="n">
        <v>7.7</v>
      </c>
      <c r="C367" s="135" t="n">
        <v>2.8</v>
      </c>
      <c r="D367" s="135" t="n">
        <v>3.4</v>
      </c>
      <c r="E367" s="135" t="n">
        <v>2.9</v>
      </c>
      <c r="F367" s="135" t="n">
        <v>3.1</v>
      </c>
      <c r="G367" s="152" t="n"/>
      <c r="H367" s="152" t="n"/>
      <c r="P367" s="108" t="inlineStr">
        <is>
          <t>Interest Expense on Financial Lease Liabilities - Supple</t>
        </is>
      </c>
      <c r="Q367" s="119" t="n">
        <v>22</v>
      </c>
    </row>
    <row r="368">
      <c r="A368" s="129" t="inlineStr">
        <is>
          <t>Other</t>
        </is>
      </c>
      <c r="B368" s="130" t="n"/>
      <c r="C368" s="130" t="n"/>
      <c r="D368" s="130" t="n"/>
      <c r="E368" s="130" t="n"/>
      <c r="F368" s="130" t="n"/>
      <c r="G368" s="151" t="n"/>
      <c r="H368" s="151" t="n"/>
      <c r="P368" s="108" t="inlineStr">
        <is>
          <t>Short-Term Lease Cost - Supplemental</t>
        </is>
      </c>
      <c r="Q368" s="118" t="n">
        <v>319</v>
      </c>
    </row>
    <row r="369">
      <c r="A369" s="131" t="inlineStr">
        <is>
          <t>Rental/Operating Lease Expense</t>
        </is>
      </c>
      <c r="B369" s="135" t="n">
        <v>82</v>
      </c>
      <c r="C369" s="135" t="n">
        <v>75.59999999999999</v>
      </c>
      <c r="D369" s="135" t="n">
        <v>77.5</v>
      </c>
      <c r="E369" s="135" t="n">
        <v>85.59999999999999</v>
      </c>
      <c r="F369" s="135" t="n">
        <v>71</v>
      </c>
      <c r="G369" s="152" t="n"/>
      <c r="H369" s="152" t="n"/>
      <c r="P369" s="115" t="inlineStr">
        <is>
          <t>Other</t>
        </is>
      </c>
      <c r="Q369" s="116" t="n"/>
    </row>
    <row r="370">
      <c r="A370" s="131" t="inlineStr">
        <is>
          <t>Cost of Revenue including Operation &amp; Maintenance (Utility) - Total</t>
        </is>
      </c>
      <c r="B370" s="132" t="n">
        <v>5766.5</v>
      </c>
      <c r="C370" s="132" t="n">
        <v>5418.1</v>
      </c>
      <c r="D370" s="132" t="n">
        <v>5833.4</v>
      </c>
      <c r="E370" s="132" t="n">
        <v>5757.5</v>
      </c>
      <c r="F370" s="132" t="n">
        <v>4178.8</v>
      </c>
      <c r="G370" s="153" t="n"/>
      <c r="H370" s="153" t="n"/>
      <c r="P370" s="117" t="inlineStr">
        <is>
          <t>Rental/Operating Lease Expense</t>
        </is>
      </c>
      <c r="Q370" s="118" t="n">
        <v>292</v>
      </c>
    </row>
    <row r="371">
      <c r="A371" s="131" t="inlineStr">
        <is>
          <t>Cost of Revenues excluding Depreciation</t>
        </is>
      </c>
      <c r="B371" s="132" t="n">
        <v>5766.5</v>
      </c>
      <c r="C371" s="132" t="n">
        <v>5418.1</v>
      </c>
      <c r="D371" s="132" t="n">
        <v>5833.4</v>
      </c>
      <c r="E371" s="132" t="n">
        <v>5757.5</v>
      </c>
      <c r="F371" s="132" t="n">
        <v>4178.8</v>
      </c>
      <c r="G371" s="153" t="n"/>
      <c r="H371" s="153" t="n"/>
      <c r="P371" s="117" t="inlineStr">
        <is>
          <t>Cost of Revenue including Operation &amp; Maintenance (Utility) - Total</t>
        </is>
      </c>
      <c r="Q371" s="134" t="n">
        <v>23919</v>
      </c>
    </row>
    <row r="372">
      <c r="A372" s="131" t="inlineStr">
        <is>
          <t>Interest Expense</t>
        </is>
      </c>
      <c r="B372" s="132" t="n">
        <v>239.7</v>
      </c>
      <c r="C372" s="132" t="n">
        <v>191.2</v>
      </c>
      <c r="D372" s="132" t="n">
        <v>196.1</v>
      </c>
      <c r="E372" s="132" t="n">
        <v>169.2</v>
      </c>
      <c r="F372" s="132" t="n">
        <v>149.3</v>
      </c>
      <c r="G372" s="153" t="n"/>
      <c r="H372" s="153" t="n"/>
      <c r="P372" s="117" t="inlineStr">
        <is>
          <t>Cost of Revenues excluding Depreciation</t>
        </is>
      </c>
      <c r="Q372" s="134" t="n">
        <v>23919</v>
      </c>
    </row>
    <row r="373">
      <c r="A373" s="131" t="inlineStr">
        <is>
          <t>Operating Expenses</t>
        </is>
      </c>
      <c r="B373" s="132" t="n">
        <v>6413.7</v>
      </c>
      <c r="C373" s="132" t="n">
        <v>6021.6</v>
      </c>
      <c r="D373" s="132" t="n">
        <v>6459.7</v>
      </c>
      <c r="E373" s="132" t="n">
        <v>6285.7</v>
      </c>
      <c r="F373" s="132" t="n">
        <v>4580.5</v>
      </c>
      <c r="G373" s="153" t="n"/>
      <c r="H373" s="153" t="n"/>
      <c r="P373" s="117" t="inlineStr">
        <is>
          <t>Interest Expense</t>
        </is>
      </c>
      <c r="Q373" s="118" t="n">
        <v>810</v>
      </c>
    </row>
    <row r="374">
      <c r="A374" s="131" t="inlineStr">
        <is>
          <t>Selling, General &amp; Administrative Expenses excluding Research &amp; Development Expenses</t>
        </is>
      </c>
      <c r="B374" s="132" t="n">
        <v>564.1</v>
      </c>
      <c r="C374" s="132" t="n">
        <v>531.1</v>
      </c>
      <c r="D374" s="132" t="n">
        <v>542.8</v>
      </c>
      <c r="E374" s="132" t="n">
        <v>515.1</v>
      </c>
      <c r="F374" s="132" t="n">
        <v>417.6</v>
      </c>
      <c r="G374" s="153" t="n"/>
      <c r="H374" s="153" t="n"/>
      <c r="P374" s="117" t="inlineStr">
        <is>
          <t>Operating Expenses</t>
        </is>
      </c>
      <c r="Q374" s="134" t="n">
        <v>32124</v>
      </c>
    </row>
    <row r="375">
      <c r="P375" s="117" t="inlineStr">
        <is>
          <t>Selling, General &amp; Administrative Expenses excluding Research &amp; Development Expenses</t>
        </is>
      </c>
      <c r="Q375" s="118" t="n">
        <v>8205</v>
      </c>
    </row>
    <row r="376"/>
    <row r="377">
      <c r="A377" s="111" t="inlineStr">
        <is>
          <t>Cash Flow - Standardized (Currency: Standardized)</t>
        </is>
      </c>
      <c r="B377" s="111" t="n"/>
      <c r="C377" s="111" t="n"/>
      <c r="D377" s="111" t="n"/>
      <c r="E377" s="111" t="n"/>
      <c r="F377" s="111" t="n"/>
      <c r="G377" s="158" t="n"/>
      <c r="H377" s="158" t="n"/>
      <c r="J377" s="111" t="inlineStr">
        <is>
          <t>Cash Flow - Standardized (Currency: Standardized)</t>
        </is>
      </c>
      <c r="K377" s="111" t="n"/>
      <c r="M377" s="111" t="inlineStr">
        <is>
          <t>Cash Flow - Standardized (Currency: Standardized)</t>
        </is>
      </c>
      <c r="N377" s="111" t="n"/>
      <c r="P377" s="111" t="inlineStr">
        <is>
          <t>Cash Flow - Standardized (Currency: Standardized)</t>
        </is>
      </c>
      <c r="Q377" s="111" t="inlineStr">
        <is>
          <t>x</t>
        </is>
      </c>
      <c r="S377" s="111" t="inlineStr">
        <is>
          <t>Cash Flow - Standardized (Currency: Standardized)</t>
        </is>
      </c>
      <c r="T377" s="111" t="n"/>
      <c r="V377" s="111" t="inlineStr">
        <is>
          <t>Cash Flow - Standardized (Currency: Standardized)</t>
        </is>
      </c>
      <c r="W377" s="111" t="n"/>
    </row>
    <row r="378">
      <c r="A378" s="111" t="inlineStr">
        <is>
          <t>Field Name</t>
        </is>
      </c>
      <c r="B378" s="112" t="inlineStr">
        <is>
          <t>31-12-2025</t>
        </is>
      </c>
      <c r="C378" s="112" t="inlineStr">
        <is>
          <t>31-12-2024</t>
        </is>
      </c>
      <c r="D378" s="112" t="inlineStr">
        <is>
          <t>31-12-2023</t>
        </is>
      </c>
      <c r="E378" s="112" t="inlineStr">
        <is>
          <t>31-12-2022</t>
        </is>
      </c>
      <c r="F378" s="112" t="inlineStr">
        <is>
          <t>31-12-2021</t>
        </is>
      </c>
      <c r="G378" s="159" t="n"/>
      <c r="H378" s="159" t="n"/>
      <c r="J378" s="111" t="inlineStr">
        <is>
          <t>Field Name</t>
        </is>
      </c>
      <c r="K378" s="112" t="inlineStr">
        <is>
          <t>31-12-2025</t>
        </is>
      </c>
      <c r="M378" s="111" t="inlineStr">
        <is>
          <t>Field Name</t>
        </is>
      </c>
      <c r="N378" s="112" t="inlineStr">
        <is>
          <t>31-12-2025</t>
        </is>
      </c>
      <c r="P378" s="111" t="inlineStr">
        <is>
          <t>Field Name</t>
        </is>
      </c>
      <c r="Q378" s="112" t="inlineStr">
        <is>
          <t>31-12-2025</t>
        </is>
      </c>
      <c r="S378" s="111" t="inlineStr">
        <is>
          <t>Field Name</t>
        </is>
      </c>
      <c r="T378" s="112" t="inlineStr">
        <is>
          <t>31-12-2025</t>
        </is>
      </c>
      <c r="V378" s="111" t="inlineStr">
        <is>
          <t>Field Name</t>
        </is>
      </c>
      <c r="W378" s="112" t="inlineStr">
        <is>
          <t>31-03-2025</t>
        </is>
      </c>
    </row>
    <row r="379">
      <c r="A379" s="115" t="inlineStr">
        <is>
          <t>Operating Cash Flow - Indirect</t>
        </is>
      </c>
      <c r="B379" s="116" t="n"/>
      <c r="C379" s="116" t="n"/>
      <c r="D379" s="116" t="n"/>
      <c r="E379" s="116" t="n"/>
      <c r="F379" s="116" t="n"/>
      <c r="J379" s="115" t="inlineStr">
        <is>
          <t>Operating Cash Flow - Indirect</t>
        </is>
      </c>
      <c r="K379" s="116" t="n"/>
      <c r="M379" s="115" t="inlineStr">
        <is>
          <t>Operating Cash Flow - Indirect</t>
        </is>
      </c>
      <c r="N379" s="116" t="n"/>
      <c r="P379" s="115" t="inlineStr">
        <is>
          <t>Operating Cash Flow - Indirect</t>
        </is>
      </c>
      <c r="Q379" s="116" t="n"/>
      <c r="S379" s="115" t="inlineStr">
        <is>
          <t>Operating Cash Flow - Indirect</t>
        </is>
      </c>
      <c r="T379" s="116" t="n"/>
      <c r="V379" s="115" t="inlineStr">
        <is>
          <t>Operating Cash Flow - Indirect</t>
        </is>
      </c>
      <c r="W379" s="116" t="n"/>
    </row>
    <row r="380">
      <c r="A380" s="117" t="inlineStr">
        <is>
          <t>Profit/(Loss) - Starting Line - Cash Flow</t>
        </is>
      </c>
      <c r="B380" s="118" t="n">
        <v>1078.1</v>
      </c>
      <c r="C380" s="118" t="n">
        <v>913.1</v>
      </c>
      <c r="D380" s="118" t="n">
        <v>934.9</v>
      </c>
      <c r="E380" s="118" t="n">
        <v>576.5</v>
      </c>
      <c r="F380" s="118" t="n">
        <v>670.4</v>
      </c>
      <c r="G380" s="161" t="n"/>
      <c r="H380" s="161" t="n"/>
      <c r="J380" s="117" t="inlineStr">
        <is>
          <t>Profit/(Loss) - Starting Line - Cash Flow</t>
        </is>
      </c>
      <c r="K380" s="118" t="n">
        <v>1137</v>
      </c>
      <c r="M380" s="117" t="inlineStr">
        <is>
          <t>Profit/(Loss) - Starting Line - Cash Flow</t>
        </is>
      </c>
      <c r="N380" s="118" t="n">
        <v>157.07</v>
      </c>
      <c r="P380" s="117" t="inlineStr">
        <is>
          <t>Profit/(Loss) - Starting Line - Cash Flow</t>
        </is>
      </c>
      <c r="Q380" s="118" t="n">
        <v>3790</v>
      </c>
      <c r="S380" s="117" t="inlineStr">
        <is>
          <t>Profit/(Loss) - Starting Line - Cash Flow</t>
        </is>
      </c>
      <c r="T380" s="118" t="n">
        <v>969.72</v>
      </c>
      <c r="V380" s="117" t="inlineStr">
        <is>
          <t>Profit/(Loss) - Starting Line - Cash Flow</t>
        </is>
      </c>
      <c r="W380" s="118" t="n">
        <v>463.42</v>
      </c>
    </row>
    <row r="381">
      <c r="A381" s="117" t="inlineStr">
        <is>
          <t>Non-cash Items &amp; Reconciliation Adjustments - Cash Flow</t>
        </is>
      </c>
      <c r="B381" s="118" t="n">
        <v>824.9</v>
      </c>
      <c r="C381" s="118" t="n">
        <v>753.2</v>
      </c>
      <c r="D381" s="118" t="n">
        <v>635.3</v>
      </c>
      <c r="E381" s="118" t="n">
        <v>796</v>
      </c>
      <c r="F381" s="118" t="n">
        <v>485.4</v>
      </c>
      <c r="G381" s="161" t="n"/>
      <c r="H381" s="161" t="n"/>
      <c r="J381" s="117" t="inlineStr">
        <is>
          <t>Non-cash Items &amp; Reconciliation Adjustments - Cash Flow</t>
        </is>
      </c>
      <c r="K381" s="118" t="n">
        <v>740</v>
      </c>
      <c r="M381" s="117" t="inlineStr">
        <is>
          <t>Non-cash Items &amp; Reconciliation Adjustments - Cash Flow</t>
        </is>
      </c>
      <c r="N381" s="118" t="n">
        <v>212.22</v>
      </c>
      <c r="P381" s="117" t="inlineStr">
        <is>
          <t>Non-cash Items &amp; Reconciliation Adjustments - Cash Flow</t>
        </is>
      </c>
      <c r="Q381" s="118" t="n">
        <v>2549</v>
      </c>
      <c r="S381" s="117" t="inlineStr">
        <is>
          <t>Non-cash Items &amp; Reconciliation Adjustments - Cash Flow</t>
        </is>
      </c>
      <c r="T381" s="118" t="n">
        <v>1788.14</v>
      </c>
      <c r="V381" s="117" t="inlineStr">
        <is>
          <t>Non-cash Items &amp; Reconciliation Adjustments - Cash Flow</t>
        </is>
      </c>
      <c r="W381" s="118" t="n">
        <v>146.39</v>
      </c>
    </row>
    <row r="382">
      <c r="A382" s="108" t="inlineStr">
        <is>
          <t>Other Non-Cash Items &amp; Reconciliation Adjustments - Cash Flow - to Reconcile</t>
        </is>
      </c>
      <c r="B382" s="119" t="n">
        <v>39.6</v>
      </c>
      <c r="C382" s="119" t="n">
        <v>42.7</v>
      </c>
      <c r="D382" s="119" t="n">
        <v>46.5</v>
      </c>
      <c r="E382" s="119" t="n">
        <v>52.5</v>
      </c>
      <c r="F382" s="119" t="n">
        <v>41</v>
      </c>
      <c r="G382" s="162" t="n"/>
      <c r="H382" s="162" t="n"/>
      <c r="J382" s="108" t="inlineStr">
        <is>
          <t>Other Non-Cash Items &amp; Reconciliation Adjustments - Cash Flow - to Reconcile</t>
        </is>
      </c>
      <c r="K382" s="119" t="n">
        <v>13</v>
      </c>
      <c r="M382" s="108" t="inlineStr">
        <is>
          <t>Equity Income/(Loss) in Net Earnings - Cash Flow - to Reconcile</t>
        </is>
      </c>
      <c r="N382" s="145" t="n">
        <v>-0.26</v>
      </c>
      <c r="P382" s="108" t="inlineStr">
        <is>
          <t>Equity Income/(Loss) in Net Earnings - Cash Flow - to Reconcile</t>
        </is>
      </c>
      <c r="Q382" s="145" t="n">
        <v>-26</v>
      </c>
      <c r="S382" s="108" t="inlineStr">
        <is>
          <t>Discontinued Operations - Gain/(Loss) - Net of Tax - Cash Flow - to Reconcile</t>
        </is>
      </c>
      <c r="T382" s="139" t="n">
        <v>-565.38</v>
      </c>
      <c r="V382" s="108" t="inlineStr">
        <is>
          <t>Equity Income/(Loss) in Net Earnings - Cash Flow - to Reconcile</t>
        </is>
      </c>
      <c r="W382" s="145" t="n">
        <v>-26.4</v>
      </c>
    </row>
    <row r="383">
      <c r="A383" s="108" t="inlineStr">
        <is>
          <t>Depreciation, Depletion &amp; Amortization including Impairment - Cash Flow - to Reconcile</t>
        </is>
      </c>
      <c r="B383" s="118" t="n">
        <v>748.5</v>
      </c>
      <c r="C383" s="118" t="n">
        <v>718.8</v>
      </c>
      <c r="D383" s="118" t="n">
        <v>645.3</v>
      </c>
      <c r="E383" s="118" t="n">
        <v>655.4</v>
      </c>
      <c r="F383" s="118" t="n">
        <v>463</v>
      </c>
      <c r="G383" s="161" t="n"/>
      <c r="H383" s="161" t="n"/>
      <c r="J383" s="108" t="inlineStr">
        <is>
          <t>Depreciation, Depletion &amp; Amortization including Impairment - Cash Flow - to Reconcile</t>
        </is>
      </c>
      <c r="K383" s="118" t="n">
        <v>637</v>
      </c>
      <c r="M383" s="108" t="inlineStr">
        <is>
          <t>Other Non-Cash Items &amp; Reconciliation Adjustments - Cash Flow - to Reconcile</t>
        </is>
      </c>
      <c r="N383" s="119" t="n">
        <v>6.57</v>
      </c>
      <c r="P383" s="108" t="inlineStr">
        <is>
          <t>Other Non-Cash Items &amp; Reconciliation Adjustments - Cash Flow - to Reconcile</t>
        </is>
      </c>
      <c r="Q383" s="118" t="n">
        <v>316</v>
      </c>
      <c r="S383" s="108" t="inlineStr">
        <is>
          <t>Equity Income/(Loss) in Net Earnings - Cash Flow - to Reconcile</t>
        </is>
      </c>
      <c r="T383" s="145" t="n">
        <v>-89.67</v>
      </c>
      <c r="V383" s="108" t="inlineStr">
        <is>
          <t>Depreciation, Depletion &amp; Amortization including Impairment - Cash Flow - to Reconcile</t>
        </is>
      </c>
      <c r="W383" s="118" t="n">
        <v>158.9</v>
      </c>
    </row>
    <row r="384">
      <c r="A384" s="108" t="inlineStr">
        <is>
          <t>Depreciation &amp; Depletion - Property, Plant &amp; Equipment - Cash Flow - to Reconcile</t>
        </is>
      </c>
      <c r="B384" s="118" t="n">
        <v>748.5</v>
      </c>
      <c r="C384" s="118" t="n">
        <v>632.2</v>
      </c>
      <c r="D384" s="118" t="n">
        <v>617</v>
      </c>
      <c r="E384" s="118" t="n">
        <v>587.5</v>
      </c>
      <c r="F384" s="118" t="n">
        <v>463</v>
      </c>
      <c r="G384" s="161" t="n"/>
      <c r="H384" s="161" t="n"/>
      <c r="J384" s="108" t="inlineStr">
        <is>
          <t>Depreciation &amp; Depletion - Property, Plant &amp; Equipment - Cash Flow - to Reconcile</t>
        </is>
      </c>
      <c r="K384" s="118" t="n">
        <v>637</v>
      </c>
      <c r="M384" s="108" t="inlineStr">
        <is>
          <t>Depreciation, Depletion &amp; Amortization including Impairment - Cash Flow - to Reconcile</t>
        </is>
      </c>
      <c r="N384" s="118" t="n">
        <v>193.74</v>
      </c>
      <c r="P384" s="108" t="inlineStr">
        <is>
          <t>Depreciation, Depletion &amp; Amortization including Impairment - Cash Flow - to Reconcile</t>
        </is>
      </c>
      <c r="Q384" s="118" t="n">
        <v>2196</v>
      </c>
      <c r="S384" s="108" t="inlineStr">
        <is>
          <t>Income Tax Expense - Cash Flow - to Reconcile</t>
        </is>
      </c>
      <c r="T384" s="118" t="n">
        <v>385.01</v>
      </c>
      <c r="V384" s="108" t="inlineStr">
        <is>
          <t>Depreciation &amp; Depletion - Property, Plant &amp; Equipment - Cash Flow - to Reconcile</t>
        </is>
      </c>
      <c r="W384" s="118" t="n">
        <v>158.9</v>
      </c>
    </row>
    <row r="385">
      <c r="A385" s="108" t="inlineStr">
        <is>
          <t>Impairment - Property, Plant &amp; Equipment including Intangible Assets - Cash Flow - to Reconcile</t>
        </is>
      </c>
      <c r="B385" s="134" t="n">
        <v>0</v>
      </c>
      <c r="C385" s="119" t="n">
        <v>86.59999999999999</v>
      </c>
      <c r="D385" s="119" t="n">
        <v>28.3</v>
      </c>
      <c r="E385" s="119" t="n">
        <v>67.90000000000001</v>
      </c>
      <c r="F385" s="134" t="n"/>
      <c r="G385" s="163" t="n"/>
      <c r="H385" s="163" t="n"/>
      <c r="J385" s="108" t="inlineStr">
        <is>
          <t>Deferred Income Taxes &amp; Income Tax Credits - Cash Flow - to Reconcile</t>
        </is>
      </c>
      <c r="K385" s="119" t="n">
        <v>69</v>
      </c>
      <c r="M385" s="108" t="inlineStr">
        <is>
          <t>Depreciation &amp; Depletion - Property, Plant &amp; Equipment - Cash Flow - to Reconcile</t>
        </is>
      </c>
      <c r="N385" s="118" t="n">
        <v>193.74</v>
      </c>
      <c r="P385" s="108" t="inlineStr">
        <is>
          <t>Depreciation &amp; Depletion - Property, Plant &amp; Equipment - Cash Flow - to Reconcile</t>
        </is>
      </c>
      <c r="Q385" s="118" t="n">
        <v>2156</v>
      </c>
      <c r="S385" s="108" t="inlineStr">
        <is>
          <t>Financial Income/(Expense) - Cash Flow - to Reconcile</t>
        </is>
      </c>
      <c r="T385" s="118" t="n">
        <v>406.09</v>
      </c>
      <c r="V385" s="108" t="inlineStr">
        <is>
          <t>Deferred Income Taxes &amp; Income Tax Credits - Cash Flow - to Reconcile</t>
        </is>
      </c>
      <c r="W385" s="145" t="n">
        <v>-4.86</v>
      </c>
    </row>
    <row r="386">
      <c r="A386" s="108" t="inlineStr">
        <is>
          <t>Deferred Income Taxes &amp; Income Tax Credits - Cash Flow - to Reconcile</t>
        </is>
      </c>
      <c r="B386" s="119" t="n">
        <v>26.1</v>
      </c>
      <c r="C386" s="145" t="n">
        <v>-9.4</v>
      </c>
      <c r="D386" s="145" t="n">
        <v>-43.3</v>
      </c>
      <c r="E386" s="119" t="n">
        <v>57.7</v>
      </c>
      <c r="F386" s="119" t="n">
        <v>66.8</v>
      </c>
      <c r="G386" s="162" t="n"/>
      <c r="H386" s="162" t="n"/>
      <c r="J386" s="108" t="inlineStr">
        <is>
          <t>Assets Sale - Gain/(Loss) - Cash Flow - to Reconcile</t>
        </is>
      </c>
      <c r="K386" s="145" t="n">
        <v>-25</v>
      </c>
      <c r="M386" s="108" t="inlineStr">
        <is>
          <t>Deferred Income Taxes &amp; Income Tax Credits - Cash Flow - to Reconcile</t>
        </is>
      </c>
      <c r="N386" s="119" t="n">
        <v>25.49</v>
      </c>
      <c r="P386" s="108" t="inlineStr">
        <is>
          <t>Impairment - Property, Plant &amp; Equipment including Intangible Assets - Cash Flow - to Reconcile</t>
        </is>
      </c>
      <c r="Q386" s="119" t="n">
        <v>40</v>
      </c>
      <c r="S386" s="108" t="inlineStr">
        <is>
          <t>Other Non-Cash Items &amp; Reconciliation Adjustments - Cash Flow - to Reconcile</t>
        </is>
      </c>
      <c r="T386" s="139" t="n">
        <v>-231.8</v>
      </c>
      <c r="V386" s="108" t="inlineStr">
        <is>
          <t>Share Based Payments - Cash Flow - to Reconcile</t>
        </is>
      </c>
      <c r="W386" s="119" t="n">
        <v>18.74</v>
      </c>
    </row>
    <row r="387">
      <c r="A387" s="108" t="inlineStr">
        <is>
          <t>Assets Sale - Gain/(Loss) - Cash Flow - to Reconcile</t>
        </is>
      </c>
      <c r="B387" s="145" t="n">
        <v>-52.4</v>
      </c>
      <c r="C387" s="145" t="n">
        <v>-52.3</v>
      </c>
      <c r="D387" s="145" t="n">
        <v>-76.40000000000001</v>
      </c>
      <c r="E387" s="145" t="n">
        <v>-10.7</v>
      </c>
      <c r="F387" s="139" t="n">
        <v>-120.1</v>
      </c>
      <c r="G387" s="164" t="n"/>
      <c r="H387" s="164" t="n"/>
      <c r="J387" s="108" t="inlineStr">
        <is>
          <t>Share Based Payments - Cash Flow - to Reconcile</t>
        </is>
      </c>
      <c r="K387" s="119" t="n">
        <v>46</v>
      </c>
      <c r="M387" s="108" t="inlineStr">
        <is>
          <t>Assets Sale - Gain/(Loss) - Cash Flow - to Reconcile</t>
        </is>
      </c>
      <c r="N387" s="145" t="n">
        <v>-24.72</v>
      </c>
      <c r="P387" s="108" t="inlineStr">
        <is>
          <t>Deferred Income Taxes &amp; Income Tax Credits - Cash Flow - to Reconcile</t>
        </is>
      </c>
      <c r="Q387" s="118" t="n">
        <v>167</v>
      </c>
      <c r="S387" s="108" t="inlineStr">
        <is>
          <t>Depreciation, Depletion &amp; Amortization including Impairment - Cash Flow - to Reconcile</t>
        </is>
      </c>
      <c r="T387" s="118" t="n">
        <v>1828.61</v>
      </c>
      <c r="V387" s="117" t="inlineStr">
        <is>
          <t>Cash Flow from Operating Activities before Changes in Working Capital</t>
        </is>
      </c>
      <c r="W387" s="118" t="n">
        <v>609.8099999999999</v>
      </c>
    </row>
    <row r="388">
      <c r="A388" s="108" t="inlineStr">
        <is>
          <t>Share Based Payments - Cash Flow - to Reconcile</t>
        </is>
      </c>
      <c r="B388" s="119" t="n">
        <v>63.1</v>
      </c>
      <c r="C388" s="119" t="n">
        <v>53.4</v>
      </c>
      <c r="D388" s="119" t="n">
        <v>63.2</v>
      </c>
      <c r="E388" s="119" t="n">
        <v>41.1</v>
      </c>
      <c r="F388" s="119" t="n">
        <v>34.7</v>
      </c>
      <c r="G388" s="162" t="n"/>
      <c r="H388" s="162" t="n"/>
      <c r="J388" s="117" t="inlineStr">
        <is>
          <t>Cash Flow from Operating Activities before Changes in Working Capital</t>
        </is>
      </c>
      <c r="K388" s="118" t="n">
        <v>1877</v>
      </c>
      <c r="M388" s="108" t="inlineStr">
        <is>
          <t>Share Based Payments - Cash Flow - to Reconcile</t>
        </is>
      </c>
      <c r="N388" s="119" t="n">
        <v>11.39</v>
      </c>
      <c r="P388" s="108" t="inlineStr">
        <is>
          <t>Assets Sale - Gain/(Loss) - Cash Flow - to Reconcile</t>
        </is>
      </c>
      <c r="Q388" s="139" t="n">
        <v>-247</v>
      </c>
      <c r="S388" s="108" t="inlineStr">
        <is>
          <t>Depreciation &amp; Depletion - Property, Plant &amp; Equipment - Cash Flow - to Reconcile</t>
        </is>
      </c>
      <c r="T388" s="118" t="n">
        <v>1290.93</v>
      </c>
      <c r="V388" s="117" t="inlineStr">
        <is>
          <t>Working Capital - Increase/(Decrease) - Cash Flow</t>
        </is>
      </c>
      <c r="W388" s="145" t="n">
        <v>-61.26</v>
      </c>
    </row>
    <row r="389">
      <c r="A389" s="117" t="inlineStr">
        <is>
          <t>Cash Flow from Operating Activities before Changes in Working Capital</t>
        </is>
      </c>
      <c r="B389" s="118" t="n">
        <v>1903</v>
      </c>
      <c r="C389" s="118" t="n">
        <v>1666.3</v>
      </c>
      <c r="D389" s="118" t="n">
        <v>1570.2</v>
      </c>
      <c r="E389" s="118" t="n">
        <v>1372.5</v>
      </c>
      <c r="F389" s="118" t="n">
        <v>1155.8</v>
      </c>
      <c r="G389" s="161" t="n"/>
      <c r="H389" s="161" t="n"/>
      <c r="J389" s="117" t="inlineStr">
        <is>
          <t>Working Capital - Increase/(Decrease) - Cash Flow</t>
        </is>
      </c>
      <c r="K389" s="145" t="n">
        <v>-92</v>
      </c>
      <c r="M389" s="117" t="inlineStr">
        <is>
          <t>Cash Flow from Operating Activities before Changes in Working Capital</t>
        </is>
      </c>
      <c r="N389" s="118" t="n">
        <v>369.3</v>
      </c>
      <c r="P389" s="108" t="inlineStr">
        <is>
          <t>Share Based Payments - Cash Flow - to Reconcile</t>
        </is>
      </c>
      <c r="Q389" s="118" t="n">
        <v>143</v>
      </c>
      <c r="S389" s="108" t="inlineStr">
        <is>
          <t>Impairment - Property, Plant &amp; Equipment including Intangible Assets - Cash Flow - to Reconcile</t>
        </is>
      </c>
      <c r="T389" s="118" t="n">
        <v>537.67</v>
      </c>
      <c r="V389" s="108" t="inlineStr">
        <is>
          <t>Accounts Receivables - Decrease/(Increase) - Cash Flow</t>
        </is>
      </c>
      <c r="W389" s="145" t="n">
        <v>-7.9</v>
      </c>
    </row>
    <row r="390">
      <c r="A390" s="117" t="inlineStr">
        <is>
          <t>Working Capital - Increase/(Decrease) - Cash Flow</t>
        </is>
      </c>
      <c r="B390" s="145" t="n">
        <v>-90</v>
      </c>
      <c r="C390" s="139" t="n">
        <v>-256.7</v>
      </c>
      <c r="D390" s="145" t="n">
        <v>-33.4</v>
      </c>
      <c r="E390" s="139" t="n">
        <v>-224.3</v>
      </c>
      <c r="F390" s="139" t="n">
        <v>-143.9</v>
      </c>
      <c r="G390" s="164" t="n"/>
      <c r="H390" s="164" t="n"/>
      <c r="J390" s="108" t="inlineStr">
        <is>
          <t>Accounts Receivables - Decrease/(Increase) - Cash Flow</t>
        </is>
      </c>
      <c r="K390" s="145" t="n">
        <v>-51</v>
      </c>
      <c r="M390" s="117" t="inlineStr">
        <is>
          <t>Working Capital - Increase/(Decrease) - Cash Flow</t>
        </is>
      </c>
      <c r="N390" s="145" t="n">
        <v>-90.81999999999999</v>
      </c>
      <c r="P390" s="117" t="inlineStr">
        <is>
          <t>Cash Flow from Operating Activities before Changes in Working Capital</t>
        </is>
      </c>
      <c r="Q390" s="118" t="n">
        <v>6339</v>
      </c>
      <c r="S390" s="108" t="inlineStr">
        <is>
          <t>Assets Sale - Gain/(Loss) - Cash Flow - to Reconcile</t>
        </is>
      </c>
      <c r="T390" s="145" t="n">
        <v>-75.59</v>
      </c>
      <c r="V390" s="108" t="inlineStr">
        <is>
          <t>Inventories - Decrease/(Increase) - Cash Flow</t>
        </is>
      </c>
      <c r="W390" s="145" t="n">
        <v>-36.83</v>
      </c>
    </row>
    <row r="391">
      <c r="A391" s="108" t="inlineStr">
        <is>
          <t>Accounts Receivables - Decrease/(Increase) - Cash Flow</t>
        </is>
      </c>
      <c r="B391" s="119" t="n">
        <v>3.8</v>
      </c>
      <c r="C391" s="119" t="n">
        <v>63.2</v>
      </c>
      <c r="D391" s="119" t="n">
        <v>28.2</v>
      </c>
      <c r="E391" s="145" t="n">
        <v>-53.3</v>
      </c>
      <c r="F391" s="145" t="n">
        <v>-42</v>
      </c>
      <c r="G391" s="165" t="n"/>
      <c r="H391" s="165" t="n"/>
      <c r="J391" s="108" t="inlineStr">
        <is>
          <t>Inventories - Decrease/(Increase) - Cash Flow</t>
        </is>
      </c>
      <c r="K391" s="145" t="n">
        <v>-30</v>
      </c>
      <c r="M391" s="108" t="inlineStr">
        <is>
          <t>Accounts Receivables - Decrease/(Increase) - Cash Flow</t>
        </is>
      </c>
      <c r="N391" s="145" t="n">
        <v>-44.04</v>
      </c>
      <c r="P391" s="117" t="inlineStr">
        <is>
          <t>Working Capital - Increase/(Decrease) - Cash Flow</t>
        </is>
      </c>
      <c r="Q391" s="139" t="n">
        <v>-714</v>
      </c>
      <c r="S391" s="108" t="inlineStr">
        <is>
          <t>Financial Assets - Unrealized Gain/(Loss) - Cash Flow - to Reconcile</t>
        </is>
      </c>
      <c r="T391" s="118" t="n">
        <v>130.88</v>
      </c>
      <c r="V391" s="108" t="inlineStr">
        <is>
          <t>Other Assets - Decrease/(Increase) - Cash Flow</t>
        </is>
      </c>
      <c r="W391" s="145" t="n">
        <v>-16.75</v>
      </c>
    </row>
    <row r="392">
      <c r="A392" s="108" t="inlineStr">
        <is>
          <t>Inventories - Decrease/(Increase) - Cash Flow</t>
        </is>
      </c>
      <c r="B392" s="145" t="n">
        <v>-15.5</v>
      </c>
      <c r="C392" s="145" t="n">
        <v>-27.4</v>
      </c>
      <c r="D392" s="145" t="n">
        <v>-54.6</v>
      </c>
      <c r="E392" s="145" t="n">
        <v>-49.5</v>
      </c>
      <c r="F392" s="119" t="n">
        <v>8.300000000000001</v>
      </c>
      <c r="G392" s="162" t="n"/>
      <c r="H392" s="162" t="n"/>
      <c r="J392" s="108" t="inlineStr">
        <is>
          <t>Accounts Payable - Increase/(Decrease) - Cash Flow</t>
        </is>
      </c>
      <c r="K392" s="119" t="n">
        <v>21</v>
      </c>
      <c r="M392" s="108" t="inlineStr">
        <is>
          <t>Inventories - Decrease/(Increase) - Cash Flow</t>
        </is>
      </c>
      <c r="N392" s="145" t="n">
        <v>-13.44</v>
      </c>
      <c r="P392" s="108" t="inlineStr">
        <is>
          <t>Accounts Receivables - Decrease/(Increase) - Cash Flow</t>
        </is>
      </c>
      <c r="Q392" s="118" t="n">
        <v>121</v>
      </c>
      <c r="S392" s="117" t="inlineStr">
        <is>
          <t>Income Taxes - Paid/(Reimbursed) - Cash Flow</t>
        </is>
      </c>
      <c r="T392" s="118" t="n">
        <v>300.7</v>
      </c>
      <c r="V392" s="108" t="inlineStr">
        <is>
          <t>Accounts Payable and Accrued Expenses - Increase/(Decrease) - Cash Flow</t>
        </is>
      </c>
      <c r="W392" s="119" t="n">
        <v>0.87</v>
      </c>
    </row>
    <row r="393">
      <c r="A393" s="108" t="inlineStr">
        <is>
          <t>Prepaid Expenses - Decrease/(Increase) - Cash Flow</t>
        </is>
      </c>
      <c r="B393" s="134" t="n"/>
      <c r="C393" s="134" t="n"/>
      <c r="D393" s="134" t="n"/>
      <c r="E393" s="119" t="n">
        <v>9.5</v>
      </c>
      <c r="F393" s="145" t="n">
        <v>-14.2</v>
      </c>
      <c r="G393" s="165" t="n"/>
      <c r="H393" s="165" t="n"/>
      <c r="J393" s="108" t="inlineStr">
        <is>
          <t>Other Assets &amp; Liabilities - Increase/(Decrease) - Net - Cash Flow</t>
        </is>
      </c>
      <c r="K393" s="145" t="n">
        <v>-32</v>
      </c>
      <c r="M393" s="108" t="inlineStr">
        <is>
          <t>Other Assets - Decrease/(Increase) - Cash Flow</t>
        </is>
      </c>
      <c r="N393" s="145" t="n">
        <v>-9.050000000000001</v>
      </c>
      <c r="P393" s="108" t="inlineStr">
        <is>
          <t>Inventories - Decrease/(Increase) - Cash Flow</t>
        </is>
      </c>
      <c r="Q393" s="139" t="n">
        <v>-161</v>
      </c>
      <c r="S393" s="117" t="inlineStr">
        <is>
          <t>Interest Paid - Cash</t>
        </is>
      </c>
      <c r="T393" s="118" t="n">
        <v>445.98</v>
      </c>
      <c r="V393" s="108" t="inlineStr">
        <is>
          <t>Taxes Payable - Increase/(Decrease) - Cash Flow</t>
        </is>
      </c>
      <c r="W393" s="145" t="n">
        <v>-0.65</v>
      </c>
    </row>
    <row r="394">
      <c r="A394" s="108" t="inlineStr">
        <is>
          <t>Other Assets - Decrease/(Increase) - Cash Flow</t>
        </is>
      </c>
      <c r="B394" s="145" t="n">
        <v>-51.7</v>
      </c>
      <c r="C394" s="145" t="n">
        <v>-93</v>
      </c>
      <c r="D394" s="119" t="n">
        <v>27.8</v>
      </c>
      <c r="E394" s="139" t="n">
        <v>-101.8</v>
      </c>
      <c r="F394" s="145" t="n">
        <v>-29.8</v>
      </c>
      <c r="G394" s="165" t="n"/>
      <c r="H394" s="165" t="n"/>
      <c r="J394" s="136" t="inlineStr">
        <is>
          <t>Net Cash Flow from Operating Activities</t>
        </is>
      </c>
      <c r="K394" s="137" t="n">
        <v>1785</v>
      </c>
      <c r="M394" s="108" t="inlineStr">
        <is>
          <t>Accounts Payable - Increase/(Decrease) - Cash Flow</t>
        </is>
      </c>
      <c r="N394" s="145" t="n">
        <v>-14.99</v>
      </c>
      <c r="P394" s="108" t="inlineStr">
        <is>
          <t>Other Assets - Decrease/(Increase) - Cash Flow</t>
        </is>
      </c>
      <c r="Q394" s="139" t="n">
        <v>-210</v>
      </c>
      <c r="S394" s="117" t="inlineStr">
        <is>
          <t>Interest &amp; Dividends - Received - Total - Cash Flow</t>
        </is>
      </c>
      <c r="T394" s="119" t="n">
        <v>66.83</v>
      </c>
      <c r="V394" s="136" t="inlineStr">
        <is>
          <t>Net Cash Flow from Operating Activities</t>
        </is>
      </c>
      <c r="W394" s="137" t="n">
        <v>548.55</v>
      </c>
    </row>
    <row r="395">
      <c r="A395" s="108" t="inlineStr">
        <is>
          <t>Accrued Expenses - Increase/(Decrease) - Cash Flow</t>
        </is>
      </c>
      <c r="B395" s="145" t="n">
        <v>-7.3</v>
      </c>
      <c r="C395" s="145" t="n">
        <v>-6.8</v>
      </c>
      <c r="D395" s="119" t="n">
        <v>18.8</v>
      </c>
      <c r="E395" s="119" t="n">
        <v>0.4</v>
      </c>
      <c r="F395" s="145" t="n">
        <v>-0.4</v>
      </c>
      <c r="G395" s="165" t="n"/>
      <c r="H395" s="165" t="n"/>
      <c r="J395" s="115" t="inlineStr">
        <is>
          <t>Investing Cash Flow</t>
        </is>
      </c>
      <c r="K395" s="116" t="n"/>
      <c r="M395" s="108" t="inlineStr">
        <is>
          <t>Other Liabilities - Increase/(Decrease) -Total - Cash Flow</t>
        </is>
      </c>
      <c r="N395" s="145" t="n">
        <v>-9.300000000000001</v>
      </c>
      <c r="P395" s="108" t="inlineStr">
        <is>
          <t>Accounts Payable - Increase/(Decrease) - Cash Flow</t>
        </is>
      </c>
      <c r="Q395" s="139" t="n">
        <v>-158</v>
      </c>
      <c r="S395" s="117" t="inlineStr">
        <is>
          <t>Cash Flow from Operating Activities before Changes in Working Capital</t>
        </is>
      </c>
      <c r="T395" s="118" t="n">
        <v>2078.02</v>
      </c>
      <c r="V395" s="115" t="inlineStr">
        <is>
          <t>Investing Cash Flow</t>
        </is>
      </c>
      <c r="W395" s="116" t="n"/>
    </row>
    <row r="396">
      <c r="A396" s="108" t="inlineStr">
        <is>
          <t>Accounts Payable and Accrued Expenses - Increase/(Decrease) - Cash Flow</t>
        </is>
      </c>
      <c r="B396" s="119" t="n">
        <v>75.7</v>
      </c>
      <c r="C396" s="139" t="n">
        <v>-193</v>
      </c>
      <c r="D396" s="145" t="n">
        <v>-25.1</v>
      </c>
      <c r="E396" s="145" t="n">
        <v>-17.4</v>
      </c>
      <c r="F396" s="145" t="n">
        <v>-23.3</v>
      </c>
      <c r="G396" s="165" t="n"/>
      <c r="H396" s="165" t="n"/>
      <c r="J396" s="117" t="inlineStr">
        <is>
          <t>Capital Expenditures - Net - Cash Flow</t>
        </is>
      </c>
      <c r="K396" s="118" t="n">
        <v>807</v>
      </c>
      <c r="M396" s="136" t="inlineStr">
        <is>
          <t>Net Cash Flow from Operating Activities</t>
        </is>
      </c>
      <c r="N396" s="137" t="n">
        <v>278.48</v>
      </c>
      <c r="P396" s="108" t="inlineStr">
        <is>
          <t>Operating Lease Liabilities - Increase/(Decrease) - Cash Flow</t>
        </is>
      </c>
      <c r="Q396" s="139" t="n">
        <v>-310</v>
      </c>
      <c r="S396" s="117" t="inlineStr">
        <is>
          <t>Working Capital - Increase/(Decrease) - Cash Flow</t>
        </is>
      </c>
      <c r="T396" s="145" t="n">
        <v>-20.34</v>
      </c>
      <c r="V396" s="117" t="inlineStr">
        <is>
          <t>Capital Expenditures - Net - Cash Flow</t>
        </is>
      </c>
      <c r="W396" s="118" t="n">
        <v>195.28</v>
      </c>
    </row>
    <row r="397">
      <c r="A397" s="108" t="inlineStr">
        <is>
          <t>Other Liabilities - Increase/(Decrease) -Total - Cash Flow</t>
        </is>
      </c>
      <c r="B397" s="145" t="n">
        <v>-95</v>
      </c>
      <c r="C397" s="119" t="n">
        <v>0.3</v>
      </c>
      <c r="D397" s="145" t="n">
        <v>-28.5</v>
      </c>
      <c r="E397" s="145" t="n">
        <v>-12.2</v>
      </c>
      <c r="F397" s="145" t="n">
        <v>-42.5</v>
      </c>
      <c r="G397" s="165" t="n"/>
      <c r="H397" s="165" t="n"/>
      <c r="J397" s="108" t="inlineStr">
        <is>
          <t>Property, Plant &amp; Equipment - Purchased/(Sold) - Net - Cash Flow</t>
        </is>
      </c>
      <c r="K397" s="118" t="n">
        <v>807</v>
      </c>
      <c r="M397" s="115" t="inlineStr">
        <is>
          <t>Investing Cash Flow</t>
        </is>
      </c>
      <c r="N397" s="116" t="n"/>
      <c r="P397" s="108" t="inlineStr">
        <is>
          <t>Other Liabilities - Increase/(Decrease) -Total - Cash Flow</t>
        </is>
      </c>
      <c r="Q397" s="119" t="n">
        <v>4</v>
      </c>
      <c r="S397" s="108" t="inlineStr">
        <is>
          <t>Accounts Receivables - Decrease/(Increase) - Cash Flow</t>
        </is>
      </c>
      <c r="T397" s="119" t="n">
        <v>22.6</v>
      </c>
      <c r="V397" s="108" t="inlineStr">
        <is>
          <t>Property, Plant &amp; Equipment - Purchased/(Sold) - Net - Cash Flow</t>
        </is>
      </c>
      <c r="W397" s="118" t="n">
        <v>195.28</v>
      </c>
    </row>
    <row r="398">
      <c r="A398" s="136" t="inlineStr">
        <is>
          <t>Net Cash Flow from Operating Activities</t>
        </is>
      </c>
      <c r="B398" s="137" t="n">
        <v>1813</v>
      </c>
      <c r="C398" s="137" t="n">
        <v>1409.6</v>
      </c>
      <c r="D398" s="137" t="n">
        <v>1536.8</v>
      </c>
      <c r="E398" s="137" t="n">
        <v>1148.2</v>
      </c>
      <c r="F398" s="137" t="n">
        <v>1011.9</v>
      </c>
      <c r="G398" s="166" t="n"/>
      <c r="H398" s="166" t="n"/>
      <c r="J398" s="108" t="inlineStr">
        <is>
          <t>Property, Plant &amp; Equipment - Purchased - Cash Flow</t>
        </is>
      </c>
      <c r="K398" s="118" t="n">
        <v>807</v>
      </c>
      <c r="M398" s="117" t="inlineStr">
        <is>
          <t>Capital Expenditures - Net - Cash Flow</t>
        </is>
      </c>
      <c r="N398" s="118" t="n">
        <v>300.57</v>
      </c>
      <c r="P398" s="136" t="inlineStr">
        <is>
          <t>Net Cash Flow from Operating Activities</t>
        </is>
      </c>
      <c r="Q398" s="137" t="n">
        <v>5625</v>
      </c>
      <c r="S398" s="108" t="inlineStr">
        <is>
          <t>Inventories - Decrease/(Increase) - Cash Flow</t>
        </is>
      </c>
      <c r="T398" s="119" t="n">
        <v>87.48</v>
      </c>
      <c r="V398" s="108" t="inlineStr">
        <is>
          <t>Property, Plant &amp; Equipment - Purchased - Cash Flow</t>
        </is>
      </c>
      <c r="W398" s="118" t="n">
        <v>195.28</v>
      </c>
    </row>
    <row r="399">
      <c r="A399" s="115" t="inlineStr">
        <is>
          <t>Investing Cash Flow</t>
        </is>
      </c>
      <c r="B399" s="116" t="n"/>
      <c r="C399" s="116" t="n"/>
      <c r="D399" s="116" t="n"/>
      <c r="E399" s="116" t="n"/>
      <c r="F399" s="116" t="n"/>
      <c r="J399" s="108" t="inlineStr">
        <is>
          <t>Capital Expenditures - Total</t>
        </is>
      </c>
      <c r="K399" s="118" t="n">
        <v>807</v>
      </c>
      <c r="M399" s="108" t="inlineStr">
        <is>
          <t>Property, Plant &amp; Equipment - Purchased/(Sold) - Net - Cash Flow</t>
        </is>
      </c>
      <c r="N399" s="118" t="n">
        <v>300.57</v>
      </c>
      <c r="P399" s="115" t="inlineStr">
        <is>
          <t>Investing Cash Flow</t>
        </is>
      </c>
      <c r="Q399" s="116" t="n"/>
      <c r="S399" s="108" t="inlineStr">
        <is>
          <t>Accounts Payable - Increase/(Decrease) - Cash Flow</t>
        </is>
      </c>
      <c r="T399" s="139" t="n">
        <v>-209.39</v>
      </c>
      <c r="V399" s="108" t="inlineStr">
        <is>
          <t>Capital Expenditures - Total</t>
        </is>
      </c>
      <c r="W399" s="118" t="n">
        <v>195.28</v>
      </c>
    </row>
    <row r="400">
      <c r="A400" s="117" t="inlineStr">
        <is>
          <t>Capital Expenditures - Net - Cash Flow</t>
        </is>
      </c>
      <c r="B400" s="118" t="n">
        <v>653.6</v>
      </c>
      <c r="C400" s="118" t="n">
        <v>548.8</v>
      </c>
      <c r="D400" s="118" t="n">
        <v>778</v>
      </c>
      <c r="E400" s="118" t="n">
        <v>573.9</v>
      </c>
      <c r="F400" s="118" t="n">
        <v>234.8</v>
      </c>
      <c r="G400" s="161" t="n"/>
      <c r="H400" s="161" t="n"/>
      <c r="J400" s="117" t="inlineStr">
        <is>
          <t>Acquisition &amp; Disposals of Business - Assets - Sold/(Acquired) - Net - Cash Flow</t>
        </is>
      </c>
      <c r="K400" s="139" t="n">
        <v>-647</v>
      </c>
      <c r="M400" s="108" t="inlineStr">
        <is>
          <t>Property, Plant &amp; Equipment - Purchased - Cash Flow</t>
        </is>
      </c>
      <c r="N400" s="118" t="n">
        <v>348.04</v>
      </c>
      <c r="P400" s="117" t="inlineStr">
        <is>
          <t>Capital Expenditures - Net - Cash Flow</t>
        </is>
      </c>
      <c r="Q400" s="118" t="n">
        <v>2713</v>
      </c>
      <c r="S400" s="108" t="inlineStr">
        <is>
          <t>Other Liabilities - Increase/(Decrease) -Total - Cash Flow</t>
        </is>
      </c>
      <c r="T400" s="119" t="n">
        <v>78.97</v>
      </c>
      <c r="V400" s="117" t="inlineStr">
        <is>
          <t>Acquisition &amp; Disposals of Business - Assets - Sold/(Acquired) - Net - Cash Flow</t>
        </is>
      </c>
      <c r="W400" s="139" t="n">
        <v>-174.85</v>
      </c>
    </row>
    <row r="401">
      <c r="A401" s="108" t="inlineStr">
        <is>
          <t>Property, Plant &amp; Equipment - Purchased/(Sold) - Net - Cash Flow</t>
        </is>
      </c>
      <c r="B401" s="118" t="n">
        <v>653.6</v>
      </c>
      <c r="C401" s="118" t="n">
        <v>548.8</v>
      </c>
      <c r="D401" s="118" t="n">
        <v>778</v>
      </c>
      <c r="E401" s="118" t="n">
        <v>573.9</v>
      </c>
      <c r="F401" s="118" t="n">
        <v>234.8</v>
      </c>
      <c r="G401" s="161" t="n"/>
      <c r="H401" s="161" t="n"/>
      <c r="J401" s="108" t="inlineStr">
        <is>
          <t>Acquisition of Business - Cash Flow</t>
        </is>
      </c>
      <c r="K401" s="118" t="n">
        <v>685</v>
      </c>
      <c r="M401" s="108" t="inlineStr">
        <is>
          <t>Property, Plant &amp; Equipment Sold - Cash Flow</t>
        </is>
      </c>
      <c r="N401" s="119" t="n">
        <v>47.47</v>
      </c>
      <c r="P401" s="108" t="inlineStr">
        <is>
          <t>Property, Plant &amp; Equipment - Purchased/(Sold) - Net - Cash Flow</t>
        </is>
      </c>
      <c r="Q401" s="118" t="n">
        <v>2713</v>
      </c>
      <c r="S401" s="136" t="inlineStr">
        <is>
          <t>Net Cash Flow from Operating Activities</t>
        </is>
      </c>
      <c r="T401" s="137" t="n">
        <v>2057.69</v>
      </c>
      <c r="V401" s="108" t="inlineStr">
        <is>
          <t>Acquisition of Business - Cash Flow</t>
        </is>
      </c>
      <c r="W401" s="118" t="n">
        <v>174.85</v>
      </c>
    </row>
    <row r="402">
      <c r="A402" s="108" t="inlineStr">
        <is>
          <t>Property, Plant &amp; Equipment - Purchased - Cash Flow</t>
        </is>
      </c>
      <c r="B402" s="118" t="n">
        <v>677.7</v>
      </c>
      <c r="C402" s="118" t="n">
        <v>603.5</v>
      </c>
      <c r="D402" s="118" t="n">
        <v>872.6</v>
      </c>
      <c r="E402" s="118" t="n">
        <v>612.6</v>
      </c>
      <c r="F402" s="118" t="n">
        <v>451.3</v>
      </c>
      <c r="G402" s="161" t="n"/>
      <c r="H402" s="161" t="n"/>
      <c r="J402" s="108" t="inlineStr">
        <is>
          <t>Business - Sold - Cash Flow</t>
        </is>
      </c>
      <c r="K402" s="119" t="n">
        <v>38</v>
      </c>
      <c r="M402" s="108" t="inlineStr">
        <is>
          <t>Capital Expenditures - Total</t>
        </is>
      </c>
      <c r="N402" s="118" t="n">
        <v>348.04</v>
      </c>
      <c r="P402" s="108" t="inlineStr">
        <is>
          <t>Property, Plant &amp; Equipment - Purchased - Cash Flow</t>
        </is>
      </c>
      <c r="Q402" s="118" t="n">
        <v>2713</v>
      </c>
      <c r="S402" s="115" t="inlineStr">
        <is>
          <t>Investing Cash Flow</t>
        </is>
      </c>
      <c r="T402" s="116" t="n"/>
      <c r="V402" s="136" t="inlineStr">
        <is>
          <t>Net Cash Flow from Investing Activities</t>
        </is>
      </c>
      <c r="W402" s="167" t="n">
        <v>-370.13</v>
      </c>
    </row>
    <row r="403">
      <c r="A403" s="108" t="inlineStr">
        <is>
          <t>Property, Plant &amp; Equipment Sold - Cash Flow</t>
        </is>
      </c>
      <c r="B403" s="119" t="n">
        <v>24.1</v>
      </c>
      <c r="C403" s="119" t="n">
        <v>54.7</v>
      </c>
      <c r="D403" s="119" t="n">
        <v>94.59999999999999</v>
      </c>
      <c r="E403" s="119" t="n">
        <v>38.7</v>
      </c>
      <c r="F403" s="118" t="n">
        <v>216.5</v>
      </c>
      <c r="G403" s="161" t="n"/>
      <c r="H403" s="161" t="n"/>
      <c r="J403" s="117" t="inlineStr">
        <is>
          <t>Investments excluding Loans - Decrease/(Increase) - Cash Flow</t>
        </is>
      </c>
      <c r="K403" s="134" t="n">
        <v>0</v>
      </c>
      <c r="M403" s="117" t="inlineStr">
        <is>
          <t>Acquisition &amp; Disposals of Business - Assets - Sold/(Acquired) - Net - Cash Flow</t>
        </is>
      </c>
      <c r="N403" s="139" t="n">
        <v>-609.99</v>
      </c>
      <c r="P403" s="108" t="inlineStr">
        <is>
          <t>Capital Expenditures - Total</t>
        </is>
      </c>
      <c r="Q403" s="118" t="n">
        <v>2713</v>
      </c>
      <c r="S403" s="117" t="inlineStr">
        <is>
          <t>Capital Expenditures - Net - Cash Flow</t>
        </is>
      </c>
      <c r="T403" s="118" t="n">
        <v>1221.37</v>
      </c>
      <c r="V403" s="115" t="inlineStr">
        <is>
          <t>Financing Cash Flow</t>
        </is>
      </c>
      <c r="W403" s="116" t="n"/>
    </row>
    <row r="404">
      <c r="A404" s="108" t="inlineStr">
        <is>
          <t>Capital Expenditures - Total</t>
        </is>
      </c>
      <c r="B404" s="118" t="n">
        <v>677.7</v>
      </c>
      <c r="C404" s="118" t="n">
        <v>603.5</v>
      </c>
      <c r="D404" s="118" t="n">
        <v>872.6</v>
      </c>
      <c r="E404" s="118" t="n">
        <v>612.6</v>
      </c>
      <c r="F404" s="118" t="n">
        <v>451.3</v>
      </c>
      <c r="G404" s="161" t="n"/>
      <c r="H404" s="161" t="n"/>
      <c r="J404" s="108" t="inlineStr">
        <is>
          <t>Investment Securities - Unclassified - Sold/(Purchased) - Net - Total - Cash Flow</t>
        </is>
      </c>
      <c r="K404" s="134" t="n">
        <v>0</v>
      </c>
      <c r="M404" s="117" t="inlineStr">
        <is>
          <t>Investments excluding Loans - Decrease/(Increase) - Cash Flow</t>
        </is>
      </c>
      <c r="N404" s="145" t="n">
        <v>-3.1</v>
      </c>
      <c r="P404" s="117" t="inlineStr">
        <is>
          <t>Acquisition &amp; Disposals of Business - Assets - Sold/(Acquired) - Net - Cash Flow</t>
        </is>
      </c>
      <c r="Q404" s="139" t="n">
        <v>-3541</v>
      </c>
      <c r="S404" s="108" t="inlineStr">
        <is>
          <t>Property, Plant &amp; Equipment - Purchased/(Sold) - Net - Cash Flow</t>
        </is>
      </c>
      <c r="T404" s="118" t="n">
        <v>956</v>
      </c>
      <c r="V404" s="117" t="inlineStr">
        <is>
          <t>Dividends Paid - Cash - Total - Cash Flow</t>
        </is>
      </c>
      <c r="W404" s="119" t="n">
        <v>33.72</v>
      </c>
    </row>
    <row r="405">
      <c r="A405" s="117" t="inlineStr">
        <is>
          <t>Acquisition &amp; Disposals of Business - Assets - Sold/(Acquired) - Net - Cash Flow</t>
        </is>
      </c>
      <c r="B405" s="118" t="n">
        <v>113.9</v>
      </c>
      <c r="C405" s="139" t="n">
        <v>-2266</v>
      </c>
      <c r="D405" s="118" t="n">
        <v>614.5</v>
      </c>
      <c r="E405" s="139" t="n">
        <v>-479.2</v>
      </c>
      <c r="F405" s="139" t="n">
        <v>-1639.4</v>
      </c>
      <c r="G405" s="164" t="n"/>
      <c r="H405" s="164" t="n"/>
      <c r="J405" s="108" t="inlineStr">
        <is>
          <t>Investment Securities - Sold/Matured - Unclassified - Cash Flow</t>
        </is>
      </c>
      <c r="K405" s="134" t="n">
        <v>0</v>
      </c>
      <c r="M405" s="108" t="inlineStr">
        <is>
          <t>Investment Securities - Unclassified - Sold/(Purchased) - Net - Total - Cash Flow</t>
        </is>
      </c>
      <c r="N405" s="145" t="n">
        <v>-3.1</v>
      </c>
      <c r="P405" s="108" t="inlineStr">
        <is>
          <t>Acquisition of Business - Cash Flow</t>
        </is>
      </c>
      <c r="Q405" s="118" t="n">
        <v>3856</v>
      </c>
      <c r="S405" s="108" t="inlineStr">
        <is>
          <t>Property, Plant &amp; Equipment - Purchased - Cash Flow</t>
        </is>
      </c>
      <c r="T405" s="118" t="n">
        <v>1059.92</v>
      </c>
      <c r="V405" s="108" t="inlineStr">
        <is>
          <t>Dividends - Common - Cash Paid</t>
        </is>
      </c>
      <c r="W405" s="119" t="n">
        <v>33.72</v>
      </c>
    </row>
    <row r="406">
      <c r="A406" s="108" t="inlineStr">
        <is>
          <t>Acquisition of Business - Cash Flow</t>
        </is>
      </c>
      <c r="B406" s="119" t="n">
        <v>13.5</v>
      </c>
      <c r="C406" s="118" t="n">
        <v>2266.2</v>
      </c>
      <c r="D406" s="134" t="n"/>
      <c r="E406" s="118" t="n">
        <v>529.2</v>
      </c>
      <c r="F406" s="118" t="n">
        <v>1639.4</v>
      </c>
      <c r="G406" s="161" t="n"/>
      <c r="H406" s="161" t="n"/>
      <c r="J406" s="117" t="inlineStr">
        <is>
          <t>Other Investing Cash Flow - Decrease/(Increase)</t>
        </is>
      </c>
      <c r="K406" s="139" t="n">
        <v>-134</v>
      </c>
      <c r="M406" s="136" t="inlineStr">
        <is>
          <t>Net Cash Flow from Investing Activities</t>
        </is>
      </c>
      <c r="N406" s="167" t="n">
        <v>-913.66</v>
      </c>
      <c r="P406" s="108" t="inlineStr">
        <is>
          <t>Business - Sold - Cash Flow</t>
        </is>
      </c>
      <c r="Q406" s="118" t="n">
        <v>315</v>
      </c>
      <c r="S406" s="108" t="inlineStr">
        <is>
          <t>Property, Plant &amp; Equipment Sold - Cash Flow</t>
        </is>
      </c>
      <c r="T406" s="118" t="n">
        <v>103.91</v>
      </c>
      <c r="V406" s="117" t="inlineStr">
        <is>
          <t>Stock - Total - Issuance/(Retirement) - Net - Cash Flow</t>
        </is>
      </c>
      <c r="W406" s="139" t="n">
        <v>-291.91</v>
      </c>
    </row>
    <row r="407">
      <c r="A407" s="108" t="inlineStr">
        <is>
          <t>Business - Sold - Cash Flow</t>
        </is>
      </c>
      <c r="B407" s="118" t="n">
        <v>127.4</v>
      </c>
      <c r="C407" s="119" t="n">
        <v>0.2</v>
      </c>
      <c r="D407" s="118" t="n">
        <v>614.5</v>
      </c>
      <c r="E407" s="119" t="n">
        <v>50</v>
      </c>
      <c r="F407" s="134" t="n">
        <v>0</v>
      </c>
      <c r="G407" s="163" t="n"/>
      <c r="H407" s="163" t="n"/>
      <c r="J407" s="136" t="inlineStr">
        <is>
          <t>Net Cash Flow from Investing Activities</t>
        </is>
      </c>
      <c r="K407" s="167" t="n">
        <v>-1588</v>
      </c>
      <c r="M407" s="115" t="inlineStr">
        <is>
          <t>Financing Cash Flow</t>
        </is>
      </c>
      <c r="N407" s="116" t="n"/>
      <c r="P407" s="117" t="inlineStr">
        <is>
          <t>Derivative Financial Instruments - Hedging - Sold/(Purchased) -Total - Cash Flow</t>
        </is>
      </c>
      <c r="Q407" s="145" t="n">
        <v>-81</v>
      </c>
      <c r="S407" s="108" t="inlineStr">
        <is>
          <t>Intangible Assets - Purchased/(Sold) - Net - Total - Cash Flow</t>
        </is>
      </c>
      <c r="T407" s="118" t="n">
        <v>265.36</v>
      </c>
      <c r="V407" s="108" t="inlineStr">
        <is>
          <t>Stock - Issuance/(Retirement) - Net - Excluding Options/Warrants - Cash Flow</t>
        </is>
      </c>
      <c r="W407" s="139" t="n">
        <v>-298.29</v>
      </c>
    </row>
    <row r="408">
      <c r="A408" s="117" t="inlineStr">
        <is>
          <t>Other Investing Cash Flow - Decrease/(Increase)</t>
        </is>
      </c>
      <c r="B408" s="119" t="n">
        <v>10.5</v>
      </c>
      <c r="C408" s="145" t="n">
        <v>-0.1</v>
      </c>
      <c r="D408" s="134" t="n">
        <v>0</v>
      </c>
      <c r="E408" s="119" t="n">
        <v>0.1</v>
      </c>
      <c r="F408" s="119" t="n">
        <v>0.1</v>
      </c>
      <c r="G408" s="162" t="n"/>
      <c r="H408" s="162" t="n"/>
      <c r="J408" s="115" t="inlineStr">
        <is>
          <t>Financing Cash Flow</t>
        </is>
      </c>
      <c r="K408" s="116" t="n"/>
      <c r="M408" s="117" t="inlineStr">
        <is>
          <t>Stock - Total - Issuance/(Retirement) - Net - Cash Flow</t>
        </is>
      </c>
      <c r="N408" s="145" t="n">
        <v>-2.65</v>
      </c>
      <c r="P408" s="117" t="inlineStr">
        <is>
          <t>Other Investing Cash Flow - Decrease/(Increase)</t>
        </is>
      </c>
      <c r="Q408" s="118" t="n">
        <v>290</v>
      </c>
      <c r="S408" s="108" t="inlineStr">
        <is>
          <t>Intangible Assets - Purchased/Acquired - Cash Flow</t>
        </is>
      </c>
      <c r="T408" s="118" t="n">
        <v>265.36</v>
      </c>
      <c r="V408" s="108" t="inlineStr">
        <is>
          <t>Stock - Common - Issuance/(Retirement) - Net - Cash Flow</t>
        </is>
      </c>
      <c r="W408" s="139" t="n">
        <v>-298.29</v>
      </c>
    </row>
    <row r="409">
      <c r="A409" s="136" t="inlineStr">
        <is>
          <t>Net Cash Flow from Investing Activities</t>
        </is>
      </c>
      <c r="B409" s="167" t="n">
        <v>-529.2</v>
      </c>
      <c r="C409" s="167" t="n">
        <v>-2814.9</v>
      </c>
      <c r="D409" s="167" t="n">
        <v>-163.5</v>
      </c>
      <c r="E409" s="167" t="n">
        <v>-1053</v>
      </c>
      <c r="F409" s="167" t="n">
        <v>-1874.1</v>
      </c>
      <c r="G409" s="168" t="n"/>
      <c r="H409" s="168" t="n"/>
      <c r="J409" s="117" t="inlineStr">
        <is>
          <t>Dividends Paid - Cash - Total - Cash Flow</t>
        </is>
      </c>
      <c r="K409" s="118" t="n">
        <v>197</v>
      </c>
      <c r="M409" s="108" t="inlineStr">
        <is>
          <t>Options Exercised - Cash Flow</t>
        </is>
      </c>
      <c r="N409" s="145" t="n">
        <v>-2.65</v>
      </c>
      <c r="P409" s="136" t="inlineStr">
        <is>
          <t>Net Cash Flow from Investing Activities</t>
        </is>
      </c>
      <c r="Q409" s="167" t="n">
        <v>-6045</v>
      </c>
      <c r="S409" s="108" t="inlineStr">
        <is>
          <t>Capital Expenditures - Total</t>
        </is>
      </c>
      <c r="T409" s="118" t="n">
        <v>1325.28</v>
      </c>
      <c r="V409" s="108" t="inlineStr">
        <is>
          <t>Stock - Common - Repurchased/Retired - Cash Flow</t>
        </is>
      </c>
      <c r="W409" s="118" t="n">
        <v>298.29</v>
      </c>
    </row>
    <row r="410">
      <c r="A410" s="115" t="inlineStr">
        <is>
          <t>Financing Cash Flow</t>
        </is>
      </c>
      <c r="B410" s="116" t="n"/>
      <c r="C410" s="116" t="n"/>
      <c r="D410" s="116" t="n"/>
      <c r="E410" s="116" t="n"/>
      <c r="F410" s="116" t="n"/>
      <c r="J410" s="108" t="inlineStr">
        <is>
          <t>Dividends - Common - Cash Paid</t>
        </is>
      </c>
      <c r="K410" s="118" t="n">
        <v>197</v>
      </c>
      <c r="M410" s="117" t="inlineStr">
        <is>
          <t>Debt - Long-Term &amp; Short-Term - Issuance/(Retirement) - Total - Cash Flow</t>
        </is>
      </c>
      <c r="N410" s="118" t="n">
        <v>491.19</v>
      </c>
      <c r="P410" s="115" t="inlineStr">
        <is>
          <t>Financing Cash Flow</t>
        </is>
      </c>
      <c r="Q410" s="116" t="n"/>
      <c r="S410" s="117" t="inlineStr">
        <is>
          <t>Acquisition &amp; Disposals of Business - Assets - Sold/(Acquired) - Net - Cash Flow</t>
        </is>
      </c>
      <c r="T410" s="118" t="n">
        <v>964.83</v>
      </c>
      <c r="V410" s="108" t="inlineStr">
        <is>
          <t>Options Exercised - Cash Flow</t>
        </is>
      </c>
      <c r="W410" s="119" t="n">
        <v>6.38</v>
      </c>
    </row>
    <row r="411">
      <c r="A411" s="117" t="inlineStr">
        <is>
          <t>Dividends Paid - Cash - Total - Cash Flow</t>
        </is>
      </c>
      <c r="B411" s="118" t="n">
        <v>259.8</v>
      </c>
      <c r="C411" s="118" t="n">
        <v>244.4</v>
      </c>
      <c r="D411" s="118" t="n">
        <v>228.4</v>
      </c>
      <c r="E411" s="118" t="n">
        <v>212.6</v>
      </c>
      <c r="F411" s="118" t="n">
        <v>196.4</v>
      </c>
      <c r="G411" s="161" t="n"/>
      <c r="H411" s="161" t="n"/>
      <c r="J411" s="117" t="inlineStr">
        <is>
          <t>Stock - Total - Issuance/(Retirement) - Net - Cash Flow</t>
        </is>
      </c>
      <c r="K411" s="139" t="n">
        <v>-450</v>
      </c>
      <c r="M411" s="108" t="inlineStr">
        <is>
          <t>Debt - Issued/(Reduced) - Long-Term - Cash Flow</t>
        </is>
      </c>
      <c r="N411" s="118" t="n">
        <v>491.19</v>
      </c>
      <c r="P411" s="117" t="inlineStr">
        <is>
          <t>Dividends Paid - Cash - Total - Cash Flow</t>
        </is>
      </c>
      <c r="Q411" s="118" t="n">
        <v>996</v>
      </c>
      <c r="S411" s="108" t="inlineStr">
        <is>
          <t>Acquisition of Business - Cash Flow</t>
        </is>
      </c>
      <c r="T411" s="119" t="n">
        <v>44.27</v>
      </c>
      <c r="V411" s="117" t="inlineStr">
        <is>
          <t>Debt - Long-Term &amp; Short-Term - Issuance/(Retirement) - Total - Cash Flow</t>
        </is>
      </c>
      <c r="W411" s="118" t="n">
        <v>143.75</v>
      </c>
    </row>
    <row r="412">
      <c r="A412" s="108" t="inlineStr">
        <is>
          <t>Dividends - Common - Cash Paid</t>
        </is>
      </c>
      <c r="B412" s="118" t="n">
        <v>259.8</v>
      </c>
      <c r="C412" s="118" t="n">
        <v>244.4</v>
      </c>
      <c r="D412" s="118" t="n">
        <v>228.4</v>
      </c>
      <c r="E412" s="118" t="n">
        <v>212.6</v>
      </c>
      <c r="F412" s="118" t="n">
        <v>196.4</v>
      </c>
      <c r="G412" s="161" t="n"/>
      <c r="H412" s="161" t="n"/>
      <c r="J412" s="108" t="inlineStr">
        <is>
          <t>Stock - Issuance/(Retirement) - Net - Excluding Options/Warrants - Cash Flow</t>
        </is>
      </c>
      <c r="K412" s="139" t="n">
        <v>-450</v>
      </c>
      <c r="M412" s="108" t="inlineStr">
        <is>
          <t>Debt - Issued - Long-Term - Cash Flow</t>
        </is>
      </c>
      <c r="N412" s="118" t="n">
        <v>500</v>
      </c>
      <c r="P412" s="108" t="inlineStr">
        <is>
          <t>Dividends - Common - Cash Paid</t>
        </is>
      </c>
      <c r="Q412" s="118" t="n">
        <v>996</v>
      </c>
      <c r="S412" s="108" t="inlineStr">
        <is>
          <t>Business - Sold - Cash Flow</t>
        </is>
      </c>
      <c r="T412" s="118" t="n">
        <v>1009.1</v>
      </c>
      <c r="V412" s="108" t="inlineStr">
        <is>
          <t>Debt - Issued/(Reduced) - Long-Term - Cash Flow</t>
        </is>
      </c>
      <c r="W412" s="118" t="n">
        <v>143.75</v>
      </c>
    </row>
    <row r="413">
      <c r="A413" s="117" t="inlineStr">
        <is>
          <t>Stock - Total - Issuance/(Retirement) - Net - Cash Flow</t>
        </is>
      </c>
      <c r="B413" s="139" t="n">
        <v>-438.4</v>
      </c>
      <c r="C413" s="145" t="n">
        <v>-68.8</v>
      </c>
      <c r="D413" s="139" t="n">
        <v>-200</v>
      </c>
      <c r="E413" s="134" t="n">
        <v>0</v>
      </c>
      <c r="F413" s="134" t="n">
        <v>0</v>
      </c>
      <c r="G413" s="163" t="n"/>
      <c r="H413" s="163" t="n"/>
      <c r="J413" s="108" t="inlineStr">
        <is>
          <t>Stock - Common - Issuance/(Retirement) - Net - Cash Flow</t>
        </is>
      </c>
      <c r="K413" s="139" t="n">
        <v>-450</v>
      </c>
      <c r="M413" s="108" t="inlineStr">
        <is>
          <t>Debt - Reduced - Long-Term - Cash Flow</t>
        </is>
      </c>
      <c r="N413" s="119" t="n">
        <v>8.81</v>
      </c>
      <c r="P413" s="117" t="inlineStr">
        <is>
          <t>Stock - Total - Issuance/(Retirement) - Net - Cash Flow</t>
        </is>
      </c>
      <c r="Q413" s="139" t="n">
        <v>-1181</v>
      </c>
      <c r="S413" s="117" t="inlineStr">
        <is>
          <t>Other Investing Cash Flow - Decrease/(Increase)</t>
        </is>
      </c>
      <c r="T413" s="145" t="n">
        <v>-6.93</v>
      </c>
      <c r="V413" s="108" t="inlineStr">
        <is>
          <t>Debt - Issued - Long-Term - Cash Flow</t>
        </is>
      </c>
      <c r="W413" s="118" t="n">
        <v>460</v>
      </c>
    </row>
    <row r="414">
      <c r="A414" s="108" t="inlineStr">
        <is>
          <t>Stock - Issuance/(Retirement) - Net - Excluding Options/Warrants - Cash Flow</t>
        </is>
      </c>
      <c r="B414" s="139" t="n">
        <v>-438.4</v>
      </c>
      <c r="C414" s="145" t="n">
        <v>-68.8</v>
      </c>
      <c r="D414" s="139" t="n">
        <v>-200</v>
      </c>
      <c r="E414" s="134" t="n">
        <v>0</v>
      </c>
      <c r="F414" s="134" t="n">
        <v>0</v>
      </c>
      <c r="G414" s="163" t="n"/>
      <c r="H414" s="163" t="n"/>
      <c r="J414" s="108" t="inlineStr">
        <is>
          <t>Stock - Common - Repurchased/Retired - Cash Flow</t>
        </is>
      </c>
      <c r="K414" s="118" t="n">
        <v>450</v>
      </c>
      <c r="M414" s="117" t="inlineStr">
        <is>
          <t>Other Financing Cash Flow - Increase/(Decrease)</t>
        </is>
      </c>
      <c r="N414" s="145" t="n">
        <v>-11.07</v>
      </c>
      <c r="P414" s="108" t="inlineStr">
        <is>
          <t>Stock - Issuance/(Retirement) - Net - Excluding Options/Warrants - Cash Flow</t>
        </is>
      </c>
      <c r="Q414" s="139" t="n">
        <v>-1181</v>
      </c>
      <c r="S414" s="136" t="inlineStr">
        <is>
          <t>Net Cash Flow from Investing Activities</t>
        </is>
      </c>
      <c r="T414" s="167" t="n">
        <v>-263.46</v>
      </c>
      <c r="V414" s="108" t="inlineStr">
        <is>
          <t>Debt - Reduced - Long-Term - Cash Flow</t>
        </is>
      </c>
      <c r="W414" s="118" t="n">
        <v>316.25</v>
      </c>
    </row>
    <row r="415">
      <c r="A415" s="108" t="inlineStr">
        <is>
          <t>Stock - Common - Issuance/(Retirement) - Net - Cash Flow</t>
        </is>
      </c>
      <c r="B415" s="139" t="n">
        <v>-438.4</v>
      </c>
      <c r="C415" s="145" t="n">
        <v>-68.8</v>
      </c>
      <c r="D415" s="139" t="n">
        <v>-200</v>
      </c>
      <c r="E415" s="134" t="n">
        <v>0</v>
      </c>
      <c r="F415" s="134" t="n">
        <v>0</v>
      </c>
      <c r="G415" s="163" t="n"/>
      <c r="H415" s="163" t="n"/>
      <c r="J415" s="117" t="inlineStr">
        <is>
          <t>Debt - Long-Term &amp; Short-Term - Issuance/(Retirement) - Total - Cash Flow</t>
        </is>
      </c>
      <c r="K415" s="139" t="n">
        <v>-118</v>
      </c>
      <c r="M415" s="136" t="inlineStr">
        <is>
          <t>Net Cash Flow from Financing Activities</t>
        </is>
      </c>
      <c r="N415" s="137" t="n">
        <v>477.47</v>
      </c>
      <c r="P415" s="108" t="inlineStr">
        <is>
          <t>Stock - Common - Issuance/(Retirement) - Net - Cash Flow</t>
        </is>
      </c>
      <c r="Q415" s="139" t="n">
        <v>-1181</v>
      </c>
      <c r="S415" s="115" t="inlineStr">
        <is>
          <t>Financing Cash Flow</t>
        </is>
      </c>
      <c r="T415" s="116" t="n"/>
      <c r="V415" s="117" t="inlineStr">
        <is>
          <t>Other Financing Cash Flow - Increase/(Decrease)</t>
        </is>
      </c>
      <c r="W415" s="145" t="n">
        <v>-11.06</v>
      </c>
    </row>
    <row r="416">
      <c r="A416" s="108" t="inlineStr">
        <is>
          <t>Stock - Common - Repurchased/Retired - Cash Flow</t>
        </is>
      </c>
      <c r="B416" s="118" t="n">
        <v>438.4</v>
      </c>
      <c r="C416" s="119" t="n">
        <v>68.8</v>
      </c>
      <c r="D416" s="118" t="n">
        <v>200</v>
      </c>
      <c r="E416" s="134" t="n">
        <v>0</v>
      </c>
      <c r="F416" s="134" t="n">
        <v>0</v>
      </c>
      <c r="G416" s="163" t="n"/>
      <c r="H416" s="163" t="n"/>
      <c r="J416" s="108" t="inlineStr">
        <is>
          <t>Debt - Issued/(Reduced) - Long-Term - Cash Flow</t>
        </is>
      </c>
      <c r="K416" s="139" t="n">
        <v>-118</v>
      </c>
      <c r="M416" s="115" t="inlineStr">
        <is>
          <t>Change in Cash</t>
        </is>
      </c>
      <c r="N416" s="116" t="n"/>
      <c r="P416" s="108" t="inlineStr">
        <is>
          <t>Stock - Common - Repurchased/Retired - Cash Flow</t>
        </is>
      </c>
      <c r="Q416" s="118" t="n">
        <v>1181</v>
      </c>
      <c r="S416" s="117" t="inlineStr">
        <is>
          <t>Dividends Paid - Cash - Total - Cash Flow</t>
        </is>
      </c>
      <c r="T416" s="118" t="n">
        <v>127.47</v>
      </c>
      <c r="V416" s="108" t="inlineStr">
        <is>
          <t>Tax Payments or Benefits relating to Stock-based Compensation/Buyback/Withheld shares</t>
        </is>
      </c>
      <c r="W416" s="119" t="n">
        <v>9.23</v>
      </c>
    </row>
    <row r="417">
      <c r="A417" s="117" t="inlineStr">
        <is>
          <t>Debt - Long-Term &amp; Short-Term - Issuance/(Retirement) - Total - Cash Flow</t>
        </is>
      </c>
      <c r="B417" s="139" t="n">
        <v>-961.4</v>
      </c>
      <c r="C417" s="118" t="n">
        <v>1436.5</v>
      </c>
      <c r="D417" s="139" t="n">
        <v>-131.3</v>
      </c>
      <c r="E417" s="119" t="n">
        <v>58.5</v>
      </c>
      <c r="F417" s="118" t="n">
        <v>134.8</v>
      </c>
      <c r="G417" s="161" t="n"/>
      <c r="H417" s="161" t="n"/>
      <c r="J417" s="108" t="inlineStr">
        <is>
          <t>Lease liabilities - Issued/(Reduced) - Cash Flow</t>
        </is>
      </c>
      <c r="K417" s="145" t="n">
        <v>-23</v>
      </c>
      <c r="M417" s="136" t="inlineStr">
        <is>
          <t>Net Change in Cash - Total</t>
        </is>
      </c>
      <c r="N417" s="167" t="n">
        <v>-157.72</v>
      </c>
      <c r="P417" s="117" t="inlineStr">
        <is>
          <t>Minority Interests &amp; Joint Ventures - Net - Cash Flow</t>
        </is>
      </c>
      <c r="Q417" s="119" t="n">
        <v>28</v>
      </c>
      <c r="S417" s="108" t="inlineStr">
        <is>
          <t>Dividends - Common - Cash Paid</t>
        </is>
      </c>
      <c r="T417" s="118" t="n">
        <v>127.47</v>
      </c>
      <c r="V417" s="136" t="inlineStr">
        <is>
          <t>Net Cash Flow from Financing Activities</t>
        </is>
      </c>
      <c r="W417" s="167" t="n">
        <v>-192.94</v>
      </c>
    </row>
    <row r="418">
      <c r="A418" s="108" t="inlineStr">
        <is>
          <t>Debt - Issued/(Reduced) - Short-Term - Total - Cash Flow</t>
        </is>
      </c>
      <c r="B418" s="139" t="n">
        <v>-550</v>
      </c>
      <c r="C418" s="134" t="n">
        <v>0</v>
      </c>
      <c r="D418" s="139" t="n">
        <v>-100</v>
      </c>
      <c r="E418" s="118" t="n">
        <v>100</v>
      </c>
      <c r="F418" s="134" t="n">
        <v>0</v>
      </c>
      <c r="G418" s="163" t="n"/>
      <c r="H418" s="163" t="n"/>
      <c r="J418" s="108" t="inlineStr">
        <is>
          <t>Debt - Issued - Long-Term - Cash Flow</t>
        </is>
      </c>
      <c r="K418" s="118" t="n">
        <v>640</v>
      </c>
      <c r="M418" s="108" t="inlineStr">
        <is>
          <t>Net Cash from Continuing Operations</t>
        </is>
      </c>
      <c r="N418" s="139" t="n">
        <v>-157.72</v>
      </c>
      <c r="P418" s="117" t="inlineStr">
        <is>
          <t>Debt - Long-Term &amp; Short-Term - Issuance/(Retirement) - Total - Cash Flow</t>
        </is>
      </c>
      <c r="Q418" s="118" t="n">
        <v>2736</v>
      </c>
      <c r="S418" s="117" t="inlineStr">
        <is>
          <t>Stock - Total - Issuance/(Retirement) - Net - Cash Flow</t>
        </is>
      </c>
      <c r="T418" s="118" t="n">
        <v>994.5</v>
      </c>
      <c r="V418" s="115" t="inlineStr">
        <is>
          <t>Change in Cash</t>
        </is>
      </c>
      <c r="W418" s="116" t="n"/>
    </row>
    <row r="419">
      <c r="A419" s="108" t="inlineStr">
        <is>
          <t>Debt - Issued - Short-Term - Cash Flow</t>
        </is>
      </c>
      <c r="B419" s="134" t="n">
        <v>0</v>
      </c>
      <c r="C419" s="119" t="n">
        <v>8</v>
      </c>
      <c r="D419" s="118" t="n">
        <v>166.1</v>
      </c>
      <c r="E419" s="118" t="n">
        <v>1361</v>
      </c>
      <c r="F419" s="134" t="n">
        <v>0</v>
      </c>
      <c r="G419" s="163" t="n"/>
      <c r="H419" s="163" t="n"/>
      <c r="J419" s="108" t="inlineStr">
        <is>
          <t>Debt - Reduced - Long-Term - Cash Flow</t>
        </is>
      </c>
      <c r="K419" s="118" t="n">
        <v>758</v>
      </c>
      <c r="M419" s="117" t="inlineStr">
        <is>
          <t>Net Cash - Beginning Balance</t>
        </is>
      </c>
      <c r="N419" s="118" t="n">
        <v>281.13</v>
      </c>
      <c r="P419" s="108" t="inlineStr">
        <is>
          <t>Debt - Issued/(Reduced) - Long-Term &amp; Short-Term - Cash Flow</t>
        </is>
      </c>
      <c r="Q419" s="118" t="n">
        <v>2867</v>
      </c>
      <c r="S419" s="108" t="inlineStr">
        <is>
          <t>Stock - Issuance/(Retirement) - Net - Excluding Options/Warrants - Cash Flow</t>
        </is>
      </c>
      <c r="T419" s="118" t="n">
        <v>994.5</v>
      </c>
      <c r="V419" s="136" t="inlineStr">
        <is>
          <t>Net Change in Cash - Total</t>
        </is>
      </c>
      <c r="W419" s="169" t="n">
        <v>-14.52</v>
      </c>
    </row>
    <row r="420">
      <c r="A420" s="108" t="inlineStr">
        <is>
          <t>Debt - Reduced - Short-Term - Cash Flow</t>
        </is>
      </c>
      <c r="B420" s="118" t="n">
        <v>550</v>
      </c>
      <c r="C420" s="119" t="n">
        <v>8</v>
      </c>
      <c r="D420" s="118" t="n">
        <v>266.1</v>
      </c>
      <c r="E420" s="118" t="n">
        <v>1261</v>
      </c>
      <c r="F420" s="134" t="n">
        <v>0</v>
      </c>
      <c r="G420" s="163" t="n"/>
      <c r="H420" s="163" t="n"/>
      <c r="J420" s="108" t="inlineStr">
        <is>
          <t>Lease liabilities - Reduced - Cash flow</t>
        </is>
      </c>
      <c r="K420" s="119" t="n">
        <v>23</v>
      </c>
      <c r="M420" s="117" t="inlineStr">
        <is>
          <t>Net Cash - Ending Balance</t>
        </is>
      </c>
      <c r="N420" s="118" t="n">
        <v>123.42</v>
      </c>
      <c r="P420" s="108" t="inlineStr">
        <is>
          <t>Debt - Issued - Long-Term &amp; Short-Term - Cash Flow</t>
        </is>
      </c>
      <c r="Q420" s="134" t="n">
        <v>10479</v>
      </c>
      <c r="S420" s="108" t="inlineStr">
        <is>
          <t>Stock - Common - Issuance/(Retirement) - Net - Cash Flow</t>
        </is>
      </c>
      <c r="T420" s="118" t="n">
        <v>994.5</v>
      </c>
      <c r="V420" s="108" t="inlineStr">
        <is>
          <t>Net Cash from Continuing Operations</t>
        </is>
      </c>
      <c r="W420" s="145" t="n">
        <v>-14.52</v>
      </c>
    </row>
    <row r="421">
      <c r="A421" s="108" t="inlineStr">
        <is>
          <t>Debt - Issued/(Reduced) - Long-Term - Cash Flow</t>
        </is>
      </c>
      <c r="B421" s="139" t="n">
        <v>-411.4</v>
      </c>
      <c r="C421" s="118" t="n">
        <v>1436.5</v>
      </c>
      <c r="D421" s="145" t="n">
        <v>-31.3</v>
      </c>
      <c r="E421" s="145" t="n">
        <v>-41.5</v>
      </c>
      <c r="F421" s="118" t="n">
        <v>134.8</v>
      </c>
      <c r="G421" s="161" t="n"/>
      <c r="H421" s="161" t="n"/>
      <c r="J421" s="117" t="inlineStr">
        <is>
          <t>Other Financing Cash Flow - Increase/(Decrease)</t>
        </is>
      </c>
      <c r="K421" s="145" t="n">
        <v>-35</v>
      </c>
      <c r="M421" s="115" t="inlineStr">
        <is>
          <t>Supplemental</t>
        </is>
      </c>
      <c r="N421" s="116" t="n"/>
      <c r="P421" s="108" t="inlineStr">
        <is>
          <t>Debt - Reduced - Long-Term &amp; Short-Term - Cash Flow</t>
        </is>
      </c>
      <c r="Q421" s="118" t="n">
        <v>7612</v>
      </c>
      <c r="S421" s="108" t="inlineStr">
        <is>
          <t>Stock - Common - Issued/Sold - Cash Flow</t>
        </is>
      </c>
      <c r="T421" s="118" t="n">
        <v>994.5</v>
      </c>
      <c r="V421" s="117" t="inlineStr">
        <is>
          <t>Net Cash - Beginning Balance</t>
        </is>
      </c>
      <c r="W421" s="119" t="n">
        <v>34.92</v>
      </c>
    </row>
    <row r="422">
      <c r="A422" s="108" t="inlineStr">
        <is>
          <t>Lease liabilities - Issued/(Reduced) - Cash Flow</t>
        </is>
      </c>
      <c r="B422" s="145" t="n">
        <v>-10.9</v>
      </c>
      <c r="C422" s="145" t="n">
        <v>-13</v>
      </c>
      <c r="D422" s="145" t="n">
        <v>-30.8</v>
      </c>
      <c r="E422" s="145" t="n">
        <v>-33.8</v>
      </c>
      <c r="F422" s="145" t="n">
        <v>-13.5</v>
      </c>
      <c r="G422" s="165" t="n"/>
      <c r="H422" s="165" t="n"/>
      <c r="J422" s="108" t="inlineStr">
        <is>
          <t>Tax Payments or Benefits relating to Stock-based Compensation/Buyback/Withheld shares</t>
        </is>
      </c>
      <c r="K422" s="119" t="n">
        <v>31</v>
      </c>
      <c r="M422" s="117" t="inlineStr">
        <is>
          <t>Income Taxes - Paid/(Reimbursed) - Cash Flow - Supplemental</t>
        </is>
      </c>
      <c r="N422" s="119" t="n">
        <v>41.77</v>
      </c>
      <c r="P422" s="108" t="inlineStr">
        <is>
          <t>Debt - Issued/(Reduced) - Long-Term - Cash Flow</t>
        </is>
      </c>
      <c r="Q422" s="139" t="n">
        <v>-131</v>
      </c>
      <c r="S422" s="117" t="inlineStr">
        <is>
          <t>Minority Interests &amp; Joint Ventures - Net - Cash Flow</t>
        </is>
      </c>
      <c r="T422" s="145" t="n">
        <v>-0.05</v>
      </c>
      <c r="V422" s="117" t="inlineStr">
        <is>
          <t>Net Cash - Ending Balance</t>
        </is>
      </c>
      <c r="W422" s="119" t="n">
        <v>20.4</v>
      </c>
    </row>
    <row r="423">
      <c r="A423" s="108" t="inlineStr">
        <is>
          <t>Debt - Issued - Long-Term - Cash Flow</t>
        </is>
      </c>
      <c r="B423" s="134" t="n">
        <v>0</v>
      </c>
      <c r="C423" s="118" t="n">
        <v>2000</v>
      </c>
      <c r="D423" s="118" t="n">
        <v>550</v>
      </c>
      <c r="E423" s="118" t="n">
        <v>550</v>
      </c>
      <c r="F423" s="118" t="n">
        <v>1600</v>
      </c>
      <c r="G423" s="161" t="n"/>
      <c r="H423" s="161" t="n"/>
      <c r="J423" s="136" t="inlineStr">
        <is>
          <t>Net Cash Flow from Financing Activities</t>
        </is>
      </c>
      <c r="K423" s="167" t="n">
        <v>-800</v>
      </c>
      <c r="M423" s="117" t="inlineStr">
        <is>
          <t>Interest Paid - Cash Flow - Supplemental</t>
        </is>
      </c>
      <c r="N423" s="119" t="n">
        <v>78.78</v>
      </c>
      <c r="P423" s="108" t="inlineStr">
        <is>
          <t>Lease liabilities - Issued/(Reduced) - Cash Flow</t>
        </is>
      </c>
      <c r="Q423" s="139" t="n">
        <v>-131</v>
      </c>
      <c r="S423" s="117" t="inlineStr">
        <is>
          <t>Debt - Long-Term &amp; Short-Term - Issuance/(Retirement) - Total - Cash Flow</t>
        </is>
      </c>
      <c r="T423" s="139" t="n">
        <v>-434.03</v>
      </c>
      <c r="V423" s="115" t="inlineStr">
        <is>
          <t>Supplemental</t>
        </is>
      </c>
      <c r="W423" s="116" t="n"/>
    </row>
    <row r="424">
      <c r="A424" s="108" t="inlineStr">
        <is>
          <t>Debt - Reduced - Long-Term - Cash Flow</t>
        </is>
      </c>
      <c r="B424" s="118" t="n">
        <v>411.4</v>
      </c>
      <c r="C424" s="118" t="n">
        <v>563.5</v>
      </c>
      <c r="D424" s="118" t="n">
        <v>581.3</v>
      </c>
      <c r="E424" s="118" t="n">
        <v>591.5</v>
      </c>
      <c r="F424" s="118" t="n">
        <v>1465.2</v>
      </c>
      <c r="G424" s="161" t="n"/>
      <c r="H424" s="161" t="n"/>
      <c r="J424" s="115" t="inlineStr">
        <is>
          <t>Change in Cash</t>
        </is>
      </c>
      <c r="K424" s="116" t="n"/>
      <c r="M424" s="117" t="inlineStr">
        <is>
          <t>CF from Optg Activities before Change in WC &amp; Int Payments</t>
        </is>
      </c>
      <c r="N424" s="118" t="n">
        <v>369.3</v>
      </c>
      <c r="P424" s="108" t="inlineStr">
        <is>
          <t>Debt - Reduced - Long-Term - Cash Flow</t>
        </is>
      </c>
      <c r="Q424" s="118" t="n">
        <v>131</v>
      </c>
      <c r="S424" s="108" t="inlineStr">
        <is>
          <t>Debt - Issued/(Reduced) - Long-Term - Cash Flow</t>
        </is>
      </c>
      <c r="T424" s="139" t="n">
        <v>-434.03</v>
      </c>
      <c r="V424" s="117" t="inlineStr">
        <is>
          <t>Income Taxes - Paid/(Reimbursed) - Cash Flow - Supplemental</t>
        </is>
      </c>
      <c r="W424" s="118" t="n">
        <v>140.79</v>
      </c>
    </row>
    <row r="425">
      <c r="A425" s="108" t="inlineStr">
        <is>
          <t>Lease liabilities - Reduced - Cash flow</t>
        </is>
      </c>
      <c r="B425" s="119" t="n">
        <v>10.9</v>
      </c>
      <c r="C425" s="119" t="n">
        <v>13</v>
      </c>
      <c r="D425" s="119" t="n">
        <v>30.8</v>
      </c>
      <c r="E425" s="119" t="n">
        <v>33.8</v>
      </c>
      <c r="F425" s="119" t="n">
        <v>13.5</v>
      </c>
      <c r="G425" s="162" t="n"/>
      <c r="H425" s="162" t="n"/>
      <c r="J425" s="136" t="inlineStr">
        <is>
          <t>Net Change in Cash - Total</t>
        </is>
      </c>
      <c r="K425" s="167" t="n">
        <v>-603</v>
      </c>
      <c r="M425" s="117" t="inlineStr">
        <is>
          <t>Depreciation, Depletion &amp; Amortization - Cash Flow</t>
        </is>
      </c>
      <c r="N425" s="118" t="n">
        <v>193.74</v>
      </c>
      <c r="P425" s="108" t="inlineStr">
        <is>
          <t>Lease liabilities - Reduced - Cash flow</t>
        </is>
      </c>
      <c r="Q425" s="118" t="n">
        <v>131</v>
      </c>
      <c r="S425" s="108" t="inlineStr">
        <is>
          <t>Lease liabilities - Issued/(Reduced) - Cash Flow</t>
        </is>
      </c>
      <c r="T425" s="139" t="n">
        <v>-284.83</v>
      </c>
      <c r="V425" s="117" t="inlineStr">
        <is>
          <t>Interest Paid - Cash Flow - Supplemental</t>
        </is>
      </c>
      <c r="W425" s="119" t="n">
        <v>42.37</v>
      </c>
    </row>
    <row r="426">
      <c r="A426" s="117" t="inlineStr">
        <is>
          <t>Other Financing Cash Flow - Increase/(Decrease)</t>
        </is>
      </c>
      <c r="B426" s="145" t="n">
        <v>-35.6</v>
      </c>
      <c r="C426" s="145" t="n">
        <v>-66.40000000000001</v>
      </c>
      <c r="D426" s="145" t="n">
        <v>-25.9</v>
      </c>
      <c r="E426" s="145" t="n">
        <v>-21.1</v>
      </c>
      <c r="F426" s="145" t="n">
        <v>-32.7</v>
      </c>
      <c r="G426" s="165" t="n"/>
      <c r="H426" s="165" t="n"/>
      <c r="J426" s="108" t="inlineStr">
        <is>
          <t>Net Cash from Continuing Operations</t>
        </is>
      </c>
      <c r="K426" s="139" t="n">
        <v>-603</v>
      </c>
      <c r="M426" s="117" t="inlineStr">
        <is>
          <t>Free Cash Flow to Equity</t>
        </is>
      </c>
      <c r="N426" s="118" t="n">
        <v>469.1</v>
      </c>
      <c r="P426" s="117" t="inlineStr">
        <is>
          <t>Other Financing Cash Flow - Increase/(Decrease)</t>
        </is>
      </c>
      <c r="Q426" s="119" t="n">
        <v>9</v>
      </c>
      <c r="S426" s="108" t="inlineStr">
        <is>
          <t>Debt - Reduced - Long-Term - Cash Flow</t>
        </is>
      </c>
      <c r="T426" s="118" t="n">
        <v>434.03</v>
      </c>
      <c r="V426" s="117" t="inlineStr">
        <is>
          <t>CF from Optg Activities before Change in WC &amp; Int Payments</t>
        </is>
      </c>
      <c r="W426" s="118" t="n">
        <v>609.8099999999999</v>
      </c>
    </row>
    <row r="427">
      <c r="A427" s="108" t="inlineStr">
        <is>
          <t>Tax Payments or Benefits relating to Stock-based Compensation/Buyback/Withheld shares</t>
        </is>
      </c>
      <c r="B427" s="119" t="n">
        <v>34</v>
      </c>
      <c r="C427" s="119" t="n">
        <v>33</v>
      </c>
      <c r="D427" s="119" t="n">
        <v>21.9</v>
      </c>
      <c r="E427" s="119" t="n">
        <v>18.5</v>
      </c>
      <c r="F427" s="119" t="n">
        <v>19.1</v>
      </c>
      <c r="G427" s="162" t="n"/>
      <c r="H427" s="162" t="n"/>
      <c r="J427" s="117" t="inlineStr">
        <is>
          <t>Net Cash - Beginning Balance</t>
        </is>
      </c>
      <c r="K427" s="118" t="n">
        <v>670</v>
      </c>
      <c r="M427" s="117" t="inlineStr">
        <is>
          <t>Free Cash Flow Net of Dividends</t>
        </is>
      </c>
      <c r="N427" s="145" t="n">
        <v>-69.56999999999999</v>
      </c>
      <c r="P427" s="136" t="inlineStr">
        <is>
          <t>Net Cash Flow from Financing Activities</t>
        </is>
      </c>
      <c r="Q427" s="137" t="n">
        <v>596</v>
      </c>
      <c r="S427" s="108" t="inlineStr">
        <is>
          <t>Lease liabilities - Reduced - Cash flow</t>
        </is>
      </c>
      <c r="T427" s="118" t="n">
        <v>284.83</v>
      </c>
      <c r="V427" s="117" t="inlineStr">
        <is>
          <t>Cash Dividends Paid &amp; Common Stock Buyback - Net</t>
        </is>
      </c>
      <c r="W427" s="118" t="n">
        <v>332.01</v>
      </c>
    </row>
    <row r="428">
      <c r="A428" s="136" t="inlineStr">
        <is>
          <t>Net Cash Flow from Financing Activities</t>
        </is>
      </c>
      <c r="B428" s="167" t="n">
        <v>-1695.2</v>
      </c>
      <c r="C428" s="137" t="n">
        <v>1056.9</v>
      </c>
      <c r="D428" s="167" t="n">
        <v>-585.6</v>
      </c>
      <c r="E428" s="167" t="n">
        <v>-175.2</v>
      </c>
      <c r="F428" s="169" t="n">
        <v>-94.3</v>
      </c>
      <c r="G428" s="170" t="n"/>
      <c r="H428" s="170" t="n"/>
      <c r="J428" s="117" t="inlineStr">
        <is>
          <t>Net Cash - Ending Balance</t>
        </is>
      </c>
      <c r="K428" s="119" t="n">
        <v>67</v>
      </c>
      <c r="M428" s="117" t="inlineStr">
        <is>
          <t>Free Cash Flow</t>
        </is>
      </c>
      <c r="N428" s="145" t="n">
        <v>-69.56999999999999</v>
      </c>
      <c r="P428" s="115" t="inlineStr">
        <is>
          <t>Foreign Exchange Effects</t>
        </is>
      </c>
      <c r="Q428" s="116" t="n"/>
      <c r="S428" s="117" t="inlineStr">
        <is>
          <t>Other Financing Cash Flow - Increase/(Decrease)</t>
        </is>
      </c>
      <c r="T428" s="139" t="n">
        <v>-1222.11</v>
      </c>
      <c r="V428" s="117" t="inlineStr">
        <is>
          <t>Common Stock Buyback - Net</t>
        </is>
      </c>
      <c r="W428" s="118" t="n">
        <v>298.29</v>
      </c>
    </row>
    <row r="429">
      <c r="A429" s="115" t="inlineStr">
        <is>
          <t>Change in Cash</t>
        </is>
      </c>
      <c r="B429" s="116" t="n"/>
      <c r="C429" s="116" t="n"/>
      <c r="D429" s="116" t="n"/>
      <c r="E429" s="116" t="n"/>
      <c r="F429" s="116" t="n"/>
      <c r="J429" s="115" t="inlineStr">
        <is>
          <t>Supplemental</t>
        </is>
      </c>
      <c r="K429" s="116" t="n"/>
      <c r="M429" s="117" t="inlineStr">
        <is>
          <t>Dividends Provided/Paid - Common</t>
        </is>
      </c>
      <c r="N429" s="134" t="n">
        <v>0</v>
      </c>
      <c r="P429" s="117" t="inlineStr">
        <is>
          <t>Foreign Exchange Effects - Cash Flow</t>
        </is>
      </c>
      <c r="Q429" s="118" t="n">
        <v>212</v>
      </c>
      <c r="S429" s="136" t="inlineStr">
        <is>
          <t>Net Cash Flow from Financing Activities</t>
        </is>
      </c>
      <c r="T429" s="167" t="n">
        <v>-789.16</v>
      </c>
      <c r="V429" s="117" t="inlineStr">
        <is>
          <t>Depreciation, Depletion &amp; Amortization - Cash Flow</t>
        </is>
      </c>
      <c r="W429" s="118" t="n">
        <v>158.9</v>
      </c>
    </row>
    <row r="430">
      <c r="A430" s="136" t="inlineStr">
        <is>
          <t>Net Change in Cash - Total</t>
        </is>
      </c>
      <c r="B430" s="167" t="n">
        <v>-411.4</v>
      </c>
      <c r="C430" s="167" t="n">
        <v>-348.4</v>
      </c>
      <c r="D430" s="137" t="n">
        <v>787.7</v>
      </c>
      <c r="E430" s="169" t="n">
        <v>-80</v>
      </c>
      <c r="F430" s="167" t="n">
        <v>-956.5</v>
      </c>
      <c r="G430" s="168" t="n"/>
      <c r="H430" s="168" t="n"/>
      <c r="J430" s="117" t="inlineStr">
        <is>
          <t>Interest Paid - Cash Flow - Supplemental</t>
        </is>
      </c>
      <c r="K430" s="118" t="n">
        <v>229</v>
      </c>
      <c r="P430" s="115" t="inlineStr">
        <is>
          <t>Change in Cash</t>
        </is>
      </c>
      <c r="Q430" s="116" t="n"/>
      <c r="S430" s="115" t="inlineStr">
        <is>
          <t>Foreign Exchange Effects</t>
        </is>
      </c>
      <c r="T430" s="116" t="n"/>
      <c r="V430" s="117" t="inlineStr">
        <is>
          <t>Free Cash Flow to Equity</t>
        </is>
      </c>
      <c r="W430" s="118" t="n">
        <v>497.02</v>
      </c>
    </row>
    <row r="431">
      <c r="A431" s="108" t="inlineStr">
        <is>
          <t>Net Cash from Continuing Operations</t>
        </is>
      </c>
      <c r="B431" s="139" t="n">
        <v>-411.4</v>
      </c>
      <c r="C431" s="139" t="n">
        <v>-348.4</v>
      </c>
      <c r="D431" s="118" t="n">
        <v>787.7</v>
      </c>
      <c r="E431" s="145" t="n">
        <v>-80</v>
      </c>
      <c r="F431" s="139" t="n">
        <v>-956.5</v>
      </c>
      <c r="G431" s="164" t="n"/>
      <c r="H431" s="164" t="n"/>
      <c r="J431" s="117" t="inlineStr">
        <is>
          <t>CF from Optg Activities before Change in WC &amp; Int Payments</t>
        </is>
      </c>
      <c r="K431" s="118" t="n">
        <v>1877</v>
      </c>
      <c r="P431" s="136" t="inlineStr">
        <is>
          <t>Net Change in Cash - Total</t>
        </is>
      </c>
      <c r="Q431" s="137" t="n">
        <v>388</v>
      </c>
      <c r="S431" s="117" t="inlineStr">
        <is>
          <t>Foreign Exchange Effects - Cash Flow</t>
        </is>
      </c>
      <c r="T431" s="145" t="n">
        <v>-46.63</v>
      </c>
      <c r="V431" s="117" t="inlineStr">
        <is>
          <t>Free Cash Flow Net of Dividends</t>
        </is>
      </c>
      <c r="W431" s="118" t="n">
        <v>319.55</v>
      </c>
    </row>
    <row r="432">
      <c r="A432" s="117" t="inlineStr">
        <is>
          <t>Net Cash - Beginning Balance</t>
        </is>
      </c>
      <c r="B432" s="118" t="n">
        <v>600.8</v>
      </c>
      <c r="C432" s="118" t="n">
        <v>949.2</v>
      </c>
      <c r="D432" s="118" t="n">
        <v>161.5</v>
      </c>
      <c r="E432" s="118" t="n">
        <v>241.5</v>
      </c>
      <c r="F432" s="118" t="n">
        <v>1198</v>
      </c>
      <c r="G432" s="161" t="n"/>
      <c r="H432" s="161" t="n"/>
      <c r="J432" s="117" t="inlineStr">
        <is>
          <t>Cash Dividends Paid &amp; Common Stock Buyback - Net</t>
        </is>
      </c>
      <c r="K432" s="118" t="n">
        <v>647</v>
      </c>
      <c r="P432" s="108" t="inlineStr">
        <is>
          <t>Net Cash from Continuing Operations</t>
        </is>
      </c>
      <c r="Q432" s="118" t="n">
        <v>388</v>
      </c>
      <c r="S432" s="115" t="inlineStr">
        <is>
          <t>Change in Cash</t>
        </is>
      </c>
      <c r="T432" s="116" t="n"/>
      <c r="V432" s="117" t="inlineStr">
        <is>
          <t>Free Cash Flow</t>
        </is>
      </c>
      <c r="W432" s="118" t="n">
        <v>353.27</v>
      </c>
    </row>
    <row r="433">
      <c r="A433" s="117" t="inlineStr">
        <is>
          <t>Net Cash - Ending Balance</t>
        </is>
      </c>
      <c r="B433" s="118" t="n">
        <v>189.4</v>
      </c>
      <c r="C433" s="118" t="n">
        <v>600.8</v>
      </c>
      <c r="D433" s="118" t="n">
        <v>949.2</v>
      </c>
      <c r="E433" s="118" t="n">
        <v>161.5</v>
      </c>
      <c r="F433" s="118" t="n">
        <v>241.5</v>
      </c>
      <c r="G433" s="161" t="n"/>
      <c r="H433" s="161" t="n"/>
      <c r="J433" s="117" t="inlineStr">
        <is>
          <t>Common Stock Buyback - Net</t>
        </is>
      </c>
      <c r="K433" s="118" t="n">
        <v>450</v>
      </c>
      <c r="P433" s="117" t="inlineStr">
        <is>
          <t>Net Cash - Beginning Balance</t>
        </is>
      </c>
      <c r="Q433" s="118" t="n">
        <v>3759</v>
      </c>
      <c r="S433" s="136" t="inlineStr">
        <is>
          <t>Net Change in Cash - Total</t>
        </is>
      </c>
      <c r="T433" s="137" t="n">
        <v>958.4299999999999</v>
      </c>
      <c r="V433" s="117" t="inlineStr">
        <is>
          <t>Dividends Provided/Paid - Common</t>
        </is>
      </c>
      <c r="W433" s="119" t="n">
        <v>33.46</v>
      </c>
    </row>
    <row r="434">
      <c r="A434" s="115" t="inlineStr">
        <is>
          <t>Supplemental</t>
        </is>
      </c>
      <c r="B434" s="116" t="n"/>
      <c r="C434" s="116" t="n"/>
      <c r="D434" s="116" t="n"/>
      <c r="E434" s="116" t="n"/>
      <c r="F434" s="116" t="n"/>
      <c r="J434" s="117" t="inlineStr">
        <is>
          <t>Depreciation, Depletion &amp; Amortization - Cash Flow</t>
        </is>
      </c>
      <c r="K434" s="118" t="n">
        <v>637</v>
      </c>
      <c r="P434" s="117" t="inlineStr">
        <is>
          <t>Net Cash - Ending Balance</t>
        </is>
      </c>
      <c r="Q434" s="118" t="n">
        <v>4147</v>
      </c>
      <c r="S434" s="108" t="inlineStr">
        <is>
          <t>Net Cash from Continuing Operations</t>
        </is>
      </c>
      <c r="T434" s="118" t="n">
        <v>958.4299999999999</v>
      </c>
    </row>
    <row r="435">
      <c r="A435" s="117" t="inlineStr">
        <is>
          <t>Income Taxes - Paid/(Reimbursed) - Cash Flow - Supplemental</t>
        </is>
      </c>
      <c r="B435" s="118" t="n">
        <v>290.7</v>
      </c>
      <c r="C435" s="118" t="n">
        <v>279.8</v>
      </c>
      <c r="D435" s="118" t="n">
        <v>291.7</v>
      </c>
      <c r="E435" s="118" t="n">
        <v>143.5</v>
      </c>
      <c r="F435" s="118" t="n">
        <v>127.9</v>
      </c>
      <c r="G435" s="161" t="n"/>
      <c r="H435" s="161" t="n"/>
      <c r="J435" s="117" t="inlineStr">
        <is>
          <t>Free Cash Flow to Equity</t>
        </is>
      </c>
      <c r="K435" s="118" t="n">
        <v>860</v>
      </c>
      <c r="P435" s="115" t="inlineStr">
        <is>
          <t>Supplemental</t>
        </is>
      </c>
      <c r="Q435" s="116" t="n"/>
      <c r="S435" s="117" t="inlineStr">
        <is>
          <t>Net Cash - Beginning Balance</t>
        </is>
      </c>
      <c r="T435" s="118" t="n">
        <v>863.9299999999999</v>
      </c>
    </row>
    <row r="436">
      <c r="A436" s="117" t="inlineStr">
        <is>
          <t>Interest Paid - Cash Flow - Supplemental</t>
        </is>
      </c>
      <c r="B436" s="118" t="n">
        <v>247.1</v>
      </c>
      <c r="C436" s="118" t="n">
        <v>182.9</v>
      </c>
      <c r="D436" s="118" t="n">
        <v>178.7</v>
      </c>
      <c r="E436" s="118" t="n">
        <v>164.3</v>
      </c>
      <c r="F436" s="118" t="n">
        <v>138</v>
      </c>
      <c r="G436" s="161" t="n"/>
      <c r="H436" s="161" t="n"/>
      <c r="J436" s="117" t="inlineStr">
        <is>
          <t>Free Cash Flow Net of Dividends</t>
        </is>
      </c>
      <c r="K436" s="118" t="n">
        <v>781</v>
      </c>
      <c r="P436" s="117" t="inlineStr">
        <is>
          <t>Income Taxes - Paid/(Reimbursed) - Cash Flow - Supplemental</t>
        </is>
      </c>
      <c r="Q436" s="118" t="n">
        <v>831</v>
      </c>
      <c r="S436" s="117" t="inlineStr">
        <is>
          <t>Net Cash - Ending Balance</t>
        </is>
      </c>
      <c r="T436" s="118" t="n">
        <v>1822.36</v>
      </c>
    </row>
    <row r="437">
      <c r="A437" s="117" t="inlineStr">
        <is>
          <t>CF from Optg Activities before Change in WC &amp; Int Payments</t>
        </is>
      </c>
      <c r="B437" s="118" t="n">
        <v>1903</v>
      </c>
      <c r="C437" s="118" t="n">
        <v>1666.3</v>
      </c>
      <c r="D437" s="118" t="n">
        <v>1570.2</v>
      </c>
      <c r="E437" s="118" t="n">
        <v>1372.5</v>
      </c>
      <c r="F437" s="118" t="n">
        <v>1155.8</v>
      </c>
      <c r="G437" s="161" t="n"/>
      <c r="H437" s="161" t="n"/>
      <c r="J437" s="117" t="inlineStr">
        <is>
          <t>Free Cash Flow</t>
        </is>
      </c>
      <c r="K437" s="118" t="n">
        <v>978</v>
      </c>
      <c r="P437" s="117" t="inlineStr">
        <is>
          <t>Interest Paid - Cash Flow - Supplemental</t>
        </is>
      </c>
      <c r="Q437" s="118" t="n">
        <v>724</v>
      </c>
      <c r="S437" s="115" t="inlineStr">
        <is>
          <t>Supplemental</t>
        </is>
      </c>
      <c r="T437" s="116" t="n"/>
    </row>
    <row r="438">
      <c r="A438" s="117" t="inlineStr">
        <is>
          <t>Cash Dividends Paid &amp; Common Stock Buyback - Net</t>
        </is>
      </c>
      <c r="B438" s="118" t="n">
        <v>698.2</v>
      </c>
      <c r="C438" s="118" t="n">
        <v>313.2</v>
      </c>
      <c r="D438" s="118" t="n">
        <v>428.4</v>
      </c>
      <c r="E438" s="118" t="n">
        <v>212.6</v>
      </c>
      <c r="F438" s="118" t="n">
        <v>196.4</v>
      </c>
      <c r="G438" s="161" t="n"/>
      <c r="H438" s="161" t="n"/>
      <c r="J438" s="117" t="inlineStr">
        <is>
          <t>Dividends Provided/Paid - Common</t>
        </is>
      </c>
      <c r="K438" s="118" t="n">
        <v>197</v>
      </c>
      <c r="P438" s="117" t="inlineStr">
        <is>
          <t>CF from Optg Activities before Change in WC &amp; Int Payments</t>
        </is>
      </c>
      <c r="Q438" s="118" t="n">
        <v>6339</v>
      </c>
      <c r="S438" s="117" t="inlineStr">
        <is>
          <t>Income Taxes - Paid/(Reimbursed) - Cash Flow - Supplemental</t>
        </is>
      </c>
      <c r="T438" s="118" t="n">
        <v>300.7</v>
      </c>
    </row>
    <row r="439">
      <c r="A439" s="117" t="inlineStr">
        <is>
          <t>Common Stock Buyback - Net</t>
        </is>
      </c>
      <c r="B439" s="118" t="n">
        <v>438.4</v>
      </c>
      <c r="C439" s="119" t="n">
        <v>68.8</v>
      </c>
      <c r="D439" s="118" t="n">
        <v>200</v>
      </c>
      <c r="E439" s="134" t="n">
        <v>0</v>
      </c>
      <c r="F439" s="134" t="n">
        <v>0</v>
      </c>
      <c r="G439" s="163" t="n"/>
      <c r="H439" s="163" t="n"/>
      <c r="P439" s="117" t="inlineStr">
        <is>
          <t>Cash Dividends Paid &amp; Common Stock Buyback - Net</t>
        </is>
      </c>
      <c r="Q439" s="118" t="n">
        <v>2177</v>
      </c>
      <c r="S439" s="117" t="inlineStr">
        <is>
          <t>Interest Paid - Cash Flow - Supplemental</t>
        </is>
      </c>
      <c r="T439" s="118" t="n">
        <v>445.98</v>
      </c>
    </row>
    <row r="440">
      <c r="A440" s="117" t="inlineStr">
        <is>
          <t>Depreciation, Depletion &amp; Amortization - Cash Flow</t>
        </is>
      </c>
      <c r="B440" s="118" t="n">
        <v>748.5</v>
      </c>
      <c r="C440" s="118" t="n">
        <v>632.2</v>
      </c>
      <c r="D440" s="118" t="n">
        <v>617</v>
      </c>
      <c r="E440" s="118" t="n">
        <v>587.5</v>
      </c>
      <c r="F440" s="118" t="n">
        <v>463</v>
      </c>
      <c r="G440" s="161" t="n"/>
      <c r="H440" s="161" t="n"/>
      <c r="P440" s="117" t="inlineStr">
        <is>
          <t>Common Stock Buyback - Net</t>
        </is>
      </c>
      <c r="Q440" s="118" t="n">
        <v>1181</v>
      </c>
      <c r="S440" s="117" t="inlineStr">
        <is>
          <t>Interest &amp; Dividends - Received - Cash Flow - Supplemental</t>
        </is>
      </c>
      <c r="T440" s="119" t="n">
        <v>66.83</v>
      </c>
    </row>
    <row r="441">
      <c r="A441" s="117" t="inlineStr">
        <is>
          <t>Free Cash Flow to Equity</t>
        </is>
      </c>
      <c r="B441" s="118" t="n">
        <v>198</v>
      </c>
      <c r="C441" s="118" t="n">
        <v>2297.3</v>
      </c>
      <c r="D441" s="118" t="n">
        <v>627.5</v>
      </c>
      <c r="E441" s="118" t="n">
        <v>632.8</v>
      </c>
      <c r="F441" s="118" t="n">
        <v>911.9</v>
      </c>
      <c r="G441" s="161" t="n"/>
      <c r="H441" s="161" t="n"/>
      <c r="P441" s="117" t="inlineStr">
        <is>
          <t>Depreciation, Depletion &amp; Amortization - Cash Flow</t>
        </is>
      </c>
      <c r="Q441" s="118" t="n">
        <v>2156</v>
      </c>
      <c r="S441" s="117" t="inlineStr">
        <is>
          <t>CF from Optg Activities before Change in WC &amp; Int Payments</t>
        </is>
      </c>
      <c r="T441" s="118" t="n">
        <v>2524</v>
      </c>
    </row>
    <row r="442">
      <c r="A442" s="117" t="inlineStr">
        <is>
          <t>Free Cash Flow Net of Dividends</t>
        </is>
      </c>
      <c r="B442" s="118" t="n">
        <v>875.5</v>
      </c>
      <c r="C442" s="118" t="n">
        <v>561.7</v>
      </c>
      <c r="D442" s="118" t="n">
        <v>435.8</v>
      </c>
      <c r="E442" s="118" t="n">
        <v>323</v>
      </c>
      <c r="F442" s="118" t="n">
        <v>364.2</v>
      </c>
      <c r="G442" s="161" t="n"/>
      <c r="H442" s="161" t="n"/>
      <c r="P442" s="117" t="inlineStr">
        <is>
          <t>Free Cash Flow to Equity</t>
        </is>
      </c>
      <c r="Q442" s="118" t="n">
        <v>5648</v>
      </c>
      <c r="S442" s="117" t="inlineStr">
        <is>
          <t>Cash Dividends Paid &amp; Common Stock Buyback - Net</t>
        </is>
      </c>
      <c r="T442" s="139" t="n">
        <v>-867.03</v>
      </c>
    </row>
    <row r="443">
      <c r="A443" s="117" t="inlineStr">
        <is>
          <t>Free Cash Flow</t>
        </is>
      </c>
      <c r="B443" s="118" t="n">
        <v>1135.3</v>
      </c>
      <c r="C443" s="118" t="n">
        <v>806.1</v>
      </c>
      <c r="D443" s="118" t="n">
        <v>664.2</v>
      </c>
      <c r="E443" s="118" t="n">
        <v>535.6</v>
      </c>
      <c r="F443" s="118" t="n">
        <v>560.6</v>
      </c>
      <c r="G443" s="161" t="n"/>
      <c r="H443" s="161" t="n"/>
      <c r="P443" s="117" t="inlineStr">
        <is>
          <t>Free Cash Flow Net of Dividends</t>
        </is>
      </c>
      <c r="Q443" s="118" t="n">
        <v>1916</v>
      </c>
      <c r="S443" s="117" t="inlineStr">
        <is>
          <t>Common Stock Buyback - Net</t>
        </is>
      </c>
      <c r="T443" s="139" t="n">
        <v>-994.5</v>
      </c>
    </row>
    <row r="444">
      <c r="A444" s="117" t="inlineStr">
        <is>
          <t>Dividends Provided/Paid - Common</t>
        </is>
      </c>
      <c r="B444" s="118" t="n">
        <v>259.8</v>
      </c>
      <c r="C444" s="118" t="n">
        <v>244.4</v>
      </c>
      <c r="D444" s="118" t="n">
        <v>228.4</v>
      </c>
      <c r="E444" s="118" t="n">
        <v>212.6</v>
      </c>
      <c r="F444" s="118" t="n">
        <v>196.4</v>
      </c>
      <c r="G444" s="161" t="n"/>
      <c r="H444" s="161" t="n"/>
      <c r="P444" s="117" t="inlineStr">
        <is>
          <t>Free Cash Flow</t>
        </is>
      </c>
      <c r="Q444" s="118" t="n">
        <v>2912</v>
      </c>
      <c r="S444" s="117" t="inlineStr">
        <is>
          <t>Depreciation, Depletion &amp; Amortization - Cash Flow</t>
        </is>
      </c>
      <c r="T444" s="118" t="n">
        <v>1290.93</v>
      </c>
    </row>
    <row r="445">
      <c r="P445" s="117" t="inlineStr">
        <is>
          <t>Dividends Provided/Paid - Common</t>
        </is>
      </c>
      <c r="Q445" s="118" t="n">
        <v>996</v>
      </c>
      <c r="S445" s="117" t="inlineStr">
        <is>
          <t>Free Cash Flow to Equity</t>
        </is>
      </c>
      <c r="T445" s="118" t="n">
        <v>402.29</v>
      </c>
    </row>
    <row r="446">
      <c r="S446" s="117" t="inlineStr">
        <is>
          <t>Free Cash Flow Net of Dividends</t>
        </is>
      </c>
      <c r="T446" s="118" t="n">
        <v>604.9400000000001</v>
      </c>
    </row>
    <row r="447">
      <c r="S447" s="117" t="inlineStr">
        <is>
          <t>Free Cash Flow</t>
        </is>
      </c>
      <c r="T447" s="118" t="n">
        <v>732.41</v>
      </c>
    </row>
    <row r="448">
      <c r="A448" s="120" t="inlineStr">
        <is>
          <t>8 Quarters of Financial Statement</t>
        </is>
      </c>
      <c r="B448" s="120" t="n"/>
      <c r="C448" s="120" t="n"/>
      <c r="D448" s="120" t="n"/>
      <c r="E448" s="120" t="n"/>
      <c r="F448" s="120" t="n"/>
      <c r="G448" s="120" t="n"/>
      <c r="H448" s="120" t="n"/>
      <c r="I448" s="122" t="n"/>
    </row>
    <row r="449">
      <c r="A449" s="172" t="inlineStr">
        <is>
          <t>Field Name</t>
        </is>
      </c>
      <c r="B449" s="202" t="n">
        <v>46022</v>
      </c>
      <c r="C449" s="202" t="n">
        <v>45930</v>
      </c>
      <c r="D449" s="202" t="n">
        <v>45838</v>
      </c>
      <c r="E449" s="202" t="n">
        <v>45747</v>
      </c>
      <c r="F449" s="202" t="n">
        <v>45657</v>
      </c>
      <c r="G449" s="202" t="n">
        <v>45565</v>
      </c>
      <c r="H449" s="202" t="n">
        <v>45473</v>
      </c>
      <c r="I449" s="202" t="n">
        <v>45382</v>
      </c>
      <c r="J449" s="201" t="n"/>
    </row>
    <row r="450">
      <c r="A450" s="173" t="inlineStr">
        <is>
          <t>Current Assets</t>
        </is>
      </c>
      <c r="B450" s="174" t="n"/>
      <c r="C450" s="174" t="n"/>
      <c r="D450" s="174" t="n"/>
      <c r="E450" s="174" t="n"/>
      <c r="F450" s="174" t="n"/>
      <c r="G450" s="174" t="n"/>
      <c r="H450" s="174" t="n"/>
      <c r="I450" s="174" t="n"/>
      <c r="J450" s="195" t="n"/>
    </row>
    <row r="451">
      <c r="A451" s="175" t="inlineStr">
        <is>
          <t>Cash &amp; Short-Term Investments</t>
        </is>
      </c>
      <c r="B451" s="191" t="n">
        <v>183.3</v>
      </c>
      <c r="C451" s="191" t="n">
        <v>191.3</v>
      </c>
      <c r="D451" s="191" t="n">
        <v>347.4</v>
      </c>
      <c r="E451" s="191" t="n">
        <v>181.3</v>
      </c>
      <c r="F451" s="191" t="n">
        <v>559.7</v>
      </c>
      <c r="G451" s="191" t="n">
        <v>433.2</v>
      </c>
      <c r="H451" s="191" t="n">
        <v>111</v>
      </c>
      <c r="I451" s="191" t="n">
        <v>292.4</v>
      </c>
      <c r="J451" s="191" t="n"/>
    </row>
    <row r="452">
      <c r="A452" s="177" t="inlineStr">
        <is>
          <t>Cash &amp; Cash Equivalents</t>
        </is>
      </c>
      <c r="B452" s="191" t="n">
        <v>183.3</v>
      </c>
      <c r="C452" s="191" t="n">
        <v>191.3</v>
      </c>
      <c r="D452" s="191" t="n">
        <v>347.4</v>
      </c>
      <c r="E452" s="191" t="n">
        <v>181.3</v>
      </c>
      <c r="F452" s="191" t="n">
        <v>559.7</v>
      </c>
      <c r="G452" s="191" t="n">
        <v>433.2</v>
      </c>
      <c r="H452" s="191" t="n">
        <v>111</v>
      </c>
      <c r="I452" s="191" t="n">
        <v>292.4</v>
      </c>
      <c r="J452" s="191" t="n"/>
    </row>
    <row r="453">
      <c r="A453" s="175" t="inlineStr">
        <is>
          <t>Loans &amp; Receivables - Net - Short-Term</t>
        </is>
      </c>
      <c r="B453" s="191" t="n">
        <v>887.7</v>
      </c>
      <c r="C453" s="191" t="n">
        <v>1184.8</v>
      </c>
      <c r="D453" s="191" t="n">
        <v>1078.9</v>
      </c>
      <c r="E453" s="191" t="n">
        <v>928.9</v>
      </c>
      <c r="F453" s="191" t="n">
        <v>892.3</v>
      </c>
      <c r="G453" s="191" t="n">
        <v>1017.4</v>
      </c>
      <c r="H453" s="191" t="n">
        <v>1061.2</v>
      </c>
      <c r="I453" s="191" t="n">
        <v>886.1</v>
      </c>
      <c r="J453" s="191" t="n"/>
    </row>
    <row r="454">
      <c r="A454" s="177" t="inlineStr">
        <is>
          <t>Trade Accounts &amp; Trade Notes Receivable - Net</t>
        </is>
      </c>
      <c r="B454" s="191" t="n">
        <v>887.7</v>
      </c>
      <c r="C454" s="191" t="n">
        <v>1184.8</v>
      </c>
      <c r="D454" s="191" t="n">
        <v>1078.9</v>
      </c>
      <c r="E454" s="191" t="n">
        <v>928.9</v>
      </c>
      <c r="F454" s="191" t="n">
        <v>892.3</v>
      </c>
      <c r="G454" s="191" t="n">
        <v>1017.4</v>
      </c>
      <c r="H454" s="191" t="n">
        <v>1061.2</v>
      </c>
      <c r="I454" s="191" t="n">
        <v>886.1</v>
      </c>
      <c r="J454" s="191" t="n"/>
    </row>
    <row r="455">
      <c r="A455" s="178" t="inlineStr">
        <is>
          <t>Trade Accounts &amp; Trade Notes Receivable - Gross</t>
        </is>
      </c>
      <c r="B455" s="191" t="n">
        <v>898.2</v>
      </c>
      <c r="C455" s="191" t="n">
        <v>1197.1</v>
      </c>
      <c r="D455" s="191" t="n">
        <v>1092.2</v>
      </c>
      <c r="E455" s="191" t="n">
        <v>941.9</v>
      </c>
      <c r="F455" s="191" t="n">
        <v>905.5</v>
      </c>
      <c r="G455" s="191" t="n">
        <v>1030.9</v>
      </c>
      <c r="H455" s="191" t="n">
        <v>1075.5</v>
      </c>
      <c r="I455" s="191" t="n">
        <v>900.4</v>
      </c>
      <c r="J455" s="191" t="n"/>
    </row>
    <row r="456">
      <c r="A456" s="178" t="inlineStr">
        <is>
          <t>Provision - Trade Accounts &amp; Trade Notes Receivable</t>
        </is>
      </c>
      <c r="B456" s="192" t="n">
        <v>10.5</v>
      </c>
      <c r="C456" s="192" t="n">
        <v>12.3</v>
      </c>
      <c r="D456" s="192" t="n">
        <v>13.3</v>
      </c>
      <c r="E456" s="192" t="n">
        <v>13</v>
      </c>
      <c r="F456" s="192" t="n">
        <v>13.2</v>
      </c>
      <c r="G456" s="192" t="n">
        <v>13.5</v>
      </c>
      <c r="H456" s="192" t="n">
        <v>14.3</v>
      </c>
      <c r="I456" s="192" t="n">
        <v>14.3</v>
      </c>
      <c r="J456" s="192" t="n"/>
    </row>
    <row r="457">
      <c r="A457" s="175" t="inlineStr">
        <is>
          <t>Inventories - Total</t>
        </is>
      </c>
      <c r="B457" s="191" t="n">
        <v>680.5</v>
      </c>
      <c r="C457" s="191" t="n">
        <v>687.1</v>
      </c>
      <c r="D457" s="191" t="n">
        <v>725.5</v>
      </c>
      <c r="E457" s="191" t="n">
        <v>721</v>
      </c>
      <c r="F457" s="191" t="n">
        <v>681.8</v>
      </c>
      <c r="G457" s="191" t="n">
        <v>647.7</v>
      </c>
      <c r="H457" s="191" t="n">
        <v>650.3</v>
      </c>
      <c r="I457" s="191" t="n">
        <v>647.2</v>
      </c>
      <c r="J457" s="191" t="n"/>
    </row>
    <row r="458">
      <c r="A458" s="177" t="inlineStr">
        <is>
          <t>Inventories - Raw Materials</t>
        </is>
      </c>
      <c r="B458" s="192" t="n">
        <v>36.7</v>
      </c>
      <c r="C458" s="192" t="n">
        <v>47.6</v>
      </c>
      <c r="D458" s="192" t="n">
        <v>57.8</v>
      </c>
      <c r="E458" s="192" t="n">
        <v>65.7</v>
      </c>
      <c r="F458" s="192" t="n">
        <v>69.7</v>
      </c>
      <c r="G458" s="192" t="n">
        <v>62.2</v>
      </c>
      <c r="H458" s="192" t="n">
        <v>58.8</v>
      </c>
      <c r="I458" s="192" t="n">
        <v>58.7</v>
      </c>
      <c r="J458" s="192" t="n"/>
    </row>
    <row r="459">
      <c r="A459" s="177" t="inlineStr">
        <is>
          <t>Inventories - Work in Progress</t>
        </is>
      </c>
      <c r="B459" s="192" t="n">
        <v>5.4</v>
      </c>
      <c r="C459" s="192" t="n">
        <v>12.3</v>
      </c>
      <c r="D459" s="192" t="n">
        <v>10.9</v>
      </c>
      <c r="E459" s="192" t="n">
        <v>10.3</v>
      </c>
      <c r="F459" s="192" t="n">
        <v>9</v>
      </c>
      <c r="G459" s="192" t="n">
        <v>11.1</v>
      </c>
      <c r="H459" s="192" t="n">
        <v>8.800000000000001</v>
      </c>
      <c r="I459" s="192" t="n">
        <v>6.8</v>
      </c>
      <c r="J459" s="192" t="n"/>
    </row>
    <row r="460">
      <c r="A460" s="177" t="inlineStr">
        <is>
          <t>Inventories - Finished Goods</t>
        </is>
      </c>
      <c r="B460" s="191" t="n">
        <v>557.7</v>
      </c>
      <c r="C460" s="191" t="n">
        <v>545</v>
      </c>
      <c r="D460" s="191" t="n">
        <v>574.4</v>
      </c>
      <c r="E460" s="191" t="n">
        <v>570.3</v>
      </c>
      <c r="F460" s="191" t="n">
        <v>534.6</v>
      </c>
      <c r="G460" s="191" t="n">
        <v>505.9</v>
      </c>
      <c r="H460" s="191" t="n">
        <v>514.2</v>
      </c>
      <c r="I460" s="191" t="n">
        <v>512.7</v>
      </c>
      <c r="J460" s="191" t="n"/>
    </row>
    <row r="461">
      <c r="A461" s="177" t="inlineStr">
        <is>
          <t>Inventories - Other - Total</t>
        </is>
      </c>
      <c r="B461" s="192" t="n">
        <v>80.7</v>
      </c>
      <c r="C461" s="192" t="n">
        <v>82.2</v>
      </c>
      <c r="D461" s="192" t="n">
        <v>82.40000000000001</v>
      </c>
      <c r="E461" s="192" t="n">
        <v>74.7</v>
      </c>
      <c r="F461" s="192" t="n">
        <v>68.5</v>
      </c>
      <c r="G461" s="192" t="n">
        <v>68.5</v>
      </c>
      <c r="H461" s="192" t="n">
        <v>68.5</v>
      </c>
      <c r="I461" s="192" t="n">
        <v>69</v>
      </c>
      <c r="J461" s="192" t="n"/>
    </row>
    <row r="462">
      <c r="A462" s="175" t="inlineStr">
        <is>
          <t>Assets Held for Sale/Discontinued Operations - Short-Term</t>
        </is>
      </c>
      <c r="B462" s="191" t="n">
        <v>708.5</v>
      </c>
      <c r="C462" s="192" t="n">
        <v>97.3</v>
      </c>
      <c r="D462" s="193" t="n"/>
      <c r="E462" s="193" t="n"/>
      <c r="F462" s="193" t="n"/>
      <c r="G462" s="193" t="n">
        <v>0</v>
      </c>
      <c r="H462" s="193" t="n"/>
      <c r="I462" s="193" t="n"/>
      <c r="J462" s="193" t="n"/>
    </row>
    <row r="463">
      <c r="A463" s="175" t="inlineStr">
        <is>
          <t>Other Current Assets - Total</t>
        </is>
      </c>
      <c r="B463" s="191" t="n">
        <v>107.9</v>
      </c>
      <c r="C463" s="191" t="n">
        <v>107.9</v>
      </c>
      <c r="D463" s="192" t="n">
        <v>91.7</v>
      </c>
      <c r="E463" s="192" t="n">
        <v>94.7</v>
      </c>
      <c r="F463" s="191" t="n">
        <v>131.9</v>
      </c>
      <c r="G463" s="191" t="n">
        <v>114.6</v>
      </c>
      <c r="H463" s="191" t="n">
        <v>154</v>
      </c>
      <c r="I463" s="192" t="n">
        <v>81.90000000000001</v>
      </c>
      <c r="J463" s="192" t="n"/>
    </row>
    <row r="464">
      <c r="A464" s="177" t="inlineStr">
        <is>
          <t>Restricted Accounts - Short-Term</t>
        </is>
      </c>
      <c r="B464" s="192" t="n">
        <v>6.1</v>
      </c>
      <c r="C464" s="192" t="n">
        <v>3.9</v>
      </c>
      <c r="D464" s="192" t="n">
        <v>3.6</v>
      </c>
      <c r="E464" s="192" t="n">
        <v>11.6</v>
      </c>
      <c r="F464" s="192" t="n">
        <v>41.1</v>
      </c>
      <c r="G464" s="192" t="n">
        <v>1.1</v>
      </c>
      <c r="H464" s="192" t="n">
        <v>0.6</v>
      </c>
      <c r="I464" s="192" t="n">
        <v>7.7</v>
      </c>
      <c r="J464" s="192" t="n"/>
    </row>
    <row r="465">
      <c r="A465" s="177" t="inlineStr">
        <is>
          <t>Other Current Assets</t>
        </is>
      </c>
      <c r="B465" s="191" t="n">
        <v>101.8</v>
      </c>
      <c r="C465" s="191" t="n">
        <v>104</v>
      </c>
      <c r="D465" s="192" t="n">
        <v>88.09999999999999</v>
      </c>
      <c r="E465" s="192" t="n">
        <v>83.09999999999999</v>
      </c>
      <c r="F465" s="192" t="n">
        <v>90.8</v>
      </c>
      <c r="G465" s="191" t="n">
        <v>113.5</v>
      </c>
      <c r="H465" s="191" t="n">
        <v>153.4</v>
      </c>
      <c r="I465" s="192" t="n">
        <v>74.2</v>
      </c>
      <c r="J465" s="192" t="n"/>
    </row>
    <row r="466">
      <c r="A466" s="181" t="inlineStr">
        <is>
          <t>Total Current Assets</t>
        </is>
      </c>
      <c r="B466" s="194" t="n">
        <v>2567.9</v>
      </c>
      <c r="C466" s="194" t="n">
        <v>2268.4</v>
      </c>
      <c r="D466" s="194" t="n">
        <v>2243.5</v>
      </c>
      <c r="E466" s="194" t="n">
        <v>1925.9</v>
      </c>
      <c r="F466" s="194" t="n">
        <v>2265.7</v>
      </c>
      <c r="G466" s="194" t="n">
        <v>2212.9</v>
      </c>
      <c r="H466" s="194" t="n">
        <v>1976.5</v>
      </c>
      <c r="I466" s="194" t="n">
        <v>1907.6</v>
      </c>
      <c r="J466" s="194" t="n"/>
    </row>
    <row r="467">
      <c r="A467" s="183" t="inlineStr">
        <is>
          <t>Non-Current Assets</t>
        </is>
      </c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95" t="n"/>
    </row>
    <row r="468">
      <c r="A468" s="175" t="inlineStr">
        <is>
          <t>Investments - Long-Term</t>
        </is>
      </c>
      <c r="B468" s="192" t="n">
        <v>33.7</v>
      </c>
      <c r="C468" s="192" t="n">
        <v>33.6</v>
      </c>
      <c r="D468" s="192" t="n">
        <v>32.9</v>
      </c>
      <c r="E468" s="192" t="n">
        <v>31.3</v>
      </c>
      <c r="F468" s="192" t="n">
        <v>31.3</v>
      </c>
      <c r="G468" s="192" t="n">
        <v>31.4</v>
      </c>
      <c r="H468" s="192" t="n">
        <v>31.4</v>
      </c>
      <c r="I468" s="192" t="n">
        <v>31.4</v>
      </c>
      <c r="J468" s="192" t="n"/>
    </row>
    <row r="469">
      <c r="A469" s="177" t="inlineStr">
        <is>
          <t>Investments - Available for Sale/Held to Maturity - Long-Term</t>
        </is>
      </c>
      <c r="B469" s="192" t="n">
        <v>33.7</v>
      </c>
      <c r="C469" s="192" t="n">
        <v>33.6</v>
      </c>
      <c r="D469" s="192" t="n">
        <v>32.9</v>
      </c>
      <c r="E469" s="192" t="n">
        <v>31.3</v>
      </c>
      <c r="F469" s="192" t="n">
        <v>31.3</v>
      </c>
      <c r="G469" s="192" t="n">
        <v>31.4</v>
      </c>
      <c r="H469" s="192" t="n">
        <v>31.4</v>
      </c>
      <c r="I469" s="192" t="n">
        <v>31.4</v>
      </c>
      <c r="J469" s="192" t="n"/>
    </row>
    <row r="470">
      <c r="A470" s="175" t="inlineStr">
        <is>
          <t>Property, Plant &amp; Equipment - Net - Total</t>
        </is>
      </c>
      <c r="B470" s="191" t="n">
        <v>8670.1</v>
      </c>
      <c r="C470" s="191" t="n">
        <v>8874.700000000001</v>
      </c>
      <c r="D470" s="191" t="n">
        <v>8882.9</v>
      </c>
      <c r="E470" s="191" t="n">
        <v>8947.299999999999</v>
      </c>
      <c r="F470" s="191" t="n">
        <v>8987.9</v>
      </c>
      <c r="G470" s="191" t="n">
        <v>6921.8</v>
      </c>
      <c r="H470" s="191" t="n">
        <v>6927.6</v>
      </c>
      <c r="I470" s="191" t="n">
        <v>6721.7</v>
      </c>
      <c r="J470" s="191" t="n"/>
    </row>
    <row r="471">
      <c r="A471" s="177" t="inlineStr">
        <is>
          <t>Property, Plant &amp; Equipment - excluding Assets Leased Out - Net - Total</t>
        </is>
      </c>
      <c r="B471" s="191" t="n">
        <v>8670.1</v>
      </c>
      <c r="C471" s="191" t="n">
        <v>8874.700000000001</v>
      </c>
      <c r="D471" s="191" t="n">
        <v>8882.9</v>
      </c>
      <c r="E471" s="191" t="n">
        <v>8947.299999999999</v>
      </c>
      <c r="F471" s="191" t="n">
        <v>8987.9</v>
      </c>
      <c r="G471" s="191" t="n">
        <v>6921.8</v>
      </c>
      <c r="H471" s="191" t="n">
        <v>6927.6</v>
      </c>
      <c r="I471" s="191" t="n">
        <v>6721.7</v>
      </c>
      <c r="J471" s="191" t="n"/>
    </row>
    <row r="472">
      <c r="A472" s="178" t="inlineStr">
        <is>
          <t>Right of Use Tangible Assets - Total - Net</t>
        </is>
      </c>
      <c r="B472" s="191" t="n">
        <v>556.8</v>
      </c>
      <c r="C472" s="191" t="n">
        <v>544.7</v>
      </c>
      <c r="D472" s="191" t="n">
        <v>572.5</v>
      </c>
      <c r="E472" s="191" t="n">
        <v>594.4</v>
      </c>
      <c r="F472" s="191" t="n">
        <v>581.1</v>
      </c>
      <c r="G472" s="191" t="n">
        <v>540.9</v>
      </c>
      <c r="H472" s="191" t="n">
        <v>548.6</v>
      </c>
      <c r="I472" s="191" t="n">
        <v>551.3</v>
      </c>
      <c r="J472" s="191" t="n"/>
    </row>
    <row r="473">
      <c r="A473" s="185" t="inlineStr">
        <is>
          <t>Right of Use Tangible Assets - Operating Lease - Net</t>
        </is>
      </c>
      <c r="B473" s="191" t="n">
        <v>521.5</v>
      </c>
      <c r="C473" s="191" t="n">
        <v>522</v>
      </c>
      <c r="D473" s="191" t="n">
        <v>546.1</v>
      </c>
      <c r="E473" s="191" t="n">
        <v>566</v>
      </c>
      <c r="F473" s="191" t="n">
        <v>526.4</v>
      </c>
      <c r="G473" s="191" t="n">
        <v>508.3</v>
      </c>
      <c r="H473" s="191" t="n">
        <v>511.8</v>
      </c>
      <c r="I473" s="191" t="n">
        <v>512.4</v>
      </c>
      <c r="J473" s="191" t="n"/>
    </row>
    <row r="474">
      <c r="A474" s="185" t="inlineStr">
        <is>
          <t>Right of Use Tangible Assets - Capital/Finance Lease - Net</t>
        </is>
      </c>
      <c r="B474" s="192" t="n">
        <v>35.3</v>
      </c>
      <c r="C474" s="192" t="n">
        <v>22.7</v>
      </c>
      <c r="D474" s="192" t="n">
        <v>26.4</v>
      </c>
      <c r="E474" s="192" t="n">
        <v>28.4</v>
      </c>
      <c r="F474" s="192" t="n">
        <v>54.7</v>
      </c>
      <c r="G474" s="192" t="n">
        <v>32.6</v>
      </c>
      <c r="H474" s="192" t="n">
        <v>36.8</v>
      </c>
      <c r="I474" s="192" t="n">
        <v>38.9</v>
      </c>
      <c r="J474" s="192" t="n"/>
    </row>
    <row r="475">
      <c r="A475" s="178" t="inlineStr">
        <is>
          <t>Property, Plant &amp; Equipment - Other - Net</t>
        </is>
      </c>
      <c r="B475" s="191" t="n">
        <v>8113.3</v>
      </c>
      <c r="C475" s="191" t="n">
        <v>8330</v>
      </c>
      <c r="D475" s="191" t="n">
        <v>8310.4</v>
      </c>
      <c r="E475" s="191" t="n">
        <v>8352.9</v>
      </c>
      <c r="F475" s="191" t="n">
        <v>8406.799999999999</v>
      </c>
      <c r="G475" s="191" t="n">
        <v>6380.9</v>
      </c>
      <c r="H475" s="191" t="n">
        <v>6379</v>
      </c>
      <c r="I475" s="191" t="n">
        <v>6170.4</v>
      </c>
      <c r="J475" s="191" t="n"/>
    </row>
    <row r="476">
      <c r="A476" s="177" t="inlineStr">
        <is>
          <t>Property, Plant &amp; Equipment - Gross - Total</t>
        </is>
      </c>
      <c r="B476" s="193" t="n">
        <v>15179</v>
      </c>
      <c r="C476" s="193" t="n">
        <v>15343</v>
      </c>
      <c r="D476" s="193" t="n">
        <v>15285</v>
      </c>
      <c r="E476" s="193" t="n">
        <v>15270</v>
      </c>
      <c r="F476" s="193" t="n">
        <v>15190</v>
      </c>
      <c r="G476" s="193" t="n">
        <v>13025</v>
      </c>
      <c r="H476" s="193" t="n">
        <v>12910</v>
      </c>
      <c r="I476" s="193" t="n">
        <v>12613</v>
      </c>
      <c r="J476" s="193" t="n"/>
    </row>
    <row r="477">
      <c r="A477" s="178" t="inlineStr">
        <is>
          <t>Property, Plant &amp; Equipment - excluding Assets Leased Out - Gross</t>
        </is>
      </c>
      <c r="B477" s="193" t="n">
        <v>15179</v>
      </c>
      <c r="C477" s="193" t="n">
        <v>15343</v>
      </c>
      <c r="D477" s="193" t="n">
        <v>15285</v>
      </c>
      <c r="E477" s="193" t="n">
        <v>15270</v>
      </c>
      <c r="F477" s="193" t="n">
        <v>15190</v>
      </c>
      <c r="G477" s="193" t="n">
        <v>13025</v>
      </c>
      <c r="H477" s="193" t="n">
        <v>12910</v>
      </c>
      <c r="I477" s="193" t="n">
        <v>12613</v>
      </c>
      <c r="J477" s="193" t="n"/>
    </row>
    <row r="478">
      <c r="A478" s="185" t="inlineStr">
        <is>
          <t>Right of Use Tangible Assets - Total - Gross</t>
        </is>
      </c>
      <c r="B478" s="191" t="n">
        <v>709.5</v>
      </c>
      <c r="C478" s="191" t="n">
        <v>723.9</v>
      </c>
      <c r="D478" s="191" t="n">
        <v>752.6</v>
      </c>
      <c r="E478" s="191" t="n">
        <v>764.1</v>
      </c>
      <c r="F478" s="191" t="n">
        <v>727.9</v>
      </c>
      <c r="G478" s="191" t="n">
        <v>707.2</v>
      </c>
      <c r="H478" s="191" t="n">
        <v>705.9</v>
      </c>
      <c r="I478" s="191" t="n">
        <v>702.2</v>
      </c>
      <c r="J478" s="191" t="n"/>
    </row>
    <row r="479">
      <c r="A479" s="186" t="inlineStr">
        <is>
          <t>Right of Use Tangible Assets - Operating Lease - Gross</t>
        </is>
      </c>
      <c r="B479" s="191" t="n">
        <v>674.2</v>
      </c>
      <c r="C479" s="191" t="n">
        <v>679.6</v>
      </c>
      <c r="D479" s="191" t="n">
        <v>700.4</v>
      </c>
      <c r="E479" s="191" t="n">
        <v>711.9</v>
      </c>
      <c r="F479" s="191" t="n">
        <v>673.2</v>
      </c>
      <c r="G479" s="191" t="n">
        <v>651.4</v>
      </c>
      <c r="H479" s="191" t="n">
        <v>646.9</v>
      </c>
      <c r="I479" s="191" t="n">
        <v>641.8</v>
      </c>
      <c r="J479" s="191" t="n"/>
    </row>
    <row r="480">
      <c r="A480" s="186" t="inlineStr">
        <is>
          <t>Right of Use Tangible Assets - Capital/Finance Lease - Gross</t>
        </is>
      </c>
      <c r="B480" s="192" t="n">
        <v>35.3</v>
      </c>
      <c r="C480" s="192" t="n">
        <v>44.3</v>
      </c>
      <c r="D480" s="192" t="n">
        <v>52.2</v>
      </c>
      <c r="E480" s="192" t="n">
        <v>52.2</v>
      </c>
      <c r="F480" s="192" t="n">
        <v>54.7</v>
      </c>
      <c r="G480" s="192" t="n">
        <v>55.8</v>
      </c>
      <c r="H480" s="192" t="n">
        <v>59</v>
      </c>
      <c r="I480" s="192" t="n">
        <v>60.4</v>
      </c>
      <c r="J480" s="192" t="n"/>
    </row>
    <row r="481">
      <c r="A481" s="185" t="inlineStr">
        <is>
          <t>Property, Plant &amp; Equipment - Other - Gross</t>
        </is>
      </c>
      <c r="B481" s="193" t="n">
        <v>14469</v>
      </c>
      <c r="C481" s="193" t="n">
        <v>14619</v>
      </c>
      <c r="D481" s="193" t="n">
        <v>14532</v>
      </c>
      <c r="E481" s="193" t="n">
        <v>14506</v>
      </c>
      <c r="F481" s="193" t="n">
        <v>14462</v>
      </c>
      <c r="G481" s="193" t="n">
        <v>12318</v>
      </c>
      <c r="H481" s="193" t="n">
        <v>12204</v>
      </c>
      <c r="I481" s="193" t="n">
        <v>11910</v>
      </c>
      <c r="J481" s="193" t="n"/>
    </row>
    <row r="482">
      <c r="A482" s="177" t="inlineStr">
        <is>
          <t>Property, Plant &amp; Equipment - Accumulated Depreciation &amp; Impairment - Total</t>
        </is>
      </c>
      <c r="B482" s="191" t="n">
        <v>6508.8</v>
      </c>
      <c r="C482" s="191" t="n">
        <v>6468.1</v>
      </c>
      <c r="D482" s="191" t="n">
        <v>6402.1</v>
      </c>
      <c r="E482" s="191" t="n">
        <v>6322.6</v>
      </c>
      <c r="F482" s="191" t="n">
        <v>6202.1</v>
      </c>
      <c r="G482" s="191" t="n">
        <v>6103.3</v>
      </c>
      <c r="H482" s="191" t="n">
        <v>5982.3</v>
      </c>
      <c r="I482" s="191" t="n">
        <v>5890.9</v>
      </c>
      <c r="J482" s="191" t="n"/>
    </row>
    <row r="483">
      <c r="A483" s="178" t="inlineStr">
        <is>
          <t>Property, Plant &amp; Equipment - excluding Assets Leased Out - Accumulated Depreciation &amp; Impairment - Total</t>
        </is>
      </c>
      <c r="B483" s="191" t="n">
        <v>6508.8</v>
      </c>
      <c r="C483" s="191" t="n">
        <v>6468.1</v>
      </c>
      <c r="D483" s="191" t="n">
        <v>6402.1</v>
      </c>
      <c r="E483" s="191" t="n">
        <v>6322.6</v>
      </c>
      <c r="F483" s="191" t="n">
        <v>6202.1</v>
      </c>
      <c r="G483" s="191" t="n">
        <v>6103.3</v>
      </c>
      <c r="H483" s="191" t="n">
        <v>5982.3</v>
      </c>
      <c r="I483" s="191" t="n">
        <v>5890.9</v>
      </c>
      <c r="J483" s="191" t="n"/>
    </row>
    <row r="484">
      <c r="A484" s="185" t="inlineStr">
        <is>
          <t>Right of Use Tangible Assets - Total/Unspecified - Accumulated Depreciation</t>
        </is>
      </c>
      <c r="B484" s="191" t="n">
        <v>152.7</v>
      </c>
      <c r="C484" s="191" t="n">
        <v>179.2</v>
      </c>
      <c r="D484" s="191" t="n">
        <v>180.1</v>
      </c>
      <c r="E484" s="191" t="n">
        <v>169.7</v>
      </c>
      <c r="F484" s="191" t="n">
        <v>146.8</v>
      </c>
      <c r="G484" s="191" t="n">
        <v>166.3</v>
      </c>
      <c r="H484" s="191" t="n">
        <v>157.3</v>
      </c>
      <c r="I484" s="191" t="n">
        <v>150.9</v>
      </c>
      <c r="J484" s="191" t="n"/>
    </row>
    <row r="485">
      <c r="A485" s="186" t="inlineStr">
        <is>
          <t>Right of Use Tangible Assets - Operating Lease - Accumulated Depreciation</t>
        </is>
      </c>
      <c r="B485" s="191" t="n">
        <v>152.7</v>
      </c>
      <c r="C485" s="191" t="n">
        <v>157.6</v>
      </c>
      <c r="D485" s="191" t="n">
        <v>154.3</v>
      </c>
      <c r="E485" s="191" t="n">
        <v>145.9</v>
      </c>
      <c r="F485" s="191" t="n">
        <v>146.8</v>
      </c>
      <c r="G485" s="191" t="n">
        <v>143.1</v>
      </c>
      <c r="H485" s="191" t="n">
        <v>135.1</v>
      </c>
      <c r="I485" s="191" t="n">
        <v>129.4</v>
      </c>
      <c r="J485" s="191" t="n"/>
    </row>
    <row r="486">
      <c r="A486" s="186" t="inlineStr">
        <is>
          <t>Right of Use Tangible Assets - Capital/Finance Lease - Accumulated Depreciation</t>
        </is>
      </c>
      <c r="B486" s="193" t="n"/>
      <c r="C486" s="192" t="n">
        <v>21.6</v>
      </c>
      <c r="D486" s="192" t="n">
        <v>25.8</v>
      </c>
      <c r="E486" s="192" t="n">
        <v>23.8</v>
      </c>
      <c r="F486" s="193" t="n"/>
      <c r="G486" s="192" t="n">
        <v>23.2</v>
      </c>
      <c r="H486" s="192" t="n">
        <v>22.2</v>
      </c>
      <c r="I486" s="192" t="n">
        <v>21.5</v>
      </c>
      <c r="J486" s="193" t="n"/>
    </row>
    <row r="487">
      <c r="A487" s="185" t="inlineStr">
        <is>
          <t>Property, Plant &amp; Equipment - Other - Accumulated Depreciation &amp; Impairment</t>
        </is>
      </c>
      <c r="B487" s="191" t="n">
        <v>6356.1</v>
      </c>
      <c r="C487" s="191" t="n">
        <v>6288.9</v>
      </c>
      <c r="D487" s="191" t="n">
        <v>6222</v>
      </c>
      <c r="E487" s="191" t="n">
        <v>6152.9</v>
      </c>
      <c r="F487" s="191" t="n">
        <v>6055.3</v>
      </c>
      <c r="G487" s="191" t="n">
        <v>5937</v>
      </c>
      <c r="H487" s="191" t="n">
        <v>5825</v>
      </c>
      <c r="I487" s="191" t="n">
        <v>5740</v>
      </c>
      <c r="J487" s="191" t="n"/>
    </row>
    <row r="488">
      <c r="A488" s="175" t="inlineStr">
        <is>
          <t>Other Non-Current Assets - Total</t>
        </is>
      </c>
      <c r="B488" s="191" t="n">
        <v>158.8</v>
      </c>
      <c r="C488" s="191" t="n">
        <v>166.3</v>
      </c>
      <c r="D488" s="191" t="n">
        <v>152</v>
      </c>
      <c r="E488" s="191" t="n">
        <v>146.3</v>
      </c>
      <c r="F488" s="191" t="n">
        <v>317.1</v>
      </c>
      <c r="G488" s="191" t="n">
        <v>287.5</v>
      </c>
      <c r="H488" s="191" t="n">
        <v>281.6</v>
      </c>
      <c r="I488" s="191" t="n">
        <v>272.7</v>
      </c>
      <c r="J488" s="191" t="n"/>
    </row>
    <row r="489">
      <c r="A489" s="177" t="inlineStr">
        <is>
          <t>Other Non-Current Assets</t>
        </is>
      </c>
      <c r="B489" s="191" t="n">
        <v>158.8</v>
      </c>
      <c r="C489" s="191" t="n">
        <v>166.3</v>
      </c>
      <c r="D489" s="191" t="n">
        <v>152</v>
      </c>
      <c r="E489" s="191" t="n">
        <v>146.3</v>
      </c>
      <c r="F489" s="191" t="n">
        <v>317.1</v>
      </c>
      <c r="G489" s="191" t="n">
        <v>287.5</v>
      </c>
      <c r="H489" s="191" t="n">
        <v>281.6</v>
      </c>
      <c r="I489" s="191" t="n">
        <v>272.7</v>
      </c>
      <c r="J489" s="191" t="n"/>
    </row>
    <row r="490">
      <c r="A490" s="175" t="inlineStr">
        <is>
          <t>Intangible Assets - Total - Net</t>
        </is>
      </c>
      <c r="B490" s="191" t="n">
        <v>5269.9</v>
      </c>
      <c r="C490" s="191" t="n">
        <v>5635.5</v>
      </c>
      <c r="D490" s="191" t="n">
        <v>5663.4</v>
      </c>
      <c r="E490" s="191" t="n">
        <v>5661.3</v>
      </c>
      <c r="F490" s="191" t="n">
        <v>5502.8</v>
      </c>
      <c r="G490" s="191" t="n">
        <v>4898.3</v>
      </c>
      <c r="H490" s="191" t="n">
        <v>4999.3</v>
      </c>
      <c r="I490" s="191" t="n">
        <v>4977.5</v>
      </c>
      <c r="J490" s="191" t="n"/>
    </row>
    <row r="491">
      <c r="A491" s="177" t="inlineStr">
        <is>
          <t>Goodwill/Cost in Excess of Assets Purchased - Net</t>
        </is>
      </c>
      <c r="B491" s="191" t="n">
        <v>3780.9</v>
      </c>
      <c r="C491" s="191" t="n">
        <v>3839.5</v>
      </c>
      <c r="D491" s="191" t="n">
        <v>3831.8</v>
      </c>
      <c r="E491" s="191" t="n">
        <v>3815</v>
      </c>
      <c r="F491" s="191" t="n">
        <v>3788.1</v>
      </c>
      <c r="G491" s="191" t="n">
        <v>3450</v>
      </c>
      <c r="H491" s="191" t="n">
        <v>3536.6</v>
      </c>
      <c r="I491" s="191" t="n">
        <v>3531.7</v>
      </c>
      <c r="J491" s="191" t="n"/>
    </row>
    <row r="492">
      <c r="A492" s="177" t="inlineStr">
        <is>
          <t>Intangible Assets - excluding Goodwill - Net - Total</t>
        </is>
      </c>
      <c r="B492" s="191" t="n">
        <v>1489</v>
      </c>
      <c r="C492" s="191" t="n">
        <v>1796</v>
      </c>
      <c r="D492" s="191" t="n">
        <v>1831.6</v>
      </c>
      <c r="E492" s="191" t="n">
        <v>1846.3</v>
      </c>
      <c r="F492" s="191" t="n">
        <v>1714.7</v>
      </c>
      <c r="G492" s="191" t="n">
        <v>1448.3</v>
      </c>
      <c r="H492" s="191" t="n">
        <v>1462.7</v>
      </c>
      <c r="I492" s="191" t="n">
        <v>1445.8</v>
      </c>
      <c r="J492" s="191" t="n"/>
    </row>
    <row r="493">
      <c r="A493" s="181" t="inlineStr">
        <is>
          <t>Total Non-Current Assets</t>
        </is>
      </c>
      <c r="B493" s="196" t="n">
        <v>14133</v>
      </c>
      <c r="C493" s="196" t="n">
        <v>14710</v>
      </c>
      <c r="D493" s="196" t="n">
        <v>14731</v>
      </c>
      <c r="E493" s="196" t="n">
        <v>14786</v>
      </c>
      <c r="F493" s="196" t="n">
        <v>14839</v>
      </c>
      <c r="G493" s="196" t="n">
        <v>12139</v>
      </c>
      <c r="H493" s="196" t="n">
        <v>12240</v>
      </c>
      <c r="I493" s="196" t="n">
        <v>12003</v>
      </c>
      <c r="J493" s="196" t="n"/>
    </row>
    <row r="494">
      <c r="A494" s="183" t="inlineStr">
        <is>
          <t>Total Assets</t>
        </is>
      </c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95" t="n"/>
    </row>
    <row r="495">
      <c r="A495" s="181" t="inlineStr">
        <is>
          <t>Total Assets</t>
        </is>
      </c>
      <c r="B495" s="196" t="n">
        <v>16700</v>
      </c>
      <c r="C495" s="196" t="n">
        <v>16979</v>
      </c>
      <c r="D495" s="196" t="n">
        <v>16975</v>
      </c>
      <c r="E495" s="196" t="n">
        <v>16712</v>
      </c>
      <c r="F495" s="196" t="n">
        <v>17105</v>
      </c>
      <c r="G495" s="196" t="n">
        <v>14352</v>
      </c>
      <c r="H495" s="196" t="n">
        <v>14216</v>
      </c>
      <c r="I495" s="196" t="n">
        <v>13911</v>
      </c>
      <c r="J495" s="196" t="n"/>
    </row>
    <row r="496">
      <c r="A496" s="183" t="inlineStr">
        <is>
          <t>Current Liabilities</t>
        </is>
      </c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95" t="n"/>
    </row>
    <row r="497">
      <c r="A497" s="175" t="inlineStr">
        <is>
          <t>Trade Accounts Payable &amp; Accruals - Short-Term</t>
        </is>
      </c>
      <c r="B497" s="191" t="n">
        <v>569.2</v>
      </c>
      <c r="C497" s="191" t="n">
        <v>422.6</v>
      </c>
      <c r="D497" s="191" t="n">
        <v>383.5</v>
      </c>
      <c r="E497" s="191" t="n">
        <v>354.7</v>
      </c>
      <c r="F497" s="191" t="n">
        <v>531</v>
      </c>
      <c r="G497" s="191" t="n">
        <v>352.6</v>
      </c>
      <c r="H497" s="191" t="n">
        <v>326.6</v>
      </c>
      <c r="I497" s="191" t="n">
        <v>320.9</v>
      </c>
      <c r="J497" s="191" t="n"/>
    </row>
    <row r="498">
      <c r="A498" s="177" t="inlineStr">
        <is>
          <t>Trade Accounts &amp; Trade Notes Payable - Short-Term</t>
        </is>
      </c>
      <c r="B498" s="191" t="n">
        <v>438.5</v>
      </c>
      <c r="C498" s="191" t="n">
        <v>422.6</v>
      </c>
      <c r="D498" s="191" t="n">
        <v>383.5</v>
      </c>
      <c r="E498" s="191" t="n">
        <v>354.7</v>
      </c>
      <c r="F498" s="191" t="n">
        <v>407</v>
      </c>
      <c r="G498" s="191" t="n">
        <v>352.6</v>
      </c>
      <c r="H498" s="191" t="n">
        <v>326.6</v>
      </c>
      <c r="I498" s="191" t="n">
        <v>320.9</v>
      </c>
      <c r="J498" s="191" t="n"/>
    </row>
    <row r="499">
      <c r="A499" s="177" t="inlineStr">
        <is>
          <t>Accrued Expenses - Short-Term</t>
        </is>
      </c>
      <c r="B499" s="191" t="n">
        <v>130.7</v>
      </c>
      <c r="C499" s="193" t="n"/>
      <c r="D499" s="193" t="n"/>
      <c r="E499" s="193" t="n"/>
      <c r="F499" s="191" t="n">
        <v>124</v>
      </c>
      <c r="G499" s="193" t="n"/>
      <c r="H499" s="193" t="n"/>
      <c r="I499" s="193" t="n"/>
      <c r="J499" s="191" t="n"/>
    </row>
    <row r="500">
      <c r="A500" s="175" t="inlineStr">
        <is>
          <t>Short-Term Debt &amp; Current Portion of Long-Term Debt</t>
        </is>
      </c>
      <c r="B500" s="192" t="n">
        <v>6.2</v>
      </c>
      <c r="C500" s="192" t="n">
        <v>8.6</v>
      </c>
      <c r="D500" s="191" t="n">
        <v>559.7</v>
      </c>
      <c r="E500" s="192" t="n">
        <v>11.2</v>
      </c>
      <c r="F500" s="191" t="n">
        <v>411.2</v>
      </c>
      <c r="G500" s="192" t="n">
        <v>11.9</v>
      </c>
      <c r="H500" s="191" t="n">
        <v>107.2</v>
      </c>
      <c r="I500" s="192" t="n">
        <v>12.2</v>
      </c>
      <c r="J500" s="192" t="n"/>
    </row>
    <row r="501">
      <c r="A501" s="177" t="inlineStr">
        <is>
          <t>Short-Term Debt &amp; Notes Payable</t>
        </is>
      </c>
      <c r="B501" s="193" t="n"/>
      <c r="C501" s="193" t="n"/>
      <c r="D501" s="191" t="n">
        <v>550</v>
      </c>
      <c r="E501" s="193" t="n"/>
      <c r="F501" s="193" t="n"/>
      <c r="G501" s="193" t="n"/>
      <c r="H501" s="192" t="n">
        <v>95</v>
      </c>
      <c r="I501" s="193" t="n"/>
      <c r="J501" s="193" t="n"/>
    </row>
    <row r="502">
      <c r="A502" s="177" t="inlineStr">
        <is>
          <t>Current Portion of Long-Term Debt including Capitalized Leases</t>
        </is>
      </c>
      <c r="B502" s="192" t="n">
        <v>6.2</v>
      </c>
      <c r="C502" s="192" t="n">
        <v>8.6</v>
      </c>
      <c r="D502" s="192" t="n">
        <v>9.699999999999999</v>
      </c>
      <c r="E502" s="192" t="n">
        <v>11.2</v>
      </c>
      <c r="F502" s="191" t="n">
        <v>411.2</v>
      </c>
      <c r="G502" s="192" t="n">
        <v>11.9</v>
      </c>
      <c r="H502" s="192" t="n">
        <v>12.2</v>
      </c>
      <c r="I502" s="192" t="n">
        <v>12.2</v>
      </c>
      <c r="J502" s="192" t="n"/>
    </row>
    <row r="503">
      <c r="A503" s="178" t="inlineStr">
        <is>
          <t>Current Portion of Long-Term Debt excluding Capitalized Leases</t>
        </is>
      </c>
      <c r="B503" s="192" t="n">
        <v>0.4</v>
      </c>
      <c r="C503" s="192" t="n">
        <v>0.4</v>
      </c>
      <c r="D503" s="192" t="n">
        <v>0.5</v>
      </c>
      <c r="E503" s="192" t="n">
        <v>0.5</v>
      </c>
      <c r="F503" s="191" t="n">
        <v>400.5</v>
      </c>
      <c r="G503" s="192" t="n">
        <v>0.5</v>
      </c>
      <c r="H503" s="192" t="n">
        <v>0.5</v>
      </c>
      <c r="I503" s="192" t="n">
        <v>0.5</v>
      </c>
      <c r="J503" s="192" t="n"/>
    </row>
    <row r="504">
      <c r="A504" s="178" t="inlineStr">
        <is>
          <t>Capitalized Leases - Current Portion</t>
        </is>
      </c>
      <c r="B504" s="192" t="n">
        <v>5.8</v>
      </c>
      <c r="C504" s="192" t="n">
        <v>8.199999999999999</v>
      </c>
      <c r="D504" s="192" t="n">
        <v>9.199999999999999</v>
      </c>
      <c r="E504" s="192" t="n">
        <v>10.7</v>
      </c>
      <c r="F504" s="192" t="n">
        <v>10.7</v>
      </c>
      <c r="G504" s="192" t="n">
        <v>11.4</v>
      </c>
      <c r="H504" s="192" t="n">
        <v>11.7</v>
      </c>
      <c r="I504" s="192" t="n">
        <v>11.7</v>
      </c>
      <c r="J504" s="192" t="n"/>
    </row>
    <row r="505">
      <c r="A505" s="175" t="inlineStr">
        <is>
          <t>Liabilities Held for Sale/Discontinued Operations - Short-Term</t>
        </is>
      </c>
      <c r="B505" s="192" t="n">
        <v>29.3</v>
      </c>
      <c r="C505" s="192" t="n">
        <v>37.6</v>
      </c>
      <c r="D505" s="193" t="n"/>
      <c r="E505" s="193" t="n"/>
      <c r="F505" s="193" t="n"/>
      <c r="G505" s="193" t="n"/>
      <c r="H505" s="193" t="n"/>
      <c r="I505" s="193" t="n"/>
      <c r="J505" s="193" t="n"/>
    </row>
    <row r="506">
      <c r="A506" s="175" t="inlineStr">
        <is>
          <t>Operating Lease Liabilities - Current Portion/Short-Term</t>
        </is>
      </c>
      <c r="B506" s="192" t="n">
        <v>44.5</v>
      </c>
      <c r="C506" s="192" t="n">
        <v>49.4</v>
      </c>
      <c r="D506" s="192" t="n">
        <v>51</v>
      </c>
      <c r="E506" s="192" t="n">
        <v>51.2</v>
      </c>
      <c r="F506" s="192" t="n">
        <v>49.3</v>
      </c>
      <c r="G506" s="192" t="n">
        <v>48.7</v>
      </c>
      <c r="H506" s="192" t="n">
        <v>47.9</v>
      </c>
      <c r="I506" s="192" t="n">
        <v>47.3</v>
      </c>
      <c r="J506" s="192" t="n"/>
    </row>
    <row r="507">
      <c r="A507" s="175" t="inlineStr">
        <is>
          <t>Other Current Liabilities - Total</t>
        </is>
      </c>
      <c r="B507" s="191" t="n">
        <v>306.9</v>
      </c>
      <c r="C507" s="191" t="n">
        <v>498.6</v>
      </c>
      <c r="D507" s="191" t="n">
        <v>347.7</v>
      </c>
      <c r="E507" s="191" t="n">
        <v>379.8</v>
      </c>
      <c r="F507" s="191" t="n">
        <v>247.6</v>
      </c>
      <c r="G507" s="191" t="n">
        <v>360.9</v>
      </c>
      <c r="H507" s="191" t="n">
        <v>315.1</v>
      </c>
      <c r="I507" s="191" t="n">
        <v>315.8</v>
      </c>
      <c r="J507" s="191" t="n"/>
    </row>
    <row r="508">
      <c r="A508" s="177" t="inlineStr">
        <is>
          <t>Other Current Liabilities</t>
        </is>
      </c>
      <c r="B508" s="191" t="n">
        <v>306.9</v>
      </c>
      <c r="C508" s="191" t="n">
        <v>498.6</v>
      </c>
      <c r="D508" s="191" t="n">
        <v>347.7</v>
      </c>
      <c r="E508" s="191" t="n">
        <v>379.8</v>
      </c>
      <c r="F508" s="191" t="n">
        <v>247.6</v>
      </c>
      <c r="G508" s="191" t="n">
        <v>360.9</v>
      </c>
      <c r="H508" s="191" t="n">
        <v>315.1</v>
      </c>
      <c r="I508" s="191" t="n">
        <v>315.8</v>
      </c>
      <c r="J508" s="191" t="n"/>
    </row>
    <row r="509">
      <c r="A509" s="181" t="inlineStr">
        <is>
          <t>Total Current Liabilities</t>
        </is>
      </c>
      <c r="B509" s="194" t="n">
        <v>956.1</v>
      </c>
      <c r="C509" s="194" t="n">
        <v>1016.8</v>
      </c>
      <c r="D509" s="194" t="n">
        <v>1341.9</v>
      </c>
      <c r="E509" s="194" t="n">
        <v>796.9</v>
      </c>
      <c r="F509" s="194" t="n">
        <v>1239.1</v>
      </c>
      <c r="G509" s="194" t="n">
        <v>774.1</v>
      </c>
      <c r="H509" s="194" t="n">
        <v>796.8</v>
      </c>
      <c r="I509" s="194" t="n">
        <v>696.2</v>
      </c>
      <c r="J509" s="194" t="n"/>
    </row>
    <row r="510">
      <c r="A510" s="183" t="inlineStr">
        <is>
          <t>Non-Current Liabilities</t>
        </is>
      </c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95" t="n"/>
    </row>
    <row r="511">
      <c r="A511" s="175" t="inlineStr">
        <is>
          <t>Debt - Long-Term - Total</t>
        </is>
      </c>
      <c r="B511" s="191" t="n">
        <v>4366.7</v>
      </c>
      <c r="C511" s="191" t="n">
        <v>4365.7</v>
      </c>
      <c r="D511" s="191" t="n">
        <v>4364.9</v>
      </c>
      <c r="E511" s="191" t="n">
        <v>4914.8</v>
      </c>
      <c r="F511" s="191" t="n">
        <v>4916.6</v>
      </c>
      <c r="G511" s="191" t="n">
        <v>3341</v>
      </c>
      <c r="H511" s="191" t="n">
        <v>3345.3</v>
      </c>
      <c r="I511" s="191" t="n">
        <v>3345.3</v>
      </c>
      <c r="J511" s="191" t="n"/>
    </row>
    <row r="512">
      <c r="A512" s="177" t="inlineStr">
        <is>
          <t>Long-Term Debt excluding Capitalized Leases</t>
        </is>
      </c>
      <c r="B512" s="191" t="n">
        <v>4361.7</v>
      </c>
      <c r="C512" s="191" t="n">
        <v>4360.4</v>
      </c>
      <c r="D512" s="191" t="n">
        <v>4359.2</v>
      </c>
      <c r="E512" s="191" t="n">
        <v>4907.9</v>
      </c>
      <c r="F512" s="191" t="n">
        <v>4906.9</v>
      </c>
      <c r="G512" s="191" t="n">
        <v>3329.2</v>
      </c>
      <c r="H512" s="191" t="n">
        <v>3331.7</v>
      </c>
      <c r="I512" s="191" t="n">
        <v>3330.7</v>
      </c>
      <c r="J512" s="191" t="n"/>
    </row>
    <row r="513">
      <c r="A513" s="178" t="inlineStr">
        <is>
          <t>Debt - Non-Convertible - Long-Term</t>
        </is>
      </c>
      <c r="B513" s="191" t="n">
        <v>4361.7</v>
      </c>
      <c r="C513" s="191" t="n">
        <v>4360.4</v>
      </c>
      <c r="D513" s="191" t="n">
        <v>4359.2</v>
      </c>
      <c r="E513" s="191" t="n">
        <v>4907.9</v>
      </c>
      <c r="F513" s="191" t="n">
        <v>4906.9</v>
      </c>
      <c r="G513" s="191" t="n">
        <v>3329.2</v>
      </c>
      <c r="H513" s="191" t="n">
        <v>3331.7</v>
      </c>
      <c r="I513" s="191" t="n">
        <v>3330.7</v>
      </c>
      <c r="J513" s="191" t="n"/>
    </row>
    <row r="514">
      <c r="A514" s="177" t="inlineStr">
        <is>
          <t>Capitalized Lease Obligations - Long-Term</t>
        </is>
      </c>
      <c r="B514" s="192" t="n">
        <v>5</v>
      </c>
      <c r="C514" s="192" t="n">
        <v>5.3</v>
      </c>
      <c r="D514" s="192" t="n">
        <v>5.7</v>
      </c>
      <c r="E514" s="192" t="n">
        <v>6.9</v>
      </c>
      <c r="F514" s="192" t="n">
        <v>9.699999999999999</v>
      </c>
      <c r="G514" s="192" t="n">
        <v>11.8</v>
      </c>
      <c r="H514" s="192" t="n">
        <v>13.6</v>
      </c>
      <c r="I514" s="192" t="n">
        <v>14.6</v>
      </c>
      <c r="J514" s="192" t="n"/>
    </row>
    <row r="515">
      <c r="A515" s="175" t="inlineStr">
        <is>
          <t>Deferred Tax &amp; Investment Tax Credits - Long-Term</t>
        </is>
      </c>
      <c r="B515" s="191" t="n">
        <v>1358.3</v>
      </c>
      <c r="C515" s="191" t="n">
        <v>1391.9</v>
      </c>
      <c r="D515" s="191" t="n">
        <v>1323.6</v>
      </c>
      <c r="E515" s="191" t="n">
        <v>1331.4</v>
      </c>
      <c r="F515" s="191" t="n">
        <v>1336.5</v>
      </c>
      <c r="G515" s="191" t="n">
        <v>1000.3</v>
      </c>
      <c r="H515" s="191" t="n">
        <v>1011.5</v>
      </c>
      <c r="I515" s="191" t="n">
        <v>1027.3</v>
      </c>
      <c r="J515" s="191" t="n"/>
    </row>
    <row r="516">
      <c r="A516" s="177" t="inlineStr">
        <is>
          <t>Deferred Tax - Liability - Long-Term</t>
        </is>
      </c>
      <c r="B516" s="191" t="n">
        <v>1358.3</v>
      </c>
      <c r="C516" s="191" t="n">
        <v>1391.9</v>
      </c>
      <c r="D516" s="191" t="n">
        <v>1323.6</v>
      </c>
      <c r="E516" s="191" t="n">
        <v>1331.4</v>
      </c>
      <c r="F516" s="191" t="n">
        <v>1336.5</v>
      </c>
      <c r="G516" s="191" t="n">
        <v>1000.3</v>
      </c>
      <c r="H516" s="191" t="n">
        <v>1011.5</v>
      </c>
      <c r="I516" s="191" t="n">
        <v>1027.3</v>
      </c>
      <c r="J516" s="191" t="n"/>
    </row>
    <row r="517">
      <c r="A517" s="175" t="inlineStr">
        <is>
          <t>Operating Lease Liabilities - Long-Term</t>
        </is>
      </c>
      <c r="B517" s="191" t="n">
        <v>522.6</v>
      </c>
      <c r="C517" s="191" t="n">
        <v>506.2</v>
      </c>
      <c r="D517" s="191" t="n">
        <v>536.1</v>
      </c>
      <c r="E517" s="191" t="n">
        <v>556.1</v>
      </c>
      <c r="F517" s="191" t="n">
        <v>521.4</v>
      </c>
      <c r="G517" s="191" t="n">
        <v>503.5</v>
      </c>
      <c r="H517" s="191" t="n">
        <v>507.5</v>
      </c>
      <c r="I517" s="191" t="n">
        <v>508.2</v>
      </c>
      <c r="J517" s="191" t="n"/>
    </row>
    <row r="518">
      <c r="A518" s="175" t="inlineStr">
        <is>
          <t>Other Non-Current Liabilities - Total</t>
        </is>
      </c>
      <c r="B518" s="191" t="n">
        <v>947.8</v>
      </c>
      <c r="C518" s="191" t="n">
        <v>940.8</v>
      </c>
      <c r="D518" s="191" t="n">
        <v>978.5</v>
      </c>
      <c r="E518" s="191" t="n">
        <v>954.4</v>
      </c>
      <c r="F518" s="191" t="n">
        <v>948.7</v>
      </c>
      <c r="G518" s="191" t="n">
        <v>839.9</v>
      </c>
      <c r="H518" s="191" t="n">
        <v>824.9</v>
      </c>
      <c r="I518" s="191" t="n">
        <v>817.3</v>
      </c>
      <c r="J518" s="191" t="n"/>
    </row>
    <row r="519">
      <c r="A519" s="177" t="inlineStr">
        <is>
          <t>Provisions - Long-Term</t>
        </is>
      </c>
      <c r="B519" s="191" t="n">
        <v>520.7</v>
      </c>
      <c r="C519" s="193" t="n"/>
      <c r="D519" s="193" t="n"/>
      <c r="E519" s="193" t="n"/>
      <c r="F519" s="191" t="n">
        <v>502.6</v>
      </c>
      <c r="G519" s="193" t="n"/>
      <c r="H519" s="193" t="n"/>
      <c r="I519" s="193" t="n"/>
      <c r="J519" s="191" t="n"/>
    </row>
    <row r="520">
      <c r="A520" s="178" t="inlineStr">
        <is>
          <t>Post Employment Benefits - Pension &amp; Other - Long-Term</t>
        </is>
      </c>
      <c r="B520" s="192" t="n">
        <v>64.2</v>
      </c>
      <c r="C520" s="193" t="n"/>
      <c r="D520" s="193" t="n"/>
      <c r="E520" s="193" t="n"/>
      <c r="F520" s="192" t="n">
        <v>75.2</v>
      </c>
      <c r="G520" s="193" t="n"/>
      <c r="H520" s="193" t="n"/>
      <c r="I520" s="193" t="n"/>
      <c r="J520" s="192" t="n"/>
    </row>
    <row r="521">
      <c r="A521" s="178" t="inlineStr">
        <is>
          <t>Asset Retirement Obligation - Long-Term</t>
        </is>
      </c>
      <c r="B521" s="191" t="n">
        <v>456.5</v>
      </c>
      <c r="C521" s="193" t="n"/>
      <c r="D521" s="193" t="n"/>
      <c r="E521" s="193" t="n"/>
      <c r="F521" s="191" t="n">
        <v>427.4</v>
      </c>
      <c r="G521" s="193" t="n"/>
      <c r="H521" s="193" t="n"/>
      <c r="I521" s="193" t="n"/>
      <c r="J521" s="191" t="n"/>
    </row>
    <row r="522">
      <c r="A522" s="177" t="inlineStr">
        <is>
          <t>Deferred Revenue - Long-Term</t>
        </is>
      </c>
      <c r="B522" s="191" t="n">
        <v>130.6</v>
      </c>
      <c r="C522" s="191" t="n">
        <v>132.3</v>
      </c>
      <c r="D522" s="191" t="n">
        <v>134.3</v>
      </c>
      <c r="E522" s="191" t="n">
        <v>136.2</v>
      </c>
      <c r="F522" s="191" t="n">
        <v>137.8</v>
      </c>
      <c r="G522" s="191" t="n">
        <v>139.4</v>
      </c>
      <c r="H522" s="191" t="n">
        <v>141.4</v>
      </c>
      <c r="I522" s="191" t="n">
        <v>143.6</v>
      </c>
      <c r="J522" s="191" t="n"/>
    </row>
    <row r="523">
      <c r="A523" s="177" t="inlineStr">
        <is>
          <t>Other Non-Current Liabilities</t>
        </is>
      </c>
      <c r="B523" s="191" t="n">
        <v>296.5</v>
      </c>
      <c r="C523" s="191" t="n">
        <v>808.5</v>
      </c>
      <c r="D523" s="191" t="n">
        <v>844.2</v>
      </c>
      <c r="E523" s="191" t="n">
        <v>818.2</v>
      </c>
      <c r="F523" s="191" t="n">
        <v>308.3</v>
      </c>
      <c r="G523" s="191" t="n">
        <v>700.5</v>
      </c>
      <c r="H523" s="191" t="n">
        <v>683.5</v>
      </c>
      <c r="I523" s="191" t="n">
        <v>673.7</v>
      </c>
      <c r="J523" s="191" t="n"/>
    </row>
    <row r="524">
      <c r="A524" s="175" t="inlineStr">
        <is>
          <t>Total Non-Current Liabilities</t>
        </is>
      </c>
      <c r="B524" s="191" t="n">
        <v>7195.4</v>
      </c>
      <c r="C524" s="191" t="n">
        <v>7204.6</v>
      </c>
      <c r="D524" s="191" t="n">
        <v>7203.1</v>
      </c>
      <c r="E524" s="191" t="n">
        <v>7756.7</v>
      </c>
      <c r="F524" s="191" t="n">
        <v>7723.2</v>
      </c>
      <c r="G524" s="191" t="n">
        <v>5684.7</v>
      </c>
      <c r="H524" s="191" t="n">
        <v>5689.2</v>
      </c>
      <c r="I524" s="191" t="n">
        <v>5698.1</v>
      </c>
      <c r="J524" s="191" t="n"/>
    </row>
    <row r="525">
      <c r="A525" s="183" t="inlineStr">
        <is>
          <t>Total Liabilities</t>
        </is>
      </c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95" t="n"/>
    </row>
    <row r="526">
      <c r="A526" s="181" t="inlineStr">
        <is>
          <t>Total Liabilities</t>
        </is>
      </c>
      <c r="B526" s="194" t="n">
        <v>8151.5</v>
      </c>
      <c r="C526" s="194" t="n">
        <v>8221.4</v>
      </c>
      <c r="D526" s="194" t="n">
        <v>8545</v>
      </c>
      <c r="E526" s="194" t="n">
        <v>8553.6</v>
      </c>
      <c r="F526" s="194" t="n">
        <v>8962.299999999999</v>
      </c>
      <c r="G526" s="194" t="n">
        <v>6458.8</v>
      </c>
      <c r="H526" s="194" t="n">
        <v>6486</v>
      </c>
      <c r="I526" s="194" t="n">
        <v>6394.3</v>
      </c>
      <c r="J526" s="194" t="n"/>
    </row>
    <row r="527">
      <c r="A527" s="183" t="inlineStr">
        <is>
          <t>Shareholders' Equity</t>
        </is>
      </c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95" t="n"/>
    </row>
    <row r="528">
      <c r="A528" s="175" t="inlineStr">
        <is>
          <t>Shareholders' Equity - Attributable to Parent Shareholders - Total</t>
        </is>
      </c>
      <c r="B528" s="191" t="n">
        <v>8525.1</v>
      </c>
      <c r="C528" s="191" t="n">
        <v>8734.200000000001</v>
      </c>
      <c r="D528" s="191" t="n">
        <v>8406.9</v>
      </c>
      <c r="E528" s="191" t="n">
        <v>8134.1</v>
      </c>
      <c r="F528" s="191" t="n">
        <v>8118.6</v>
      </c>
      <c r="G528" s="191" t="n">
        <v>7869</v>
      </c>
      <c r="H528" s="191" t="n">
        <v>7705.3</v>
      </c>
      <c r="I528" s="191" t="n">
        <v>7491.9</v>
      </c>
      <c r="J528" s="191" t="n"/>
    </row>
    <row r="529">
      <c r="A529" s="177" t="inlineStr">
        <is>
          <t>Common Equity Attributable to Parent Shareholders</t>
        </is>
      </c>
      <c r="B529" s="191" t="n">
        <v>8525.1</v>
      </c>
      <c r="C529" s="191" t="n">
        <v>8734.200000000001</v>
      </c>
      <c r="D529" s="191" t="n">
        <v>8406.9</v>
      </c>
      <c r="E529" s="191" t="n">
        <v>8134.1</v>
      </c>
      <c r="F529" s="191" t="n">
        <v>8118.6</v>
      </c>
      <c r="G529" s="191" t="n">
        <v>7869</v>
      </c>
      <c r="H529" s="191" t="n">
        <v>7705.3</v>
      </c>
      <c r="I529" s="191" t="n">
        <v>7491.9</v>
      </c>
      <c r="J529" s="191" t="n"/>
    </row>
    <row r="530">
      <c r="A530" s="178" t="inlineStr">
        <is>
          <t>Common Equity - Contributed</t>
        </is>
      </c>
      <c r="B530" s="191" t="n">
        <v>3060.6</v>
      </c>
      <c r="C530" s="191" t="n">
        <v>3052.2</v>
      </c>
      <c r="D530" s="191" t="n">
        <v>3036.5</v>
      </c>
      <c r="E530" s="191" t="n">
        <v>3021.3</v>
      </c>
      <c r="F530" s="191" t="n">
        <v>3032.2</v>
      </c>
      <c r="G530" s="191" t="n">
        <v>3027.1</v>
      </c>
      <c r="H530" s="191" t="n">
        <v>3012</v>
      </c>
      <c r="I530" s="191" t="n">
        <v>2997.3</v>
      </c>
      <c r="J530" s="191" t="n"/>
    </row>
    <row r="531">
      <c r="A531" s="185" t="inlineStr">
        <is>
          <t>Common Stock - Issued &amp; Paid</t>
        </is>
      </c>
      <c r="B531" s="191" t="n">
        <v>130.6</v>
      </c>
      <c r="C531" s="191" t="n">
        <v>132</v>
      </c>
      <c r="D531" s="191" t="n">
        <v>132</v>
      </c>
      <c r="E531" s="191" t="n">
        <v>132.1</v>
      </c>
      <c r="F531" s="191" t="n">
        <v>132.1</v>
      </c>
      <c r="G531" s="191" t="n">
        <v>132.1</v>
      </c>
      <c r="H531" s="191" t="n">
        <v>132.1</v>
      </c>
      <c r="I531" s="191" t="n">
        <v>132.3</v>
      </c>
      <c r="J531" s="191" t="n"/>
    </row>
    <row r="532">
      <c r="A532" s="185" t="inlineStr">
        <is>
          <t>Common Stock - Additional Paid in Capital including Option Reserve</t>
        </is>
      </c>
      <c r="B532" s="191" t="n">
        <v>2930</v>
      </c>
      <c r="C532" s="191" t="n">
        <v>2920.2</v>
      </c>
      <c r="D532" s="191" t="n">
        <v>2904.5</v>
      </c>
      <c r="E532" s="191" t="n">
        <v>2889.2</v>
      </c>
      <c r="F532" s="191" t="n">
        <v>2900.1</v>
      </c>
      <c r="G532" s="191" t="n">
        <v>2895</v>
      </c>
      <c r="H532" s="191" t="n">
        <v>2879.9</v>
      </c>
      <c r="I532" s="191" t="n">
        <v>2865</v>
      </c>
      <c r="J532" s="191" t="n"/>
    </row>
    <row r="533">
      <c r="A533" s="178" t="inlineStr">
        <is>
          <t>Equity - Non-Contributed - Reserves &amp; Retained Earnings</t>
        </is>
      </c>
      <c r="B533" s="191" t="n">
        <v>5464.5</v>
      </c>
      <c r="C533" s="191" t="n">
        <v>5682</v>
      </c>
      <c r="D533" s="191" t="n">
        <v>5370.4</v>
      </c>
      <c r="E533" s="191" t="n">
        <v>5112.8</v>
      </c>
      <c r="F533" s="191" t="n">
        <v>5086.4</v>
      </c>
      <c r="G533" s="191" t="n">
        <v>4841.9</v>
      </c>
      <c r="H533" s="191" t="n">
        <v>4693.3</v>
      </c>
      <c r="I533" s="191" t="n">
        <v>4494.6</v>
      </c>
      <c r="J533" s="191" t="n"/>
    </row>
    <row r="534">
      <c r="A534" s="185" t="inlineStr">
        <is>
          <t>Retained Earnings - Total</t>
        </is>
      </c>
      <c r="B534" s="191" t="n">
        <v>5590.1</v>
      </c>
      <c r="C534" s="191" t="n">
        <v>5805.1</v>
      </c>
      <c r="D534" s="191" t="n">
        <v>5494.9</v>
      </c>
      <c r="E534" s="191" t="n">
        <v>5238.8</v>
      </c>
      <c r="F534" s="191" t="n">
        <v>5213.8</v>
      </c>
      <c r="G534" s="191" t="n">
        <v>4980.7</v>
      </c>
      <c r="H534" s="191" t="n">
        <v>4833.9</v>
      </c>
      <c r="I534" s="191" t="n">
        <v>4636.7</v>
      </c>
      <c r="J534" s="191" t="n"/>
    </row>
    <row r="535">
      <c r="A535" s="185" t="inlineStr">
        <is>
          <t>Comprehensive Income - Accumulated - Total</t>
        </is>
      </c>
      <c r="B535" s="197" t="n">
        <v>-125.6</v>
      </c>
      <c r="C535" s="197" t="n">
        <v>-123.1</v>
      </c>
      <c r="D535" s="197" t="n">
        <v>-124.5</v>
      </c>
      <c r="E535" s="197" t="n">
        <v>-126</v>
      </c>
      <c r="F535" s="197" t="n">
        <v>-127.4</v>
      </c>
      <c r="G535" s="197" t="n">
        <v>-138.8</v>
      </c>
      <c r="H535" s="197" t="n">
        <v>-140.6</v>
      </c>
      <c r="I535" s="197" t="n">
        <v>-142.1</v>
      </c>
      <c r="J535" s="197" t="n"/>
    </row>
    <row r="536">
      <c r="A536" s="186" t="inlineStr">
        <is>
          <t>Hedging Reserves</t>
        </is>
      </c>
      <c r="B536" s="198" t="n">
        <v>-16</v>
      </c>
      <c r="C536" s="198" t="n">
        <v>-16.4</v>
      </c>
      <c r="D536" s="198" t="n">
        <v>-16.8</v>
      </c>
      <c r="E536" s="198" t="n">
        <v>-17.3</v>
      </c>
      <c r="F536" s="198" t="n">
        <v>-17.7</v>
      </c>
      <c r="G536" s="198" t="n">
        <v>-18.2</v>
      </c>
      <c r="H536" s="198" t="n">
        <v>-18.6</v>
      </c>
      <c r="I536" s="198" t="n">
        <v>-19</v>
      </c>
      <c r="J536" s="198" t="n"/>
    </row>
    <row r="537">
      <c r="A537" s="186" t="inlineStr">
        <is>
          <t>Comprehensive Income - Pension Liabilities</t>
        </is>
      </c>
      <c r="B537" s="197" t="n">
        <v>-109.6</v>
      </c>
      <c r="C537" s="197" t="n">
        <v>-106.7</v>
      </c>
      <c r="D537" s="197" t="n">
        <v>-107.7</v>
      </c>
      <c r="E537" s="197" t="n">
        <v>-108.7</v>
      </c>
      <c r="F537" s="197" t="n">
        <v>-109.7</v>
      </c>
      <c r="G537" s="197" t="n">
        <v>-120.6</v>
      </c>
      <c r="H537" s="197" t="n">
        <v>-122</v>
      </c>
      <c r="I537" s="197" t="n">
        <v>-123.1</v>
      </c>
      <c r="J537" s="197" t="n"/>
    </row>
    <row r="538">
      <c r="A538" s="177" t="inlineStr">
        <is>
          <t>Common Equity - Total</t>
        </is>
      </c>
      <c r="B538" s="191" t="n">
        <v>8525.1</v>
      </c>
      <c r="C538" s="191" t="n">
        <v>8734.200000000001</v>
      </c>
      <c r="D538" s="191" t="n">
        <v>8406.9</v>
      </c>
      <c r="E538" s="191" t="n">
        <v>8134.1</v>
      </c>
      <c r="F538" s="191" t="n">
        <v>8118.6</v>
      </c>
      <c r="G538" s="191" t="n">
        <v>7869</v>
      </c>
      <c r="H538" s="191" t="n">
        <v>7705.3</v>
      </c>
      <c r="I538" s="191" t="n">
        <v>7491.9</v>
      </c>
      <c r="J538" s="191" t="n"/>
    </row>
    <row r="539">
      <c r="A539" s="175" t="inlineStr">
        <is>
          <t>Minority Interest - Equity</t>
        </is>
      </c>
      <c r="B539" s="192" t="n">
        <v>23.8</v>
      </c>
      <c r="C539" s="192" t="n">
        <v>22.9</v>
      </c>
      <c r="D539" s="192" t="n">
        <v>22.8</v>
      </c>
      <c r="E539" s="192" t="n">
        <v>24.4</v>
      </c>
      <c r="F539" s="192" t="n">
        <v>23.9</v>
      </c>
      <c r="G539" s="192" t="n">
        <v>24.1</v>
      </c>
      <c r="H539" s="192" t="n">
        <v>25.1</v>
      </c>
      <c r="I539" s="192" t="n">
        <v>24.7</v>
      </c>
      <c r="J539" s="192" t="n"/>
    </row>
    <row r="540">
      <c r="A540" s="183" t="inlineStr">
        <is>
          <t>Total Shareholders' Equity</t>
        </is>
      </c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95" t="n"/>
    </row>
    <row r="541">
      <c r="A541" s="181" t="inlineStr">
        <is>
          <t>Total Shareholders' Equity - including Minority Interest &amp; Hybrid Debt</t>
        </is>
      </c>
      <c r="B541" s="194" t="n">
        <v>8548.9</v>
      </c>
      <c r="C541" s="194" t="n">
        <v>8757.1</v>
      </c>
      <c r="D541" s="194" t="n">
        <v>8429.700000000001</v>
      </c>
      <c r="E541" s="194" t="n">
        <v>8158.5</v>
      </c>
      <c r="F541" s="194" t="n">
        <v>8142.5</v>
      </c>
      <c r="G541" s="194" t="n">
        <v>7893.1</v>
      </c>
      <c r="H541" s="194" t="n">
        <v>7730.4</v>
      </c>
      <c r="I541" s="194" t="n">
        <v>7516.6</v>
      </c>
      <c r="J541" s="194" t="n"/>
    </row>
    <row r="542">
      <c r="A542" s="183" t="inlineStr">
        <is>
          <t>Total Liabilities &amp; Shareholders' Equity</t>
        </is>
      </c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95" t="n"/>
    </row>
    <row r="543">
      <c r="A543" s="181" t="inlineStr">
        <is>
          <t>Total Liabilities &amp; Equity</t>
        </is>
      </c>
      <c r="B543" s="196" t="n">
        <v>16700</v>
      </c>
      <c r="C543" s="196" t="n">
        <v>16979</v>
      </c>
      <c r="D543" s="196" t="n">
        <v>16975</v>
      </c>
      <c r="E543" s="196" t="n">
        <v>16712</v>
      </c>
      <c r="F543" s="196" t="n">
        <v>17105</v>
      </c>
      <c r="G543" s="196" t="n">
        <v>14352</v>
      </c>
      <c r="H543" s="196" t="n">
        <v>14216</v>
      </c>
      <c r="I543" s="196" t="n">
        <v>13911</v>
      </c>
      <c r="J543" s="196" t="n"/>
    </row>
    <row r="544">
      <c r="A544" s="183" t="inlineStr">
        <is>
          <t>Share/Per Share - Common</t>
        </is>
      </c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95" t="n"/>
    </row>
    <row r="545">
      <c r="A545" s="175" t="inlineStr">
        <is>
          <t>Common Shares - Issued - Total</t>
        </is>
      </c>
      <c r="B545" s="191" t="n">
        <v>130.6</v>
      </c>
      <c r="C545" s="191" t="n">
        <v>132</v>
      </c>
      <c r="D545" s="191" t="n">
        <v>132</v>
      </c>
      <c r="E545" s="191" t="n">
        <v>132.1</v>
      </c>
      <c r="F545" s="191" t="n">
        <v>132.1</v>
      </c>
      <c r="G545" s="191" t="n">
        <v>132.1</v>
      </c>
      <c r="H545" s="191" t="n">
        <v>132.1</v>
      </c>
      <c r="I545" s="191" t="n">
        <v>132.3</v>
      </c>
      <c r="J545" s="191" t="n"/>
    </row>
    <row r="546">
      <c r="A546" s="177" t="inlineStr">
        <is>
          <t>Common Shares - Outstanding - Total</t>
        </is>
      </c>
      <c r="B546" s="191" t="n">
        <v>130.6</v>
      </c>
      <c r="C546" s="191" t="n">
        <v>132</v>
      </c>
      <c r="D546" s="191" t="n">
        <v>132</v>
      </c>
      <c r="E546" s="191" t="n">
        <v>132.1</v>
      </c>
      <c r="F546" s="191" t="n">
        <v>132.1</v>
      </c>
      <c r="G546" s="191" t="n">
        <v>132.1</v>
      </c>
      <c r="H546" s="191" t="n">
        <v>132.1</v>
      </c>
      <c r="I546" s="191" t="n">
        <v>132.3</v>
      </c>
      <c r="J546" s="191" t="n"/>
    </row>
    <row r="547">
      <c r="A547" s="177" t="inlineStr">
        <is>
          <t>Common Shares - Treasury - Total</t>
        </is>
      </c>
      <c r="B547" s="193" t="n">
        <v>0</v>
      </c>
      <c r="C547" s="193" t="n">
        <v>0</v>
      </c>
      <c r="D547" s="193" t="n">
        <v>0</v>
      </c>
      <c r="E547" s="193" t="n">
        <v>0</v>
      </c>
      <c r="F547" s="193" t="n">
        <v>0</v>
      </c>
      <c r="G547" s="193" t="n">
        <v>0</v>
      </c>
      <c r="H547" s="193" t="n">
        <v>0</v>
      </c>
      <c r="I547" s="193" t="n">
        <v>0</v>
      </c>
      <c r="J547" s="193" t="n"/>
    </row>
    <row r="548">
      <c r="A548" s="175" t="inlineStr">
        <is>
          <t>Common Shares - Authorized - Issue Specific</t>
        </is>
      </c>
      <c r="B548" s="191" t="n">
        <v>480</v>
      </c>
      <c r="C548" s="191" t="n">
        <v>480</v>
      </c>
      <c r="D548" s="191" t="n">
        <v>480</v>
      </c>
      <c r="E548" s="191" t="n">
        <v>480</v>
      </c>
      <c r="F548" s="191" t="n">
        <v>480</v>
      </c>
      <c r="G548" s="191" t="n">
        <v>480</v>
      </c>
      <c r="H548" s="191" t="n">
        <v>480</v>
      </c>
      <c r="I548" s="191" t="n">
        <v>480</v>
      </c>
      <c r="J548" s="191" t="n"/>
    </row>
    <row r="549">
      <c r="A549" s="175" t="inlineStr">
        <is>
          <t>Common Shares - Issued - Issue Specific</t>
        </is>
      </c>
      <c r="B549" s="191" t="n">
        <v>130.6</v>
      </c>
      <c r="C549" s="191" t="n">
        <v>132</v>
      </c>
      <c r="D549" s="191" t="n">
        <v>132</v>
      </c>
      <c r="E549" s="191" t="n">
        <v>132.1</v>
      </c>
      <c r="F549" s="191" t="n">
        <v>132.1</v>
      </c>
      <c r="G549" s="191" t="n">
        <v>132.1</v>
      </c>
      <c r="H549" s="191" t="n">
        <v>132.1</v>
      </c>
      <c r="I549" s="191" t="n">
        <v>132.3</v>
      </c>
      <c r="J549" s="191" t="n"/>
    </row>
    <row r="550">
      <c r="A550" s="177" t="inlineStr">
        <is>
          <t>Common Shares - Outstanding - Issue Specific</t>
        </is>
      </c>
      <c r="B550" s="191" t="n">
        <v>130.6</v>
      </c>
      <c r="C550" s="191" t="n">
        <v>132</v>
      </c>
      <c r="D550" s="191" t="n">
        <v>132</v>
      </c>
      <c r="E550" s="191" t="n">
        <v>132.1</v>
      </c>
      <c r="F550" s="191" t="n">
        <v>132.1</v>
      </c>
      <c r="G550" s="191" t="n">
        <v>132.1</v>
      </c>
      <c r="H550" s="191" t="n">
        <v>132.1</v>
      </c>
      <c r="I550" s="191" t="n">
        <v>132.3</v>
      </c>
      <c r="J550" s="191" t="n"/>
    </row>
    <row r="551">
      <c r="A551" s="177" t="inlineStr">
        <is>
          <t>Common Shares - Treasury - Issue Specific</t>
        </is>
      </c>
      <c r="B551" s="193" t="n">
        <v>0</v>
      </c>
      <c r="C551" s="193" t="n">
        <v>0</v>
      </c>
      <c r="D551" s="193" t="n">
        <v>0</v>
      </c>
      <c r="E551" s="193" t="n">
        <v>0</v>
      </c>
      <c r="F551" s="193" t="n">
        <v>0</v>
      </c>
      <c r="G551" s="193" t="n">
        <v>0</v>
      </c>
      <c r="H551" s="193" t="n">
        <v>0</v>
      </c>
      <c r="I551" s="193" t="n">
        <v>0</v>
      </c>
      <c r="J551" s="193" t="n"/>
    </row>
    <row r="552">
      <c r="A552" s="183" t="inlineStr">
        <is>
          <t>Share/Per Share - Other</t>
        </is>
      </c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95" t="n"/>
    </row>
    <row r="553">
      <c r="A553" s="175" t="inlineStr">
        <is>
          <t>Asset Allocation Factor - Issue Specific</t>
        </is>
      </c>
      <c r="B553" s="192" t="n">
        <v>1</v>
      </c>
      <c r="C553" s="192" t="n">
        <v>1</v>
      </c>
      <c r="D553" s="192" t="n">
        <v>1</v>
      </c>
      <c r="E553" s="192" t="n">
        <v>1</v>
      </c>
      <c r="F553" s="192" t="n">
        <v>1</v>
      </c>
      <c r="G553" s="192" t="n">
        <v>1</v>
      </c>
      <c r="H553" s="192" t="n">
        <v>1</v>
      </c>
      <c r="I553" s="192" t="n">
        <v>1</v>
      </c>
      <c r="J553" s="192" t="n"/>
    </row>
    <row r="554">
      <c r="A554" s="183" t="inlineStr">
        <is>
          <t>Right of Use Tangible Assets</t>
        </is>
      </c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95" t="n"/>
    </row>
    <row r="555">
      <c r="A555" s="175" t="inlineStr">
        <is>
          <t>Right of Use Tangible Assets - Total - Net - Supplemental</t>
        </is>
      </c>
      <c r="B555" s="193" t="n"/>
      <c r="C555" s="191" t="n">
        <v>544.7</v>
      </c>
      <c r="D555" s="191" t="n">
        <v>572.5</v>
      </c>
      <c r="E555" s="191" t="n">
        <v>594.4</v>
      </c>
      <c r="F555" s="193" t="n"/>
      <c r="G555" s="191" t="n">
        <v>540.9</v>
      </c>
      <c r="H555" s="191" t="n">
        <v>548.6</v>
      </c>
      <c r="I555" s="191" t="n">
        <v>551.3</v>
      </c>
      <c r="J555" s="193" t="n"/>
    </row>
    <row r="556">
      <c r="A556" s="177" t="inlineStr">
        <is>
          <t>Right of Use Tangible Assets - Operating Lease - Net - Supplemental</t>
        </is>
      </c>
      <c r="B556" s="191" t="n">
        <v>521.5</v>
      </c>
      <c r="C556" s="191" t="n">
        <v>522</v>
      </c>
      <c r="D556" s="191" t="n">
        <v>546.1</v>
      </c>
      <c r="E556" s="191" t="n">
        <v>566</v>
      </c>
      <c r="F556" s="191" t="n">
        <v>526.4</v>
      </c>
      <c r="G556" s="191" t="n">
        <v>508.3</v>
      </c>
      <c r="H556" s="191" t="n">
        <v>511.8</v>
      </c>
      <c r="I556" s="191" t="n">
        <v>512.4</v>
      </c>
      <c r="J556" s="191" t="n"/>
    </row>
    <row r="557">
      <c r="A557" s="177" t="inlineStr">
        <is>
          <t>Right of Use Tangible Assets - Capital/Finance Lease - Net - Supplemental</t>
        </is>
      </c>
      <c r="B557" s="193" t="n"/>
      <c r="C557" s="192" t="n">
        <v>22.7</v>
      </c>
      <c r="D557" s="192" t="n">
        <v>26.4</v>
      </c>
      <c r="E557" s="192" t="n">
        <v>28.4</v>
      </c>
      <c r="F557" s="193" t="n"/>
      <c r="G557" s="192" t="n">
        <v>32.6</v>
      </c>
      <c r="H557" s="192" t="n">
        <v>36.8</v>
      </c>
      <c r="I557" s="192" t="n">
        <v>38.9</v>
      </c>
      <c r="J557" s="193" t="n"/>
    </row>
    <row r="558">
      <c r="A558" s="177" t="inlineStr">
        <is>
          <t>Right of Use Tangible Assets - Total - Gross - Supplemental</t>
        </is>
      </c>
      <c r="B558" s="191" t="n">
        <v>709.5</v>
      </c>
      <c r="C558" s="191" t="n">
        <v>723.9</v>
      </c>
      <c r="D558" s="191" t="n">
        <v>752.6</v>
      </c>
      <c r="E558" s="191" t="n">
        <v>764.1</v>
      </c>
      <c r="F558" s="191" t="n">
        <v>727.9</v>
      </c>
      <c r="G558" s="191" t="n">
        <v>707.2</v>
      </c>
      <c r="H558" s="191" t="n">
        <v>705.9</v>
      </c>
      <c r="I558" s="191" t="n">
        <v>702.2</v>
      </c>
      <c r="J558" s="191" t="n"/>
    </row>
    <row r="559">
      <c r="A559" s="178" t="inlineStr">
        <is>
          <t>Right of Use Tangible Assets - Operating Lease - Gross - Supplemental</t>
        </is>
      </c>
      <c r="B559" s="191" t="n">
        <v>674.2</v>
      </c>
      <c r="C559" s="191" t="n">
        <v>679.6</v>
      </c>
      <c r="D559" s="191" t="n">
        <v>700.4</v>
      </c>
      <c r="E559" s="191" t="n">
        <v>711.9</v>
      </c>
      <c r="F559" s="191" t="n">
        <v>673.2</v>
      </c>
      <c r="G559" s="191" t="n">
        <v>651.4</v>
      </c>
      <c r="H559" s="191" t="n">
        <v>646.9</v>
      </c>
      <c r="I559" s="191" t="n">
        <v>641.8</v>
      </c>
      <c r="J559" s="191" t="n"/>
    </row>
    <row r="560">
      <c r="A560" s="178" t="inlineStr">
        <is>
          <t>Right of Use Tangible Assets - Capital/Finance Lease - Gross - Supplemental</t>
        </is>
      </c>
      <c r="B560" s="192" t="n">
        <v>35.3</v>
      </c>
      <c r="C560" s="192" t="n">
        <v>44.3</v>
      </c>
      <c r="D560" s="192" t="n">
        <v>52.2</v>
      </c>
      <c r="E560" s="192" t="n">
        <v>52.2</v>
      </c>
      <c r="F560" s="192" t="n">
        <v>54.7</v>
      </c>
      <c r="G560" s="192" t="n">
        <v>55.8</v>
      </c>
      <c r="H560" s="192" t="n">
        <v>59</v>
      </c>
      <c r="I560" s="192" t="n">
        <v>60.4</v>
      </c>
      <c r="J560" s="192" t="n"/>
    </row>
    <row r="561">
      <c r="A561" s="177" t="inlineStr">
        <is>
          <t>Right of Use Tangible Assets - Total - Accumulated Depreciation - Supplemental</t>
        </is>
      </c>
      <c r="B561" s="193" t="n"/>
      <c r="C561" s="191" t="n">
        <v>179.2</v>
      </c>
      <c r="D561" s="191" t="n">
        <v>180.1</v>
      </c>
      <c r="E561" s="191" t="n">
        <v>169.7</v>
      </c>
      <c r="F561" s="193" t="n"/>
      <c r="G561" s="191" t="n">
        <v>166.3</v>
      </c>
      <c r="H561" s="191" t="n">
        <v>157.3</v>
      </c>
      <c r="I561" s="191" t="n">
        <v>150.9</v>
      </c>
      <c r="J561" s="193" t="n"/>
    </row>
    <row r="562">
      <c r="A562" s="178" t="inlineStr">
        <is>
          <t>Right of Use Tangible Assets - Operating Lease - Accumulated Depreciation - Supplemental</t>
        </is>
      </c>
      <c r="B562" s="191" t="n">
        <v>152.7</v>
      </c>
      <c r="C562" s="191" t="n">
        <v>157.6</v>
      </c>
      <c r="D562" s="191" t="n">
        <v>154.3</v>
      </c>
      <c r="E562" s="191" t="n">
        <v>145.9</v>
      </c>
      <c r="F562" s="191" t="n">
        <v>146.8</v>
      </c>
      <c r="G562" s="191" t="n">
        <v>143.1</v>
      </c>
      <c r="H562" s="191" t="n">
        <v>135.1</v>
      </c>
      <c r="I562" s="191" t="n">
        <v>129.4</v>
      </c>
      <c r="J562" s="191" t="n"/>
    </row>
    <row r="563">
      <c r="A563" s="178" t="inlineStr">
        <is>
          <t>Right of Use Tangible Assets - Capital/Finance Lease - Accumulated Depreciation - Supplemental</t>
        </is>
      </c>
      <c r="B563" s="193" t="n"/>
      <c r="C563" s="192" t="n">
        <v>21.6</v>
      </c>
      <c r="D563" s="192" t="n">
        <v>25.8</v>
      </c>
      <c r="E563" s="192" t="n">
        <v>23.8</v>
      </c>
      <c r="F563" s="193" t="n"/>
      <c r="G563" s="192" t="n">
        <v>23.2</v>
      </c>
      <c r="H563" s="192" t="n">
        <v>22.2</v>
      </c>
      <c r="I563" s="192" t="n">
        <v>21.5</v>
      </c>
      <c r="J563" s="193" t="n"/>
    </row>
    <row r="564">
      <c r="A564" s="175" t="inlineStr">
        <is>
          <t>Property, Plant &amp; Equipment - excluding Right of Use Tangible Assets &amp; Capital Leases - Net</t>
        </is>
      </c>
      <c r="B564" s="193" t="n"/>
      <c r="C564" s="191" t="n">
        <v>8330</v>
      </c>
      <c r="D564" s="191" t="n">
        <v>8310.4</v>
      </c>
      <c r="E564" s="191" t="n">
        <v>8352.9</v>
      </c>
      <c r="F564" s="193" t="n"/>
      <c r="G564" s="191" t="n">
        <v>6380.9</v>
      </c>
      <c r="H564" s="191" t="n">
        <v>6379</v>
      </c>
      <c r="I564" s="191" t="n">
        <v>6170.4</v>
      </c>
      <c r="J564" s="193" t="n"/>
    </row>
    <row r="565">
      <c r="A565" s="177" t="inlineStr">
        <is>
          <t>Property, Plant &amp; Equipment - excluding Right of Use Tangible Assets &amp; Capital Leases - Gross</t>
        </is>
      </c>
      <c r="B565" s="193" t="n">
        <v>14469</v>
      </c>
      <c r="C565" s="193" t="n">
        <v>14619</v>
      </c>
      <c r="D565" s="193" t="n">
        <v>14532</v>
      </c>
      <c r="E565" s="193" t="n">
        <v>14506</v>
      </c>
      <c r="F565" s="193" t="n">
        <v>14462</v>
      </c>
      <c r="G565" s="193" t="n">
        <v>12318</v>
      </c>
      <c r="H565" s="193" t="n">
        <v>12204</v>
      </c>
      <c r="I565" s="193" t="n">
        <v>11910</v>
      </c>
      <c r="J565" s="193" t="n"/>
    </row>
    <row r="566">
      <c r="A566" s="177" t="inlineStr">
        <is>
          <t>Property, Plant &amp; Equipment - excluding Right of Use Tangible Assets &amp; Capital Leases - Accumulated Depreciation</t>
        </is>
      </c>
      <c r="B566" s="193" t="n"/>
      <c r="C566" s="191" t="n">
        <v>6288.9</v>
      </c>
      <c r="D566" s="191" t="n">
        <v>6222</v>
      </c>
      <c r="E566" s="191" t="n">
        <v>6152.9</v>
      </c>
      <c r="F566" s="193" t="n"/>
      <c r="G566" s="191" t="n">
        <v>5937</v>
      </c>
      <c r="H566" s="191" t="n">
        <v>5825</v>
      </c>
      <c r="I566" s="191" t="n">
        <v>5740</v>
      </c>
      <c r="J566" s="193" t="n"/>
    </row>
    <row r="567">
      <c r="A567" s="183" t="inlineStr">
        <is>
          <t>Right of Use Liabilities</t>
        </is>
      </c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95" t="n"/>
    </row>
    <row r="568">
      <c r="A568" s="175" t="inlineStr">
        <is>
          <t>Total Operating Lease Liabilities</t>
        </is>
      </c>
      <c r="B568" s="191" t="n">
        <v>567.1</v>
      </c>
      <c r="C568" s="191" t="n">
        <v>555.6</v>
      </c>
      <c r="D568" s="191" t="n">
        <v>587.1</v>
      </c>
      <c r="E568" s="191" t="n">
        <v>607.3</v>
      </c>
      <c r="F568" s="191" t="n">
        <v>570.7</v>
      </c>
      <c r="G568" s="191" t="n">
        <v>552.2</v>
      </c>
      <c r="H568" s="191" t="n">
        <v>555.4</v>
      </c>
      <c r="I568" s="191" t="n">
        <v>555.5</v>
      </c>
      <c r="J568" s="191" t="n"/>
    </row>
    <row r="569">
      <c r="A569" s="177" t="inlineStr">
        <is>
          <t>Operating Lease Liabilities - Current Portion/Short-Term - Supplemental</t>
        </is>
      </c>
      <c r="B569" s="192" t="n">
        <v>44.5</v>
      </c>
      <c r="C569" s="192" t="n">
        <v>49.4</v>
      </c>
      <c r="D569" s="192" t="n">
        <v>51</v>
      </c>
      <c r="E569" s="192" t="n">
        <v>51.2</v>
      </c>
      <c r="F569" s="192" t="n">
        <v>49.3</v>
      </c>
      <c r="G569" s="192" t="n">
        <v>48.7</v>
      </c>
      <c r="H569" s="192" t="n">
        <v>47.9</v>
      </c>
      <c r="I569" s="192" t="n">
        <v>47.3</v>
      </c>
      <c r="J569" s="192" t="n"/>
    </row>
    <row r="570">
      <c r="A570" s="177" t="inlineStr">
        <is>
          <t>Operating Lease Liabilities - Long-Term - Supplemental</t>
        </is>
      </c>
      <c r="B570" s="191" t="n">
        <v>522.6</v>
      </c>
      <c r="C570" s="191" t="n">
        <v>506.2</v>
      </c>
      <c r="D570" s="191" t="n">
        <v>536.1</v>
      </c>
      <c r="E570" s="191" t="n">
        <v>556.1</v>
      </c>
      <c r="F570" s="191" t="n">
        <v>521.4</v>
      </c>
      <c r="G570" s="191" t="n">
        <v>503.5</v>
      </c>
      <c r="H570" s="191" t="n">
        <v>507.5</v>
      </c>
      <c r="I570" s="191" t="n">
        <v>508.2</v>
      </c>
      <c r="J570" s="191" t="n"/>
    </row>
    <row r="571">
      <c r="A571" s="175" t="inlineStr">
        <is>
          <t>Finance and Operating Lease Liabilities - Total</t>
        </is>
      </c>
      <c r="B571" s="191" t="n">
        <v>577.9</v>
      </c>
      <c r="C571" s="191" t="n">
        <v>569.1</v>
      </c>
      <c r="D571" s="191" t="n">
        <v>602</v>
      </c>
      <c r="E571" s="191" t="n">
        <v>624.9</v>
      </c>
      <c r="F571" s="191" t="n">
        <v>591.1</v>
      </c>
      <c r="G571" s="191" t="n">
        <v>575.4</v>
      </c>
      <c r="H571" s="191" t="n">
        <v>580.7</v>
      </c>
      <c r="I571" s="191" t="n">
        <v>581.8</v>
      </c>
      <c r="J571" s="191" t="n"/>
    </row>
    <row r="572">
      <c r="A572" s="175" t="inlineStr">
        <is>
          <t>Debt including Finance and Operating Lease Liabilities</t>
        </is>
      </c>
      <c r="B572" s="191" t="n">
        <v>4940</v>
      </c>
      <c r="C572" s="191" t="n">
        <v>4929.9</v>
      </c>
      <c r="D572" s="191" t="n">
        <v>5511.7</v>
      </c>
      <c r="E572" s="191" t="n">
        <v>5533.3</v>
      </c>
      <c r="F572" s="191" t="n">
        <v>5898.5</v>
      </c>
      <c r="G572" s="191" t="n">
        <v>3905.1</v>
      </c>
      <c r="H572" s="191" t="n">
        <v>4007.9</v>
      </c>
      <c r="I572" s="191" t="n">
        <v>3913</v>
      </c>
      <c r="J572" s="191" t="n"/>
    </row>
    <row r="573">
      <c r="A573" s="183" t="inlineStr">
        <is>
          <t>Long-Term &amp; Short-Term</t>
        </is>
      </c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95" t="n"/>
    </row>
    <row r="574">
      <c r="A574" s="175" t="inlineStr">
        <is>
          <t>Investments - Total</t>
        </is>
      </c>
      <c r="B574" s="192" t="n">
        <v>33.7</v>
      </c>
      <c r="C574" s="192" t="n">
        <v>33.6</v>
      </c>
      <c r="D574" s="192" t="n">
        <v>32.9</v>
      </c>
      <c r="E574" s="192" t="n">
        <v>31.3</v>
      </c>
      <c r="F574" s="192" t="n">
        <v>31.3</v>
      </c>
      <c r="G574" s="192" t="n">
        <v>31.4</v>
      </c>
      <c r="H574" s="192" t="n">
        <v>31.4</v>
      </c>
      <c r="I574" s="192" t="n">
        <v>31.4</v>
      </c>
      <c r="J574" s="192" t="n"/>
    </row>
    <row r="575">
      <c r="A575" s="175" t="inlineStr">
        <is>
          <t>Loans &amp; Receivables - Total</t>
        </is>
      </c>
      <c r="B575" s="191" t="n">
        <v>887.7</v>
      </c>
      <c r="C575" s="191" t="n">
        <v>1184.8</v>
      </c>
      <c r="D575" s="191" t="n">
        <v>1078.9</v>
      </c>
      <c r="E575" s="191" t="n">
        <v>928.9</v>
      </c>
      <c r="F575" s="191" t="n">
        <v>892.3</v>
      </c>
      <c r="G575" s="191" t="n">
        <v>1017.4</v>
      </c>
      <c r="H575" s="191" t="n">
        <v>1061.2</v>
      </c>
      <c r="I575" s="191" t="n">
        <v>886.1</v>
      </c>
      <c r="J575" s="191" t="n"/>
    </row>
    <row r="576">
      <c r="A576" s="177" t="inlineStr">
        <is>
          <t>Accounts &amp; Notes Receivable - Trade - Gross - Total</t>
        </is>
      </c>
      <c r="B576" s="191" t="n">
        <v>898.2</v>
      </c>
      <c r="C576" s="191" t="n">
        <v>1197.1</v>
      </c>
      <c r="D576" s="191" t="n">
        <v>1092.2</v>
      </c>
      <c r="E576" s="191" t="n">
        <v>941.9</v>
      </c>
      <c r="F576" s="191" t="n">
        <v>905.5</v>
      </c>
      <c r="G576" s="191" t="n">
        <v>1030.9</v>
      </c>
      <c r="H576" s="191" t="n">
        <v>1075.5</v>
      </c>
      <c r="I576" s="191" t="n">
        <v>900.4</v>
      </c>
      <c r="J576" s="191" t="n"/>
    </row>
    <row r="577">
      <c r="A577" s="175" t="inlineStr">
        <is>
          <t>Assets Held for Sale/Discontinued Operations - Long-Term &amp; Short-Term</t>
        </is>
      </c>
      <c r="B577" s="191" t="n">
        <v>708.5</v>
      </c>
      <c r="C577" s="192" t="n">
        <v>97.3</v>
      </c>
      <c r="D577" s="193" t="n"/>
      <c r="E577" s="193" t="n"/>
      <c r="F577" s="193" t="n"/>
      <c r="G577" s="193" t="n">
        <v>0</v>
      </c>
      <c r="H577" s="193" t="n"/>
      <c r="I577" s="193" t="n"/>
      <c r="J577" s="193" t="n"/>
    </row>
    <row r="578">
      <c r="A578" s="175" t="inlineStr">
        <is>
          <t>Other Assets - Total</t>
        </is>
      </c>
      <c r="B578" s="191" t="n">
        <v>266.7</v>
      </c>
      <c r="C578" s="191" t="n">
        <v>274.2</v>
      </c>
      <c r="D578" s="191" t="n">
        <v>243.7</v>
      </c>
      <c r="E578" s="191" t="n">
        <v>241</v>
      </c>
      <c r="F578" s="191" t="n">
        <v>449</v>
      </c>
      <c r="G578" s="191" t="n">
        <v>402.1</v>
      </c>
      <c r="H578" s="191" t="n">
        <v>435.6</v>
      </c>
      <c r="I578" s="191" t="n">
        <v>354.6</v>
      </c>
      <c r="J578" s="191" t="n"/>
    </row>
    <row r="579">
      <c r="A579" s="175" t="inlineStr">
        <is>
          <t>Payables &amp; Accrued Expenses</t>
        </is>
      </c>
      <c r="B579" s="191" t="n">
        <v>569.2</v>
      </c>
      <c r="C579" s="191" t="n">
        <v>422.6</v>
      </c>
      <c r="D579" s="191" t="n">
        <v>383.5</v>
      </c>
      <c r="E579" s="191" t="n">
        <v>354.7</v>
      </c>
      <c r="F579" s="191" t="n">
        <v>531</v>
      </c>
      <c r="G579" s="191" t="n">
        <v>352.6</v>
      </c>
      <c r="H579" s="191" t="n">
        <v>326.6</v>
      </c>
      <c r="I579" s="191" t="n">
        <v>320.9</v>
      </c>
      <c r="J579" s="191" t="n"/>
    </row>
    <row r="580">
      <c r="A580" s="177" t="inlineStr">
        <is>
          <t>Trade Account Payables - Total</t>
        </is>
      </c>
      <c r="B580" s="191" t="n">
        <v>438.5</v>
      </c>
      <c r="C580" s="191" t="n">
        <v>422.6</v>
      </c>
      <c r="D580" s="191" t="n">
        <v>383.5</v>
      </c>
      <c r="E580" s="191" t="n">
        <v>354.7</v>
      </c>
      <c r="F580" s="191" t="n">
        <v>407</v>
      </c>
      <c r="G580" s="191" t="n">
        <v>352.6</v>
      </c>
      <c r="H580" s="191" t="n">
        <v>326.6</v>
      </c>
      <c r="I580" s="191" t="n">
        <v>320.9</v>
      </c>
      <c r="J580" s="191" t="n"/>
    </row>
    <row r="581">
      <c r="A581" s="177" t="inlineStr">
        <is>
          <t>Accrued Expenses</t>
        </is>
      </c>
      <c r="B581" s="191" t="n">
        <v>130.7</v>
      </c>
      <c r="C581" s="193" t="n"/>
      <c r="D581" s="193" t="n"/>
      <c r="E581" s="193" t="n"/>
      <c r="F581" s="191" t="n">
        <v>124</v>
      </c>
      <c r="G581" s="193" t="n"/>
      <c r="H581" s="193" t="n"/>
      <c r="I581" s="193" t="n"/>
      <c r="J581" s="191" t="n"/>
    </row>
    <row r="582">
      <c r="A582" s="175" t="inlineStr">
        <is>
          <t>Liabilities Held for Sale/Discontinued Operations - Long-term &amp; Short-Term</t>
        </is>
      </c>
      <c r="B582" s="192" t="n">
        <v>29.3</v>
      </c>
      <c r="C582" s="192" t="n">
        <v>37.6</v>
      </c>
      <c r="D582" s="193" t="n"/>
      <c r="E582" s="193" t="n"/>
      <c r="F582" s="193" t="n"/>
      <c r="G582" s="193" t="n"/>
      <c r="H582" s="193" t="n"/>
      <c r="I582" s="193" t="n"/>
      <c r="J582" s="193" t="n"/>
    </row>
    <row r="583">
      <c r="A583" s="183" t="inlineStr">
        <is>
          <t>Debt Related</t>
        </is>
      </c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95" t="n"/>
    </row>
    <row r="584">
      <c r="A584" s="175" t="inlineStr">
        <is>
          <t>Net Debt</t>
        </is>
      </c>
      <c r="B584" s="191" t="n">
        <v>4189.6</v>
      </c>
      <c r="C584" s="191" t="n">
        <v>4183</v>
      </c>
      <c r="D584" s="191" t="n">
        <v>4577.2</v>
      </c>
      <c r="E584" s="191" t="n">
        <v>4744.7</v>
      </c>
      <c r="F584" s="191" t="n">
        <v>4768.1</v>
      </c>
      <c r="G584" s="191" t="n">
        <v>2919.7</v>
      </c>
      <c r="H584" s="191" t="n">
        <v>3341.5</v>
      </c>
      <c r="I584" s="191" t="n">
        <v>3065.1</v>
      </c>
      <c r="J584" s="191" t="n"/>
    </row>
    <row r="585">
      <c r="A585" s="175" t="inlineStr">
        <is>
          <t>Debt - Total</t>
        </is>
      </c>
      <c r="B585" s="191" t="n">
        <v>4372.9</v>
      </c>
      <c r="C585" s="191" t="n">
        <v>4374.3</v>
      </c>
      <c r="D585" s="191" t="n">
        <v>4924.6</v>
      </c>
      <c r="E585" s="191" t="n">
        <v>4926</v>
      </c>
      <c r="F585" s="191" t="n">
        <v>5327.8</v>
      </c>
      <c r="G585" s="191" t="n">
        <v>3352.9</v>
      </c>
      <c r="H585" s="191" t="n">
        <v>3452.5</v>
      </c>
      <c r="I585" s="191" t="n">
        <v>3357.5</v>
      </c>
      <c r="J585" s="191" t="n"/>
    </row>
    <row r="586">
      <c r="A586" s="175" t="inlineStr">
        <is>
          <t>Revolving Line of Credit - Outstanding - Supplemental</t>
        </is>
      </c>
      <c r="B586" s="192" t="n">
        <v>23.1</v>
      </c>
      <c r="C586" s="192" t="n">
        <v>23.3</v>
      </c>
      <c r="D586" s="192" t="n">
        <v>24.7</v>
      </c>
      <c r="E586" s="192" t="n">
        <v>23.9</v>
      </c>
      <c r="F586" s="192" t="n">
        <v>95.2</v>
      </c>
      <c r="G586" s="192" t="n">
        <v>95.2</v>
      </c>
      <c r="H586" s="192" t="n">
        <v>95.2</v>
      </c>
      <c r="I586" s="192" t="n">
        <v>89.2</v>
      </c>
      <c r="J586" s="192" t="n"/>
    </row>
    <row r="587">
      <c r="A587" s="175" t="inlineStr">
        <is>
          <t>Revolving Line of Credit - Unutilized/Unused Amount</t>
        </is>
      </c>
      <c r="B587" s="191" t="n">
        <v>1576.9</v>
      </c>
      <c r="C587" s="191" t="n">
        <v>1576.7</v>
      </c>
      <c r="D587" s="191" t="n">
        <v>1575.3</v>
      </c>
      <c r="E587" s="191" t="n">
        <v>1576.1</v>
      </c>
      <c r="F587" s="191" t="n">
        <v>1504.8</v>
      </c>
      <c r="G587" s="191" t="n">
        <v>1504.8</v>
      </c>
      <c r="H587" s="191" t="n">
        <v>1504.8</v>
      </c>
      <c r="I587" s="191" t="n">
        <v>1510.8</v>
      </c>
      <c r="J587" s="191" t="n"/>
    </row>
    <row r="588">
      <c r="A588" s="175" t="inlineStr">
        <is>
          <t>Revolving Line of Credit - Total Principal Amount</t>
        </is>
      </c>
      <c r="B588" s="191" t="n">
        <v>1600</v>
      </c>
      <c r="C588" s="191" t="n">
        <v>1600</v>
      </c>
      <c r="D588" s="191" t="n">
        <v>1600</v>
      </c>
      <c r="E588" s="191" t="n">
        <v>1600</v>
      </c>
      <c r="F588" s="191" t="n">
        <v>1600</v>
      </c>
      <c r="G588" s="191" t="n">
        <v>1600</v>
      </c>
      <c r="H588" s="191" t="n">
        <v>1600</v>
      </c>
      <c r="I588" s="191" t="n">
        <v>1600</v>
      </c>
      <c r="J588" s="191" t="n"/>
    </row>
    <row r="589">
      <c r="A589" s="183" t="inlineStr">
        <is>
          <t>Weighted Average Leases</t>
        </is>
      </c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95" t="n"/>
    </row>
    <row r="590">
      <c r="A590" s="175" t="inlineStr">
        <is>
          <t>Wgt Avg Remaining Lease Term (Years)-Operating Lease-US GAAP</t>
        </is>
      </c>
      <c r="B590" s="192" t="n">
        <v>18.9</v>
      </c>
      <c r="C590" s="192" t="n">
        <v>18.9</v>
      </c>
      <c r="D590" s="192" t="n">
        <v>18.8</v>
      </c>
      <c r="E590" s="192" t="n">
        <v>18.7</v>
      </c>
      <c r="F590" s="192" t="n">
        <v>18.9</v>
      </c>
      <c r="G590" s="192" t="n">
        <v>19.1</v>
      </c>
      <c r="H590" s="192" t="n">
        <v>19.2</v>
      </c>
      <c r="I590" s="192" t="n">
        <v>19.4</v>
      </c>
      <c r="J590" s="192" t="n"/>
    </row>
    <row r="591">
      <c r="A591" s="175" t="inlineStr">
        <is>
          <t>Wgt Avg Remaining Lease Term (Years) - Finance Lease</t>
        </is>
      </c>
      <c r="B591" s="192" t="n">
        <v>2.4</v>
      </c>
      <c r="C591" s="192" t="n">
        <v>2.1</v>
      </c>
      <c r="D591" s="192" t="n">
        <v>2</v>
      </c>
      <c r="E591" s="192" t="n">
        <v>2.1</v>
      </c>
      <c r="F591" s="192" t="n">
        <v>2.2</v>
      </c>
      <c r="G591" s="192" t="n">
        <v>2.3</v>
      </c>
      <c r="H591" s="192" t="n">
        <v>2.4</v>
      </c>
      <c r="I591" s="192" t="n">
        <v>2.5</v>
      </c>
      <c r="J591" s="192" t="n"/>
    </row>
    <row r="592">
      <c r="A592" s="175" t="inlineStr">
        <is>
          <t>Weighted Average Discount Rate - Operating Lease - US GAAP</t>
        </is>
      </c>
      <c r="B592" s="199" t="n">
        <v>0</v>
      </c>
      <c r="C592" s="199" t="n">
        <v>0</v>
      </c>
      <c r="D592" s="199" t="n">
        <v>0</v>
      </c>
      <c r="E592" s="199" t="n">
        <v>0</v>
      </c>
      <c r="F592" s="199" t="n">
        <v>0</v>
      </c>
      <c r="G592" s="199" t="n">
        <v>0</v>
      </c>
      <c r="H592" s="199" t="n">
        <v>0</v>
      </c>
      <c r="I592" s="199" t="n">
        <v>0</v>
      </c>
      <c r="J592" s="199" t="n"/>
    </row>
    <row r="593">
      <c r="A593" s="175" t="inlineStr">
        <is>
          <t>Weighted Average Discount Rate - Finance Lease</t>
        </is>
      </c>
      <c r="B593" s="199" t="n">
        <v>0</v>
      </c>
      <c r="C593" s="199" t="n">
        <v>0</v>
      </c>
      <c r="D593" s="199" t="n">
        <v>0</v>
      </c>
      <c r="E593" s="199" t="n">
        <v>0</v>
      </c>
      <c r="F593" s="199" t="n">
        <v>0</v>
      </c>
      <c r="G593" s="199" t="n">
        <v>0</v>
      </c>
      <c r="H593" s="199" t="n">
        <v>0</v>
      </c>
      <c r="I593" s="199" t="n">
        <v>0</v>
      </c>
      <c r="J593" s="199" t="n"/>
    </row>
    <row r="594">
      <c r="A594" s="183" t="inlineStr">
        <is>
          <t>Other</t>
        </is>
      </c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95" t="n"/>
    </row>
    <row r="595">
      <c r="A595" s="175" t="inlineStr">
        <is>
          <t>Minority Interest - Total</t>
        </is>
      </c>
      <c r="B595" s="192" t="n">
        <v>23.8</v>
      </c>
      <c r="C595" s="192" t="n">
        <v>22.9</v>
      </c>
      <c r="D595" s="192" t="n">
        <v>22.8</v>
      </c>
      <c r="E595" s="192" t="n">
        <v>24.4</v>
      </c>
      <c r="F595" s="192" t="n">
        <v>23.9</v>
      </c>
      <c r="G595" s="192" t="n">
        <v>24.1</v>
      </c>
      <c r="H595" s="192" t="n">
        <v>25.1</v>
      </c>
      <c r="I595" s="192" t="n">
        <v>24.7</v>
      </c>
      <c r="J595" s="192" t="n"/>
    </row>
    <row r="596">
      <c r="A596" s="175" t="inlineStr">
        <is>
          <t>Accruals - Short-Term</t>
        </is>
      </c>
      <c r="B596" s="191" t="n">
        <v>1428.5</v>
      </c>
      <c r="C596" s="191" t="n">
        <v>1060.3</v>
      </c>
      <c r="D596" s="191" t="n">
        <v>554.2</v>
      </c>
      <c r="E596" s="191" t="n">
        <v>947.7</v>
      </c>
      <c r="F596" s="191" t="n">
        <v>466.9</v>
      </c>
      <c r="G596" s="191" t="n">
        <v>1005.6</v>
      </c>
      <c r="H596" s="191" t="n">
        <v>1068.7</v>
      </c>
      <c r="I596" s="191" t="n">
        <v>919</v>
      </c>
      <c r="J596" s="191" t="n"/>
    </row>
    <row r="597">
      <c r="A597" s="175" t="inlineStr">
        <is>
          <t>Asset Accruals</t>
        </is>
      </c>
      <c r="B597" s="193" t="n">
        <v>12736</v>
      </c>
      <c r="C597" s="193" t="n">
        <v>12948</v>
      </c>
      <c r="D597" s="193" t="n">
        <v>12796</v>
      </c>
      <c r="E597" s="193" t="n">
        <v>12716</v>
      </c>
      <c r="F597" s="193" t="n">
        <v>12757</v>
      </c>
      <c r="G597" s="193" t="n">
        <v>10469</v>
      </c>
      <c r="H597" s="193" t="n">
        <v>10569</v>
      </c>
      <c r="I597" s="193" t="n">
        <v>10087</v>
      </c>
      <c r="J597" s="193" t="n"/>
    </row>
    <row r="598">
      <c r="A598" s="175" t="inlineStr">
        <is>
          <t>Cash &amp; Cash Equivalents - Total</t>
        </is>
      </c>
      <c r="B598" s="191" t="n">
        <v>183.3</v>
      </c>
      <c r="C598" s="191" t="n">
        <v>191.3</v>
      </c>
      <c r="D598" s="191" t="n">
        <v>347.4</v>
      </c>
      <c r="E598" s="191" t="n">
        <v>181.3</v>
      </c>
      <c r="F598" s="191" t="n">
        <v>559.7</v>
      </c>
      <c r="G598" s="191" t="n">
        <v>433.2</v>
      </c>
      <c r="H598" s="191" t="n">
        <v>111</v>
      </c>
      <c r="I598" s="191" t="n">
        <v>292.4</v>
      </c>
      <c r="J598" s="191" t="n"/>
    </row>
    <row r="599">
      <c r="A599" s="175" t="inlineStr">
        <is>
          <t>Cash &amp; Short Term Investments - Total</t>
        </is>
      </c>
      <c r="B599" s="191" t="n">
        <v>183.3</v>
      </c>
      <c r="C599" s="191" t="n">
        <v>191.3</v>
      </c>
      <c r="D599" s="191" t="n">
        <v>347.4</v>
      </c>
      <c r="E599" s="191" t="n">
        <v>181.3</v>
      </c>
      <c r="F599" s="191" t="n">
        <v>559.7</v>
      </c>
      <c r="G599" s="191" t="n">
        <v>433.2</v>
      </c>
      <c r="H599" s="191" t="n">
        <v>111</v>
      </c>
      <c r="I599" s="191" t="n">
        <v>292.4</v>
      </c>
      <c r="J599" s="191" t="n"/>
    </row>
    <row r="600">
      <c r="A600" s="175" t="inlineStr">
        <is>
          <t>Debt - including Preferred Equity &amp; Minority Interest - Total</t>
        </is>
      </c>
      <c r="B600" s="191" t="n">
        <v>4396.7</v>
      </c>
      <c r="C600" s="191" t="n">
        <v>4397.2</v>
      </c>
      <c r="D600" s="191" t="n">
        <v>4947.4</v>
      </c>
      <c r="E600" s="191" t="n">
        <v>4950.4</v>
      </c>
      <c r="F600" s="191" t="n">
        <v>5351.7</v>
      </c>
      <c r="G600" s="191" t="n">
        <v>3377</v>
      </c>
      <c r="H600" s="191" t="n">
        <v>3477.6</v>
      </c>
      <c r="I600" s="191" t="n">
        <v>3382.2</v>
      </c>
      <c r="J600" s="191" t="n"/>
    </row>
    <row r="601">
      <c r="A601" s="175" t="inlineStr">
        <is>
          <t>Investments - Permanent</t>
        </is>
      </c>
      <c r="B601" s="192" t="n">
        <v>33.7</v>
      </c>
      <c r="C601" s="192" t="n">
        <v>33.6</v>
      </c>
      <c r="D601" s="192" t="n">
        <v>32.9</v>
      </c>
      <c r="E601" s="192" t="n">
        <v>31.3</v>
      </c>
      <c r="F601" s="192" t="n">
        <v>31.3</v>
      </c>
      <c r="G601" s="192" t="n">
        <v>31.4</v>
      </c>
      <c r="H601" s="192" t="n">
        <v>31.4</v>
      </c>
      <c r="I601" s="192" t="n">
        <v>31.4</v>
      </c>
      <c r="J601" s="192" t="n"/>
    </row>
    <row r="602">
      <c r="A602" s="175" t="inlineStr">
        <is>
          <t>Net Book Capital</t>
        </is>
      </c>
      <c r="B602" s="193" t="n">
        <v>12739</v>
      </c>
      <c r="C602" s="193" t="n">
        <v>12940</v>
      </c>
      <c r="D602" s="193" t="n">
        <v>13007</v>
      </c>
      <c r="E602" s="193" t="n">
        <v>12903</v>
      </c>
      <c r="F602" s="193" t="n">
        <v>12911</v>
      </c>
      <c r="G602" s="193" t="n">
        <v>10813</v>
      </c>
      <c r="H602" s="193" t="n">
        <v>11072</v>
      </c>
      <c r="I602" s="193" t="n">
        <v>10582</v>
      </c>
      <c r="J602" s="193" t="n"/>
    </row>
    <row r="603">
      <c r="A603" s="175" t="inlineStr">
        <is>
          <t>Net Operating Assets</t>
        </is>
      </c>
      <c r="B603" s="193" t="n">
        <v>12739</v>
      </c>
      <c r="C603" s="193" t="n">
        <v>12940</v>
      </c>
      <c r="D603" s="193" t="n">
        <v>13007</v>
      </c>
      <c r="E603" s="193" t="n">
        <v>12903</v>
      </c>
      <c r="F603" s="193" t="n">
        <v>12911</v>
      </c>
      <c r="G603" s="193" t="n">
        <v>10813</v>
      </c>
      <c r="H603" s="193" t="n">
        <v>11072</v>
      </c>
      <c r="I603" s="193" t="n">
        <v>10582</v>
      </c>
      <c r="J603" s="193" t="n"/>
    </row>
    <row r="604">
      <c r="A604" s="175" t="inlineStr">
        <is>
          <t>Provisions - Total</t>
        </is>
      </c>
      <c r="B604" s="191" t="n">
        <v>1879</v>
      </c>
      <c r="C604" s="191" t="n">
        <v>1391.9</v>
      </c>
      <c r="D604" s="191" t="n">
        <v>1323.6</v>
      </c>
      <c r="E604" s="191" t="n">
        <v>1331.4</v>
      </c>
      <c r="F604" s="191" t="n">
        <v>1839.1</v>
      </c>
      <c r="G604" s="191" t="n">
        <v>1000.3</v>
      </c>
      <c r="H604" s="191" t="n">
        <v>1011.5</v>
      </c>
      <c r="I604" s="191" t="n">
        <v>1027.3</v>
      </c>
      <c r="J604" s="191" t="n"/>
    </row>
    <row r="605">
      <c r="A605" s="175" t="inlineStr">
        <is>
          <t>Shareholders Equity - Common</t>
        </is>
      </c>
      <c r="B605" s="191" t="n">
        <v>8525.1</v>
      </c>
      <c r="C605" s="191" t="n">
        <v>8734.200000000001</v>
      </c>
      <c r="D605" s="191" t="n">
        <v>8406.9</v>
      </c>
      <c r="E605" s="191" t="n">
        <v>8134.1</v>
      </c>
      <c r="F605" s="191" t="n">
        <v>8118.6</v>
      </c>
      <c r="G605" s="191" t="n">
        <v>7869</v>
      </c>
      <c r="H605" s="191" t="n">
        <v>7705.3</v>
      </c>
      <c r="I605" s="191" t="n">
        <v>7491.9</v>
      </c>
      <c r="J605" s="191" t="n"/>
    </row>
    <row r="606">
      <c r="A606" s="175" t="inlineStr">
        <is>
          <t>Tangible Total Equity</t>
        </is>
      </c>
      <c r="B606" s="191" t="n">
        <v>3279</v>
      </c>
      <c r="C606" s="191" t="n">
        <v>3121.6</v>
      </c>
      <c r="D606" s="191" t="n">
        <v>2766.3</v>
      </c>
      <c r="E606" s="191" t="n">
        <v>2497.2</v>
      </c>
      <c r="F606" s="191" t="n">
        <v>2639.7</v>
      </c>
      <c r="G606" s="191" t="n">
        <v>2994.8</v>
      </c>
      <c r="H606" s="191" t="n">
        <v>2731.1</v>
      </c>
      <c r="I606" s="191" t="n">
        <v>2539.1</v>
      </c>
      <c r="J606" s="191" t="n"/>
    </row>
    <row r="607">
      <c r="A607" s="175" t="inlineStr">
        <is>
          <t>Tangible Book Value</t>
        </is>
      </c>
      <c r="B607" s="191" t="n">
        <v>3255.2</v>
      </c>
      <c r="C607" s="191" t="n">
        <v>3098.7</v>
      </c>
      <c r="D607" s="191" t="n">
        <v>2743.5</v>
      </c>
      <c r="E607" s="191" t="n">
        <v>2472.8</v>
      </c>
      <c r="F607" s="191" t="n">
        <v>2615.8</v>
      </c>
      <c r="G607" s="191" t="n">
        <v>2970.7</v>
      </c>
      <c r="H607" s="191" t="n">
        <v>2706</v>
      </c>
      <c r="I607" s="191" t="n">
        <v>2514.4</v>
      </c>
      <c r="J607" s="191" t="n"/>
    </row>
    <row r="608">
      <c r="A608" s="175" t="inlineStr">
        <is>
          <t>Total Book Capital</t>
        </is>
      </c>
      <c r="B608" s="193" t="n">
        <v>12898</v>
      </c>
      <c r="C608" s="193" t="n">
        <v>13109</v>
      </c>
      <c r="D608" s="193" t="n">
        <v>13332</v>
      </c>
      <c r="E608" s="193" t="n">
        <v>13060</v>
      </c>
      <c r="F608" s="193" t="n">
        <v>13446</v>
      </c>
      <c r="G608" s="193" t="n">
        <v>11222</v>
      </c>
      <c r="H608" s="193" t="n">
        <v>11158</v>
      </c>
      <c r="I608" s="193" t="n">
        <v>10849</v>
      </c>
      <c r="J608" s="193" t="n"/>
    </row>
    <row r="609">
      <c r="A609" s="175" t="inlineStr">
        <is>
          <t>Total Capital</t>
        </is>
      </c>
      <c r="B609" s="193" t="n">
        <v>12922</v>
      </c>
      <c r="C609" s="193" t="n">
        <v>13131</v>
      </c>
      <c r="D609" s="193" t="n">
        <v>13354</v>
      </c>
      <c r="E609" s="193" t="n">
        <v>13085</v>
      </c>
      <c r="F609" s="193" t="n">
        <v>13470</v>
      </c>
      <c r="G609" s="193" t="n">
        <v>11246</v>
      </c>
      <c r="H609" s="193" t="n">
        <v>11183</v>
      </c>
      <c r="I609" s="193" t="n">
        <v>10874</v>
      </c>
      <c r="J609" s="193" t="n"/>
    </row>
    <row r="610">
      <c r="A610" s="175" t="inlineStr">
        <is>
          <t>Total Long Term Capital</t>
        </is>
      </c>
      <c r="B610" s="193" t="n">
        <v>15744</v>
      </c>
      <c r="C610" s="193" t="n">
        <v>15962</v>
      </c>
      <c r="D610" s="193" t="n">
        <v>15633</v>
      </c>
      <c r="E610" s="193" t="n">
        <v>15915</v>
      </c>
      <c r="F610" s="193" t="n">
        <v>15866</v>
      </c>
      <c r="G610" s="193" t="n">
        <v>13578</v>
      </c>
      <c r="H610" s="193" t="n">
        <v>13420</v>
      </c>
      <c r="I610" s="193" t="n">
        <v>13215</v>
      </c>
      <c r="J610" s="193" t="n"/>
    </row>
    <row r="611">
      <c r="A611" s="175" t="inlineStr">
        <is>
          <t>Total Fixed Assets - Net</t>
        </is>
      </c>
      <c r="B611" s="193" t="n">
        <v>10352</v>
      </c>
      <c r="C611" s="193" t="n">
        <v>10871</v>
      </c>
      <c r="D611" s="193" t="n">
        <v>10899</v>
      </c>
      <c r="E611" s="193" t="n">
        <v>10971</v>
      </c>
      <c r="F611" s="193" t="n">
        <v>11051</v>
      </c>
      <c r="G611" s="191" t="n">
        <v>8689</v>
      </c>
      <c r="H611" s="191" t="n">
        <v>8703.299999999999</v>
      </c>
      <c r="I611" s="191" t="n">
        <v>8471.6</v>
      </c>
      <c r="J611" s="191" t="n"/>
    </row>
    <row r="612">
      <c r="A612" s="175" t="inlineStr">
        <is>
          <t>Unearned Revenue - Total</t>
        </is>
      </c>
      <c r="B612" s="191" t="n">
        <v>130.6</v>
      </c>
      <c r="C612" s="191" t="n">
        <v>132.3</v>
      </c>
      <c r="D612" s="191" t="n">
        <v>134.3</v>
      </c>
      <c r="E612" s="191" t="n">
        <v>136.2</v>
      </c>
      <c r="F612" s="191" t="n">
        <v>137.8</v>
      </c>
      <c r="G612" s="191" t="n">
        <v>139.4</v>
      </c>
      <c r="H612" s="191" t="n">
        <v>141.4</v>
      </c>
      <c r="I612" s="191" t="n">
        <v>143.6</v>
      </c>
      <c r="J612" s="191" t="n"/>
    </row>
    <row r="613">
      <c r="A613" s="175" t="inlineStr">
        <is>
          <t>Working Capital</t>
        </is>
      </c>
      <c r="B613" s="191" t="n">
        <v>1611.8</v>
      </c>
      <c r="C613" s="191" t="n">
        <v>1251.6</v>
      </c>
      <c r="D613" s="191" t="n">
        <v>901.6</v>
      </c>
      <c r="E613" s="191" t="n">
        <v>1129</v>
      </c>
      <c r="F613" s="191" t="n">
        <v>1026.6</v>
      </c>
      <c r="G613" s="191" t="n">
        <v>1438.8</v>
      </c>
      <c r="H613" s="191" t="n">
        <v>1179.7</v>
      </c>
      <c r="I613" s="191" t="n">
        <v>1211.4</v>
      </c>
      <c r="J613" s="191" t="n"/>
    </row>
    <row r="614">
      <c r="A614" s="175" t="inlineStr">
        <is>
          <t>Working Capital - Non-Cash</t>
        </is>
      </c>
      <c r="B614" s="191" t="n">
        <v>1428.5</v>
      </c>
      <c r="C614" s="191" t="n">
        <v>1060.3</v>
      </c>
      <c r="D614" s="191" t="n">
        <v>554.2</v>
      </c>
      <c r="E614" s="191" t="n">
        <v>947.7</v>
      </c>
      <c r="F614" s="191" t="n">
        <v>466.9</v>
      </c>
      <c r="G614" s="191" t="n">
        <v>1005.6</v>
      </c>
      <c r="H614" s="191" t="n">
        <v>1068.7</v>
      </c>
      <c r="I614" s="191" t="n">
        <v>919</v>
      </c>
      <c r="J614" s="191" t="n"/>
    </row>
    <row r="615">
      <c r="A615" s="175" t="inlineStr">
        <is>
          <t>Working Capital excluding Other Current Assets &amp; Liabilities</t>
        </is>
      </c>
      <c r="B615" s="191" t="n">
        <v>1810.8</v>
      </c>
      <c r="C615" s="191" t="n">
        <v>1642.3</v>
      </c>
      <c r="D615" s="191" t="n">
        <v>1157.6</v>
      </c>
      <c r="E615" s="191" t="n">
        <v>1414.1</v>
      </c>
      <c r="F615" s="191" t="n">
        <v>1142.3</v>
      </c>
      <c r="G615" s="191" t="n">
        <v>1685.1</v>
      </c>
      <c r="H615" s="191" t="n">
        <v>1340.8</v>
      </c>
      <c r="I615" s="191" t="n">
        <v>1445.3</v>
      </c>
      <c r="J615" s="191" t="n"/>
    </row>
    <row r="616">
      <c r="A616" s="175" t="inlineStr">
        <is>
          <t>Book Value excluding Other Equity</t>
        </is>
      </c>
      <c r="B616" s="191" t="n">
        <v>8525.1</v>
      </c>
      <c r="C616" s="191" t="n">
        <v>8734.200000000001</v>
      </c>
      <c r="D616" s="191" t="n">
        <v>8406.9</v>
      </c>
      <c r="E616" s="191" t="n">
        <v>8134.1</v>
      </c>
      <c r="F616" s="191" t="n">
        <v>8118.6</v>
      </c>
      <c r="G616" s="191" t="n">
        <v>7869</v>
      </c>
      <c r="H616" s="191" t="n">
        <v>7705.3</v>
      </c>
      <c r="I616" s="191" t="n">
        <v>7491.9</v>
      </c>
      <c r="J616" s="191" t="n"/>
    </row>
    <row r="617">
      <c r="A617" s="183" t="inlineStr">
        <is>
          <t>Operating Lease Maturity</t>
        </is>
      </c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95" t="n"/>
    </row>
    <row r="618">
      <c r="A618" s="175" t="inlineStr">
        <is>
          <t>Operating Lease Payments - Total</t>
        </is>
      </c>
      <c r="B618" s="191" t="n">
        <v>567.1</v>
      </c>
      <c r="C618" s="193" t="n"/>
      <c r="D618" s="193" t="n"/>
      <c r="E618" s="193" t="n"/>
      <c r="F618" s="191" t="n">
        <v>570.7</v>
      </c>
      <c r="G618" s="193" t="n"/>
      <c r="H618" s="193" t="n"/>
      <c r="I618" s="193" t="n"/>
      <c r="J618" s="191" t="n"/>
    </row>
    <row r="619">
      <c r="A619" s="177" t="inlineStr">
        <is>
          <t>Operating Lease Payments - Due in Year 1</t>
        </is>
      </c>
      <c r="B619" s="192" t="n">
        <v>70.40000000000001</v>
      </c>
      <c r="C619" s="193" t="n"/>
      <c r="D619" s="193" t="n"/>
      <c r="E619" s="193" t="n"/>
      <c r="F619" s="192" t="n">
        <v>73.8</v>
      </c>
      <c r="G619" s="193" t="n"/>
      <c r="H619" s="193" t="n"/>
      <c r="I619" s="193" t="n"/>
      <c r="J619" s="192" t="n"/>
    </row>
    <row r="620">
      <c r="A620" s="177" t="inlineStr">
        <is>
          <t>Operating Lease Payments - Due in Year 2</t>
        </is>
      </c>
      <c r="B620" s="192" t="n">
        <v>65.59999999999999</v>
      </c>
      <c r="C620" s="193" t="n"/>
      <c r="D620" s="193" t="n"/>
      <c r="E620" s="193" t="n"/>
      <c r="F620" s="192" t="n">
        <v>66.7</v>
      </c>
      <c r="G620" s="193" t="n"/>
      <c r="H620" s="193" t="n"/>
      <c r="I620" s="193" t="n"/>
      <c r="J620" s="192" t="n"/>
    </row>
    <row r="621">
      <c r="A621" s="177" t="inlineStr">
        <is>
          <t>Operating Lease Payments - Due in Year 3</t>
        </is>
      </c>
      <c r="B621" s="192" t="n">
        <v>58.8</v>
      </c>
      <c r="C621" s="193" t="n"/>
      <c r="D621" s="193" t="n"/>
      <c r="E621" s="193" t="n"/>
      <c r="F621" s="192" t="n">
        <v>62.2</v>
      </c>
      <c r="G621" s="193" t="n"/>
      <c r="H621" s="193" t="n"/>
      <c r="I621" s="193" t="n"/>
      <c r="J621" s="192" t="n"/>
    </row>
    <row r="622">
      <c r="A622" s="177" t="inlineStr">
        <is>
          <t>Operating Lease Payments - Due in Year 4</t>
        </is>
      </c>
      <c r="B622" s="192" t="n">
        <v>54.6</v>
      </c>
      <c r="C622" s="193" t="n"/>
      <c r="D622" s="193" t="n"/>
      <c r="E622" s="193" t="n"/>
      <c r="F622" s="192" t="n">
        <v>55.2</v>
      </c>
      <c r="G622" s="193" t="n"/>
      <c r="H622" s="193" t="n"/>
      <c r="I622" s="193" t="n"/>
      <c r="J622" s="192" t="n"/>
    </row>
    <row r="623">
      <c r="A623" s="177" t="inlineStr">
        <is>
          <t>Operating Lease Payments - Due in Year 5</t>
        </is>
      </c>
      <c r="B623" s="192" t="n">
        <v>51.6</v>
      </c>
      <c r="C623" s="193" t="n"/>
      <c r="D623" s="193" t="n"/>
      <c r="E623" s="193" t="n"/>
      <c r="F623" s="192" t="n">
        <v>50.8</v>
      </c>
      <c r="G623" s="193" t="n"/>
      <c r="H623" s="193" t="n"/>
      <c r="I623" s="193" t="n"/>
      <c r="J623" s="192" t="n"/>
    </row>
    <row r="624">
      <c r="A624" s="177" t="inlineStr">
        <is>
          <t>Operating Lease Payments - Remaining Maturities</t>
        </is>
      </c>
      <c r="B624" s="191" t="n">
        <v>638.3</v>
      </c>
      <c r="C624" s="193" t="n"/>
      <c r="D624" s="193" t="n"/>
      <c r="E624" s="193" t="n"/>
      <c r="F624" s="191" t="n">
        <v>608.7</v>
      </c>
      <c r="G624" s="193" t="n"/>
      <c r="H624" s="193" t="n"/>
      <c r="I624" s="193" t="n"/>
      <c r="J624" s="191" t="n"/>
    </row>
    <row r="625">
      <c r="A625" s="177" t="inlineStr">
        <is>
          <t>Operating Lease Payments - Interest Cost/Imputed Interest</t>
        </is>
      </c>
      <c r="B625" s="191" t="n">
        <v>372.2</v>
      </c>
      <c r="C625" s="193" t="n"/>
      <c r="D625" s="193" t="n"/>
      <c r="E625" s="193" t="n"/>
      <c r="F625" s="191" t="n">
        <v>346.7</v>
      </c>
      <c r="G625" s="193" t="n"/>
      <c r="H625" s="193" t="n"/>
      <c r="I625" s="193" t="n"/>
      <c r="J625" s="191" t="n"/>
    </row>
    <row r="626">
      <c r="A626" s="175" t="inlineStr">
        <is>
          <t>Operating Lease Payments - Due in 2-3 Years</t>
        </is>
      </c>
      <c r="B626" s="191" t="n">
        <v>124.4</v>
      </c>
      <c r="C626" s="193" t="n"/>
      <c r="D626" s="193" t="n"/>
      <c r="E626" s="193" t="n"/>
      <c r="F626" s="191" t="n">
        <v>128.9</v>
      </c>
      <c r="G626" s="193" t="n"/>
      <c r="H626" s="193" t="n"/>
      <c r="I626" s="193" t="n"/>
      <c r="J626" s="191" t="n"/>
    </row>
    <row r="627">
      <c r="A627" s="175" t="inlineStr">
        <is>
          <t>Operating Lease Payments - Due in 4-5 Years</t>
        </is>
      </c>
      <c r="B627" s="191" t="n">
        <v>106.2</v>
      </c>
      <c r="C627" s="193" t="n"/>
      <c r="D627" s="193" t="n"/>
      <c r="E627" s="193" t="n"/>
      <c r="F627" s="191" t="n">
        <v>106</v>
      </c>
      <c r="G627" s="193" t="n"/>
      <c r="H627" s="193" t="n"/>
      <c r="I627" s="193" t="n"/>
      <c r="J627" s="191" t="n"/>
    </row>
    <row r="628">
      <c r="A628" s="175" t="inlineStr">
        <is>
          <t>Operating Lease Payments - Due in Year 6 &amp; Beyond</t>
        </is>
      </c>
      <c r="B628" s="191" t="n">
        <v>638.3</v>
      </c>
      <c r="C628" s="193" t="n"/>
      <c r="D628" s="193" t="n"/>
      <c r="E628" s="193" t="n"/>
      <c r="F628" s="191" t="n">
        <v>608.7</v>
      </c>
      <c r="G628" s="193" t="n"/>
      <c r="H628" s="193" t="n"/>
      <c r="I628" s="193" t="n"/>
      <c r="J628" s="191" t="n"/>
    </row>
    <row r="629">
      <c r="A629" s="75" t="inlineStr">
        <is>
          <t>Field Name</t>
        </is>
      </c>
      <c r="B629" s="77" t="inlineStr">
        <is>
          <t>31-12-2025</t>
        </is>
      </c>
      <c r="C629" s="77" t="inlineStr">
        <is>
          <t>30-09-2025</t>
        </is>
      </c>
      <c r="D629" s="77" t="inlineStr">
        <is>
          <t>30-06-2025</t>
        </is>
      </c>
      <c r="E629" s="77" t="inlineStr">
        <is>
          <t>31-03-2025</t>
        </is>
      </c>
      <c r="F629" s="77" t="inlineStr">
        <is>
          <t>31-12-2024</t>
        </is>
      </c>
      <c r="G629" s="77" t="inlineStr">
        <is>
          <t>30-09-2024</t>
        </is>
      </c>
      <c r="H629" s="77" t="inlineStr">
        <is>
          <t>30-06-2024</t>
        </is>
      </c>
      <c r="I629" s="77" t="inlineStr">
        <is>
          <t>31-03-2024</t>
        </is>
      </c>
    </row>
    <row r="630">
      <c r="A630" s="78" t="inlineStr">
        <is>
          <t>Revenues</t>
        </is>
      </c>
      <c r="B630" s="79" t="n"/>
      <c r="C630" s="79" t="n"/>
      <c r="D630" s="79" t="n"/>
      <c r="E630" s="79" t="n"/>
      <c r="F630" s="79" t="n"/>
      <c r="G630" s="79" t="n"/>
      <c r="H630" s="79" t="n"/>
      <c r="I630" s="79" t="n"/>
    </row>
    <row r="631">
      <c r="A631" s="80" t="inlineStr">
        <is>
          <t>Revenue from Goods &amp; Services</t>
        </is>
      </c>
      <c r="B631" s="81" t="n">
        <v>1912.6</v>
      </c>
      <c r="C631" s="81" t="n">
        <v>2291.5</v>
      </c>
      <c r="D631" s="81" t="n">
        <v>2102.4</v>
      </c>
      <c r="E631" s="81" t="n">
        <v>1634.6</v>
      </c>
      <c r="F631" s="81" t="n">
        <v>1853.7</v>
      </c>
      <c r="G631" s="81" t="n">
        <v>2003.9</v>
      </c>
      <c r="H631" s="81" t="n">
        <v>2014.4</v>
      </c>
      <c r="I631" s="81" t="n">
        <v>1545.7</v>
      </c>
    </row>
    <row r="632">
      <c r="A632" s="82" t="inlineStr">
        <is>
          <t>Sales of Goods &amp; Services - Net - Unclassified</t>
        </is>
      </c>
      <c r="B632" s="81" t="n">
        <v>1912.6</v>
      </c>
      <c r="C632" s="81" t="n">
        <v>2291.5</v>
      </c>
      <c r="D632" s="81" t="n">
        <v>2102.4</v>
      </c>
      <c r="E632" s="81" t="n">
        <v>1634.6</v>
      </c>
      <c r="F632" s="81" t="n">
        <v>1853.7</v>
      </c>
      <c r="G632" s="81" t="n">
        <v>2003.9</v>
      </c>
      <c r="H632" s="81" t="n">
        <v>2014.4</v>
      </c>
      <c r="I632" s="81" t="n">
        <v>1545.7</v>
      </c>
    </row>
    <row r="633">
      <c r="A633" s="83" t="inlineStr">
        <is>
          <t>Revenue from Business Activities - Total</t>
        </is>
      </c>
      <c r="B633" s="84" t="n">
        <v>1912.6</v>
      </c>
      <c r="C633" s="84" t="n">
        <v>2291.5</v>
      </c>
      <c r="D633" s="84" t="n">
        <v>2102.4</v>
      </c>
      <c r="E633" s="84" t="n">
        <v>1634.6</v>
      </c>
      <c r="F633" s="84" t="n">
        <v>1853.7</v>
      </c>
      <c r="G633" s="84" t="n">
        <v>2003.9</v>
      </c>
      <c r="H633" s="84" t="n">
        <v>2014.4</v>
      </c>
      <c r="I633" s="84" t="n">
        <v>1545.7</v>
      </c>
    </row>
    <row r="634">
      <c r="A634" s="78" t="inlineStr">
        <is>
          <t>Operating Expenses</t>
        </is>
      </c>
      <c r="B634" s="79" t="n"/>
      <c r="C634" s="79" t="n"/>
      <c r="D634" s="79" t="n"/>
      <c r="E634" s="79" t="n"/>
      <c r="F634" s="79" t="n"/>
      <c r="G634" s="79" t="n"/>
      <c r="H634" s="79" t="n"/>
      <c r="I634" s="79" t="n"/>
    </row>
    <row r="635">
      <c r="A635" s="80" t="inlineStr">
        <is>
          <t>Cost of Operating Revenue</t>
        </is>
      </c>
      <c r="B635" s="81" t="n">
        <v>1425.7</v>
      </c>
      <c r="C635" s="81" t="n">
        <v>1594.3</v>
      </c>
      <c r="D635" s="81" t="n">
        <v>1477.2</v>
      </c>
      <c r="E635" s="81" t="n">
        <v>1269.3</v>
      </c>
      <c r="F635" s="81" t="n">
        <v>1316.5</v>
      </c>
      <c r="G635" s="81" t="n">
        <v>1438.7</v>
      </c>
      <c r="H635" s="81" t="n">
        <v>1422.2</v>
      </c>
      <c r="I635" s="81" t="n">
        <v>1240.8</v>
      </c>
    </row>
    <row r="636">
      <c r="A636" s="82" t="inlineStr">
        <is>
          <t>Cost of Revenues - Total</t>
        </is>
      </c>
      <c r="B636" s="81" t="n">
        <v>1425.7</v>
      </c>
      <c r="C636" s="81" t="n">
        <v>1594.3</v>
      </c>
      <c r="D636" s="81" t="n">
        <v>1477.2</v>
      </c>
      <c r="E636" s="81" t="n">
        <v>1269.3</v>
      </c>
      <c r="F636" s="81" t="n">
        <v>1316.5</v>
      </c>
      <c r="G636" s="81" t="n">
        <v>1438.7</v>
      </c>
      <c r="H636" s="81" t="n">
        <v>1422.2</v>
      </c>
      <c r="I636" s="81" t="n">
        <v>1240.8</v>
      </c>
    </row>
    <row r="637">
      <c r="A637" s="83" t="inlineStr">
        <is>
          <t>Gross Profit - Industrials/Property - Total</t>
        </is>
      </c>
      <c r="B637" s="84" t="n">
        <v>486.9</v>
      </c>
      <c r="C637" s="84" t="n">
        <v>697.2</v>
      </c>
      <c r="D637" s="84" t="n">
        <v>625.2</v>
      </c>
      <c r="E637" s="84" t="n">
        <v>365.3</v>
      </c>
      <c r="F637" s="84" t="n">
        <v>537.2</v>
      </c>
      <c r="G637" s="84" t="n">
        <v>565.2</v>
      </c>
      <c r="H637" s="84" t="n">
        <v>592.2</v>
      </c>
      <c r="I637" s="84" t="n">
        <v>304.9</v>
      </c>
    </row>
    <row r="638">
      <c r="A638" s="80" t="inlineStr">
        <is>
          <t>Selling, General &amp; Administrative Expenses - Total</t>
        </is>
      </c>
      <c r="B638" s="81" t="n">
        <v>136.1</v>
      </c>
      <c r="C638" s="81" t="n">
        <v>145.3</v>
      </c>
      <c r="D638" s="81" t="n">
        <v>144.5</v>
      </c>
      <c r="E638" s="81" t="n">
        <v>138.3</v>
      </c>
      <c r="F638" s="81" t="n">
        <v>138.1</v>
      </c>
      <c r="G638" s="81" t="n">
        <v>129.1</v>
      </c>
      <c r="H638" s="81" t="n">
        <v>134.1</v>
      </c>
      <c r="I638" s="81" t="n">
        <v>129.7</v>
      </c>
    </row>
    <row r="639">
      <c r="A639" s="80" t="inlineStr">
        <is>
          <t>Other Operating Expense/(Income) - Net</t>
        </is>
      </c>
      <c r="B639" s="85" t="n">
        <v>57.8</v>
      </c>
      <c r="C639" s="85" t="n">
        <v>9.199999999999999</v>
      </c>
      <c r="D639" s="85" t="n">
        <v>10.3</v>
      </c>
      <c r="E639" s="85" t="n">
        <v>6.8</v>
      </c>
      <c r="F639" s="85" t="n">
        <v>51.3</v>
      </c>
      <c r="G639" s="85" t="n">
        <v>11.8</v>
      </c>
      <c r="H639" s="85" t="n">
        <v>6.5</v>
      </c>
      <c r="I639" s="85" t="n">
        <v>2.8</v>
      </c>
    </row>
    <row r="640">
      <c r="A640" s="82" t="inlineStr">
        <is>
          <t>Other Operating Expense</t>
        </is>
      </c>
      <c r="B640" s="85" t="n">
        <v>15.1</v>
      </c>
      <c r="C640" s="85" t="n">
        <v>9.300000000000001</v>
      </c>
      <c r="D640" s="85" t="n">
        <v>10.9</v>
      </c>
      <c r="E640" s="85" t="n">
        <v>8</v>
      </c>
      <c r="F640" s="85" t="n">
        <v>45.8</v>
      </c>
      <c r="G640" s="85" t="n">
        <v>12.6</v>
      </c>
      <c r="H640" s="85" t="n">
        <v>8.300000000000001</v>
      </c>
      <c r="I640" s="85" t="n">
        <v>2.9</v>
      </c>
    </row>
    <row r="641">
      <c r="A641" s="82" t="inlineStr">
        <is>
          <t>Non-Recurring Adjustments - Operating - Decrease/(Increase)</t>
        </is>
      </c>
      <c r="B641" s="86" t="n">
        <v>-0.3</v>
      </c>
      <c r="C641" s="85" t="n">
        <v>0.1</v>
      </c>
      <c r="D641" s="85" t="n">
        <v>0.6</v>
      </c>
      <c r="E641" s="85" t="n">
        <v>1.2</v>
      </c>
      <c r="F641" s="85" t="n">
        <v>31.2</v>
      </c>
      <c r="G641" s="85" t="n">
        <v>0.8</v>
      </c>
      <c r="H641" s="85" t="n">
        <v>1.8</v>
      </c>
      <c r="I641" s="85" t="n">
        <v>0.1</v>
      </c>
    </row>
    <row r="642">
      <c r="A642" s="82" t="inlineStr">
        <is>
          <t>Supplementary Adjustments - Operating - Decrease/(Increase)</t>
        </is>
      </c>
      <c r="B642" s="86" t="n">
        <v>-42.4</v>
      </c>
      <c r="C642" s="87" t="n"/>
      <c r="D642" s="87" t="n">
        <v>0</v>
      </c>
      <c r="E642" s="87" t="n">
        <v>0</v>
      </c>
      <c r="F642" s="86" t="n">
        <v>-36.7</v>
      </c>
      <c r="G642" s="87" t="n">
        <v>0</v>
      </c>
      <c r="H642" s="87" t="n">
        <v>0</v>
      </c>
      <c r="I642" s="87" t="n">
        <v>0</v>
      </c>
    </row>
    <row r="643">
      <c r="A643" s="80" t="inlineStr">
        <is>
          <t>Operating Expenses - Total</t>
        </is>
      </c>
      <c r="B643" s="81" t="n">
        <v>1619.6</v>
      </c>
      <c r="C643" s="81" t="n">
        <v>1748.8</v>
      </c>
      <c r="D643" s="81" t="n">
        <v>1632</v>
      </c>
      <c r="E643" s="81" t="n">
        <v>1414.4</v>
      </c>
      <c r="F643" s="81" t="n">
        <v>1505.9</v>
      </c>
      <c r="G643" s="81" t="n">
        <v>1579.6</v>
      </c>
      <c r="H643" s="81" t="n">
        <v>1562.8</v>
      </c>
      <c r="I643" s="81" t="n">
        <v>1373.3</v>
      </c>
    </row>
    <row r="644">
      <c r="A644" s="78" t="inlineStr">
        <is>
          <t>Operating Profit</t>
        </is>
      </c>
      <c r="B644" s="79" t="n"/>
      <c r="C644" s="79" t="n"/>
      <c r="D644" s="79" t="n"/>
      <c r="E644" s="79" t="n"/>
      <c r="F644" s="79" t="n"/>
      <c r="G644" s="79" t="n"/>
      <c r="H644" s="79" t="n"/>
      <c r="I644" s="79" t="n"/>
    </row>
    <row r="645">
      <c r="A645" s="83" t="inlineStr">
        <is>
          <t>Operating Profit before Non-Recurring Income/Expense</t>
        </is>
      </c>
      <c r="B645" s="84" t="n">
        <v>293</v>
      </c>
      <c r="C645" s="84" t="n">
        <v>542.7</v>
      </c>
      <c r="D645" s="84" t="n">
        <v>470.4</v>
      </c>
      <c r="E645" s="84" t="n">
        <v>220.2</v>
      </c>
      <c r="F645" s="84" t="n">
        <v>347.8</v>
      </c>
      <c r="G645" s="84" t="n">
        <v>424.3</v>
      </c>
      <c r="H645" s="84" t="n">
        <v>451.6</v>
      </c>
      <c r="I645" s="84" t="n">
        <v>172.4</v>
      </c>
    </row>
    <row r="646">
      <c r="A646" s="78" t="inlineStr">
        <is>
          <t>Non-Operating Expenses</t>
        </is>
      </c>
      <c r="B646" s="79" t="n"/>
      <c r="C646" s="79" t="n"/>
      <c r="D646" s="79" t="n"/>
      <c r="E646" s="79" t="n"/>
      <c r="F646" s="79" t="n"/>
      <c r="G646" s="79" t="n"/>
      <c r="H646" s="79" t="n"/>
      <c r="I646" s="79" t="n"/>
    </row>
    <row r="647">
      <c r="A647" s="80" t="inlineStr">
        <is>
          <t>Financing Income/(Expense) - Net - Total</t>
        </is>
      </c>
      <c r="B647" s="86" t="n">
        <v>-52.1</v>
      </c>
      <c r="C647" s="86" t="n">
        <v>-55.3</v>
      </c>
      <c r="D647" s="86" t="n">
        <v>-59.2</v>
      </c>
      <c r="E647" s="86" t="n">
        <v>-59.7</v>
      </c>
      <c r="F647" s="86" t="n">
        <v>-52.6</v>
      </c>
      <c r="G647" s="86" t="n">
        <v>-38.4</v>
      </c>
      <c r="H647" s="86" t="n">
        <v>-40.2</v>
      </c>
      <c r="I647" s="86" t="n">
        <v>-39.1</v>
      </c>
    </row>
    <row r="648">
      <c r="A648" s="82" t="inlineStr">
        <is>
          <t>Interest Expense - Net of (Interest Income)</t>
        </is>
      </c>
      <c r="B648" s="85" t="n">
        <v>52.1</v>
      </c>
      <c r="C648" s="85" t="n">
        <v>55.3</v>
      </c>
      <c r="D648" s="85" t="n">
        <v>59.2</v>
      </c>
      <c r="E648" s="85" t="n">
        <v>59.7</v>
      </c>
      <c r="F648" s="85" t="n">
        <v>52.6</v>
      </c>
      <c r="G648" s="85" t="n">
        <v>38.4</v>
      </c>
      <c r="H648" s="85" t="n">
        <v>40.2</v>
      </c>
      <c r="I648" s="85" t="n">
        <v>39.1</v>
      </c>
    </row>
    <row r="649">
      <c r="A649" s="89" t="inlineStr">
        <is>
          <t>Interest Income - Non-Bank</t>
        </is>
      </c>
      <c r="B649" s="85" t="n">
        <v>13.4</v>
      </c>
      <c r="C649" s="87" t="n"/>
      <c r="D649" s="87" t="n"/>
      <c r="E649" s="87" t="n"/>
      <c r="F649" s="85" t="n">
        <v>20.9</v>
      </c>
      <c r="G649" s="87" t="n"/>
      <c r="H649" s="87" t="n"/>
      <c r="I649" s="87" t="n"/>
    </row>
    <row r="650">
      <c r="A650" s="89" t="inlineStr">
        <is>
          <t>Interest Expense - Net of Capitalized Interest</t>
        </is>
      </c>
      <c r="B650" s="85" t="n">
        <v>65.5</v>
      </c>
      <c r="C650" s="85" t="n">
        <v>55.3</v>
      </c>
      <c r="D650" s="85" t="n">
        <v>59.2</v>
      </c>
      <c r="E650" s="85" t="n">
        <v>59.7</v>
      </c>
      <c r="F650" s="85" t="n">
        <v>73.5</v>
      </c>
      <c r="G650" s="85" t="n">
        <v>38.4</v>
      </c>
      <c r="H650" s="85" t="n">
        <v>40.2</v>
      </c>
      <c r="I650" s="85" t="n">
        <v>39.1</v>
      </c>
    </row>
    <row r="651">
      <c r="A651" s="80" t="inlineStr">
        <is>
          <t>Sale of Tangible &amp; Intangible Fixed Assets - Gain/(Loss)</t>
        </is>
      </c>
      <c r="B651" s="85" t="n">
        <v>85.59999999999999</v>
      </c>
      <c r="C651" s="85" t="n">
        <v>0.6</v>
      </c>
      <c r="D651" s="85" t="n">
        <v>1.2</v>
      </c>
      <c r="E651" s="85" t="n">
        <v>7.4</v>
      </c>
      <c r="F651" s="85" t="n">
        <v>84.40000000000001</v>
      </c>
      <c r="G651" s="85" t="n">
        <v>0.2</v>
      </c>
      <c r="H651" s="85" t="n">
        <v>3.8</v>
      </c>
      <c r="I651" s="85" t="n">
        <v>0.6</v>
      </c>
    </row>
    <row r="652">
      <c r="A652" s="80" t="inlineStr">
        <is>
          <t>Other Non-Operating Income/(Expense) - Total</t>
        </is>
      </c>
      <c r="B652" s="86" t="n">
        <v>-3.6</v>
      </c>
      <c r="C652" s="85" t="n">
        <v>0.7</v>
      </c>
      <c r="D652" s="85" t="n">
        <v>2.4</v>
      </c>
      <c r="E652" s="86" t="n">
        <v>-2.6</v>
      </c>
      <c r="F652" s="86" t="n">
        <v>-9.4</v>
      </c>
      <c r="G652" s="86" t="n">
        <v>-3.8</v>
      </c>
      <c r="H652" s="86" t="n">
        <v>-8.699999999999999</v>
      </c>
      <c r="I652" s="86" t="n">
        <v>-0.3</v>
      </c>
    </row>
    <row r="653">
      <c r="A653" s="80" t="inlineStr">
        <is>
          <t>Normalized Pre-tax Profit</t>
        </is>
      </c>
      <c r="B653" s="81" t="n">
        <v>322.9</v>
      </c>
      <c r="C653" s="81" t="n">
        <v>488.7</v>
      </c>
      <c r="D653" s="81" t="n">
        <v>414.8</v>
      </c>
      <c r="E653" s="81" t="n">
        <v>165.3</v>
      </c>
      <c r="F653" s="81" t="n">
        <v>370.2</v>
      </c>
      <c r="G653" s="81" t="n">
        <v>382.3</v>
      </c>
      <c r="H653" s="81" t="n">
        <v>406.5</v>
      </c>
      <c r="I653" s="81" t="n">
        <v>133.6</v>
      </c>
    </row>
    <row r="654">
      <c r="A654" s="78" t="inlineStr">
        <is>
          <t>Non-Recurring Income/Expense</t>
        </is>
      </c>
      <c r="B654" s="79" t="n"/>
      <c r="C654" s="79" t="n"/>
      <c r="D654" s="79" t="n"/>
      <c r="E654" s="79" t="n"/>
      <c r="F654" s="79" t="n"/>
      <c r="G654" s="79" t="n"/>
      <c r="H654" s="79" t="n"/>
      <c r="I654" s="79" t="n"/>
    </row>
    <row r="655">
      <c r="A655" s="80" t="inlineStr">
        <is>
          <t>Non-Recurring Income/(Expense) - Total</t>
        </is>
      </c>
      <c r="B655" s="85" t="n">
        <v>0.3</v>
      </c>
      <c r="C655" s="86" t="n">
        <v>-0.1</v>
      </c>
      <c r="D655" s="86" t="n">
        <v>-0.6</v>
      </c>
      <c r="E655" s="86" t="n">
        <v>-1.2</v>
      </c>
      <c r="F655" s="86" t="n">
        <v>-31.2</v>
      </c>
      <c r="G655" s="86" t="n">
        <v>-87.40000000000001</v>
      </c>
      <c r="H655" s="86" t="n">
        <v>-1.8</v>
      </c>
      <c r="I655" s="86" t="n">
        <v>-0.1</v>
      </c>
    </row>
    <row r="656">
      <c r="A656" s="82" t="inlineStr">
        <is>
          <t>Impairment - Tangible &amp; Intangible Fixed Assets</t>
        </is>
      </c>
      <c r="B656" s="87" t="n">
        <v>0</v>
      </c>
      <c r="C656" s="87" t="n">
        <v>0</v>
      </c>
      <c r="D656" s="87" t="n"/>
      <c r="E656" s="87" t="n"/>
      <c r="F656" s="87" t="n">
        <v>0</v>
      </c>
      <c r="G656" s="85" t="n">
        <v>86.59999999999999</v>
      </c>
      <c r="H656" s="87" t="n"/>
      <c r="I656" s="87" t="n"/>
    </row>
    <row r="657">
      <c r="A657" s="89" t="inlineStr">
        <is>
          <t>Impairment - Fixed Assets</t>
        </is>
      </c>
      <c r="B657" s="87" t="n">
        <v>0</v>
      </c>
      <c r="C657" s="87" t="n">
        <v>0</v>
      </c>
      <c r="D657" s="87" t="n"/>
      <c r="E657" s="87" t="n"/>
      <c r="F657" s="87" t="n">
        <v>0</v>
      </c>
      <c r="G657" s="85" t="n">
        <v>86.59999999999999</v>
      </c>
      <c r="H657" s="87" t="n"/>
      <c r="I657" s="87" t="n"/>
    </row>
    <row r="658">
      <c r="A658" s="82" t="inlineStr">
        <is>
          <t>Sale &amp; Acquisition of Group Companies - Gain/(Loss)</t>
        </is>
      </c>
      <c r="B658" s="85" t="n">
        <v>0.3</v>
      </c>
      <c r="C658" s="86" t="n">
        <v>-0.1</v>
      </c>
      <c r="D658" s="86" t="n">
        <v>-0.6</v>
      </c>
      <c r="E658" s="86" t="n">
        <v>-1.2</v>
      </c>
      <c r="F658" s="86" t="n">
        <v>-31.2</v>
      </c>
      <c r="G658" s="86" t="n">
        <v>-0.8</v>
      </c>
      <c r="H658" s="86" t="n">
        <v>-1.8</v>
      </c>
      <c r="I658" s="86" t="n">
        <v>-0.1</v>
      </c>
    </row>
    <row r="659">
      <c r="A659" s="78" t="inlineStr">
        <is>
          <t>Pre-Tax Income</t>
        </is>
      </c>
      <c r="B659" s="79" t="n"/>
      <c r="C659" s="79" t="n"/>
      <c r="D659" s="79" t="n"/>
      <c r="E659" s="79" t="n"/>
      <c r="F659" s="79" t="n"/>
      <c r="G659" s="79" t="n"/>
      <c r="H659" s="79" t="n"/>
      <c r="I659" s="79" t="n"/>
    </row>
    <row r="660">
      <c r="A660" s="83" t="inlineStr">
        <is>
          <t>Income before Taxes</t>
        </is>
      </c>
      <c r="B660" s="84" t="n">
        <v>323.2</v>
      </c>
      <c r="C660" s="84" t="n">
        <v>488.6</v>
      </c>
      <c r="D660" s="84" t="n">
        <v>414.2</v>
      </c>
      <c r="E660" s="84" t="n">
        <v>164.1</v>
      </c>
      <c r="F660" s="84" t="n">
        <v>339</v>
      </c>
      <c r="G660" s="84" t="n">
        <v>294.9</v>
      </c>
      <c r="H660" s="84" t="n">
        <v>404.7</v>
      </c>
      <c r="I660" s="84" t="n">
        <v>133.5</v>
      </c>
    </row>
    <row r="661">
      <c r="A661" s="78" t="inlineStr">
        <is>
          <t>Taxes</t>
        </is>
      </c>
      <c r="B661" s="79" t="n"/>
      <c r="C661" s="79" t="n"/>
      <c r="D661" s="79" t="n"/>
      <c r="E661" s="79" t="n"/>
      <c r="F661" s="79" t="n"/>
      <c r="G661" s="79" t="n"/>
      <c r="H661" s="79" t="n"/>
      <c r="I661" s="79" t="n"/>
    </row>
    <row r="662">
      <c r="A662" s="80" t="inlineStr">
        <is>
          <t>Income Taxes</t>
        </is>
      </c>
      <c r="B662" s="85" t="n">
        <v>70.09999999999999</v>
      </c>
      <c r="C662" s="81" t="n">
        <v>112.4</v>
      </c>
      <c r="D662" s="85" t="n">
        <v>91.3</v>
      </c>
      <c r="E662" s="85" t="n">
        <v>33.8</v>
      </c>
      <c r="F662" s="85" t="n">
        <v>42.9</v>
      </c>
      <c r="G662" s="85" t="n">
        <v>85.2</v>
      </c>
      <c r="H662" s="85" t="n">
        <v>94.40000000000001</v>
      </c>
      <c r="I662" s="85" t="n">
        <v>28.9</v>
      </c>
    </row>
    <row r="663">
      <c r="A663" s="82" t="inlineStr">
        <is>
          <t>Provision for Income Tax Expense- Unclassified</t>
        </is>
      </c>
      <c r="B663" s="85" t="n">
        <v>70.09999999999999</v>
      </c>
      <c r="C663" s="81" t="n">
        <v>112.4</v>
      </c>
      <c r="D663" s="85" t="n">
        <v>91.3</v>
      </c>
      <c r="E663" s="85" t="n">
        <v>33.8</v>
      </c>
      <c r="F663" s="85" t="n">
        <v>42.9</v>
      </c>
      <c r="G663" s="85" t="n">
        <v>85.2</v>
      </c>
      <c r="H663" s="85" t="n">
        <v>94.40000000000001</v>
      </c>
      <c r="I663" s="85" t="n">
        <v>28.9</v>
      </c>
    </row>
    <row r="664">
      <c r="A664" s="78" t="inlineStr">
        <is>
          <t>Net Income After Tax</t>
        </is>
      </c>
      <c r="B664" s="79" t="n"/>
      <c r="C664" s="79" t="n"/>
      <c r="D664" s="79" t="n"/>
      <c r="E664" s="79" t="n"/>
      <c r="F664" s="79" t="n"/>
      <c r="G664" s="79" t="n"/>
      <c r="H664" s="79" t="n"/>
      <c r="I664" s="79" t="n"/>
    </row>
    <row r="665">
      <c r="A665" s="80" t="inlineStr">
        <is>
          <t>Net Income after Tax</t>
        </is>
      </c>
      <c r="B665" s="81" t="n">
        <v>253.1</v>
      </c>
      <c r="C665" s="81" t="n">
        <v>376.2</v>
      </c>
      <c r="D665" s="81" t="n">
        <v>322.9</v>
      </c>
      <c r="E665" s="81" t="n">
        <v>130.3</v>
      </c>
      <c r="F665" s="81" t="n">
        <v>296.1</v>
      </c>
      <c r="G665" s="81" t="n">
        <v>209.7</v>
      </c>
      <c r="H665" s="81" t="n">
        <v>310.3</v>
      </c>
      <c r="I665" s="81" t="n">
        <v>104.6</v>
      </c>
    </row>
    <row r="666">
      <c r="A666" s="78" t="inlineStr">
        <is>
          <t>After Tax Income/Expense</t>
        </is>
      </c>
      <c r="B666" s="79" t="n"/>
      <c r="C666" s="79" t="n"/>
      <c r="D666" s="79" t="n"/>
      <c r="E666" s="79" t="n"/>
      <c r="F666" s="79" t="n"/>
      <c r="G666" s="79" t="n"/>
      <c r="H666" s="79" t="n"/>
      <c r="I666" s="79" t="n"/>
    </row>
    <row r="667">
      <c r="A667" s="83" t="inlineStr">
        <is>
          <t>Income before Discontinued Operations &amp; Extraordinary Items</t>
        </is>
      </c>
      <c r="B667" s="84" t="n">
        <v>253.1</v>
      </c>
      <c r="C667" s="84" t="n">
        <v>376.2</v>
      </c>
      <c r="D667" s="84" t="n">
        <v>322.9</v>
      </c>
      <c r="E667" s="84" t="n">
        <v>130.3</v>
      </c>
      <c r="F667" s="84" t="n">
        <v>296.1</v>
      </c>
      <c r="G667" s="84" t="n">
        <v>209.7</v>
      </c>
      <c r="H667" s="84" t="n">
        <v>310.3</v>
      </c>
      <c r="I667" s="84" t="n">
        <v>104.6</v>
      </c>
    </row>
    <row r="668">
      <c r="A668" s="80" t="inlineStr">
        <is>
          <t>Extraordinary Activities - after Tax - Gain/(Loss)</t>
        </is>
      </c>
      <c r="B668" s="86" t="n">
        <v>-0.3</v>
      </c>
      <c r="C668" s="86" t="n">
        <v>-1.2</v>
      </c>
      <c r="D668" s="86" t="n">
        <v>-2.1</v>
      </c>
      <c r="E668" s="86" t="n">
        <v>-0.9</v>
      </c>
      <c r="F668" s="86" t="n">
        <v>-2.6</v>
      </c>
      <c r="G668" s="86" t="n">
        <v>-1.3</v>
      </c>
      <c r="H668" s="86" t="n">
        <v>-2</v>
      </c>
      <c r="I668" s="86" t="n">
        <v>-1.7</v>
      </c>
    </row>
    <row r="669">
      <c r="A669" s="82" t="inlineStr">
        <is>
          <t>Discontinued Operations - Net of Taxes - Total - Income/(Expense)</t>
        </is>
      </c>
      <c r="B669" s="86" t="n">
        <v>-0.3</v>
      </c>
      <c r="C669" s="86" t="n">
        <v>-1.2</v>
      </c>
      <c r="D669" s="86" t="n">
        <v>-2.1</v>
      </c>
      <c r="E669" s="86" t="n">
        <v>-0.9</v>
      </c>
      <c r="F669" s="86" t="n">
        <v>-2.6</v>
      </c>
      <c r="G669" s="86" t="n">
        <v>-1.3</v>
      </c>
      <c r="H669" s="86" t="n">
        <v>-2</v>
      </c>
      <c r="I669" s="86" t="n">
        <v>-1.7</v>
      </c>
    </row>
    <row r="670">
      <c r="A670" s="89" t="inlineStr">
        <is>
          <t>Discontinued Operations before Tax - Total - Income/(Expense)</t>
        </is>
      </c>
      <c r="B670" s="86" t="n">
        <v>-0.4</v>
      </c>
      <c r="C670" s="86" t="n">
        <v>-1.6</v>
      </c>
      <c r="D670" s="86" t="n">
        <v>-2.8</v>
      </c>
      <c r="E670" s="86" t="n">
        <v>-1.3</v>
      </c>
      <c r="F670" s="86" t="n">
        <v>-3.4</v>
      </c>
      <c r="G670" s="86" t="n">
        <v>-1.8</v>
      </c>
      <c r="H670" s="86" t="n">
        <v>-2.7</v>
      </c>
      <c r="I670" s="86" t="n">
        <v>-2.3</v>
      </c>
    </row>
    <row r="671">
      <c r="A671" s="90" t="inlineStr">
        <is>
          <t>Discontinued Operations before Tax - Income/(Expense)</t>
        </is>
      </c>
      <c r="B671" s="86" t="n">
        <v>-0.4</v>
      </c>
      <c r="C671" s="86" t="n">
        <v>-1.6</v>
      </c>
      <c r="D671" s="86" t="n">
        <v>-2.8</v>
      </c>
      <c r="E671" s="86" t="n">
        <v>-1.3</v>
      </c>
      <c r="F671" s="86" t="n">
        <v>-3.4</v>
      </c>
      <c r="G671" s="86" t="n">
        <v>-1.8</v>
      </c>
      <c r="H671" s="86" t="n">
        <v>-2.7</v>
      </c>
      <c r="I671" s="86" t="n">
        <v>-2.3</v>
      </c>
    </row>
    <row r="672">
      <c r="A672" s="89" t="inlineStr">
        <is>
          <t>Discontinued Operations - Tax Impacts</t>
        </is>
      </c>
      <c r="B672" s="85" t="n">
        <v>0.1</v>
      </c>
      <c r="C672" s="85" t="n">
        <v>0.4</v>
      </c>
      <c r="D672" s="85" t="n">
        <v>0.7</v>
      </c>
      <c r="E672" s="85" t="n">
        <v>0.4</v>
      </c>
      <c r="F672" s="85" t="n">
        <v>0.8</v>
      </c>
      <c r="G672" s="85" t="n">
        <v>0.5</v>
      </c>
      <c r="H672" s="85" t="n">
        <v>0.7</v>
      </c>
      <c r="I672" s="85" t="n">
        <v>0.6</v>
      </c>
    </row>
    <row r="673">
      <c r="A673" s="80" t="inlineStr">
        <is>
          <t>Net Income before Minority Interest</t>
        </is>
      </c>
      <c r="B673" s="81" t="n">
        <v>252.8</v>
      </c>
      <c r="C673" s="81" t="n">
        <v>375</v>
      </c>
      <c r="D673" s="81" t="n">
        <v>320.8</v>
      </c>
      <c r="E673" s="81" t="n">
        <v>129.4</v>
      </c>
      <c r="F673" s="81" t="n">
        <v>293.5</v>
      </c>
      <c r="G673" s="81" t="n">
        <v>208.4</v>
      </c>
      <c r="H673" s="81" t="n">
        <v>308.3</v>
      </c>
      <c r="I673" s="81" t="n">
        <v>102.9</v>
      </c>
    </row>
    <row r="674">
      <c r="A674" s="80" t="inlineStr">
        <is>
          <t>Minority Interest</t>
        </is>
      </c>
      <c r="B674" s="85" t="n">
        <v>0.8</v>
      </c>
      <c r="C674" s="85" t="n">
        <v>0.1</v>
      </c>
      <c r="D674" s="86" t="n">
        <v>-0.1</v>
      </c>
      <c r="E674" s="85" t="n">
        <v>0.5</v>
      </c>
      <c r="F674" s="86" t="n">
        <v>-0.2</v>
      </c>
      <c r="G674" s="85" t="n">
        <v>0.8</v>
      </c>
      <c r="H674" s="85" t="n">
        <v>0.3</v>
      </c>
      <c r="I674" s="85" t="n">
        <v>0.2</v>
      </c>
    </row>
    <row r="675">
      <c r="A675" s="80" t="inlineStr">
        <is>
          <t>Net Income after Minority Interest</t>
        </is>
      </c>
      <c r="B675" s="81" t="n">
        <v>252</v>
      </c>
      <c r="C675" s="81" t="n">
        <v>374.9</v>
      </c>
      <c r="D675" s="81" t="n">
        <v>320.9</v>
      </c>
      <c r="E675" s="81" t="n">
        <v>128.9</v>
      </c>
      <c r="F675" s="81" t="n">
        <v>293.7</v>
      </c>
      <c r="G675" s="81" t="n">
        <v>207.6</v>
      </c>
      <c r="H675" s="81" t="n">
        <v>308</v>
      </c>
      <c r="I675" s="81" t="n">
        <v>102.7</v>
      </c>
    </row>
    <row r="676">
      <c r="A676" s="78" t="inlineStr">
        <is>
          <t>Net Income</t>
        </is>
      </c>
      <c r="B676" s="79" t="n"/>
      <c r="C676" s="79" t="n"/>
      <c r="D676" s="79" t="n"/>
      <c r="E676" s="79" t="n"/>
      <c r="F676" s="79" t="n"/>
      <c r="G676" s="79" t="n"/>
      <c r="H676" s="79" t="n"/>
      <c r="I676" s="79" t="n"/>
    </row>
    <row r="677">
      <c r="A677" s="83" t="inlineStr">
        <is>
          <t>Income Available to Common Shares</t>
        </is>
      </c>
      <c r="B677" s="84" t="n">
        <v>252</v>
      </c>
      <c r="C677" s="84" t="n">
        <v>374.9</v>
      </c>
      <c r="D677" s="84" t="n">
        <v>320.9</v>
      </c>
      <c r="E677" s="84" t="n">
        <v>128.9</v>
      </c>
      <c r="F677" s="84" t="n">
        <v>293.7</v>
      </c>
      <c r="G677" s="84" t="n">
        <v>207.6</v>
      </c>
      <c r="H677" s="84" t="n">
        <v>308</v>
      </c>
      <c r="I677" s="84" t="n">
        <v>102.7</v>
      </c>
    </row>
    <row r="678">
      <c r="A678" s="78" t="inlineStr">
        <is>
          <t>Other Comprehensive Income</t>
        </is>
      </c>
      <c r="B678" s="79" t="n"/>
      <c r="C678" s="79" t="n"/>
      <c r="D678" s="79" t="n"/>
      <c r="E678" s="79" t="n"/>
      <c r="F678" s="79" t="n"/>
      <c r="G678" s="79" t="n"/>
      <c r="H678" s="79" t="n"/>
      <c r="I678" s="79" t="n"/>
    </row>
    <row r="679">
      <c r="A679" s="80" t="inlineStr">
        <is>
          <t>Other Comprehensive Income - Starting Line</t>
        </is>
      </c>
      <c r="B679" s="81" t="n">
        <v>257.9</v>
      </c>
      <c r="C679" s="81" t="n">
        <v>374.9</v>
      </c>
      <c r="D679" s="81" t="n">
        <v>320.9</v>
      </c>
      <c r="E679" s="81" t="n">
        <v>128.9</v>
      </c>
      <c r="F679" s="81" t="n">
        <v>293.7</v>
      </c>
      <c r="G679" s="81" t="n">
        <v>207.6</v>
      </c>
      <c r="H679" s="81" t="n">
        <v>308</v>
      </c>
      <c r="I679" s="81" t="n">
        <v>102.7</v>
      </c>
    </row>
    <row r="680">
      <c r="A680" s="80" t="inlineStr">
        <is>
          <t>Other Comprehensive Income - Hedging Gain/(Loss)</t>
        </is>
      </c>
      <c r="B680" s="85" t="n">
        <v>0.4</v>
      </c>
      <c r="C680" s="85" t="n">
        <v>0.4</v>
      </c>
      <c r="D680" s="85" t="n">
        <v>0.4</v>
      </c>
      <c r="E680" s="85" t="n">
        <v>0.4</v>
      </c>
      <c r="F680" s="85" t="n">
        <v>0.5</v>
      </c>
      <c r="G680" s="85" t="n">
        <v>0.4</v>
      </c>
      <c r="H680" s="85" t="n">
        <v>0.4</v>
      </c>
      <c r="I680" s="85" t="n">
        <v>0.4</v>
      </c>
    </row>
    <row r="681">
      <c r="A681" s="80" t="inlineStr">
        <is>
          <t>Other Comprehensive Income - Pension Related</t>
        </is>
      </c>
      <c r="B681" s="86" t="n">
        <v>-2.9</v>
      </c>
      <c r="C681" s="85" t="n">
        <v>1.1</v>
      </c>
      <c r="D681" s="85" t="n">
        <v>1.1</v>
      </c>
      <c r="E681" s="85" t="n">
        <v>1</v>
      </c>
      <c r="F681" s="85" t="n">
        <v>10.9</v>
      </c>
      <c r="G681" s="85" t="n">
        <v>1.4</v>
      </c>
      <c r="H681" s="85" t="n">
        <v>1.2</v>
      </c>
      <c r="I681" s="85" t="n">
        <v>1.3</v>
      </c>
    </row>
    <row r="682">
      <c r="A682" s="80" t="inlineStr">
        <is>
          <t>Other Comprehensive Income - Net of Tax - Total</t>
        </is>
      </c>
      <c r="B682" s="86" t="n">
        <v>-2.5</v>
      </c>
      <c r="C682" s="85" t="n">
        <v>1.5</v>
      </c>
      <c r="D682" s="85" t="n">
        <v>1.5</v>
      </c>
      <c r="E682" s="85" t="n">
        <v>1.4</v>
      </c>
      <c r="F682" s="85" t="n">
        <v>11.4</v>
      </c>
      <c r="G682" s="85" t="n">
        <v>1.8</v>
      </c>
      <c r="H682" s="85" t="n">
        <v>1.6</v>
      </c>
      <c r="I682" s="85" t="n">
        <v>1.7</v>
      </c>
    </row>
    <row r="683">
      <c r="A683" s="83" t="inlineStr">
        <is>
          <t>Comprehensive Income before Minority Interest - Total</t>
        </is>
      </c>
      <c r="B683" s="84" t="n">
        <v>1329.4</v>
      </c>
      <c r="C683" s="84" t="n">
        <v>376.4</v>
      </c>
      <c r="D683" s="84" t="n">
        <v>322.3</v>
      </c>
      <c r="E683" s="84" t="n">
        <v>130.8</v>
      </c>
      <c r="F683" s="84" t="n">
        <v>305.1</v>
      </c>
      <c r="G683" s="84" t="n">
        <v>209.4</v>
      </c>
      <c r="H683" s="84" t="n">
        <v>309.6</v>
      </c>
      <c r="I683" s="84" t="n">
        <v>104.4</v>
      </c>
    </row>
    <row r="684">
      <c r="A684" s="80" t="inlineStr">
        <is>
          <t>Comprehensive Income - Attributable to Minority Interest - Total</t>
        </is>
      </c>
      <c r="B684" s="86" t="n">
        <v>-0.8</v>
      </c>
      <c r="C684" s="86" t="n">
        <v>-0.1</v>
      </c>
      <c r="D684" s="85" t="n">
        <v>0.1</v>
      </c>
      <c r="E684" s="86" t="n">
        <v>-0.5</v>
      </c>
      <c r="F684" s="85" t="n">
        <v>0.2</v>
      </c>
      <c r="G684" s="86" t="n">
        <v>-0.8</v>
      </c>
      <c r="H684" s="86" t="n">
        <v>-0.3</v>
      </c>
      <c r="I684" s="86" t="n">
        <v>-0.2</v>
      </c>
    </row>
    <row r="685">
      <c r="A685" s="80" t="inlineStr">
        <is>
          <t>Comprehensive Income - Attributable to Parent Company Equity Holders - Total</t>
        </is>
      </c>
      <c r="B685" s="81" t="n">
        <v>250.3</v>
      </c>
      <c r="C685" s="81" t="n">
        <v>376.5</v>
      </c>
      <c r="D685" s="81" t="n">
        <v>322.4</v>
      </c>
      <c r="E685" s="81" t="n">
        <v>130.3</v>
      </c>
      <c r="F685" s="81" t="n">
        <v>304.9</v>
      </c>
      <c r="G685" s="81" t="n">
        <v>210.2</v>
      </c>
      <c r="H685" s="81" t="n">
        <v>309.9</v>
      </c>
      <c r="I685" s="81" t="n">
        <v>104.6</v>
      </c>
    </row>
    <row r="686">
      <c r="A686" s="78" t="inlineStr">
        <is>
          <t>Share/Per Share - Basic</t>
        </is>
      </c>
      <c r="B686" s="79" t="n"/>
      <c r="C686" s="79" t="n"/>
      <c r="D686" s="79" t="n"/>
      <c r="E686" s="79" t="n"/>
      <c r="F686" s="79" t="n"/>
      <c r="G686" s="79" t="n"/>
      <c r="H686" s="79" t="n"/>
      <c r="I686" s="79" t="n"/>
    </row>
    <row r="687">
      <c r="A687" s="80" t="inlineStr">
        <is>
          <t>Net Income - Basic - including Extraordinary Items Applicable to Common - Total</t>
        </is>
      </c>
      <c r="B687" s="81" t="n">
        <v>252</v>
      </c>
      <c r="C687" s="81" t="n">
        <v>374.9</v>
      </c>
      <c r="D687" s="81" t="n">
        <v>320.9</v>
      </c>
      <c r="E687" s="81" t="n">
        <v>128.9</v>
      </c>
      <c r="F687" s="81" t="n">
        <v>293.7</v>
      </c>
      <c r="G687" s="81" t="n">
        <v>207.6</v>
      </c>
      <c r="H687" s="81" t="n">
        <v>308</v>
      </c>
      <c r="I687" s="81" t="n">
        <v>102.7</v>
      </c>
    </row>
    <row r="688">
      <c r="A688" s="82" t="inlineStr">
        <is>
          <t>Income available to Common excluding Extraordinary Items</t>
        </is>
      </c>
      <c r="B688" s="81" t="n">
        <v>252.3</v>
      </c>
      <c r="C688" s="81" t="n">
        <v>376.1</v>
      </c>
      <c r="D688" s="81" t="n">
        <v>323</v>
      </c>
      <c r="E688" s="81" t="n">
        <v>129.8</v>
      </c>
      <c r="F688" s="81" t="n">
        <v>296.3</v>
      </c>
      <c r="G688" s="81" t="n">
        <v>208.9</v>
      </c>
      <c r="H688" s="81" t="n">
        <v>310</v>
      </c>
      <c r="I688" s="81" t="n">
        <v>104.4</v>
      </c>
    </row>
    <row r="689">
      <c r="A689" s="82" t="inlineStr">
        <is>
          <t>Shares used to calculate Basic EPS - Total</t>
        </is>
      </c>
      <c r="B689" s="81" t="n">
        <v>131.4</v>
      </c>
      <c r="C689" s="81" t="n">
        <v>132.1</v>
      </c>
      <c r="D689" s="81" t="n">
        <v>132.2</v>
      </c>
      <c r="E689" s="81" t="n">
        <v>132.4</v>
      </c>
      <c r="F689" s="81" t="n">
        <v>132.3</v>
      </c>
      <c r="G689" s="81" t="n">
        <v>132.2</v>
      </c>
      <c r="H689" s="81" t="n">
        <v>132.4</v>
      </c>
      <c r="I689" s="81" t="n">
        <v>132.4</v>
      </c>
    </row>
    <row r="690">
      <c r="A690" s="89" t="inlineStr">
        <is>
          <t>EPS - Basic - including Extraordinary Items Applicable to Common - Total</t>
        </is>
      </c>
      <c r="B690" s="85" t="n">
        <v>1.92</v>
      </c>
      <c r="C690" s="85" t="n">
        <v>2.84</v>
      </c>
      <c r="D690" s="85" t="n">
        <v>2.43</v>
      </c>
      <c r="E690" s="85" t="n">
        <v>0.97</v>
      </c>
      <c r="F690" s="85" t="n">
        <v>2.22</v>
      </c>
      <c r="G690" s="85" t="n">
        <v>1.57</v>
      </c>
      <c r="H690" s="85" t="n">
        <v>2.33</v>
      </c>
      <c r="I690" s="85" t="n">
        <v>0.78</v>
      </c>
    </row>
    <row r="691">
      <c r="A691" s="89" t="inlineStr">
        <is>
          <t>EPS - Basic - excluding Extraordinary Items Applicable to Common - Total</t>
        </is>
      </c>
      <c r="B691" s="85" t="n">
        <v>1.92</v>
      </c>
      <c r="C691" s="85" t="n">
        <v>2.85</v>
      </c>
      <c r="D691" s="85" t="n">
        <v>2.44</v>
      </c>
      <c r="E691" s="85" t="n">
        <v>0.98</v>
      </c>
      <c r="F691" s="85" t="n">
        <v>2.24</v>
      </c>
      <c r="G691" s="85" t="n">
        <v>1.58</v>
      </c>
      <c r="H691" s="85" t="n">
        <v>2.34</v>
      </c>
      <c r="I691" s="85" t="n">
        <v>0.79</v>
      </c>
    </row>
    <row r="692">
      <c r="A692" s="89" t="inlineStr">
        <is>
          <t>EPS - Basic - excluding Extraordinary Items - Normalized - Total</t>
        </is>
      </c>
      <c r="B692" s="85" t="n">
        <v>1.92</v>
      </c>
      <c r="C692" s="85" t="n">
        <v>2.85</v>
      </c>
      <c r="D692" s="85" t="n">
        <v>2.45</v>
      </c>
      <c r="E692" s="85" t="n">
        <v>0.99</v>
      </c>
      <c r="F692" s="85" t="n">
        <v>2.48</v>
      </c>
      <c r="G692" s="85" t="n">
        <v>2.24</v>
      </c>
      <c r="H692" s="85" t="n">
        <v>2.35</v>
      </c>
      <c r="I692" s="85" t="n">
        <v>0.79</v>
      </c>
    </row>
    <row r="693">
      <c r="A693" s="80" t="inlineStr">
        <is>
          <t>Allocated Net Income including Extraordinary Items Applicable to Common - Issue Specific</t>
        </is>
      </c>
      <c r="B693" s="81" t="n">
        <v>252</v>
      </c>
      <c r="C693" s="81" t="n">
        <v>374.9</v>
      </c>
      <c r="D693" s="81" t="n">
        <v>320.9</v>
      </c>
      <c r="E693" s="81" t="n">
        <v>128.9</v>
      </c>
      <c r="F693" s="81" t="n">
        <v>293.7</v>
      </c>
      <c r="G693" s="81" t="n">
        <v>207.6</v>
      </c>
      <c r="H693" s="81" t="n">
        <v>308</v>
      </c>
      <c r="I693" s="81" t="n">
        <v>102.7</v>
      </c>
    </row>
    <row r="694">
      <c r="A694" s="80" t="inlineStr">
        <is>
          <t>Earnings Allocation Factor - Basic - Issue Specific</t>
        </is>
      </c>
      <c r="B694" s="85" t="n">
        <v>1</v>
      </c>
      <c r="C694" s="85" t="n">
        <v>1</v>
      </c>
      <c r="D694" s="85" t="n">
        <v>1</v>
      </c>
      <c r="E694" s="85" t="n">
        <v>1</v>
      </c>
      <c r="F694" s="85" t="n">
        <v>1</v>
      </c>
      <c r="G694" s="85" t="n">
        <v>1</v>
      </c>
      <c r="H694" s="85" t="n">
        <v>1</v>
      </c>
      <c r="I694" s="85" t="n">
        <v>1</v>
      </c>
    </row>
    <row r="695">
      <c r="A695" s="82" t="inlineStr">
        <is>
          <t>Shares used to calculate Basic EPS - Issue Specific</t>
        </is>
      </c>
      <c r="B695" s="81" t="n">
        <v>131.4</v>
      </c>
      <c r="C695" s="81" t="n">
        <v>132.1</v>
      </c>
      <c r="D695" s="81" t="n">
        <v>132.2</v>
      </c>
      <c r="E695" s="81" t="n">
        <v>132.4</v>
      </c>
      <c r="F695" s="81" t="n">
        <v>132.3</v>
      </c>
      <c r="G695" s="81" t="n">
        <v>132.2</v>
      </c>
      <c r="H695" s="81" t="n">
        <v>132.4</v>
      </c>
      <c r="I695" s="81" t="n">
        <v>132.4</v>
      </c>
    </row>
    <row r="696">
      <c r="A696" s="89" t="inlineStr">
        <is>
          <t>EPS - Basic - including Extraordinary Items Applicable to Common - Issue Specific</t>
        </is>
      </c>
      <c r="B696" s="85" t="n">
        <v>1.92</v>
      </c>
      <c r="C696" s="85" t="n">
        <v>2.84</v>
      </c>
      <c r="D696" s="85" t="n">
        <v>2.43</v>
      </c>
      <c r="E696" s="85" t="n">
        <v>0.97</v>
      </c>
      <c r="F696" s="85" t="n">
        <v>2.22</v>
      </c>
      <c r="G696" s="85" t="n">
        <v>1.57</v>
      </c>
      <c r="H696" s="85" t="n">
        <v>2.33</v>
      </c>
      <c r="I696" s="85" t="n">
        <v>0.78</v>
      </c>
    </row>
    <row r="697">
      <c r="A697" s="89" t="inlineStr">
        <is>
          <t>EPS - Basic - excluding Extraordinary Items Applicable to Common - Issue Specific</t>
        </is>
      </c>
      <c r="B697" s="85" t="n">
        <v>1.92</v>
      </c>
      <c r="C697" s="85" t="n">
        <v>2.85</v>
      </c>
      <c r="D697" s="85" t="n">
        <v>2.44</v>
      </c>
      <c r="E697" s="85" t="n">
        <v>0.98</v>
      </c>
      <c r="F697" s="85" t="n">
        <v>2.24</v>
      </c>
      <c r="G697" s="85" t="n">
        <v>1.58</v>
      </c>
      <c r="H697" s="85" t="n">
        <v>2.34</v>
      </c>
      <c r="I697" s="85" t="n">
        <v>0.79</v>
      </c>
    </row>
    <row r="698">
      <c r="A698" s="89" t="inlineStr">
        <is>
          <t>EPS - Basic - excluding Extraordinary Items - Normalized - Issue Specific</t>
        </is>
      </c>
      <c r="B698" s="85" t="n">
        <v>1.92</v>
      </c>
      <c r="C698" s="85" t="n">
        <v>2.85</v>
      </c>
      <c r="D698" s="85" t="n">
        <v>2.45</v>
      </c>
      <c r="E698" s="85" t="n">
        <v>0.99</v>
      </c>
      <c r="F698" s="85" t="n">
        <v>2.48</v>
      </c>
      <c r="G698" s="85" t="n">
        <v>2.24</v>
      </c>
      <c r="H698" s="85" t="n">
        <v>2.35</v>
      </c>
      <c r="I698" s="85" t="n">
        <v>0.79</v>
      </c>
    </row>
    <row r="699">
      <c r="A699" s="80" t="inlineStr">
        <is>
          <t>EPS - Basic from Discontinued Operations &amp; Extraordinary Items</t>
        </is>
      </c>
      <c r="B699" s="93" t="n">
        <v>0</v>
      </c>
      <c r="C699" s="86" t="n">
        <v>-0.01</v>
      </c>
      <c r="D699" s="86" t="n">
        <v>-0.02</v>
      </c>
      <c r="E699" s="86" t="n">
        <v>-0.01</v>
      </c>
      <c r="F699" s="86" t="n">
        <v>-0.02</v>
      </c>
      <c r="G699" s="86" t="n">
        <v>-0.01</v>
      </c>
      <c r="H699" s="86" t="n">
        <v>-0.02</v>
      </c>
      <c r="I699" s="86" t="n">
        <v>-0.01</v>
      </c>
    </row>
    <row r="700">
      <c r="A700" s="80" t="inlineStr">
        <is>
          <t>Comprehensive Earnings Per Share - Basic - Issue Specific</t>
        </is>
      </c>
      <c r="B700" s="85" t="n">
        <v>1.9</v>
      </c>
      <c r="C700" s="85" t="n">
        <v>2.85</v>
      </c>
      <c r="D700" s="85" t="n">
        <v>2.44</v>
      </c>
      <c r="E700" s="85" t="n">
        <v>0.98</v>
      </c>
      <c r="F700" s="85" t="n">
        <v>2.3</v>
      </c>
      <c r="G700" s="85" t="n">
        <v>1.59</v>
      </c>
      <c r="H700" s="85" t="n">
        <v>2.34</v>
      </c>
      <c r="I700" s="85" t="n">
        <v>0.79</v>
      </c>
    </row>
    <row r="701">
      <c r="A701" s="78" t="inlineStr">
        <is>
          <t>Share/Per Share - Diluted</t>
        </is>
      </c>
      <c r="B701" s="79" t="n"/>
      <c r="C701" s="79" t="n"/>
      <c r="D701" s="79" t="n"/>
      <c r="E701" s="79" t="n"/>
      <c r="F701" s="79" t="n"/>
      <c r="G701" s="79" t="n"/>
      <c r="H701" s="79" t="n"/>
      <c r="I701" s="79" t="n"/>
    </row>
    <row r="702">
      <c r="A702" s="80" t="inlineStr">
        <is>
          <t>Net Income - Diluted - including Extraordinary Items Applicable to Common - Total</t>
        </is>
      </c>
      <c r="B702" s="81" t="n">
        <v>252</v>
      </c>
      <c r="C702" s="81" t="n">
        <v>374.9</v>
      </c>
      <c r="D702" s="81" t="n">
        <v>320.9</v>
      </c>
      <c r="E702" s="81" t="n">
        <v>128.9</v>
      </c>
      <c r="F702" s="81" t="n">
        <v>293.7</v>
      </c>
      <c r="G702" s="81" t="n">
        <v>207.6</v>
      </c>
      <c r="H702" s="81" t="n">
        <v>308</v>
      </c>
      <c r="I702" s="81" t="n">
        <v>102.7</v>
      </c>
    </row>
    <row r="703">
      <c r="A703" s="82" t="inlineStr">
        <is>
          <t>Diluted Income available to Common excluding Extraordinary Items</t>
        </is>
      </c>
      <c r="B703" s="81" t="n">
        <v>252.3</v>
      </c>
      <c r="C703" s="81" t="n">
        <v>376.1</v>
      </c>
      <c r="D703" s="81" t="n">
        <v>323</v>
      </c>
      <c r="E703" s="81" t="n">
        <v>129.8</v>
      </c>
      <c r="F703" s="81" t="n">
        <v>296.3</v>
      </c>
      <c r="G703" s="81" t="n">
        <v>208.9</v>
      </c>
      <c r="H703" s="81" t="n">
        <v>310</v>
      </c>
      <c r="I703" s="81" t="n">
        <v>104.4</v>
      </c>
    </row>
    <row r="704">
      <c r="A704" s="82" t="inlineStr">
        <is>
          <t>Shares used to calculate Diluted EPS - Total</t>
        </is>
      </c>
      <c r="B704" s="81" t="n">
        <v>132.1</v>
      </c>
      <c r="C704" s="81" t="n">
        <v>132.9</v>
      </c>
      <c r="D704" s="81" t="n">
        <v>132.9</v>
      </c>
      <c r="E704" s="81" t="n">
        <v>133</v>
      </c>
      <c r="F704" s="81" t="n">
        <v>133.1</v>
      </c>
      <c r="G704" s="81" t="n">
        <v>133</v>
      </c>
      <c r="H704" s="81" t="n">
        <v>133.1</v>
      </c>
      <c r="I704" s="81" t="n">
        <v>133.1</v>
      </c>
    </row>
    <row r="705">
      <c r="A705" s="89" t="inlineStr">
        <is>
          <t>EPS - Diluted - including Extraordinary Items Applicable to Common - Total</t>
        </is>
      </c>
      <c r="B705" s="85" t="n">
        <v>1.91</v>
      </c>
      <c r="C705" s="85" t="n">
        <v>2.82</v>
      </c>
      <c r="D705" s="85" t="n">
        <v>2.41</v>
      </c>
      <c r="E705" s="85" t="n">
        <v>0.97</v>
      </c>
      <c r="F705" s="85" t="n">
        <v>2.21</v>
      </c>
      <c r="G705" s="85" t="n">
        <v>1.56</v>
      </c>
      <c r="H705" s="85" t="n">
        <v>2.31</v>
      </c>
      <c r="I705" s="85" t="n">
        <v>0.77</v>
      </c>
    </row>
    <row r="706">
      <c r="A706" s="89" t="inlineStr">
        <is>
          <t>EPS - Diluted - excluding Extraordinary Items Applicable to Common - Total</t>
        </is>
      </c>
      <c r="B706" s="85" t="n">
        <v>1.91</v>
      </c>
      <c r="C706" s="85" t="n">
        <v>2.83</v>
      </c>
      <c r="D706" s="85" t="n">
        <v>2.43</v>
      </c>
      <c r="E706" s="85" t="n">
        <v>0.98</v>
      </c>
      <c r="F706" s="85" t="n">
        <v>2.23</v>
      </c>
      <c r="G706" s="85" t="n">
        <v>1.57</v>
      </c>
      <c r="H706" s="85" t="n">
        <v>2.33</v>
      </c>
      <c r="I706" s="85" t="n">
        <v>0.78</v>
      </c>
    </row>
    <row r="707">
      <c r="A707" s="89" t="inlineStr">
        <is>
          <t>EPS - Diluted - excluding Extraordinary Items - Normalized - Total</t>
        </is>
      </c>
      <c r="B707" s="85" t="n">
        <v>1.91</v>
      </c>
      <c r="C707" s="85" t="n">
        <v>2.83</v>
      </c>
      <c r="D707" s="85" t="n">
        <v>2.43</v>
      </c>
      <c r="E707" s="85" t="n">
        <v>0.98</v>
      </c>
      <c r="F707" s="85" t="n">
        <v>2.46</v>
      </c>
      <c r="G707" s="85" t="n">
        <v>2.23</v>
      </c>
      <c r="H707" s="85" t="n">
        <v>2.34</v>
      </c>
      <c r="I707" s="85" t="n">
        <v>0.79</v>
      </c>
    </row>
    <row r="708">
      <c r="A708" s="80" t="inlineStr">
        <is>
          <t>Allocated Diluted Net Income including Extraordinary Items Applicable to Common - Issue Specific</t>
        </is>
      </c>
      <c r="B708" s="81" t="n">
        <v>252</v>
      </c>
      <c r="C708" s="81" t="n">
        <v>374.9</v>
      </c>
      <c r="D708" s="81" t="n">
        <v>320.9</v>
      </c>
      <c r="E708" s="81" t="n">
        <v>128.9</v>
      </c>
      <c r="F708" s="81" t="n">
        <v>293.7</v>
      </c>
      <c r="G708" s="81" t="n">
        <v>207.6</v>
      </c>
      <c r="H708" s="81" t="n">
        <v>308</v>
      </c>
      <c r="I708" s="81" t="n">
        <v>102.7</v>
      </c>
    </row>
    <row r="709">
      <c r="A709" s="80" t="inlineStr">
        <is>
          <t>Earnings Allocation Factor - Diluted - Issue Specific</t>
        </is>
      </c>
      <c r="B709" s="85" t="n">
        <v>1</v>
      </c>
      <c r="C709" s="85" t="n">
        <v>1</v>
      </c>
      <c r="D709" s="85" t="n">
        <v>1</v>
      </c>
      <c r="E709" s="85" t="n">
        <v>1</v>
      </c>
      <c r="F709" s="85" t="n">
        <v>1</v>
      </c>
      <c r="G709" s="85" t="n">
        <v>1</v>
      </c>
      <c r="H709" s="85" t="n">
        <v>1</v>
      </c>
      <c r="I709" s="85" t="n">
        <v>1</v>
      </c>
    </row>
    <row r="710">
      <c r="A710" s="82" t="inlineStr">
        <is>
          <t>Shares used to calculate Diluted EPS - Issue Specific</t>
        </is>
      </c>
      <c r="B710" s="81" t="n">
        <v>132.1</v>
      </c>
      <c r="C710" s="81" t="n">
        <v>132.9</v>
      </c>
      <c r="D710" s="81" t="n">
        <v>132.9</v>
      </c>
      <c r="E710" s="81" t="n">
        <v>133</v>
      </c>
      <c r="F710" s="81" t="n">
        <v>133.1</v>
      </c>
      <c r="G710" s="81" t="n">
        <v>133</v>
      </c>
      <c r="H710" s="81" t="n">
        <v>133.1</v>
      </c>
      <c r="I710" s="81" t="n">
        <v>133.1</v>
      </c>
    </row>
    <row r="711">
      <c r="A711" s="89" t="inlineStr">
        <is>
          <t>EPS - Diluted - including Extraordinary Items Applicable to Common - Issue Specific</t>
        </is>
      </c>
      <c r="B711" s="85" t="n">
        <v>1.91</v>
      </c>
      <c r="C711" s="85" t="n">
        <v>2.82</v>
      </c>
      <c r="D711" s="85" t="n">
        <v>2.41</v>
      </c>
      <c r="E711" s="85" t="n">
        <v>0.97</v>
      </c>
      <c r="F711" s="85" t="n">
        <v>2.21</v>
      </c>
      <c r="G711" s="85" t="n">
        <v>1.56</v>
      </c>
      <c r="H711" s="85" t="n">
        <v>2.31</v>
      </c>
      <c r="I711" s="85" t="n">
        <v>0.77</v>
      </c>
    </row>
    <row r="712">
      <c r="A712" s="89" t="inlineStr">
        <is>
          <t>EPS - Diluted - excluding Extraordinary Items Applicable to Common - Issue Specific</t>
        </is>
      </c>
      <c r="B712" s="85" t="n">
        <v>1.91</v>
      </c>
      <c r="C712" s="85" t="n">
        <v>2.83</v>
      </c>
      <c r="D712" s="85" t="n">
        <v>2.43</v>
      </c>
      <c r="E712" s="85" t="n">
        <v>0.98</v>
      </c>
      <c r="F712" s="85" t="n">
        <v>2.23</v>
      </c>
      <c r="G712" s="85" t="n">
        <v>1.57</v>
      </c>
      <c r="H712" s="85" t="n">
        <v>2.33</v>
      </c>
      <c r="I712" s="85" t="n">
        <v>0.78</v>
      </c>
    </row>
    <row r="713">
      <c r="A713" s="89" t="inlineStr">
        <is>
          <t>EPS - Diluted - excluding Extraordinary Items - Normalized - Issue Specific</t>
        </is>
      </c>
      <c r="B713" s="85" t="n">
        <v>1.91</v>
      </c>
      <c r="C713" s="85" t="n">
        <v>2.83</v>
      </c>
      <c r="D713" s="85" t="n">
        <v>2.43</v>
      </c>
      <c r="E713" s="85" t="n">
        <v>0.98</v>
      </c>
      <c r="F713" s="85" t="n">
        <v>2.46</v>
      </c>
      <c r="G713" s="85" t="n">
        <v>2.23</v>
      </c>
      <c r="H713" s="85" t="n">
        <v>2.34</v>
      </c>
      <c r="I713" s="85" t="n">
        <v>0.79</v>
      </c>
    </row>
    <row r="714">
      <c r="A714" s="80" t="inlineStr">
        <is>
          <t>EPS - Diluted from Discontinued Operations &amp; Extraordinary Items</t>
        </is>
      </c>
      <c r="B714" s="93" t="n">
        <v>0</v>
      </c>
      <c r="C714" s="86" t="n">
        <v>-0.01</v>
      </c>
      <c r="D714" s="86" t="n">
        <v>-0.02</v>
      </c>
      <c r="E714" s="86" t="n">
        <v>-0.01</v>
      </c>
      <c r="F714" s="86" t="n">
        <v>-0.02</v>
      </c>
      <c r="G714" s="86" t="n">
        <v>-0.01</v>
      </c>
      <c r="H714" s="86" t="n">
        <v>-0.02</v>
      </c>
      <c r="I714" s="86" t="n">
        <v>-0.01</v>
      </c>
    </row>
    <row r="715">
      <c r="A715" s="80" t="inlineStr">
        <is>
          <t>Comprehensive Earnings Per Share - Diluted - Issue Specific</t>
        </is>
      </c>
      <c r="B715" s="85" t="n">
        <v>1.89</v>
      </c>
      <c r="C715" s="85" t="n">
        <v>2.83</v>
      </c>
      <c r="D715" s="85" t="n">
        <v>2.43</v>
      </c>
      <c r="E715" s="85" t="n">
        <v>0.98</v>
      </c>
      <c r="F715" s="85" t="n">
        <v>2.29</v>
      </c>
      <c r="G715" s="85" t="n">
        <v>1.58</v>
      </c>
      <c r="H715" s="85" t="n">
        <v>2.33</v>
      </c>
      <c r="I715" s="85" t="n">
        <v>0.79</v>
      </c>
    </row>
    <row r="716">
      <c r="A716" s="78" t="inlineStr">
        <is>
          <t>Share/Per Share - Dividends</t>
        </is>
      </c>
      <c r="B716" s="79" t="n"/>
      <c r="C716" s="79" t="n"/>
      <c r="D716" s="79" t="n"/>
      <c r="E716" s="79" t="n"/>
      <c r="F716" s="79" t="n"/>
      <c r="G716" s="79" t="n"/>
      <c r="H716" s="79" t="n"/>
      <c r="I716" s="79" t="n"/>
    </row>
    <row r="717">
      <c r="A717" s="80" t="inlineStr">
        <is>
          <t>DPS - Common - Gross - Issue - By Announcement Date</t>
        </is>
      </c>
      <c r="B717" s="87" t="n">
        <v>0</v>
      </c>
      <c r="C717" s="85" t="n">
        <v>0.49</v>
      </c>
      <c r="D717" s="85" t="n">
        <v>0.98</v>
      </c>
      <c r="E717" s="85" t="n">
        <v>0.49</v>
      </c>
      <c r="F717" s="87" t="n">
        <v>0</v>
      </c>
      <c r="G717" s="85" t="n">
        <v>0.46</v>
      </c>
      <c r="H717" s="85" t="n">
        <v>0.92</v>
      </c>
      <c r="I717" s="85" t="n">
        <v>0.46</v>
      </c>
    </row>
    <row r="718">
      <c r="A718" s="80" t="inlineStr">
        <is>
          <t>DPS - Common - Net - Issue - By Announcement Date</t>
        </is>
      </c>
      <c r="B718" s="87" t="n">
        <v>0</v>
      </c>
      <c r="C718" s="85" t="n">
        <v>0.49</v>
      </c>
      <c r="D718" s="85" t="n">
        <v>0.98</v>
      </c>
      <c r="E718" s="85" t="n">
        <v>0.49</v>
      </c>
      <c r="F718" s="87" t="n">
        <v>0</v>
      </c>
      <c r="G718" s="85" t="n">
        <v>0.46</v>
      </c>
      <c r="H718" s="85" t="n">
        <v>0.92</v>
      </c>
      <c r="I718" s="85" t="n">
        <v>0.46</v>
      </c>
    </row>
    <row r="719">
      <c r="A719" s="78" t="inlineStr">
        <is>
          <t>EBIT/EBITDA &amp; related</t>
        </is>
      </c>
      <c r="B719" s="79" t="n"/>
      <c r="C719" s="79" t="n"/>
      <c r="D719" s="79" t="n"/>
      <c r="E719" s="79" t="n"/>
      <c r="F719" s="79" t="n"/>
      <c r="G719" s="79" t="n"/>
      <c r="H719" s="79" t="n"/>
      <c r="I719" s="79" t="n"/>
    </row>
    <row r="720">
      <c r="A720" s="80" t="inlineStr">
        <is>
          <t>Earnings before Interest &amp; Taxes (EBIT)</t>
        </is>
      </c>
      <c r="B720" s="81" t="n">
        <v>293</v>
      </c>
      <c r="C720" s="81" t="n">
        <v>542.7</v>
      </c>
      <c r="D720" s="81" t="n">
        <v>470.4</v>
      </c>
      <c r="E720" s="81" t="n">
        <v>220.2</v>
      </c>
      <c r="F720" s="81" t="n">
        <v>347.8</v>
      </c>
      <c r="G720" s="81" t="n">
        <v>424.3</v>
      </c>
      <c r="H720" s="81" t="n">
        <v>451.6</v>
      </c>
      <c r="I720" s="81" t="n">
        <v>172.4</v>
      </c>
    </row>
    <row r="721">
      <c r="A721" s="80" t="inlineStr">
        <is>
          <t>Earnings before Interest, Taxes, Depreciation &amp; Amortization (EBITDA)</t>
        </is>
      </c>
      <c r="B721" s="81" t="n">
        <v>478.3</v>
      </c>
      <c r="C721" s="81" t="n">
        <v>734.1</v>
      </c>
      <c r="D721" s="81" t="n">
        <v>655.9</v>
      </c>
      <c r="E721" s="81" t="n">
        <v>406.6</v>
      </c>
      <c r="F721" s="81" t="n">
        <v>511.6</v>
      </c>
      <c r="G721" s="81" t="n">
        <v>585</v>
      </c>
      <c r="H721" s="81" t="n">
        <v>608.4</v>
      </c>
      <c r="I721" s="81" t="n">
        <v>323.3</v>
      </c>
    </row>
    <row r="722">
      <c r="A722" s="80" t="inlineStr">
        <is>
          <t>Earnings before Interest, Taxes, Depreciation &amp; Amortization (EBITDA) and Operating Lease Payments</t>
        </is>
      </c>
      <c r="B722" s="81" t="n">
        <v>499.4</v>
      </c>
      <c r="C722" s="81" t="n">
        <v>754.4</v>
      </c>
      <c r="D722" s="81" t="n">
        <v>676.1</v>
      </c>
      <c r="E722" s="81" t="n">
        <v>427</v>
      </c>
      <c r="F722" s="81" t="n">
        <v>530.6</v>
      </c>
      <c r="G722" s="81" t="n">
        <v>604</v>
      </c>
      <c r="H722" s="81" t="n">
        <v>627.3</v>
      </c>
      <c r="I722" s="81" t="n">
        <v>342.1</v>
      </c>
    </row>
    <row r="723">
      <c r="A723" s="78" t="inlineStr">
        <is>
          <t>Depreciation/Amortization - Income Statement</t>
        </is>
      </c>
      <c r="B723" s="79" t="n"/>
      <c r="C723" s="79" t="n"/>
      <c r="D723" s="79" t="n"/>
      <c r="E723" s="79" t="n"/>
      <c r="F723" s="79" t="n"/>
      <c r="G723" s="79" t="n"/>
      <c r="H723" s="79" t="n"/>
      <c r="I723" s="79" t="n"/>
    </row>
    <row r="724">
      <c r="A724" s="80" t="inlineStr">
        <is>
          <t>Depreciation &amp; Amortization - Supplemental</t>
        </is>
      </c>
      <c r="B724" s="81" t="n">
        <v>185.3</v>
      </c>
      <c r="C724" s="81" t="n">
        <v>191.4</v>
      </c>
      <c r="D724" s="81" t="n">
        <v>185.5</v>
      </c>
      <c r="E724" s="81" t="n">
        <v>186.4</v>
      </c>
      <c r="F724" s="81" t="n">
        <v>163.8</v>
      </c>
      <c r="G724" s="81" t="n">
        <v>160.7</v>
      </c>
      <c r="H724" s="81" t="n">
        <v>156.8</v>
      </c>
      <c r="I724" s="81" t="n">
        <v>150.9</v>
      </c>
    </row>
    <row r="725">
      <c r="A725" s="78" t="inlineStr">
        <is>
          <t>Depreciation/Amortization - Total</t>
        </is>
      </c>
      <c r="B725" s="79" t="n"/>
      <c r="C725" s="79" t="n"/>
      <c r="D725" s="79" t="n"/>
      <c r="E725" s="79" t="n"/>
      <c r="F725" s="79" t="n"/>
      <c r="G725" s="79" t="n"/>
      <c r="H725" s="79" t="n"/>
      <c r="I725" s="79" t="n"/>
    </row>
    <row r="726">
      <c r="A726" s="80" t="inlineStr">
        <is>
          <t>Depreciation, Depletion &amp; Amortization - Total</t>
        </is>
      </c>
      <c r="B726" s="81" t="n">
        <v>185.3</v>
      </c>
      <c r="C726" s="81" t="n">
        <v>191.4</v>
      </c>
      <c r="D726" s="81" t="n">
        <v>185.5</v>
      </c>
      <c r="E726" s="81" t="n">
        <v>186.4</v>
      </c>
      <c r="F726" s="81" t="n">
        <v>163.8</v>
      </c>
      <c r="G726" s="81" t="n">
        <v>160.7</v>
      </c>
      <c r="H726" s="81" t="n">
        <v>156.8</v>
      </c>
      <c r="I726" s="81" t="n">
        <v>150.9</v>
      </c>
    </row>
    <row r="727">
      <c r="A727" s="78" t="inlineStr">
        <is>
          <t>Labor &amp; Related Expenses</t>
        </is>
      </c>
      <c r="B727" s="79" t="n"/>
      <c r="C727" s="79" t="n"/>
      <c r="D727" s="79" t="n"/>
      <c r="E727" s="79" t="n"/>
      <c r="F727" s="79" t="n"/>
      <c r="G727" s="79" t="n"/>
      <c r="H727" s="79" t="n"/>
      <c r="I727" s="79" t="n"/>
    </row>
    <row r="728">
      <c r="A728" s="80" t="inlineStr">
        <is>
          <t>Labor &amp; Related Expenses - Supplemental</t>
        </is>
      </c>
      <c r="B728" s="87" t="n"/>
      <c r="C728" s="87" t="n"/>
      <c r="D728" s="87" t="n"/>
      <c r="E728" s="87" t="n"/>
      <c r="F728" s="87" t="n"/>
      <c r="G728" s="87" t="n"/>
      <c r="H728" s="87" t="n"/>
      <c r="I728" s="87" t="n"/>
    </row>
    <row r="729">
      <c r="A729" s="82" t="inlineStr">
        <is>
          <t>Stock-Based Compensation Expense - Net of Tax - Supplemental</t>
        </is>
      </c>
      <c r="B729" s="85" t="n">
        <v>8.140000000000001</v>
      </c>
      <c r="C729" s="85" t="n">
        <v>13.35</v>
      </c>
      <c r="D729" s="85" t="n">
        <v>15.09</v>
      </c>
      <c r="E729" s="85" t="n">
        <v>10.98</v>
      </c>
      <c r="F729" s="85" t="n">
        <v>8.449999999999999</v>
      </c>
      <c r="G729" s="85" t="n">
        <v>12.17</v>
      </c>
      <c r="H729" s="85" t="n">
        <v>12.17</v>
      </c>
      <c r="I729" s="85" t="n">
        <v>7.19</v>
      </c>
    </row>
    <row r="730">
      <c r="A730" s="89" t="inlineStr">
        <is>
          <t>Stock-Based Compensation Expense - Pre-tax - Supplemental</t>
        </is>
      </c>
      <c r="B730" s="85" t="n">
        <v>10.3</v>
      </c>
      <c r="C730" s="85" t="n">
        <v>16.9</v>
      </c>
      <c r="D730" s="85" t="n">
        <v>19.1</v>
      </c>
      <c r="E730" s="85" t="n">
        <v>13.9</v>
      </c>
      <c r="F730" s="85" t="n">
        <v>10.7</v>
      </c>
      <c r="G730" s="85" t="n">
        <v>15.4</v>
      </c>
      <c r="H730" s="85" t="n">
        <v>15.4</v>
      </c>
      <c r="I730" s="85" t="n">
        <v>9.1</v>
      </c>
    </row>
    <row r="731">
      <c r="A731" s="89" t="inlineStr">
        <is>
          <t>Stock-Based Compensation - Tax Benefit - Supplemental</t>
        </is>
      </c>
      <c r="B731" s="85" t="n">
        <v>2.16</v>
      </c>
      <c r="C731" s="85" t="n">
        <v>3.55</v>
      </c>
      <c r="D731" s="85" t="n">
        <v>4.01</v>
      </c>
      <c r="E731" s="85" t="n">
        <v>2.92</v>
      </c>
      <c r="F731" s="85" t="n">
        <v>2.25</v>
      </c>
      <c r="G731" s="85" t="n">
        <v>3.23</v>
      </c>
      <c r="H731" s="85" t="n">
        <v>3.23</v>
      </c>
      <c r="I731" s="85" t="n">
        <v>1.91</v>
      </c>
    </row>
    <row r="732">
      <c r="A732" s="78" t="inlineStr">
        <is>
          <t>Non-GAAP</t>
        </is>
      </c>
      <c r="B732" s="79" t="n"/>
      <c r="C732" s="79" t="n"/>
      <c r="D732" s="79" t="n"/>
      <c r="E732" s="79" t="n"/>
      <c r="F732" s="79" t="n"/>
      <c r="G732" s="79" t="n"/>
      <c r="H732" s="79" t="n"/>
      <c r="I732" s="79" t="n"/>
    </row>
    <row r="733">
      <c r="A733" s="80" t="inlineStr">
        <is>
          <t>Non-GAAP Adjusted EBITDA - Company Reported</t>
        </is>
      </c>
      <c r="B733" s="81" t="n">
        <v>518</v>
      </c>
      <c r="C733" s="81" t="n">
        <v>735.2</v>
      </c>
      <c r="D733" s="81" t="n">
        <v>659.5</v>
      </c>
      <c r="E733" s="81" t="n">
        <v>410.9</v>
      </c>
      <c r="F733" s="81" t="n">
        <v>550.1</v>
      </c>
      <c r="G733" s="81" t="n">
        <v>580.6</v>
      </c>
      <c r="H733" s="81" t="n">
        <v>603.1</v>
      </c>
      <c r="I733" s="81" t="n">
        <v>323.5</v>
      </c>
    </row>
    <row r="734">
      <c r="A734" s="80" t="inlineStr">
        <is>
          <t>Non-GAAP EPS Diluted - Company Reported</t>
        </is>
      </c>
      <c r="B734" s="85" t="n">
        <v>1.71</v>
      </c>
      <c r="C734" s="85" t="n">
        <v>2.84</v>
      </c>
      <c r="D734" s="85" t="n">
        <v>2.45</v>
      </c>
      <c r="E734" s="85" t="n">
        <v>1</v>
      </c>
      <c r="F734" s="85" t="n">
        <v>2.16</v>
      </c>
      <c r="G734" s="85" t="n">
        <v>2.22</v>
      </c>
      <c r="H734" s="85" t="n">
        <v>2.35</v>
      </c>
      <c r="I734" s="85" t="n">
        <v>0.8</v>
      </c>
    </row>
    <row r="735">
      <c r="A735" s="78" t="inlineStr">
        <is>
          <t>Normalized</t>
        </is>
      </c>
      <c r="B735" s="79" t="n"/>
      <c r="C735" s="79" t="n"/>
      <c r="D735" s="79" t="n"/>
      <c r="E735" s="79" t="n"/>
      <c r="F735" s="79" t="n"/>
      <c r="G735" s="79" t="n"/>
      <c r="H735" s="79" t="n"/>
      <c r="I735" s="79" t="n"/>
    </row>
    <row r="736">
      <c r="A736" s="80" t="inlineStr">
        <is>
          <t>Normalized after Tax Profit</t>
        </is>
      </c>
      <c r="B736" s="81" t="n">
        <v>252.8</v>
      </c>
      <c r="C736" s="81" t="n">
        <v>376.3</v>
      </c>
      <c r="D736" s="81" t="n">
        <v>323.5</v>
      </c>
      <c r="E736" s="81" t="n">
        <v>131.5</v>
      </c>
      <c r="F736" s="81" t="n">
        <v>327.3</v>
      </c>
      <c r="G736" s="81" t="n">
        <v>297.1</v>
      </c>
      <c r="H736" s="81" t="n">
        <v>312.1</v>
      </c>
      <c r="I736" s="81" t="n">
        <v>104.7</v>
      </c>
    </row>
    <row r="737">
      <c r="A737" s="80" t="inlineStr">
        <is>
          <t>Normalized Net Income from Continuing Operations</t>
        </is>
      </c>
      <c r="B737" s="81" t="n">
        <v>252.8</v>
      </c>
      <c r="C737" s="81" t="n">
        <v>376.3</v>
      </c>
      <c r="D737" s="81" t="n">
        <v>323.5</v>
      </c>
      <c r="E737" s="81" t="n">
        <v>131.5</v>
      </c>
      <c r="F737" s="81" t="n">
        <v>327.3</v>
      </c>
      <c r="G737" s="81" t="n">
        <v>297.1</v>
      </c>
      <c r="H737" s="81" t="n">
        <v>312.1</v>
      </c>
      <c r="I737" s="81" t="n">
        <v>104.7</v>
      </c>
    </row>
    <row r="738">
      <c r="A738" s="80" t="inlineStr">
        <is>
          <t>Normalized Net Income - Bottom Line</t>
        </is>
      </c>
      <c r="B738" s="81" t="n">
        <v>252</v>
      </c>
      <c r="C738" s="81" t="n">
        <v>376.2</v>
      </c>
      <c r="D738" s="81" t="n">
        <v>323.6</v>
      </c>
      <c r="E738" s="81" t="n">
        <v>131</v>
      </c>
      <c r="F738" s="81" t="n">
        <v>327.5</v>
      </c>
      <c r="G738" s="81" t="n">
        <v>296.3</v>
      </c>
      <c r="H738" s="81" t="n">
        <v>311.8</v>
      </c>
      <c r="I738" s="81" t="n">
        <v>104.5</v>
      </c>
    </row>
    <row r="739">
      <c r="A739" s="80" t="inlineStr">
        <is>
          <t>Earnings before Interest &amp; Taxes (EBIT) - Normalized</t>
        </is>
      </c>
      <c r="B739" s="81" t="n">
        <v>375</v>
      </c>
      <c r="C739" s="81" t="n">
        <v>544</v>
      </c>
      <c r="D739" s="81" t="n">
        <v>474</v>
      </c>
      <c r="E739" s="81" t="n">
        <v>225</v>
      </c>
      <c r="F739" s="81" t="n">
        <v>422.8</v>
      </c>
      <c r="G739" s="81" t="n">
        <v>420.7</v>
      </c>
      <c r="H739" s="81" t="n">
        <v>446.7</v>
      </c>
      <c r="I739" s="81" t="n">
        <v>172.7</v>
      </c>
    </row>
    <row r="740">
      <c r="A740" s="80" t="inlineStr">
        <is>
          <t>Earnings before Interest, Taxes, Depreciation &amp; Amortization (EBITDA) - Normalized</t>
        </is>
      </c>
      <c r="B740" s="81" t="n">
        <v>560.3</v>
      </c>
      <c r="C740" s="81" t="n">
        <v>735.4</v>
      </c>
      <c r="D740" s="81" t="n">
        <v>659.5</v>
      </c>
      <c r="E740" s="81" t="n">
        <v>411.4</v>
      </c>
      <c r="F740" s="81" t="n">
        <v>586.6</v>
      </c>
      <c r="G740" s="81" t="n">
        <v>581.4</v>
      </c>
      <c r="H740" s="81" t="n">
        <v>603.5</v>
      </c>
      <c r="I740" s="81" t="n">
        <v>323.6</v>
      </c>
    </row>
    <row r="741">
      <c r="A741" s="78" t="inlineStr">
        <is>
          <t>Lease Expenses</t>
        </is>
      </c>
      <c r="B741" s="79" t="n"/>
      <c r="C741" s="79" t="n"/>
      <c r="D741" s="79" t="n"/>
      <c r="E741" s="79" t="n"/>
      <c r="F741" s="79" t="n"/>
      <c r="G741" s="79" t="n"/>
      <c r="H741" s="79" t="n"/>
      <c r="I741" s="79" t="n"/>
    </row>
    <row r="742">
      <c r="A742" s="80" t="inlineStr">
        <is>
          <t>Lease Expense -Total - Supplemental</t>
        </is>
      </c>
      <c r="B742" s="85" t="n">
        <v>37.9</v>
      </c>
      <c r="C742" s="85" t="n">
        <v>40</v>
      </c>
      <c r="D742" s="85" t="n">
        <v>38.2</v>
      </c>
      <c r="E742" s="85" t="n">
        <v>33.3</v>
      </c>
      <c r="F742" s="85" t="n">
        <v>38.2</v>
      </c>
      <c r="G742" s="85" t="n">
        <v>38.5</v>
      </c>
      <c r="H742" s="85" t="n">
        <v>36.7</v>
      </c>
      <c r="I742" s="85" t="n">
        <v>37.1</v>
      </c>
    </row>
    <row r="743">
      <c r="A743" s="82" t="inlineStr">
        <is>
          <t>Operating /Rental Expense - Supplemental</t>
        </is>
      </c>
      <c r="B743" s="85" t="n">
        <v>21.1</v>
      </c>
      <c r="C743" s="85" t="n">
        <v>20.3</v>
      </c>
      <c r="D743" s="85" t="n">
        <v>20.2</v>
      </c>
      <c r="E743" s="85" t="n">
        <v>20.4</v>
      </c>
      <c r="F743" s="85" t="n">
        <v>19</v>
      </c>
      <c r="G743" s="85" t="n">
        <v>19</v>
      </c>
      <c r="H743" s="85" t="n">
        <v>18.9</v>
      </c>
      <c r="I743" s="85" t="n">
        <v>18.8</v>
      </c>
    </row>
    <row r="744">
      <c r="A744" s="82" t="inlineStr">
        <is>
          <t>Depreciation of Financial Lease ROU Assets - Supplemental</t>
        </is>
      </c>
      <c r="B744" s="85" t="n">
        <v>1.8</v>
      </c>
      <c r="C744" s="85" t="n">
        <v>2</v>
      </c>
      <c r="D744" s="85" t="n">
        <v>2.1</v>
      </c>
      <c r="E744" s="85" t="n">
        <v>2.1</v>
      </c>
      <c r="F744" s="85" t="n">
        <v>2.3</v>
      </c>
      <c r="G744" s="85" t="n">
        <v>2.3</v>
      </c>
      <c r="H744" s="85" t="n">
        <v>2.4</v>
      </c>
      <c r="I744" s="85" t="n">
        <v>2.5</v>
      </c>
    </row>
    <row r="745">
      <c r="A745" s="82" t="inlineStr">
        <is>
          <t>Variable Operating Lease Expenses - US GAAP - Supplemental</t>
        </is>
      </c>
      <c r="B745" s="85" t="n">
        <v>4.8</v>
      </c>
      <c r="C745" s="85" t="n">
        <v>5.8</v>
      </c>
      <c r="D745" s="85" t="n">
        <v>4.6</v>
      </c>
      <c r="E745" s="85" t="n">
        <v>4</v>
      </c>
      <c r="F745" s="85" t="n">
        <v>5.5</v>
      </c>
      <c r="G745" s="85" t="n">
        <v>5.5</v>
      </c>
      <c r="H745" s="85" t="n">
        <v>4.4</v>
      </c>
      <c r="I745" s="85" t="n">
        <v>5.3</v>
      </c>
    </row>
    <row r="746">
      <c r="A746" s="82" t="inlineStr">
        <is>
          <t>Interest Expense on Financial Lease Liabilities - Supple</t>
        </is>
      </c>
      <c r="B746" s="85" t="n">
        <v>0.1</v>
      </c>
      <c r="C746" s="85" t="n">
        <v>0.1</v>
      </c>
      <c r="D746" s="85" t="n">
        <v>0.1</v>
      </c>
      <c r="E746" s="85" t="n">
        <v>0.2</v>
      </c>
      <c r="F746" s="85" t="n">
        <v>0.2</v>
      </c>
      <c r="G746" s="85" t="n">
        <v>0.2</v>
      </c>
      <c r="H746" s="85" t="n">
        <v>0.2</v>
      </c>
      <c r="I746" s="85" t="n">
        <v>0.2</v>
      </c>
    </row>
    <row r="747">
      <c r="A747" s="82" t="inlineStr">
        <is>
          <t>Short-Term Lease Cost - Supplemental</t>
        </is>
      </c>
      <c r="B747" s="85" t="n">
        <v>10.8</v>
      </c>
      <c r="C747" s="85" t="n">
        <v>12.6</v>
      </c>
      <c r="D747" s="85" t="n">
        <v>12</v>
      </c>
      <c r="E747" s="85" t="n">
        <v>12.1</v>
      </c>
      <c r="F747" s="85" t="n">
        <v>12</v>
      </c>
      <c r="G747" s="85" t="n">
        <v>12.2</v>
      </c>
      <c r="H747" s="85" t="n">
        <v>11.6</v>
      </c>
      <c r="I747" s="85" t="n">
        <v>11.1</v>
      </c>
    </row>
    <row r="748">
      <c r="A748" s="82" t="inlineStr">
        <is>
          <t>Sublease Income - Supplemental</t>
        </is>
      </c>
      <c r="B748" s="85" t="n">
        <v>0.7</v>
      </c>
      <c r="C748" s="85" t="n">
        <v>0.8</v>
      </c>
      <c r="D748" s="85" t="n">
        <v>0.8</v>
      </c>
      <c r="E748" s="85" t="n">
        <v>5.5</v>
      </c>
      <c r="F748" s="85" t="n">
        <v>0.8</v>
      </c>
      <c r="G748" s="85" t="n">
        <v>0.7</v>
      </c>
      <c r="H748" s="85" t="n">
        <v>0.8</v>
      </c>
      <c r="I748" s="85" t="n">
        <v>0.8</v>
      </c>
    </row>
    <row r="749">
      <c r="A749" s="78" t="inlineStr">
        <is>
          <t>Other</t>
        </is>
      </c>
      <c r="B749" s="79" t="n"/>
      <c r="C749" s="79" t="n"/>
      <c r="D749" s="79" t="n"/>
      <c r="E749" s="79" t="n"/>
      <c r="F749" s="79" t="n"/>
      <c r="G749" s="79" t="n"/>
      <c r="H749" s="79" t="n"/>
      <c r="I749" s="79" t="n"/>
    </row>
    <row r="750">
      <c r="A750" s="80" t="inlineStr">
        <is>
          <t>Rental/Operating Lease Expense</t>
        </is>
      </c>
      <c r="B750" s="85" t="n">
        <v>21.1</v>
      </c>
      <c r="C750" s="85" t="n">
        <v>20.3</v>
      </c>
      <c r="D750" s="85" t="n">
        <v>20.2</v>
      </c>
      <c r="E750" s="85" t="n">
        <v>20.4</v>
      </c>
      <c r="F750" s="85" t="n">
        <v>19</v>
      </c>
      <c r="G750" s="85" t="n">
        <v>19</v>
      </c>
      <c r="H750" s="85" t="n">
        <v>18.9</v>
      </c>
      <c r="I750" s="85" t="n">
        <v>18.8</v>
      </c>
    </row>
    <row r="751">
      <c r="A751" s="80" t="inlineStr">
        <is>
          <t>Cost of Revenue including Operation &amp; Maintenance (Utility) - Total</t>
        </is>
      </c>
      <c r="B751" s="81" t="n">
        <v>1425.7</v>
      </c>
      <c r="C751" s="81" t="n">
        <v>1594.3</v>
      </c>
      <c r="D751" s="81" t="n">
        <v>1477.2</v>
      </c>
      <c r="E751" s="81" t="n">
        <v>1269.3</v>
      </c>
      <c r="F751" s="81" t="n">
        <v>1316.5</v>
      </c>
      <c r="G751" s="81" t="n">
        <v>1438.7</v>
      </c>
      <c r="H751" s="81" t="n">
        <v>1422.2</v>
      </c>
      <c r="I751" s="81" t="n">
        <v>1240.8</v>
      </c>
    </row>
    <row r="752">
      <c r="A752" s="80" t="inlineStr">
        <is>
          <t>Cost of Revenues excluding Depreciation</t>
        </is>
      </c>
      <c r="B752" s="81" t="n">
        <v>1425.7</v>
      </c>
      <c r="C752" s="81" t="n">
        <v>1594.3</v>
      </c>
      <c r="D752" s="81" t="n">
        <v>1477.2</v>
      </c>
      <c r="E752" s="81" t="n">
        <v>1269.3</v>
      </c>
      <c r="F752" s="81" t="n">
        <v>1316.5</v>
      </c>
      <c r="G752" s="81" t="n">
        <v>1438.7</v>
      </c>
      <c r="H752" s="81" t="n">
        <v>1422.2</v>
      </c>
      <c r="I752" s="81" t="n">
        <v>1240.8</v>
      </c>
    </row>
    <row r="753">
      <c r="A753" s="80" t="inlineStr">
        <is>
          <t>Interest Expense</t>
        </is>
      </c>
      <c r="B753" s="85" t="n">
        <v>65.5</v>
      </c>
      <c r="C753" s="85" t="n">
        <v>55.3</v>
      </c>
      <c r="D753" s="85" t="n">
        <v>59.2</v>
      </c>
      <c r="E753" s="85" t="n">
        <v>59.7</v>
      </c>
      <c r="F753" s="85" t="n">
        <v>73.5</v>
      </c>
      <c r="G753" s="85" t="n">
        <v>38.4</v>
      </c>
      <c r="H753" s="85" t="n">
        <v>40.2</v>
      </c>
      <c r="I753" s="85" t="n">
        <v>39.1</v>
      </c>
    </row>
    <row r="754">
      <c r="A754" s="80" t="inlineStr">
        <is>
          <t>Operating Expenses</t>
        </is>
      </c>
      <c r="B754" s="81" t="n">
        <v>1619.6</v>
      </c>
      <c r="C754" s="81" t="n">
        <v>1748.8</v>
      </c>
      <c r="D754" s="81" t="n">
        <v>1632</v>
      </c>
      <c r="E754" s="81" t="n">
        <v>1414.4</v>
      </c>
      <c r="F754" s="81" t="n">
        <v>1505.9</v>
      </c>
      <c r="G754" s="81" t="n">
        <v>1579.6</v>
      </c>
      <c r="H754" s="81" t="n">
        <v>1562.8</v>
      </c>
      <c r="I754" s="81" t="n">
        <v>1373.3</v>
      </c>
    </row>
    <row r="755">
      <c r="A755" s="80" t="inlineStr">
        <is>
          <t>Selling, General &amp; Administrative Expenses excluding Research &amp; Development Expenses</t>
        </is>
      </c>
      <c r="B755" s="81" t="n">
        <v>136.1</v>
      </c>
      <c r="C755" s="81" t="n">
        <v>145.3</v>
      </c>
      <c r="D755" s="81" t="n">
        <v>144.5</v>
      </c>
      <c r="E755" s="81" t="n">
        <v>138.3</v>
      </c>
      <c r="F755" s="81" t="n">
        <v>138.1</v>
      </c>
      <c r="G755" s="81" t="n">
        <v>129.1</v>
      </c>
      <c r="H755" s="81" t="n">
        <v>134.1</v>
      </c>
      <c r="I755" s="81" t="n">
        <v>129.7</v>
      </c>
    </row>
    <row r="756">
      <c r="A756" s="75" t="inlineStr">
        <is>
          <t>Cash Flow - Standardized (Currency: Standardized)</t>
        </is>
      </c>
      <c r="B756" s="111" t="n"/>
      <c r="C756" s="111" t="n"/>
      <c r="D756" s="111" t="n"/>
      <c r="E756" s="111" t="n"/>
      <c r="F756" s="111" t="n"/>
      <c r="G756" s="111" t="n"/>
      <c r="H756" s="111" t="n"/>
      <c r="I756" s="111" t="n"/>
    </row>
    <row r="757">
      <c r="A757" s="75" t="inlineStr">
        <is>
          <t>Field Name</t>
        </is>
      </c>
      <c r="B757" s="77" t="inlineStr">
        <is>
          <t>31-12-2025</t>
        </is>
      </c>
      <c r="C757" s="77" t="inlineStr">
        <is>
          <t>30-09-2025</t>
        </is>
      </c>
      <c r="D757" s="77" t="inlineStr">
        <is>
          <t>30-06-2025</t>
        </is>
      </c>
      <c r="E757" s="77" t="inlineStr">
        <is>
          <t>31-03-2025</t>
        </is>
      </c>
      <c r="F757" s="77" t="inlineStr">
        <is>
          <t>31-12-2024</t>
        </is>
      </c>
      <c r="G757" s="77" t="inlineStr">
        <is>
          <t>30-09-2024</t>
        </is>
      </c>
      <c r="H757" s="77" t="inlineStr">
        <is>
          <t>30-06-2024</t>
        </is>
      </c>
      <c r="I757" s="77" t="inlineStr">
        <is>
          <t>31-03-2024</t>
        </is>
      </c>
    </row>
    <row r="758">
      <c r="A758" s="78" t="inlineStr">
        <is>
          <t>Operating Cash Flow - Indirect</t>
        </is>
      </c>
      <c r="B758" s="79" t="n"/>
      <c r="C758" s="79" t="n"/>
      <c r="D758" s="79" t="n"/>
      <c r="E758" s="79" t="n"/>
      <c r="F758" s="79" t="n"/>
      <c r="G758" s="79" t="n"/>
      <c r="H758" s="79" t="n"/>
      <c r="I758" s="79" t="n"/>
    </row>
    <row r="759">
      <c r="A759" s="80" t="inlineStr">
        <is>
          <t>Profit/(Loss) - Starting Line - Cash Flow</t>
        </is>
      </c>
      <c r="B759" s="81" t="n">
        <v>252.8</v>
      </c>
      <c r="C759" s="81" t="n">
        <v>375.1</v>
      </c>
      <c r="D759" s="81" t="n">
        <v>320.8</v>
      </c>
      <c r="E759" s="81" t="n">
        <v>129.4</v>
      </c>
      <c r="F759" s="81" t="n">
        <v>293.5</v>
      </c>
      <c r="G759" s="81" t="n">
        <v>208.4</v>
      </c>
      <c r="H759" s="81" t="n">
        <v>308.3</v>
      </c>
      <c r="I759" s="81" t="n">
        <v>102.9</v>
      </c>
    </row>
    <row r="760">
      <c r="A760" s="80" t="inlineStr">
        <is>
          <t>Non-cash Items &amp; Reconciliation Adjustments - Cash Flow</t>
        </is>
      </c>
      <c r="B760" s="81" t="n">
        <v>138.2</v>
      </c>
      <c r="C760" s="81" t="n">
        <v>278.5</v>
      </c>
      <c r="D760" s="81" t="n">
        <v>204.8</v>
      </c>
      <c r="E760" s="81" t="n">
        <v>203.4</v>
      </c>
      <c r="F760" s="81" t="n">
        <v>161.7</v>
      </c>
      <c r="G760" s="81" t="n">
        <v>259.9</v>
      </c>
      <c r="H760" s="81" t="n">
        <v>163.1</v>
      </c>
      <c r="I760" s="81" t="n">
        <v>168.5</v>
      </c>
    </row>
    <row r="761">
      <c r="A761" s="82" t="inlineStr">
        <is>
          <t>Other Non-Cash Items &amp; Reconciliation Adjustments - Cash Flow - to Reconcile</t>
        </is>
      </c>
      <c r="B761" s="85" t="n">
        <v>13.3</v>
      </c>
      <c r="C761" s="85" t="n">
        <v>3</v>
      </c>
      <c r="D761" s="85" t="n">
        <v>11</v>
      </c>
      <c r="E761" s="85" t="n">
        <v>12.3</v>
      </c>
      <c r="F761" s="85" t="n">
        <v>11.2</v>
      </c>
      <c r="G761" s="85" t="n">
        <v>9.199999999999999</v>
      </c>
      <c r="H761" s="85" t="n">
        <v>11.1</v>
      </c>
      <c r="I761" s="85" t="n">
        <v>11.2</v>
      </c>
    </row>
    <row r="762">
      <c r="A762" s="82" t="inlineStr">
        <is>
          <t>Depreciation, Depletion &amp; Amortization including Impairment - Cash Flow - to Reconcile</t>
        </is>
      </c>
      <c r="B762" s="81" t="n">
        <v>185.3</v>
      </c>
      <c r="C762" s="81" t="n">
        <v>191.4</v>
      </c>
      <c r="D762" s="81" t="n">
        <v>185.4</v>
      </c>
      <c r="E762" s="81" t="n">
        <v>186.4</v>
      </c>
      <c r="F762" s="81" t="n">
        <v>163.8</v>
      </c>
      <c r="G762" s="81" t="n">
        <v>247.3</v>
      </c>
      <c r="H762" s="81" t="n">
        <v>156.8</v>
      </c>
      <c r="I762" s="81" t="n">
        <v>150.9</v>
      </c>
    </row>
    <row r="763">
      <c r="A763" s="89" t="inlineStr">
        <is>
          <t>Depreciation &amp; Depletion - Property, Plant &amp; Equipment - Cash Flow - to Reconcile</t>
        </is>
      </c>
      <c r="B763" s="81" t="n">
        <v>185.3</v>
      </c>
      <c r="C763" s="81" t="n">
        <v>191.4</v>
      </c>
      <c r="D763" s="81" t="n">
        <v>185.4</v>
      </c>
      <c r="E763" s="81" t="n">
        <v>186.4</v>
      </c>
      <c r="F763" s="81" t="n">
        <v>163.8</v>
      </c>
      <c r="G763" s="81" t="n">
        <v>160.7</v>
      </c>
      <c r="H763" s="81" t="n">
        <v>156.8</v>
      </c>
      <c r="I763" s="81" t="n">
        <v>150.9</v>
      </c>
    </row>
    <row r="764">
      <c r="A764" s="89" t="inlineStr">
        <is>
          <t>Impairment - Property, Plant &amp; Equipment including Intangible Assets - Cash Flow - to Reconcile</t>
        </is>
      </c>
      <c r="B764" s="87" t="n">
        <v>0</v>
      </c>
      <c r="C764" s="87" t="n"/>
      <c r="D764" s="87" t="n"/>
      <c r="E764" s="87" t="n"/>
      <c r="F764" s="87" t="n">
        <v>0</v>
      </c>
      <c r="G764" s="85" t="n">
        <v>86.59999999999999</v>
      </c>
      <c r="H764" s="87" t="n"/>
      <c r="I764" s="87" t="n"/>
    </row>
    <row r="765">
      <c r="A765" s="82" t="inlineStr">
        <is>
          <t>Deferred Income Taxes &amp; Income Tax Credits - Cash Flow - to Reconcile</t>
        </is>
      </c>
      <c r="B765" s="86" t="n">
        <v>-30.4</v>
      </c>
      <c r="C765" s="85" t="n">
        <v>67.8</v>
      </c>
      <c r="D765" s="86" t="n">
        <v>-9.5</v>
      </c>
      <c r="E765" s="86" t="n">
        <v>-1.8</v>
      </c>
      <c r="F765" s="85" t="n">
        <v>20.9</v>
      </c>
      <c r="G765" s="86" t="n">
        <v>-11.8</v>
      </c>
      <c r="H765" s="86" t="n">
        <v>-16.4</v>
      </c>
      <c r="I765" s="86" t="n">
        <v>-2.1</v>
      </c>
    </row>
    <row r="766">
      <c r="A766" s="82" t="inlineStr">
        <is>
          <t>Assets Sale - Gain/(Loss) - Cash Flow - to Reconcile</t>
        </is>
      </c>
      <c r="B766" s="86" t="n">
        <v>-43.2</v>
      </c>
      <c r="C766" s="86" t="n">
        <v>-0.6</v>
      </c>
      <c r="D766" s="86" t="n">
        <v>-1.2</v>
      </c>
      <c r="E766" s="86" t="n">
        <v>-7.4</v>
      </c>
      <c r="F766" s="86" t="n">
        <v>-47.7</v>
      </c>
      <c r="G766" s="86" t="n">
        <v>-0.2</v>
      </c>
      <c r="H766" s="86" t="n">
        <v>-3.8</v>
      </c>
      <c r="I766" s="86" t="n">
        <v>-0.6</v>
      </c>
    </row>
    <row r="767">
      <c r="A767" s="82" t="inlineStr">
        <is>
          <t>Share Based Payments - Cash Flow - to Reconcile</t>
        </is>
      </c>
      <c r="B767" s="85" t="n">
        <v>13.2</v>
      </c>
      <c r="C767" s="85" t="n">
        <v>16.9</v>
      </c>
      <c r="D767" s="85" t="n">
        <v>19.1</v>
      </c>
      <c r="E767" s="85" t="n">
        <v>13.9</v>
      </c>
      <c r="F767" s="85" t="n">
        <v>13.5</v>
      </c>
      <c r="G767" s="85" t="n">
        <v>15.4</v>
      </c>
      <c r="H767" s="85" t="n">
        <v>15.4</v>
      </c>
      <c r="I767" s="85" t="n">
        <v>9.1</v>
      </c>
    </row>
    <row r="768">
      <c r="A768" s="80" t="inlineStr">
        <is>
          <t>Cash Flow from Operating Activities before Changes in Working Capital</t>
        </is>
      </c>
      <c r="B768" s="81" t="n">
        <v>391</v>
      </c>
      <c r="C768" s="81" t="n">
        <v>653.6</v>
      </c>
      <c r="D768" s="81" t="n">
        <v>525.6</v>
      </c>
      <c r="E768" s="81" t="n">
        <v>332.8</v>
      </c>
      <c r="F768" s="81" t="n">
        <v>455.2</v>
      </c>
      <c r="G768" s="81" t="n">
        <v>468.3</v>
      </c>
      <c r="H768" s="81" t="n">
        <v>471.4</v>
      </c>
      <c r="I768" s="81" t="n">
        <v>271.4</v>
      </c>
    </row>
    <row r="769">
      <c r="A769" s="80" t="inlineStr">
        <is>
          <t>Working Capital - Increase/(Decrease) - Cash Flow</t>
        </is>
      </c>
      <c r="B769" s="81" t="n">
        <v>152</v>
      </c>
      <c r="C769" s="85" t="n">
        <v>23.2</v>
      </c>
      <c r="D769" s="88" t="n">
        <v>-183.9</v>
      </c>
      <c r="E769" s="86" t="n">
        <v>-81.3</v>
      </c>
      <c r="F769" s="86" t="n">
        <v>-15.1</v>
      </c>
      <c r="G769" s="81" t="n">
        <v>126.7</v>
      </c>
      <c r="H769" s="88" t="n">
        <v>-270.3</v>
      </c>
      <c r="I769" s="86" t="n">
        <v>-98</v>
      </c>
    </row>
    <row r="770">
      <c r="A770" s="82" t="inlineStr">
        <is>
          <t>Other Liabilities - Increase/(Decrease) -Total - Cash Flow</t>
        </is>
      </c>
      <c r="B770" s="86" t="n">
        <v>-5.6</v>
      </c>
      <c r="C770" s="85" t="n">
        <v>6.5</v>
      </c>
      <c r="D770" s="85" t="n">
        <v>3.9</v>
      </c>
      <c r="E770" s="85" t="n">
        <v>3.9</v>
      </c>
      <c r="F770" s="85" t="n">
        <v>15.8</v>
      </c>
      <c r="G770" s="86" t="n">
        <v>-2.6</v>
      </c>
      <c r="H770" s="85" t="n">
        <v>3.3</v>
      </c>
      <c r="I770" s="85" t="n">
        <v>4.2</v>
      </c>
    </row>
    <row r="771">
      <c r="A771" s="82" t="inlineStr">
        <is>
          <t>Other Assets &amp; Liabilities - Increase/(Decrease) - Net - Cash Flow</t>
        </is>
      </c>
      <c r="B771" s="81" t="n">
        <v>157.6</v>
      </c>
      <c r="C771" s="85" t="n">
        <v>16.7</v>
      </c>
      <c r="D771" s="88" t="n">
        <v>-187.8</v>
      </c>
      <c r="E771" s="86" t="n">
        <v>-85.2</v>
      </c>
      <c r="F771" s="86" t="n">
        <v>-30.9</v>
      </c>
      <c r="G771" s="81" t="n">
        <v>129.3</v>
      </c>
      <c r="H771" s="88" t="n">
        <v>-273.6</v>
      </c>
      <c r="I771" s="88" t="n">
        <v>-102.2</v>
      </c>
    </row>
    <row r="772">
      <c r="A772" s="83" t="inlineStr">
        <is>
          <t>Net Cash Flow from Operating Activities</t>
        </is>
      </c>
      <c r="B772" s="84" t="n">
        <v>543</v>
      </c>
      <c r="C772" s="84" t="n">
        <v>676.8</v>
      </c>
      <c r="D772" s="84" t="n">
        <v>341.7</v>
      </c>
      <c r="E772" s="84" t="n">
        <v>251.5</v>
      </c>
      <c r="F772" s="84" t="n">
        <v>440.1</v>
      </c>
      <c r="G772" s="84" t="n">
        <v>595</v>
      </c>
      <c r="H772" s="84" t="n">
        <v>201.1</v>
      </c>
      <c r="I772" s="84" t="n">
        <v>173.4</v>
      </c>
    </row>
    <row r="773">
      <c r="A773" s="78" t="inlineStr">
        <is>
          <t>Investing Cash Flow</t>
        </is>
      </c>
      <c r="B773" s="79" t="n"/>
      <c r="C773" s="79" t="n"/>
      <c r="D773" s="79" t="n"/>
      <c r="E773" s="79" t="n"/>
      <c r="F773" s="79" t="n"/>
      <c r="G773" s="79" t="n"/>
      <c r="H773" s="79" t="n"/>
      <c r="I773" s="79" t="n"/>
    </row>
    <row r="774">
      <c r="A774" s="80" t="inlineStr">
        <is>
          <t>Capital Expenditures - Net - Cash Flow</t>
        </is>
      </c>
      <c r="B774" s="81" t="n">
        <v>183.7</v>
      </c>
      <c r="C774" s="81" t="n">
        <v>218.2</v>
      </c>
      <c r="D774" s="81" t="n">
        <v>101.4</v>
      </c>
      <c r="E774" s="81" t="n">
        <v>150.3</v>
      </c>
      <c r="F774" s="81" t="n">
        <v>113.4</v>
      </c>
      <c r="G774" s="85" t="n">
        <v>94.8</v>
      </c>
      <c r="H774" s="81" t="n">
        <v>189.2</v>
      </c>
      <c r="I774" s="81" t="n">
        <v>151.4</v>
      </c>
    </row>
    <row r="775">
      <c r="A775" s="82" t="inlineStr">
        <is>
          <t>Property, Plant &amp; Equipment - Purchased/(Sold) - Net - Cash Flow</t>
        </is>
      </c>
      <c r="B775" s="81" t="n">
        <v>183.7</v>
      </c>
      <c r="C775" s="81" t="n">
        <v>218.2</v>
      </c>
      <c r="D775" s="81" t="n">
        <v>101.4</v>
      </c>
      <c r="E775" s="81" t="n">
        <v>150.3</v>
      </c>
      <c r="F775" s="81" t="n">
        <v>113.4</v>
      </c>
      <c r="G775" s="85" t="n">
        <v>94.8</v>
      </c>
      <c r="H775" s="81" t="n">
        <v>189.2</v>
      </c>
      <c r="I775" s="81" t="n">
        <v>151.4</v>
      </c>
    </row>
    <row r="776">
      <c r="A776" s="89" t="inlineStr">
        <is>
          <t>Property, Plant &amp; Equipment - Purchased - Cash Flow</t>
        </is>
      </c>
      <c r="B776" s="81" t="n">
        <v>184.8</v>
      </c>
      <c r="C776" s="81" t="n">
        <v>222</v>
      </c>
      <c r="D776" s="81" t="n">
        <v>102.9</v>
      </c>
      <c r="E776" s="81" t="n">
        <v>168</v>
      </c>
      <c r="F776" s="81" t="n">
        <v>162.5</v>
      </c>
      <c r="G776" s="85" t="n">
        <v>96.8</v>
      </c>
      <c r="H776" s="81" t="n">
        <v>191.4</v>
      </c>
      <c r="I776" s="81" t="n">
        <v>152.8</v>
      </c>
    </row>
    <row r="777">
      <c r="A777" s="89" t="inlineStr">
        <is>
          <t>Property, Plant &amp; Equipment Sold - Cash Flow</t>
        </is>
      </c>
      <c r="B777" s="85" t="n">
        <v>1.1</v>
      </c>
      <c r="C777" s="85" t="n">
        <v>3.8</v>
      </c>
      <c r="D777" s="85" t="n">
        <v>1.5</v>
      </c>
      <c r="E777" s="85" t="n">
        <v>17.7</v>
      </c>
      <c r="F777" s="85" t="n">
        <v>49.1</v>
      </c>
      <c r="G777" s="85" t="n">
        <v>2</v>
      </c>
      <c r="H777" s="85" t="n">
        <v>2.2</v>
      </c>
      <c r="I777" s="85" t="n">
        <v>1.4</v>
      </c>
    </row>
    <row r="778">
      <c r="A778" s="82" t="inlineStr">
        <is>
          <t>Capital Expenditures - Total</t>
        </is>
      </c>
      <c r="B778" s="81" t="n">
        <v>184.8</v>
      </c>
      <c r="C778" s="81" t="n">
        <v>222</v>
      </c>
      <c r="D778" s="81" t="n">
        <v>102.9</v>
      </c>
      <c r="E778" s="81" t="n">
        <v>168</v>
      </c>
      <c r="F778" s="81" t="n">
        <v>162.5</v>
      </c>
      <c r="G778" s="85" t="n">
        <v>96.8</v>
      </c>
      <c r="H778" s="81" t="n">
        <v>191.4</v>
      </c>
      <c r="I778" s="81" t="n">
        <v>152.8</v>
      </c>
    </row>
    <row r="779">
      <c r="A779" s="80" t="inlineStr">
        <is>
          <t>Acquisition &amp; Disposals of Business - Assets - Sold/(Acquired) - Net - Cash Flow</t>
        </is>
      </c>
      <c r="B779" s="81" t="n">
        <v>103.4</v>
      </c>
      <c r="C779" s="86" t="n">
        <v>-3.3</v>
      </c>
      <c r="D779" s="86" t="n">
        <v>-9.9</v>
      </c>
      <c r="E779" s="85" t="n">
        <v>23.7</v>
      </c>
      <c r="F779" s="88" t="n">
        <v>-2059.8</v>
      </c>
      <c r="G779" s="86" t="n">
        <v>-13</v>
      </c>
      <c r="H779" s="88" t="n">
        <v>-180.9</v>
      </c>
      <c r="I779" s="86" t="n">
        <v>-12.3</v>
      </c>
    </row>
    <row r="780">
      <c r="A780" s="82" t="inlineStr">
        <is>
          <t>Acquisition of Business - Cash Flow</t>
        </is>
      </c>
      <c r="B780" s="85" t="n">
        <v>5</v>
      </c>
      <c r="C780" s="85" t="n">
        <v>3.3</v>
      </c>
      <c r="D780" s="85" t="n">
        <v>9.9</v>
      </c>
      <c r="E780" s="87" t="n"/>
      <c r="F780" s="81" t="n">
        <v>2059.8</v>
      </c>
      <c r="G780" s="85" t="n">
        <v>13</v>
      </c>
      <c r="H780" s="81" t="n">
        <v>181.1</v>
      </c>
      <c r="I780" s="85" t="n">
        <v>12.3</v>
      </c>
    </row>
    <row r="781">
      <c r="A781" s="82" t="inlineStr">
        <is>
          <t>Business - Sold - Cash Flow</t>
        </is>
      </c>
      <c r="B781" s="81" t="n">
        <v>108.4</v>
      </c>
      <c r="C781" s="87" t="n"/>
      <c r="D781" s="87" t="n"/>
      <c r="E781" s="85" t="n">
        <v>23.7</v>
      </c>
      <c r="F781" s="87" t="n">
        <v>0</v>
      </c>
      <c r="G781" s="87" t="n">
        <v>0</v>
      </c>
      <c r="H781" s="85" t="n">
        <v>0.2</v>
      </c>
      <c r="I781" s="87" t="n">
        <v>0</v>
      </c>
    </row>
    <row r="782">
      <c r="A782" s="80" t="inlineStr">
        <is>
          <t>Other Investing Cash Flow - Decrease/(Increase)</t>
        </is>
      </c>
      <c r="B782" s="85" t="n">
        <v>2</v>
      </c>
      <c r="C782" s="85" t="n">
        <v>7.5</v>
      </c>
      <c r="D782" s="85" t="n">
        <v>0.9</v>
      </c>
      <c r="E782" s="85" t="n">
        <v>0.1</v>
      </c>
      <c r="F782" s="85" t="n">
        <v>0.1</v>
      </c>
      <c r="G782" s="86" t="n">
        <v>-0.2</v>
      </c>
      <c r="H782" s="85" t="n">
        <v>0.1</v>
      </c>
      <c r="I782" s="86" t="n">
        <v>-0.1</v>
      </c>
    </row>
    <row r="783">
      <c r="A783" s="83" t="inlineStr">
        <is>
          <t>Net Cash Flow from Investing Activities</t>
        </is>
      </c>
      <c r="B783" s="92" t="n">
        <v>-78.3</v>
      </c>
      <c r="C783" s="91" t="n">
        <v>-214</v>
      </c>
      <c r="D783" s="91" t="n">
        <v>-110.4</v>
      </c>
      <c r="E783" s="91" t="n">
        <v>-126.5</v>
      </c>
      <c r="F783" s="91" t="n">
        <v>-2173.1</v>
      </c>
      <c r="G783" s="91" t="n">
        <v>-108</v>
      </c>
      <c r="H783" s="91" t="n">
        <v>-370</v>
      </c>
      <c r="I783" s="91" t="n">
        <v>-163.8</v>
      </c>
    </row>
    <row r="784">
      <c r="A784" s="78" t="inlineStr">
        <is>
          <t>Financing Cash Flow</t>
        </is>
      </c>
      <c r="B784" s="79" t="n"/>
      <c r="C784" s="79" t="n"/>
      <c r="D784" s="79" t="n"/>
      <c r="E784" s="79" t="n"/>
      <c r="F784" s="79" t="n"/>
      <c r="G784" s="79" t="n"/>
      <c r="H784" s="79" t="n"/>
      <c r="I784" s="79" t="n"/>
    </row>
    <row r="785">
      <c r="A785" s="80" t="inlineStr">
        <is>
          <t>Dividends Paid - Cash - Total - Cash Flow</t>
        </is>
      </c>
      <c r="B785" s="85" t="n">
        <v>64.40000000000001</v>
      </c>
      <c r="C785" s="85" t="n">
        <v>64.7</v>
      </c>
      <c r="D785" s="85" t="n">
        <v>64.7</v>
      </c>
      <c r="E785" s="85" t="n">
        <v>66</v>
      </c>
      <c r="F785" s="85" t="n">
        <v>60.8</v>
      </c>
      <c r="G785" s="85" t="n">
        <v>60.8</v>
      </c>
      <c r="H785" s="85" t="n">
        <v>60.8</v>
      </c>
      <c r="I785" s="85" t="n">
        <v>62</v>
      </c>
    </row>
    <row r="786">
      <c r="A786" s="82" t="inlineStr">
        <is>
          <t>Dividends - Common - Cash Paid</t>
        </is>
      </c>
      <c r="B786" s="85" t="n">
        <v>64.40000000000001</v>
      </c>
      <c r="C786" s="85" t="n">
        <v>64.7</v>
      </c>
      <c r="D786" s="85" t="n">
        <v>64.7</v>
      </c>
      <c r="E786" s="85" t="n">
        <v>66</v>
      </c>
      <c r="F786" s="85" t="n">
        <v>60.8</v>
      </c>
      <c r="G786" s="85" t="n">
        <v>60.8</v>
      </c>
      <c r="H786" s="85" t="n">
        <v>60.8</v>
      </c>
      <c r="I786" s="85" t="n">
        <v>62</v>
      </c>
    </row>
    <row r="787">
      <c r="A787" s="80" t="inlineStr">
        <is>
          <t>Stock - Total - Issuance/(Retirement) - Net - Cash Flow</t>
        </is>
      </c>
      <c r="B787" s="88" t="n">
        <v>-400.3</v>
      </c>
      <c r="C787" s="87" t="n">
        <v>0</v>
      </c>
      <c r="D787" s="87" t="n">
        <v>0</v>
      </c>
      <c r="E787" s="86" t="n">
        <v>-38.1</v>
      </c>
      <c r="F787" s="87" t="n">
        <v>0</v>
      </c>
      <c r="G787" s="87" t="n">
        <v>0</v>
      </c>
      <c r="H787" s="86" t="n">
        <v>-50</v>
      </c>
      <c r="I787" s="86" t="n">
        <v>-18.8</v>
      </c>
    </row>
    <row r="788">
      <c r="A788" s="82" t="inlineStr">
        <is>
          <t>Stock - Issuance/(Retirement) - Net - Excluding Options/Warrants - Cash Flow</t>
        </is>
      </c>
      <c r="B788" s="88" t="n">
        <v>-400.3</v>
      </c>
      <c r="C788" s="87" t="n">
        <v>0</v>
      </c>
      <c r="D788" s="87" t="n">
        <v>0</v>
      </c>
      <c r="E788" s="86" t="n">
        <v>-38.1</v>
      </c>
      <c r="F788" s="87" t="n">
        <v>0</v>
      </c>
      <c r="G788" s="87" t="n">
        <v>0</v>
      </c>
      <c r="H788" s="86" t="n">
        <v>-50</v>
      </c>
      <c r="I788" s="86" t="n">
        <v>-18.8</v>
      </c>
    </row>
    <row r="789">
      <c r="A789" s="89" t="inlineStr">
        <is>
          <t>Stock - Common - Issuance/(Retirement) - Net - Cash Flow</t>
        </is>
      </c>
      <c r="B789" s="88" t="n">
        <v>-400.3</v>
      </c>
      <c r="C789" s="87" t="n">
        <v>0</v>
      </c>
      <c r="D789" s="87" t="n">
        <v>0</v>
      </c>
      <c r="E789" s="86" t="n">
        <v>-38.1</v>
      </c>
      <c r="F789" s="87" t="n">
        <v>0</v>
      </c>
      <c r="G789" s="87" t="n">
        <v>0</v>
      </c>
      <c r="H789" s="86" t="n">
        <v>-50</v>
      </c>
      <c r="I789" s="86" t="n">
        <v>-18.8</v>
      </c>
    </row>
    <row r="790">
      <c r="A790" s="90" t="inlineStr">
        <is>
          <t>Stock - Common - Repurchased/Retired - Cash Flow</t>
        </is>
      </c>
      <c r="B790" s="81" t="n">
        <v>400.3</v>
      </c>
      <c r="C790" s="87" t="n">
        <v>0</v>
      </c>
      <c r="D790" s="87" t="n">
        <v>0</v>
      </c>
      <c r="E790" s="85" t="n">
        <v>38.1</v>
      </c>
      <c r="F790" s="87" t="n">
        <v>0</v>
      </c>
      <c r="G790" s="87" t="n">
        <v>0</v>
      </c>
      <c r="H790" s="85" t="n">
        <v>50</v>
      </c>
      <c r="I790" s="85" t="n">
        <v>18.8</v>
      </c>
    </row>
    <row r="791">
      <c r="A791" s="80" t="inlineStr">
        <is>
          <t>Debt - Long-Term &amp; Short-Term - Issuance/(Retirement) - Total - Cash Flow</t>
        </is>
      </c>
      <c r="B791" s="86" t="n">
        <v>-2.4</v>
      </c>
      <c r="C791" s="88" t="n">
        <v>-552.8</v>
      </c>
      <c r="D791" s="86" t="n">
        <v>-2.9</v>
      </c>
      <c r="E791" s="88" t="n">
        <v>-403.3</v>
      </c>
      <c r="F791" s="81" t="n">
        <v>1996.9</v>
      </c>
      <c r="G791" s="86" t="n">
        <v>-98</v>
      </c>
      <c r="H791" s="85" t="n">
        <v>91.59999999999999</v>
      </c>
      <c r="I791" s="88" t="n">
        <v>-554</v>
      </c>
    </row>
    <row r="792">
      <c r="A792" s="82" t="inlineStr">
        <is>
          <t>Debt - Issued/(Reduced) - Short-Term - Total - Cash Flow</t>
        </is>
      </c>
      <c r="B792" s="87" t="n">
        <v>0</v>
      </c>
      <c r="C792" s="88" t="n">
        <v>-550</v>
      </c>
      <c r="D792" s="87" t="n"/>
      <c r="E792" s="87" t="n"/>
      <c r="F792" s="86" t="n">
        <v>-0.1</v>
      </c>
      <c r="G792" s="86" t="n">
        <v>-94.90000000000001</v>
      </c>
      <c r="H792" s="85" t="n">
        <v>95</v>
      </c>
      <c r="I792" s="87" t="n">
        <v>0</v>
      </c>
    </row>
    <row r="793">
      <c r="A793" s="89" t="inlineStr">
        <is>
          <t>Debt - Issued - Short-Term - Cash Flow</t>
        </is>
      </c>
      <c r="B793" s="87" t="n">
        <v>0</v>
      </c>
      <c r="C793" s="87" t="n">
        <v>0</v>
      </c>
      <c r="D793" s="87" t="n"/>
      <c r="E793" s="87" t="n"/>
      <c r="F793" s="87" t="n"/>
      <c r="G793" s="87" t="n"/>
      <c r="H793" s="81" t="n">
        <v>103</v>
      </c>
      <c r="I793" s="87" t="n">
        <v>0</v>
      </c>
    </row>
    <row r="794">
      <c r="A794" s="89" t="inlineStr">
        <is>
          <t>Debt - Reduced - Short-Term - Cash Flow</t>
        </is>
      </c>
      <c r="B794" s="87" t="n">
        <v>0</v>
      </c>
      <c r="C794" s="81" t="n">
        <v>550</v>
      </c>
      <c r="D794" s="87" t="n"/>
      <c r="E794" s="87" t="n"/>
      <c r="F794" s="85" t="n">
        <v>0.1</v>
      </c>
      <c r="G794" s="85" t="n">
        <v>94.90000000000001</v>
      </c>
      <c r="H794" s="85" t="n">
        <v>8</v>
      </c>
      <c r="I794" s="87" t="n">
        <v>0</v>
      </c>
    </row>
    <row r="795">
      <c r="A795" s="82" t="inlineStr">
        <is>
          <t>Debt - Issued/(Reduced) - Long-Term - Cash Flow</t>
        </is>
      </c>
      <c r="B795" s="86" t="n">
        <v>-2.4</v>
      </c>
      <c r="C795" s="86" t="n">
        <v>-2.8</v>
      </c>
      <c r="D795" s="86" t="n">
        <v>-2.9</v>
      </c>
      <c r="E795" s="88" t="n">
        <v>-403.3</v>
      </c>
      <c r="F795" s="81" t="n">
        <v>1997</v>
      </c>
      <c r="G795" s="86" t="n">
        <v>-3.1</v>
      </c>
      <c r="H795" s="86" t="n">
        <v>-3.4</v>
      </c>
      <c r="I795" s="88" t="n">
        <v>-554</v>
      </c>
    </row>
    <row r="796">
      <c r="A796" s="89" t="inlineStr">
        <is>
          <t>Lease liabilities - Issued/(Reduced) - Cash Flow</t>
        </is>
      </c>
      <c r="B796" s="86" t="n">
        <v>-2.4</v>
      </c>
      <c r="C796" s="86" t="n">
        <v>-2.7</v>
      </c>
      <c r="D796" s="86" t="n">
        <v>-2.9</v>
      </c>
      <c r="E796" s="86" t="n">
        <v>-2.9</v>
      </c>
      <c r="F796" s="86" t="n">
        <v>-3</v>
      </c>
      <c r="G796" s="86" t="n">
        <v>-3</v>
      </c>
      <c r="H796" s="86" t="n">
        <v>-3.4</v>
      </c>
      <c r="I796" s="86" t="n">
        <v>-3.6</v>
      </c>
    </row>
    <row r="797">
      <c r="A797" s="89" t="inlineStr">
        <is>
          <t>Debt - Issued - Long-Term - Cash Flow</t>
        </is>
      </c>
      <c r="B797" s="87" t="n"/>
      <c r="C797" s="87" t="n"/>
      <c r="D797" s="87" t="n"/>
      <c r="E797" s="87" t="n"/>
      <c r="F797" s="81" t="n">
        <v>2000</v>
      </c>
      <c r="G797" s="87" t="n">
        <v>0</v>
      </c>
      <c r="H797" s="87" t="n">
        <v>0</v>
      </c>
      <c r="I797" s="87" t="n">
        <v>0</v>
      </c>
    </row>
    <row r="798">
      <c r="A798" s="89" t="inlineStr">
        <is>
          <t>Debt - Reduced - Long-Term - Cash Flow</t>
        </is>
      </c>
      <c r="B798" s="85" t="n">
        <v>2.4</v>
      </c>
      <c r="C798" s="85" t="n">
        <v>2.8</v>
      </c>
      <c r="D798" s="85" t="n">
        <v>2.9</v>
      </c>
      <c r="E798" s="81" t="n">
        <v>403.3</v>
      </c>
      <c r="F798" s="85" t="n">
        <v>3</v>
      </c>
      <c r="G798" s="85" t="n">
        <v>3.1</v>
      </c>
      <c r="H798" s="85" t="n">
        <v>3.4</v>
      </c>
      <c r="I798" s="81" t="n">
        <v>554</v>
      </c>
    </row>
    <row r="799">
      <c r="A799" s="90" t="inlineStr">
        <is>
          <t>Lease liabilities - Reduced - Cash flow</t>
        </is>
      </c>
      <c r="B799" s="85" t="n">
        <v>2.4</v>
      </c>
      <c r="C799" s="85" t="n">
        <v>2.7</v>
      </c>
      <c r="D799" s="85" t="n">
        <v>2.9</v>
      </c>
      <c r="E799" s="85" t="n">
        <v>2.9</v>
      </c>
      <c r="F799" s="85" t="n">
        <v>3</v>
      </c>
      <c r="G799" s="85" t="n">
        <v>3</v>
      </c>
      <c r="H799" s="85" t="n">
        <v>3.4</v>
      </c>
      <c r="I799" s="85" t="n">
        <v>3.6</v>
      </c>
    </row>
    <row r="800">
      <c r="A800" s="80" t="inlineStr">
        <is>
          <t>Other Financing Cash Flow - Increase/(Decrease)</t>
        </is>
      </c>
      <c r="B800" s="86" t="n">
        <v>-3.4</v>
      </c>
      <c r="C800" s="86" t="n">
        <v>-1.1</v>
      </c>
      <c r="D800" s="86" t="n">
        <v>-5.6</v>
      </c>
      <c r="E800" s="86" t="n">
        <v>-25.5</v>
      </c>
      <c r="F800" s="86" t="n">
        <v>-36.6</v>
      </c>
      <c r="G800" s="86" t="n">
        <v>-5.5</v>
      </c>
      <c r="H800" s="86" t="n">
        <v>-0.4</v>
      </c>
      <c r="I800" s="86" t="n">
        <v>-23.9</v>
      </c>
    </row>
    <row r="801">
      <c r="A801" s="82" t="inlineStr">
        <is>
          <t>Tax Payments or Benefits relating to Stock-based Compensation/Buyback/Withheld shares</t>
        </is>
      </c>
      <c r="B801" s="85" t="n">
        <v>3.5</v>
      </c>
      <c r="C801" s="85" t="n">
        <v>1.2</v>
      </c>
      <c r="D801" s="85" t="n">
        <v>3.9</v>
      </c>
      <c r="E801" s="85" t="n">
        <v>25.4</v>
      </c>
      <c r="F801" s="85" t="n">
        <v>8.5</v>
      </c>
      <c r="G801" s="85" t="n">
        <v>0.2</v>
      </c>
      <c r="H801" s="85" t="n">
        <v>0.5</v>
      </c>
      <c r="I801" s="85" t="n">
        <v>23.8</v>
      </c>
    </row>
    <row r="802">
      <c r="A802" s="83" t="inlineStr">
        <is>
          <t>Net Cash Flow from Financing Activities</t>
        </is>
      </c>
      <c r="B802" s="91" t="n">
        <v>-470.5</v>
      </c>
      <c r="C802" s="91" t="n">
        <v>-618.6</v>
      </c>
      <c r="D802" s="92" t="n">
        <v>-73.2</v>
      </c>
      <c r="E802" s="91" t="n">
        <v>-532.9</v>
      </c>
      <c r="F802" s="84" t="n">
        <v>1899.5</v>
      </c>
      <c r="G802" s="91" t="n">
        <v>-164.3</v>
      </c>
      <c r="H802" s="92" t="n">
        <v>-19.6</v>
      </c>
      <c r="I802" s="91" t="n">
        <v>-658.7</v>
      </c>
    </row>
    <row r="803">
      <c r="A803" s="78" t="inlineStr">
        <is>
          <t>Change in Cash</t>
        </is>
      </c>
      <c r="B803" s="79" t="n"/>
      <c r="C803" s="79" t="n"/>
      <c r="D803" s="79" t="n"/>
      <c r="E803" s="79" t="n"/>
      <c r="F803" s="79" t="n"/>
      <c r="G803" s="79" t="n"/>
      <c r="H803" s="79" t="n"/>
      <c r="I803" s="79" t="n"/>
    </row>
    <row r="804">
      <c r="A804" s="83" t="inlineStr">
        <is>
          <t>Net Change in Cash - Total</t>
        </is>
      </c>
      <c r="B804" s="92" t="n">
        <v>-5.8</v>
      </c>
      <c r="C804" s="91" t="n">
        <v>-155.8</v>
      </c>
      <c r="D804" s="84" t="n">
        <v>158.1</v>
      </c>
      <c r="E804" s="91" t="n">
        <v>-407.9</v>
      </c>
      <c r="F804" s="84" t="n">
        <v>166.5</v>
      </c>
      <c r="G804" s="84" t="n">
        <v>322.7</v>
      </c>
      <c r="H804" s="91" t="n">
        <v>-188.5</v>
      </c>
      <c r="I804" s="91" t="n">
        <v>-649.1</v>
      </c>
    </row>
    <row r="805">
      <c r="A805" s="82" t="inlineStr">
        <is>
          <t>Net Cash from Continuing Operations</t>
        </is>
      </c>
      <c r="B805" s="86" t="n">
        <v>-5.8</v>
      </c>
      <c r="C805" s="88" t="n">
        <v>-155.8</v>
      </c>
      <c r="D805" s="81" t="n">
        <v>158.1</v>
      </c>
      <c r="E805" s="88" t="n">
        <v>-407.9</v>
      </c>
      <c r="F805" s="81" t="n">
        <v>166.5</v>
      </c>
      <c r="G805" s="81" t="n">
        <v>322.7</v>
      </c>
      <c r="H805" s="88" t="n">
        <v>-188.5</v>
      </c>
      <c r="I805" s="88" t="n">
        <v>-649.1</v>
      </c>
    </row>
    <row r="806">
      <c r="A806" s="80" t="inlineStr">
        <is>
          <t>Net Cash - Beginning Balance</t>
        </is>
      </c>
      <c r="B806" s="81" t="n">
        <v>195.2</v>
      </c>
      <c r="C806" s="81" t="n">
        <v>351</v>
      </c>
      <c r="D806" s="81" t="n">
        <v>192.9</v>
      </c>
      <c r="E806" s="81" t="n">
        <v>600.8</v>
      </c>
      <c r="F806" s="81" t="n">
        <v>434.3</v>
      </c>
      <c r="G806" s="81" t="n">
        <v>111.6</v>
      </c>
      <c r="H806" s="81" t="n">
        <v>300.1</v>
      </c>
      <c r="I806" s="81" t="n">
        <v>949.2</v>
      </c>
    </row>
    <row r="807">
      <c r="A807" s="80" t="inlineStr">
        <is>
          <t>Net Cash - Ending Balance</t>
        </is>
      </c>
      <c r="B807" s="81" t="n">
        <v>189.4</v>
      </c>
      <c r="C807" s="81" t="n">
        <v>195.2</v>
      </c>
      <c r="D807" s="81" t="n">
        <v>351</v>
      </c>
      <c r="E807" s="81" t="n">
        <v>192.9</v>
      </c>
      <c r="F807" s="81" t="n">
        <v>600.8</v>
      </c>
      <c r="G807" s="81" t="n">
        <v>434.3</v>
      </c>
      <c r="H807" s="81" t="n">
        <v>111.6</v>
      </c>
      <c r="I807" s="81" t="n">
        <v>300.1</v>
      </c>
    </row>
    <row r="808">
      <c r="A808" s="78" t="inlineStr">
        <is>
          <t>Supplemental</t>
        </is>
      </c>
      <c r="B808" s="79" t="n"/>
      <c r="C808" s="79" t="n"/>
      <c r="D808" s="79" t="n"/>
      <c r="E808" s="79" t="n"/>
      <c r="F808" s="79" t="n"/>
      <c r="G808" s="79" t="n"/>
      <c r="H808" s="79" t="n"/>
      <c r="I808" s="79" t="n"/>
    </row>
    <row r="809">
      <c r="A809" s="80" t="inlineStr">
        <is>
          <t>Income Taxes - Paid/(Reimbursed) - Cash Flow - Supplemental</t>
        </is>
      </c>
      <c r="B809" s="81" t="n">
        <v>106.2</v>
      </c>
      <c r="C809" s="85" t="n">
        <v>71.5</v>
      </c>
      <c r="D809" s="81" t="n">
        <v>111.3</v>
      </c>
      <c r="E809" s="85" t="n">
        <v>1.7</v>
      </c>
      <c r="F809" s="85" t="n">
        <v>3.1</v>
      </c>
      <c r="G809" s="85" t="n">
        <v>50</v>
      </c>
      <c r="H809" s="81" t="n">
        <v>224.1</v>
      </c>
      <c r="I809" s="85" t="n">
        <v>2.6</v>
      </c>
    </row>
    <row r="810">
      <c r="A810" s="80" t="inlineStr">
        <is>
          <t>Interest Paid - Cash Flow - Supplemental</t>
        </is>
      </c>
      <c r="B810" s="85" t="n">
        <v>96.5</v>
      </c>
      <c r="C810" s="85" t="n">
        <v>15.9</v>
      </c>
      <c r="D810" s="81" t="n">
        <v>106.8</v>
      </c>
      <c r="E810" s="85" t="n">
        <v>27.9</v>
      </c>
      <c r="F810" s="85" t="n">
        <v>63.1</v>
      </c>
      <c r="G810" s="85" t="n">
        <v>20.5</v>
      </c>
      <c r="H810" s="85" t="n">
        <v>60.5</v>
      </c>
      <c r="I810" s="85" t="n">
        <v>38.8</v>
      </c>
    </row>
    <row r="811">
      <c r="A811" s="80" t="inlineStr">
        <is>
          <t>CF from Optg Activities before Change in WC &amp; Int Payments</t>
        </is>
      </c>
      <c r="B811" s="81" t="n">
        <v>391</v>
      </c>
      <c r="C811" s="81" t="n">
        <v>653.6</v>
      </c>
      <c r="D811" s="81" t="n">
        <v>525.6</v>
      </c>
      <c r="E811" s="81" t="n">
        <v>332.8</v>
      </c>
      <c r="F811" s="81" t="n">
        <v>455.2</v>
      </c>
      <c r="G811" s="81" t="n">
        <v>468.3</v>
      </c>
      <c r="H811" s="81" t="n">
        <v>471.4</v>
      </c>
      <c r="I811" s="81" t="n">
        <v>271.4</v>
      </c>
    </row>
    <row r="812">
      <c r="A812" s="80" t="inlineStr">
        <is>
          <t>Cash Dividends Paid &amp; Common Stock Buyback - Net</t>
        </is>
      </c>
      <c r="B812" s="81" t="n">
        <v>464.7</v>
      </c>
      <c r="C812" s="85" t="n">
        <v>64.7</v>
      </c>
      <c r="D812" s="85" t="n">
        <v>64.7</v>
      </c>
      <c r="E812" s="81" t="n">
        <v>104.1</v>
      </c>
      <c r="F812" s="85" t="n">
        <v>60.8</v>
      </c>
      <c r="G812" s="85" t="n">
        <v>60.8</v>
      </c>
      <c r="H812" s="81" t="n">
        <v>110.8</v>
      </c>
      <c r="I812" s="85" t="n">
        <v>80.8</v>
      </c>
    </row>
    <row r="813">
      <c r="A813" s="80" t="inlineStr">
        <is>
          <t>Common Stock Buyback - Net</t>
        </is>
      </c>
      <c r="B813" s="81" t="n">
        <v>400.3</v>
      </c>
      <c r="C813" s="87" t="n">
        <v>0</v>
      </c>
      <c r="D813" s="87" t="n">
        <v>0</v>
      </c>
      <c r="E813" s="85" t="n">
        <v>38.1</v>
      </c>
      <c r="F813" s="87" t="n">
        <v>0</v>
      </c>
      <c r="G813" s="87" t="n">
        <v>0</v>
      </c>
      <c r="H813" s="85" t="n">
        <v>50</v>
      </c>
      <c r="I813" s="85" t="n">
        <v>18.8</v>
      </c>
    </row>
    <row r="814">
      <c r="A814" s="80" t="inlineStr">
        <is>
          <t>Depreciation, Depletion &amp; Amortization - Cash Flow</t>
        </is>
      </c>
      <c r="B814" s="81" t="n">
        <v>185.3</v>
      </c>
      <c r="C814" s="81" t="n">
        <v>191.4</v>
      </c>
      <c r="D814" s="81" t="n">
        <v>185.4</v>
      </c>
      <c r="E814" s="81" t="n">
        <v>186.4</v>
      </c>
      <c r="F814" s="81" t="n">
        <v>163.8</v>
      </c>
      <c r="G814" s="81" t="n">
        <v>160.7</v>
      </c>
      <c r="H814" s="81" t="n">
        <v>156.8</v>
      </c>
      <c r="I814" s="81" t="n">
        <v>150.9</v>
      </c>
    </row>
    <row r="815">
      <c r="A815" s="80" t="inlineStr">
        <is>
          <t>Free Cash Flow to Equity</t>
        </is>
      </c>
      <c r="B815" s="81" t="n">
        <v>356.9</v>
      </c>
      <c r="C815" s="86" t="n">
        <v>-94.2</v>
      </c>
      <c r="D815" s="81" t="n">
        <v>237.4</v>
      </c>
      <c r="E815" s="88" t="n">
        <v>-302.1</v>
      </c>
      <c r="F815" s="81" t="n">
        <v>2323.6</v>
      </c>
      <c r="G815" s="81" t="n">
        <v>402.2</v>
      </c>
      <c r="H815" s="81" t="n">
        <v>103.5</v>
      </c>
      <c r="I815" s="88" t="n">
        <v>-532</v>
      </c>
    </row>
    <row r="816">
      <c r="A816" s="80" t="inlineStr">
        <is>
          <t>Free Cash Flow Net of Dividends</t>
        </is>
      </c>
      <c r="B816" s="81" t="n">
        <v>293.8</v>
      </c>
      <c r="C816" s="81" t="n">
        <v>390.1</v>
      </c>
      <c r="D816" s="81" t="n">
        <v>174.1</v>
      </c>
      <c r="E816" s="85" t="n">
        <v>17.5</v>
      </c>
      <c r="F816" s="81" t="n">
        <v>216.8</v>
      </c>
      <c r="G816" s="81" t="n">
        <v>437.4</v>
      </c>
      <c r="H816" s="86" t="n">
        <v>-51.1</v>
      </c>
      <c r="I816" s="86" t="n">
        <v>-41.4</v>
      </c>
    </row>
    <row r="817">
      <c r="A817" s="80" t="inlineStr">
        <is>
          <t>Free Cash Flow</t>
        </is>
      </c>
      <c r="B817" s="81" t="n">
        <v>358.2</v>
      </c>
      <c r="C817" s="81" t="n">
        <v>454.8</v>
      </c>
      <c r="D817" s="81" t="n">
        <v>238.8</v>
      </c>
      <c r="E817" s="85" t="n">
        <v>83.5</v>
      </c>
      <c r="F817" s="81" t="n">
        <v>277.6</v>
      </c>
      <c r="G817" s="81" t="n">
        <v>498.2</v>
      </c>
      <c r="H817" s="85" t="n">
        <v>9.699999999999999</v>
      </c>
      <c r="I817" s="85" t="n">
        <v>20.6</v>
      </c>
    </row>
    <row r="818">
      <c r="A818" s="80" t="inlineStr">
        <is>
          <t>Dividends Provided/Paid - Common</t>
        </is>
      </c>
      <c r="B818" s="85" t="n">
        <v>64.40000000000001</v>
      </c>
      <c r="C818" s="85" t="n">
        <v>64.7</v>
      </c>
      <c r="D818" s="85" t="n">
        <v>64.7</v>
      </c>
      <c r="E818" s="85" t="n">
        <v>66</v>
      </c>
      <c r="F818" s="85" t="n">
        <v>60.8</v>
      </c>
      <c r="G818" s="85" t="n">
        <v>60.8</v>
      </c>
      <c r="H818" s="85" t="n">
        <v>60.8</v>
      </c>
      <c r="I818" s="85" t="n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VMC Equity Research Model</dc:title>
  <dcterms:created xsi:type="dcterms:W3CDTF">2026-03-10T09:29:04Z</dcterms:created>
  <dcterms:modified xsi:type="dcterms:W3CDTF">2026-03-11T11:16:13Z</dcterms:modified>
  <cp:lastModifiedBy>Thanh Pham</cp:lastModifiedBy>
</cp:coreProperties>
</file>