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hamthanh/Documents/ESSCA | MSc Finance &amp; Data Analyst/15. Equity Research/"/>
    </mc:Choice>
  </mc:AlternateContent>
  <xr:revisionPtr revIDLastSave="0" documentId="8_{CD26D716-7510-754B-9AFD-181CF312BAAE}" xr6:coauthVersionLast="47" xr6:coauthVersionMax="47" xr10:uidLastSave="{00000000-0000-0000-0000-000000000000}"/>
  <bookViews>
    <workbookView xWindow="0" yWindow="0" windowWidth="35840" windowHeight="22400" firstSheet="1" activeTab="8" xr2:uid="{00000000-000D-0000-FFFF-FFFF00000000}"/>
  </bookViews>
  <sheets>
    <sheet name="Share Price Analysis" sheetId="1" r:id="rId1"/>
    <sheet name="Financial Analysis" sheetId="2" r:id="rId2"/>
    <sheet name="Credit Analysis" sheetId="3" r:id="rId3"/>
    <sheet name="ESG Analysis" sheetId="4" r:id="rId4"/>
    <sheet name="Industry &amp; Macro Analysis" sheetId="5" r:id="rId5"/>
    <sheet name="Multiple Valuation" sheetId="6" r:id="rId6"/>
    <sheet name="Dividend Discount Model" sheetId="7" r:id="rId7"/>
    <sheet name="DCF Analysis" sheetId="8" r:id="rId8"/>
    <sheet name="Sheet9_Financial Data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2" l="1"/>
  <c r="B24" i="1"/>
  <c r="C24" i="1"/>
  <c r="D24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F68" i="2"/>
  <c r="E68" i="2"/>
  <c r="D68" i="2"/>
  <c r="C68" i="2"/>
  <c r="B68" i="2"/>
  <c r="F67" i="2"/>
  <c r="E67" i="2"/>
  <c r="D67" i="2"/>
  <c r="C67" i="2"/>
  <c r="B67" i="2"/>
  <c r="F66" i="2"/>
  <c r="E66" i="2"/>
  <c r="D66" i="2"/>
  <c r="C66" i="2"/>
  <c r="B66" i="2"/>
  <c r="F65" i="2"/>
  <c r="E65" i="2"/>
  <c r="D65" i="2"/>
  <c r="C65" i="2"/>
  <c r="B65" i="2"/>
  <c r="M53" i="2"/>
  <c r="L53" i="2"/>
  <c r="K53" i="2"/>
  <c r="J53" i="2"/>
  <c r="I53" i="2"/>
  <c r="M52" i="2"/>
  <c r="L52" i="2"/>
  <c r="K52" i="2"/>
  <c r="J52" i="2"/>
  <c r="I52" i="2"/>
  <c r="M51" i="2"/>
  <c r="L51" i="2"/>
  <c r="K51" i="2"/>
  <c r="J51" i="2"/>
  <c r="I51" i="2"/>
  <c r="M50" i="2"/>
  <c r="L50" i="2"/>
  <c r="K50" i="2"/>
  <c r="J50" i="2"/>
  <c r="I50" i="2"/>
  <c r="M49" i="2"/>
  <c r="L49" i="2"/>
  <c r="K49" i="2"/>
  <c r="J49" i="2"/>
  <c r="I49" i="2"/>
  <c r="M48" i="2"/>
  <c r="L48" i="2"/>
  <c r="K48" i="2"/>
  <c r="J48" i="2"/>
  <c r="I48" i="2"/>
  <c r="M47" i="2"/>
  <c r="L47" i="2"/>
  <c r="K47" i="2"/>
  <c r="J47" i="2"/>
  <c r="I47" i="2"/>
  <c r="M46" i="2"/>
  <c r="L46" i="2"/>
  <c r="K46" i="2"/>
  <c r="J46" i="2"/>
  <c r="I46" i="2"/>
  <c r="M45" i="2"/>
  <c r="L45" i="2"/>
  <c r="K45" i="2"/>
  <c r="J45" i="2"/>
  <c r="I45" i="2"/>
  <c r="M44" i="2"/>
  <c r="L44" i="2"/>
  <c r="K44" i="2"/>
  <c r="J44" i="2"/>
  <c r="I44" i="2"/>
  <c r="M43" i="2"/>
  <c r="L43" i="2"/>
  <c r="K43" i="2"/>
  <c r="J43" i="2"/>
  <c r="I43" i="2"/>
  <c r="M42" i="2"/>
  <c r="L42" i="2"/>
  <c r="K42" i="2"/>
  <c r="J42" i="2"/>
  <c r="I42" i="2"/>
  <c r="F42" i="2"/>
  <c r="E42" i="2"/>
  <c r="D42" i="2"/>
  <c r="C42" i="2"/>
  <c r="B42" i="2"/>
  <c r="M41" i="2"/>
  <c r="L41" i="2"/>
  <c r="K41" i="2"/>
  <c r="J41" i="2"/>
  <c r="I41" i="2"/>
  <c r="F41" i="2"/>
  <c r="E41" i="2"/>
  <c r="D41" i="2"/>
  <c r="C41" i="2"/>
  <c r="B41" i="2"/>
  <c r="M40" i="2"/>
  <c r="L40" i="2"/>
  <c r="K40" i="2"/>
  <c r="J40" i="2"/>
  <c r="I40" i="2"/>
  <c r="F40" i="2"/>
  <c r="E40" i="2"/>
  <c r="D40" i="2"/>
  <c r="C40" i="2"/>
  <c r="B40" i="2"/>
  <c r="M39" i="2"/>
  <c r="L39" i="2"/>
  <c r="K39" i="2"/>
  <c r="J39" i="2"/>
  <c r="I39" i="2"/>
  <c r="F39" i="2"/>
  <c r="E39" i="2"/>
  <c r="D39" i="2"/>
  <c r="C39" i="2"/>
  <c r="B39" i="2"/>
  <c r="M38" i="2"/>
  <c r="L38" i="2"/>
  <c r="K38" i="2"/>
  <c r="J38" i="2"/>
  <c r="I38" i="2"/>
  <c r="F38" i="2"/>
  <c r="E38" i="2"/>
  <c r="D38" i="2"/>
  <c r="C38" i="2"/>
  <c r="B38" i="2"/>
  <c r="M37" i="2"/>
  <c r="L37" i="2"/>
  <c r="K37" i="2"/>
  <c r="J37" i="2"/>
  <c r="I37" i="2"/>
  <c r="F37" i="2"/>
  <c r="E37" i="2"/>
  <c r="D37" i="2"/>
  <c r="C37" i="2"/>
  <c r="B37" i="2"/>
  <c r="M36" i="2"/>
  <c r="L36" i="2"/>
  <c r="K36" i="2"/>
  <c r="J36" i="2"/>
  <c r="F36" i="2"/>
  <c r="E36" i="2"/>
  <c r="D36" i="2"/>
  <c r="C36" i="2"/>
  <c r="B36" i="2"/>
  <c r="L31" i="2"/>
  <c r="K31" i="2"/>
  <c r="J31" i="2"/>
  <c r="I31" i="2"/>
  <c r="L30" i="2"/>
  <c r="K30" i="2"/>
  <c r="J30" i="2"/>
  <c r="I30" i="2"/>
  <c r="L29" i="2"/>
  <c r="K29" i="2"/>
  <c r="J29" i="2"/>
  <c r="I29" i="2"/>
  <c r="L28" i="2"/>
  <c r="K28" i="2"/>
  <c r="J28" i="2"/>
  <c r="I28" i="2"/>
  <c r="L27" i="2"/>
  <c r="K27" i="2"/>
  <c r="J27" i="2"/>
  <c r="I27" i="2"/>
  <c r="L26" i="2"/>
  <c r="K26" i="2"/>
  <c r="J26" i="2"/>
  <c r="I26" i="2"/>
  <c r="L25" i="2"/>
  <c r="K25" i="2"/>
  <c r="J25" i="2"/>
  <c r="I25" i="2"/>
  <c r="L24" i="2"/>
  <c r="K24" i="2"/>
  <c r="J24" i="2"/>
  <c r="I24" i="2"/>
  <c r="I23" i="2"/>
  <c r="S22" i="2"/>
  <c r="R22" i="2"/>
  <c r="Q22" i="2"/>
  <c r="P22" i="2"/>
  <c r="O22" i="2"/>
  <c r="N22" i="2"/>
  <c r="M22" i="2"/>
  <c r="L22" i="2"/>
  <c r="K22" i="2"/>
  <c r="J22" i="2"/>
  <c r="I22" i="2"/>
  <c r="S21" i="2"/>
  <c r="R21" i="2"/>
  <c r="Q21" i="2"/>
  <c r="P21" i="2"/>
  <c r="O21" i="2"/>
  <c r="N21" i="2"/>
  <c r="M21" i="2"/>
  <c r="L21" i="2"/>
  <c r="K21" i="2"/>
  <c r="J21" i="2"/>
  <c r="I21" i="2"/>
  <c r="S20" i="2"/>
  <c r="R20" i="2"/>
  <c r="Q20" i="2"/>
  <c r="P20" i="2"/>
  <c r="O20" i="2"/>
  <c r="N20" i="2"/>
  <c r="M20" i="2"/>
  <c r="L20" i="2"/>
  <c r="K20" i="2"/>
  <c r="J20" i="2"/>
  <c r="I20" i="2"/>
  <c r="S19" i="2"/>
  <c r="R19" i="2"/>
  <c r="Q19" i="2"/>
  <c r="P19" i="2"/>
  <c r="O19" i="2"/>
  <c r="N19" i="2"/>
  <c r="M19" i="2"/>
  <c r="L19" i="2"/>
  <c r="K19" i="2"/>
  <c r="J19" i="2"/>
  <c r="I19" i="2"/>
  <c r="S18" i="2"/>
  <c r="R18" i="2"/>
  <c r="Q18" i="2"/>
  <c r="P18" i="2"/>
  <c r="O18" i="2"/>
  <c r="N18" i="2"/>
  <c r="M18" i="2"/>
  <c r="L18" i="2"/>
  <c r="K18" i="2"/>
  <c r="J18" i="2"/>
  <c r="I18" i="2"/>
  <c r="S17" i="2"/>
  <c r="R17" i="2"/>
  <c r="Q17" i="2"/>
  <c r="P17" i="2"/>
  <c r="O17" i="2"/>
  <c r="N17" i="2"/>
  <c r="M17" i="2"/>
  <c r="L17" i="2"/>
  <c r="K17" i="2"/>
  <c r="J17" i="2"/>
  <c r="I17" i="2"/>
  <c r="S16" i="2"/>
  <c r="R16" i="2"/>
  <c r="Q16" i="2"/>
  <c r="P16" i="2"/>
  <c r="O16" i="2"/>
  <c r="N16" i="2"/>
  <c r="M16" i="2"/>
  <c r="L16" i="2"/>
  <c r="K16" i="2"/>
  <c r="J16" i="2"/>
  <c r="I16" i="2"/>
  <c r="B9" i="2"/>
  <c r="B8" i="2"/>
  <c r="B7" i="2"/>
  <c r="B6" i="2"/>
  <c r="B5" i="2"/>
  <c r="A57" i="2" s="1"/>
  <c r="W787" i="1"/>
  <c r="M787" i="1"/>
  <c r="L787" i="1"/>
  <c r="K787" i="1"/>
  <c r="G787" i="1"/>
  <c r="F787" i="1"/>
  <c r="E787" i="1"/>
  <c r="W786" i="1"/>
  <c r="M786" i="1"/>
  <c r="L786" i="1"/>
  <c r="K786" i="1"/>
  <c r="G786" i="1"/>
  <c r="F786" i="1"/>
  <c r="E786" i="1"/>
  <c r="W785" i="1"/>
  <c r="M785" i="1"/>
  <c r="L785" i="1"/>
  <c r="K785" i="1"/>
  <c r="G785" i="1"/>
  <c r="F785" i="1"/>
  <c r="E785" i="1"/>
  <c r="W784" i="1"/>
  <c r="M784" i="1"/>
  <c r="L784" i="1"/>
  <c r="K784" i="1"/>
  <c r="G784" i="1"/>
  <c r="F784" i="1"/>
  <c r="E784" i="1"/>
  <c r="W783" i="1"/>
  <c r="M783" i="1"/>
  <c r="L783" i="1"/>
  <c r="K783" i="1"/>
  <c r="G783" i="1"/>
  <c r="F783" i="1"/>
  <c r="E783" i="1"/>
  <c r="W782" i="1"/>
  <c r="M782" i="1"/>
  <c r="L782" i="1"/>
  <c r="K782" i="1"/>
  <c r="G782" i="1"/>
  <c r="F782" i="1"/>
  <c r="E782" i="1"/>
  <c r="W781" i="1"/>
  <c r="M781" i="1"/>
  <c r="L781" i="1"/>
  <c r="K781" i="1"/>
  <c r="G781" i="1"/>
  <c r="F781" i="1"/>
  <c r="E781" i="1"/>
  <c r="W780" i="1"/>
  <c r="M780" i="1"/>
  <c r="L780" i="1"/>
  <c r="K780" i="1"/>
  <c r="G780" i="1"/>
  <c r="F780" i="1"/>
  <c r="E780" i="1"/>
  <c r="W779" i="1"/>
  <c r="M779" i="1"/>
  <c r="L779" i="1"/>
  <c r="K779" i="1"/>
  <c r="G779" i="1"/>
  <c r="F779" i="1"/>
  <c r="E779" i="1"/>
  <c r="W778" i="1"/>
  <c r="M778" i="1"/>
  <c r="L778" i="1"/>
  <c r="K778" i="1"/>
  <c r="G778" i="1"/>
  <c r="F778" i="1"/>
  <c r="E778" i="1"/>
  <c r="W777" i="1"/>
  <c r="M777" i="1"/>
  <c r="L777" i="1"/>
  <c r="K777" i="1"/>
  <c r="G777" i="1"/>
  <c r="F777" i="1"/>
  <c r="E777" i="1"/>
  <c r="W776" i="1"/>
  <c r="M776" i="1"/>
  <c r="L776" i="1"/>
  <c r="K776" i="1"/>
  <c r="G776" i="1"/>
  <c r="F776" i="1"/>
  <c r="E776" i="1"/>
  <c r="W775" i="1"/>
  <c r="M775" i="1"/>
  <c r="L775" i="1"/>
  <c r="K775" i="1"/>
  <c r="G775" i="1"/>
  <c r="F775" i="1"/>
  <c r="E775" i="1"/>
  <c r="W774" i="1"/>
  <c r="M774" i="1"/>
  <c r="L774" i="1"/>
  <c r="K774" i="1"/>
  <c r="G774" i="1"/>
  <c r="F774" i="1"/>
  <c r="E774" i="1"/>
  <c r="W773" i="1"/>
  <c r="M773" i="1"/>
  <c r="L773" i="1"/>
  <c r="K773" i="1"/>
  <c r="G773" i="1"/>
  <c r="F773" i="1"/>
  <c r="E773" i="1"/>
  <c r="W772" i="1"/>
  <c r="M772" i="1"/>
  <c r="L772" i="1"/>
  <c r="K772" i="1"/>
  <c r="G772" i="1"/>
  <c r="F772" i="1"/>
  <c r="E772" i="1"/>
  <c r="W771" i="1"/>
  <c r="M771" i="1"/>
  <c r="L771" i="1"/>
  <c r="K771" i="1"/>
  <c r="G771" i="1"/>
  <c r="F771" i="1"/>
  <c r="E771" i="1"/>
  <c r="W770" i="1"/>
  <c r="M770" i="1"/>
  <c r="L770" i="1"/>
  <c r="K770" i="1"/>
  <c r="G770" i="1"/>
  <c r="F770" i="1"/>
  <c r="E770" i="1"/>
  <c r="W769" i="1"/>
  <c r="M769" i="1"/>
  <c r="L769" i="1"/>
  <c r="K769" i="1"/>
  <c r="G769" i="1"/>
  <c r="F769" i="1"/>
  <c r="E769" i="1"/>
  <c r="W768" i="1"/>
  <c r="M768" i="1"/>
  <c r="L768" i="1"/>
  <c r="K768" i="1"/>
  <c r="G768" i="1"/>
  <c r="F768" i="1"/>
  <c r="E768" i="1"/>
  <c r="W767" i="1"/>
  <c r="M767" i="1"/>
  <c r="L767" i="1"/>
  <c r="K767" i="1"/>
  <c r="G767" i="1"/>
  <c r="F767" i="1"/>
  <c r="E767" i="1"/>
  <c r="W766" i="1"/>
  <c r="M766" i="1"/>
  <c r="L766" i="1"/>
  <c r="K766" i="1"/>
  <c r="G766" i="1"/>
  <c r="F766" i="1"/>
  <c r="E766" i="1"/>
  <c r="W765" i="1"/>
  <c r="M765" i="1"/>
  <c r="L765" i="1"/>
  <c r="K765" i="1"/>
  <c r="G765" i="1"/>
  <c r="F765" i="1"/>
  <c r="E765" i="1"/>
  <c r="W764" i="1"/>
  <c r="M764" i="1"/>
  <c r="L764" i="1"/>
  <c r="K764" i="1"/>
  <c r="G764" i="1"/>
  <c r="F764" i="1"/>
  <c r="E764" i="1"/>
  <c r="W763" i="1"/>
  <c r="M763" i="1"/>
  <c r="L763" i="1"/>
  <c r="K763" i="1"/>
  <c r="G763" i="1"/>
  <c r="F763" i="1"/>
  <c r="E763" i="1"/>
  <c r="W762" i="1"/>
  <c r="M762" i="1"/>
  <c r="L762" i="1"/>
  <c r="K762" i="1"/>
  <c r="G762" i="1"/>
  <c r="F762" i="1"/>
  <c r="E762" i="1"/>
  <c r="W761" i="1"/>
  <c r="M761" i="1"/>
  <c r="L761" i="1"/>
  <c r="K761" i="1"/>
  <c r="G761" i="1"/>
  <c r="F761" i="1"/>
  <c r="E761" i="1"/>
  <c r="W760" i="1"/>
  <c r="M760" i="1"/>
  <c r="L760" i="1"/>
  <c r="K760" i="1"/>
  <c r="G760" i="1"/>
  <c r="F760" i="1"/>
  <c r="E760" i="1"/>
  <c r="W759" i="1"/>
  <c r="M759" i="1"/>
  <c r="L759" i="1"/>
  <c r="K759" i="1"/>
  <c r="G759" i="1"/>
  <c r="F759" i="1"/>
  <c r="E759" i="1"/>
  <c r="W758" i="1"/>
  <c r="M758" i="1"/>
  <c r="L758" i="1"/>
  <c r="K758" i="1"/>
  <c r="G758" i="1"/>
  <c r="F758" i="1"/>
  <c r="E758" i="1"/>
  <c r="W757" i="1"/>
  <c r="M757" i="1"/>
  <c r="L757" i="1"/>
  <c r="K757" i="1"/>
  <c r="G757" i="1"/>
  <c r="F757" i="1"/>
  <c r="E757" i="1"/>
  <c r="W756" i="1"/>
  <c r="M756" i="1"/>
  <c r="L756" i="1"/>
  <c r="K756" i="1"/>
  <c r="G756" i="1"/>
  <c r="F756" i="1"/>
  <c r="E756" i="1"/>
  <c r="W755" i="1"/>
  <c r="M755" i="1"/>
  <c r="L755" i="1"/>
  <c r="K755" i="1"/>
  <c r="G755" i="1"/>
  <c r="F755" i="1"/>
  <c r="E755" i="1"/>
  <c r="W754" i="1"/>
  <c r="M754" i="1"/>
  <c r="L754" i="1"/>
  <c r="K754" i="1"/>
  <c r="G754" i="1"/>
  <c r="F754" i="1"/>
  <c r="E754" i="1"/>
  <c r="W753" i="1"/>
  <c r="M753" i="1"/>
  <c r="L753" i="1"/>
  <c r="K753" i="1"/>
  <c r="G753" i="1"/>
  <c r="F753" i="1"/>
  <c r="E753" i="1"/>
  <c r="W752" i="1"/>
  <c r="M752" i="1"/>
  <c r="L752" i="1"/>
  <c r="K752" i="1"/>
  <c r="G752" i="1"/>
  <c r="F752" i="1"/>
  <c r="E752" i="1"/>
  <c r="W751" i="1"/>
  <c r="M751" i="1"/>
  <c r="L751" i="1"/>
  <c r="K751" i="1"/>
  <c r="G751" i="1"/>
  <c r="F751" i="1"/>
  <c r="E751" i="1"/>
  <c r="W750" i="1"/>
  <c r="M750" i="1"/>
  <c r="L750" i="1"/>
  <c r="K750" i="1"/>
  <c r="G750" i="1"/>
  <c r="F750" i="1"/>
  <c r="E750" i="1"/>
  <c r="W749" i="1"/>
  <c r="M749" i="1"/>
  <c r="L749" i="1"/>
  <c r="K749" i="1"/>
  <c r="G749" i="1"/>
  <c r="F749" i="1"/>
  <c r="E749" i="1"/>
  <c r="W748" i="1"/>
  <c r="M748" i="1"/>
  <c r="L748" i="1"/>
  <c r="K748" i="1"/>
  <c r="G748" i="1"/>
  <c r="F748" i="1"/>
  <c r="E748" i="1"/>
  <c r="W747" i="1"/>
  <c r="M747" i="1"/>
  <c r="L747" i="1"/>
  <c r="K747" i="1"/>
  <c r="G747" i="1"/>
  <c r="F747" i="1"/>
  <c r="E747" i="1"/>
  <c r="W746" i="1"/>
  <c r="M746" i="1"/>
  <c r="L746" i="1"/>
  <c r="K746" i="1"/>
  <c r="G746" i="1"/>
  <c r="F746" i="1"/>
  <c r="E746" i="1"/>
  <c r="W745" i="1"/>
  <c r="M745" i="1"/>
  <c r="L745" i="1"/>
  <c r="K745" i="1"/>
  <c r="G745" i="1"/>
  <c r="F745" i="1"/>
  <c r="E745" i="1"/>
  <c r="W744" i="1"/>
  <c r="M744" i="1"/>
  <c r="L744" i="1"/>
  <c r="K744" i="1"/>
  <c r="G744" i="1"/>
  <c r="F744" i="1"/>
  <c r="E744" i="1"/>
  <c r="W743" i="1"/>
  <c r="M743" i="1"/>
  <c r="L743" i="1"/>
  <c r="K743" i="1"/>
  <c r="G743" i="1"/>
  <c r="F743" i="1"/>
  <c r="E743" i="1"/>
  <c r="W742" i="1"/>
  <c r="M742" i="1"/>
  <c r="L742" i="1"/>
  <c r="K742" i="1"/>
  <c r="G742" i="1"/>
  <c r="F742" i="1"/>
  <c r="E742" i="1"/>
  <c r="W741" i="1"/>
  <c r="M741" i="1"/>
  <c r="L741" i="1"/>
  <c r="K741" i="1"/>
  <c r="G741" i="1"/>
  <c r="F741" i="1"/>
  <c r="E741" i="1"/>
  <c r="W740" i="1"/>
  <c r="M740" i="1"/>
  <c r="L740" i="1"/>
  <c r="K740" i="1"/>
  <c r="G740" i="1"/>
  <c r="F740" i="1"/>
  <c r="E740" i="1"/>
  <c r="W739" i="1"/>
  <c r="M739" i="1"/>
  <c r="L739" i="1"/>
  <c r="K739" i="1"/>
  <c r="G739" i="1"/>
  <c r="F739" i="1"/>
  <c r="E739" i="1"/>
  <c r="W738" i="1"/>
  <c r="M738" i="1"/>
  <c r="L738" i="1"/>
  <c r="K738" i="1"/>
  <c r="G738" i="1"/>
  <c r="F738" i="1"/>
  <c r="E738" i="1"/>
  <c r="W737" i="1"/>
  <c r="M737" i="1"/>
  <c r="L737" i="1"/>
  <c r="K737" i="1"/>
  <c r="G737" i="1"/>
  <c r="F737" i="1"/>
  <c r="E737" i="1"/>
  <c r="W736" i="1"/>
  <c r="M736" i="1"/>
  <c r="L736" i="1"/>
  <c r="K736" i="1"/>
  <c r="G736" i="1"/>
  <c r="F736" i="1"/>
  <c r="E736" i="1"/>
  <c r="W735" i="1"/>
  <c r="M735" i="1"/>
  <c r="L735" i="1"/>
  <c r="K735" i="1"/>
  <c r="G735" i="1"/>
  <c r="F735" i="1"/>
  <c r="E735" i="1"/>
  <c r="W734" i="1"/>
  <c r="M734" i="1"/>
  <c r="L734" i="1"/>
  <c r="K734" i="1"/>
  <c r="G734" i="1"/>
  <c r="F734" i="1"/>
  <c r="E734" i="1"/>
  <c r="W733" i="1"/>
  <c r="M733" i="1"/>
  <c r="L733" i="1"/>
  <c r="K733" i="1"/>
  <c r="G733" i="1"/>
  <c r="F733" i="1"/>
  <c r="E733" i="1"/>
  <c r="W732" i="1"/>
  <c r="M732" i="1"/>
  <c r="L732" i="1"/>
  <c r="K732" i="1"/>
  <c r="G732" i="1"/>
  <c r="F732" i="1"/>
  <c r="E732" i="1"/>
  <c r="W731" i="1"/>
  <c r="M731" i="1"/>
  <c r="L731" i="1"/>
  <c r="K731" i="1"/>
  <c r="G731" i="1"/>
  <c r="F731" i="1"/>
  <c r="E731" i="1"/>
  <c r="W730" i="1"/>
  <c r="M730" i="1"/>
  <c r="L730" i="1"/>
  <c r="K730" i="1"/>
  <c r="G730" i="1"/>
  <c r="F730" i="1"/>
  <c r="E730" i="1"/>
  <c r="W729" i="1"/>
  <c r="M729" i="1"/>
  <c r="L729" i="1"/>
  <c r="K729" i="1"/>
  <c r="G729" i="1"/>
  <c r="F729" i="1"/>
  <c r="E729" i="1"/>
  <c r="W728" i="1"/>
  <c r="M728" i="1"/>
  <c r="L728" i="1"/>
  <c r="K728" i="1"/>
  <c r="G728" i="1"/>
  <c r="F728" i="1"/>
  <c r="E728" i="1"/>
  <c r="W727" i="1"/>
  <c r="M727" i="1"/>
  <c r="L727" i="1"/>
  <c r="K727" i="1"/>
  <c r="G727" i="1"/>
  <c r="F727" i="1"/>
  <c r="E727" i="1"/>
  <c r="W726" i="1"/>
  <c r="M726" i="1"/>
  <c r="L726" i="1"/>
  <c r="K726" i="1"/>
  <c r="G726" i="1"/>
  <c r="F726" i="1"/>
  <c r="E726" i="1"/>
  <c r="W725" i="1"/>
  <c r="M725" i="1"/>
  <c r="L725" i="1"/>
  <c r="K725" i="1"/>
  <c r="G725" i="1"/>
  <c r="F725" i="1"/>
  <c r="E725" i="1"/>
  <c r="W724" i="1"/>
  <c r="M724" i="1"/>
  <c r="L724" i="1"/>
  <c r="K724" i="1"/>
  <c r="G724" i="1"/>
  <c r="F724" i="1"/>
  <c r="E724" i="1"/>
  <c r="W723" i="1"/>
  <c r="M723" i="1"/>
  <c r="L723" i="1"/>
  <c r="K723" i="1"/>
  <c r="G723" i="1"/>
  <c r="F723" i="1"/>
  <c r="E723" i="1"/>
  <c r="W722" i="1"/>
  <c r="M722" i="1"/>
  <c r="L722" i="1"/>
  <c r="K722" i="1"/>
  <c r="G722" i="1"/>
  <c r="F722" i="1"/>
  <c r="E722" i="1"/>
  <c r="W721" i="1"/>
  <c r="M721" i="1"/>
  <c r="L721" i="1"/>
  <c r="K721" i="1"/>
  <c r="G721" i="1"/>
  <c r="F721" i="1"/>
  <c r="E721" i="1"/>
  <c r="W720" i="1"/>
  <c r="M720" i="1"/>
  <c r="L720" i="1"/>
  <c r="K720" i="1"/>
  <c r="G720" i="1"/>
  <c r="F720" i="1"/>
  <c r="E720" i="1"/>
  <c r="W719" i="1"/>
  <c r="M719" i="1"/>
  <c r="L719" i="1"/>
  <c r="K719" i="1"/>
  <c r="G719" i="1"/>
  <c r="F719" i="1"/>
  <c r="E719" i="1"/>
  <c r="W718" i="1"/>
  <c r="M718" i="1"/>
  <c r="L718" i="1"/>
  <c r="K718" i="1"/>
  <c r="G718" i="1"/>
  <c r="F718" i="1"/>
  <c r="E718" i="1"/>
  <c r="W717" i="1"/>
  <c r="M717" i="1"/>
  <c r="L717" i="1"/>
  <c r="K717" i="1"/>
  <c r="G717" i="1"/>
  <c r="F717" i="1"/>
  <c r="E717" i="1"/>
  <c r="W716" i="1"/>
  <c r="M716" i="1"/>
  <c r="L716" i="1"/>
  <c r="K716" i="1"/>
  <c r="G716" i="1"/>
  <c r="F716" i="1"/>
  <c r="E716" i="1"/>
  <c r="W715" i="1"/>
  <c r="M715" i="1"/>
  <c r="L715" i="1"/>
  <c r="K715" i="1"/>
  <c r="G715" i="1"/>
  <c r="F715" i="1"/>
  <c r="E715" i="1"/>
  <c r="W714" i="1"/>
  <c r="M714" i="1"/>
  <c r="L714" i="1"/>
  <c r="K714" i="1"/>
  <c r="G714" i="1"/>
  <c r="F714" i="1"/>
  <c r="E714" i="1"/>
  <c r="W713" i="1"/>
  <c r="M713" i="1"/>
  <c r="L713" i="1"/>
  <c r="K713" i="1"/>
  <c r="G713" i="1"/>
  <c r="F713" i="1"/>
  <c r="E713" i="1"/>
  <c r="W712" i="1"/>
  <c r="M712" i="1"/>
  <c r="L712" i="1"/>
  <c r="K712" i="1"/>
  <c r="G712" i="1"/>
  <c r="F712" i="1"/>
  <c r="E712" i="1"/>
  <c r="W711" i="1"/>
  <c r="M711" i="1"/>
  <c r="L711" i="1"/>
  <c r="K711" i="1"/>
  <c r="G711" i="1"/>
  <c r="F711" i="1"/>
  <c r="E711" i="1"/>
  <c r="W710" i="1"/>
  <c r="M710" i="1"/>
  <c r="L710" i="1"/>
  <c r="K710" i="1"/>
  <c r="G710" i="1"/>
  <c r="F710" i="1"/>
  <c r="E710" i="1"/>
  <c r="W709" i="1"/>
  <c r="M709" i="1"/>
  <c r="L709" i="1"/>
  <c r="K709" i="1"/>
  <c r="G709" i="1"/>
  <c r="F709" i="1"/>
  <c r="E709" i="1"/>
  <c r="W708" i="1"/>
  <c r="M708" i="1"/>
  <c r="L708" i="1"/>
  <c r="K708" i="1"/>
  <c r="G708" i="1"/>
  <c r="F708" i="1"/>
  <c r="E708" i="1"/>
  <c r="W707" i="1"/>
  <c r="M707" i="1"/>
  <c r="L707" i="1"/>
  <c r="K707" i="1"/>
  <c r="G707" i="1"/>
  <c r="F707" i="1"/>
  <c r="E707" i="1"/>
  <c r="W706" i="1"/>
  <c r="M706" i="1"/>
  <c r="L706" i="1"/>
  <c r="K706" i="1"/>
  <c r="G706" i="1"/>
  <c r="F706" i="1"/>
  <c r="E706" i="1"/>
  <c r="W705" i="1"/>
  <c r="M705" i="1"/>
  <c r="L705" i="1"/>
  <c r="K705" i="1"/>
  <c r="G705" i="1"/>
  <c r="F705" i="1"/>
  <c r="E705" i="1"/>
  <c r="W704" i="1"/>
  <c r="M704" i="1"/>
  <c r="L704" i="1"/>
  <c r="K704" i="1"/>
  <c r="G704" i="1"/>
  <c r="F704" i="1"/>
  <c r="E704" i="1"/>
  <c r="W703" i="1"/>
  <c r="M703" i="1"/>
  <c r="L703" i="1"/>
  <c r="K703" i="1"/>
  <c r="G703" i="1"/>
  <c r="F703" i="1"/>
  <c r="E703" i="1"/>
  <c r="W702" i="1"/>
  <c r="M702" i="1"/>
  <c r="L702" i="1"/>
  <c r="K702" i="1"/>
  <c r="G702" i="1"/>
  <c r="F702" i="1"/>
  <c r="E702" i="1"/>
  <c r="W701" i="1"/>
  <c r="M701" i="1"/>
  <c r="L701" i="1"/>
  <c r="K701" i="1"/>
  <c r="G701" i="1"/>
  <c r="F701" i="1"/>
  <c r="E701" i="1"/>
  <c r="W700" i="1"/>
  <c r="M700" i="1"/>
  <c r="L700" i="1"/>
  <c r="K700" i="1"/>
  <c r="G700" i="1"/>
  <c r="F700" i="1"/>
  <c r="E700" i="1"/>
  <c r="W699" i="1"/>
  <c r="M699" i="1"/>
  <c r="L699" i="1"/>
  <c r="K699" i="1"/>
  <c r="G699" i="1"/>
  <c r="F699" i="1"/>
  <c r="E699" i="1"/>
  <c r="W698" i="1"/>
  <c r="M698" i="1"/>
  <c r="L698" i="1"/>
  <c r="K698" i="1"/>
  <c r="G698" i="1"/>
  <c r="F698" i="1"/>
  <c r="E698" i="1"/>
  <c r="W697" i="1"/>
  <c r="M697" i="1"/>
  <c r="L697" i="1"/>
  <c r="K697" i="1"/>
  <c r="G697" i="1"/>
  <c r="F697" i="1"/>
  <c r="E697" i="1"/>
  <c r="W696" i="1"/>
  <c r="M696" i="1"/>
  <c r="L696" i="1"/>
  <c r="K696" i="1"/>
  <c r="G696" i="1"/>
  <c r="F696" i="1"/>
  <c r="E696" i="1"/>
  <c r="W695" i="1"/>
  <c r="M695" i="1"/>
  <c r="L695" i="1"/>
  <c r="K695" i="1"/>
  <c r="G695" i="1"/>
  <c r="F695" i="1"/>
  <c r="E695" i="1"/>
  <c r="W694" i="1"/>
  <c r="M694" i="1"/>
  <c r="L694" i="1"/>
  <c r="K694" i="1"/>
  <c r="G694" i="1"/>
  <c r="F694" i="1"/>
  <c r="E694" i="1"/>
  <c r="W693" i="1"/>
  <c r="M693" i="1"/>
  <c r="L693" i="1"/>
  <c r="K693" i="1"/>
  <c r="G693" i="1"/>
  <c r="F693" i="1"/>
  <c r="E693" i="1"/>
  <c r="W692" i="1"/>
  <c r="M692" i="1"/>
  <c r="L692" i="1"/>
  <c r="K692" i="1"/>
  <c r="G692" i="1"/>
  <c r="F692" i="1"/>
  <c r="E692" i="1"/>
  <c r="W691" i="1"/>
  <c r="M691" i="1"/>
  <c r="L691" i="1"/>
  <c r="K691" i="1"/>
  <c r="G691" i="1"/>
  <c r="F691" i="1"/>
  <c r="E691" i="1"/>
  <c r="W690" i="1"/>
  <c r="M690" i="1"/>
  <c r="L690" i="1"/>
  <c r="K690" i="1"/>
  <c r="G690" i="1"/>
  <c r="F690" i="1"/>
  <c r="E690" i="1"/>
  <c r="W689" i="1"/>
  <c r="M689" i="1"/>
  <c r="L689" i="1"/>
  <c r="K689" i="1"/>
  <c r="G689" i="1"/>
  <c r="F689" i="1"/>
  <c r="E689" i="1"/>
  <c r="W688" i="1"/>
  <c r="M688" i="1"/>
  <c r="L688" i="1"/>
  <c r="K688" i="1"/>
  <c r="G688" i="1"/>
  <c r="F688" i="1"/>
  <c r="E688" i="1"/>
  <c r="W687" i="1"/>
  <c r="M687" i="1"/>
  <c r="L687" i="1"/>
  <c r="K687" i="1"/>
  <c r="G687" i="1"/>
  <c r="F687" i="1"/>
  <c r="E687" i="1"/>
  <c r="W686" i="1"/>
  <c r="M686" i="1"/>
  <c r="L686" i="1"/>
  <c r="K686" i="1"/>
  <c r="G686" i="1"/>
  <c r="F686" i="1"/>
  <c r="E686" i="1"/>
  <c r="W685" i="1"/>
  <c r="M685" i="1"/>
  <c r="L685" i="1"/>
  <c r="K685" i="1"/>
  <c r="G685" i="1"/>
  <c r="F685" i="1"/>
  <c r="E685" i="1"/>
  <c r="W684" i="1"/>
  <c r="M684" i="1"/>
  <c r="L684" i="1"/>
  <c r="K684" i="1"/>
  <c r="G684" i="1"/>
  <c r="F684" i="1"/>
  <c r="E684" i="1"/>
  <c r="W683" i="1"/>
  <c r="M683" i="1"/>
  <c r="L683" i="1"/>
  <c r="K683" i="1"/>
  <c r="G683" i="1"/>
  <c r="F683" i="1"/>
  <c r="E683" i="1"/>
  <c r="W682" i="1"/>
  <c r="M682" i="1"/>
  <c r="L682" i="1"/>
  <c r="K682" i="1"/>
  <c r="G682" i="1"/>
  <c r="F682" i="1"/>
  <c r="E682" i="1"/>
  <c r="W681" i="1"/>
  <c r="M681" i="1"/>
  <c r="L681" i="1"/>
  <c r="K681" i="1"/>
  <c r="G681" i="1"/>
  <c r="F681" i="1"/>
  <c r="E681" i="1"/>
  <c r="W680" i="1"/>
  <c r="M680" i="1"/>
  <c r="L680" i="1"/>
  <c r="K680" i="1"/>
  <c r="G680" i="1"/>
  <c r="F680" i="1"/>
  <c r="E680" i="1"/>
  <c r="W679" i="1"/>
  <c r="M679" i="1"/>
  <c r="L679" i="1"/>
  <c r="K679" i="1"/>
  <c r="G679" i="1"/>
  <c r="F679" i="1"/>
  <c r="E679" i="1"/>
  <c r="W678" i="1"/>
  <c r="M678" i="1"/>
  <c r="L678" i="1"/>
  <c r="K678" i="1"/>
  <c r="G678" i="1"/>
  <c r="F678" i="1"/>
  <c r="E678" i="1"/>
  <c r="W677" i="1"/>
  <c r="M677" i="1"/>
  <c r="L677" i="1"/>
  <c r="K677" i="1"/>
  <c r="G677" i="1"/>
  <c r="F677" i="1"/>
  <c r="E677" i="1"/>
  <c r="W676" i="1"/>
  <c r="M676" i="1"/>
  <c r="L676" i="1"/>
  <c r="K676" i="1"/>
  <c r="G676" i="1"/>
  <c r="F676" i="1"/>
  <c r="E676" i="1"/>
  <c r="W675" i="1"/>
  <c r="M675" i="1"/>
  <c r="L675" i="1"/>
  <c r="K675" i="1"/>
  <c r="G675" i="1"/>
  <c r="F675" i="1"/>
  <c r="E675" i="1"/>
  <c r="W674" i="1"/>
  <c r="M674" i="1"/>
  <c r="L674" i="1"/>
  <c r="K674" i="1"/>
  <c r="G674" i="1"/>
  <c r="F674" i="1"/>
  <c r="E674" i="1"/>
  <c r="W673" i="1"/>
  <c r="M673" i="1"/>
  <c r="L673" i="1"/>
  <c r="K673" i="1"/>
  <c r="G673" i="1"/>
  <c r="F673" i="1"/>
  <c r="E673" i="1"/>
  <c r="W672" i="1"/>
  <c r="M672" i="1"/>
  <c r="L672" i="1"/>
  <c r="K672" i="1"/>
  <c r="G672" i="1"/>
  <c r="F672" i="1"/>
  <c r="E672" i="1"/>
  <c r="W671" i="1"/>
  <c r="M671" i="1"/>
  <c r="L671" i="1"/>
  <c r="K671" i="1"/>
  <c r="G671" i="1"/>
  <c r="F671" i="1"/>
  <c r="E671" i="1"/>
  <c r="W670" i="1"/>
  <c r="M670" i="1"/>
  <c r="L670" i="1"/>
  <c r="K670" i="1"/>
  <c r="G670" i="1"/>
  <c r="F670" i="1"/>
  <c r="E670" i="1"/>
  <c r="W669" i="1"/>
  <c r="M669" i="1"/>
  <c r="L669" i="1"/>
  <c r="K669" i="1"/>
  <c r="G669" i="1"/>
  <c r="F669" i="1"/>
  <c r="E669" i="1"/>
  <c r="W668" i="1"/>
  <c r="M668" i="1"/>
  <c r="L668" i="1"/>
  <c r="K668" i="1"/>
  <c r="G668" i="1"/>
  <c r="F668" i="1"/>
  <c r="E668" i="1"/>
  <c r="W667" i="1"/>
  <c r="M667" i="1"/>
  <c r="L667" i="1"/>
  <c r="K667" i="1"/>
  <c r="G667" i="1"/>
  <c r="F667" i="1"/>
  <c r="E667" i="1"/>
  <c r="W666" i="1"/>
  <c r="M666" i="1"/>
  <c r="L666" i="1"/>
  <c r="K666" i="1"/>
  <c r="G666" i="1"/>
  <c r="F666" i="1"/>
  <c r="E666" i="1"/>
  <c r="W665" i="1"/>
  <c r="M665" i="1"/>
  <c r="L665" i="1"/>
  <c r="K665" i="1"/>
  <c r="G665" i="1"/>
  <c r="F665" i="1"/>
  <c r="E665" i="1"/>
  <c r="W664" i="1"/>
  <c r="M664" i="1"/>
  <c r="L664" i="1"/>
  <c r="K664" i="1"/>
  <c r="G664" i="1"/>
  <c r="F664" i="1"/>
  <c r="E664" i="1"/>
  <c r="W663" i="1"/>
  <c r="M663" i="1"/>
  <c r="L663" i="1"/>
  <c r="K663" i="1"/>
  <c r="G663" i="1"/>
  <c r="F663" i="1"/>
  <c r="E663" i="1"/>
  <c r="W662" i="1"/>
  <c r="M662" i="1"/>
  <c r="L662" i="1"/>
  <c r="K662" i="1"/>
  <c r="G662" i="1"/>
  <c r="F662" i="1"/>
  <c r="E662" i="1"/>
  <c r="W661" i="1"/>
  <c r="M661" i="1"/>
  <c r="L661" i="1"/>
  <c r="K661" i="1"/>
  <c r="G661" i="1"/>
  <c r="F661" i="1"/>
  <c r="E661" i="1"/>
  <c r="W660" i="1"/>
  <c r="M660" i="1"/>
  <c r="L660" i="1"/>
  <c r="K660" i="1"/>
  <c r="G660" i="1"/>
  <c r="F660" i="1"/>
  <c r="E660" i="1"/>
  <c r="W659" i="1"/>
  <c r="M659" i="1"/>
  <c r="L659" i="1"/>
  <c r="K659" i="1"/>
  <c r="G659" i="1"/>
  <c r="F659" i="1"/>
  <c r="E659" i="1"/>
  <c r="W658" i="1"/>
  <c r="M658" i="1"/>
  <c r="L658" i="1"/>
  <c r="K658" i="1"/>
  <c r="G658" i="1"/>
  <c r="F658" i="1"/>
  <c r="E658" i="1"/>
  <c r="W657" i="1"/>
  <c r="M657" i="1"/>
  <c r="L657" i="1"/>
  <c r="K657" i="1"/>
  <c r="G657" i="1"/>
  <c r="F657" i="1"/>
  <c r="E657" i="1"/>
  <c r="W656" i="1"/>
  <c r="M656" i="1"/>
  <c r="L656" i="1"/>
  <c r="K656" i="1"/>
  <c r="G656" i="1"/>
  <c r="F656" i="1"/>
  <c r="E656" i="1"/>
  <c r="W655" i="1"/>
  <c r="M655" i="1"/>
  <c r="L655" i="1"/>
  <c r="K655" i="1"/>
  <c r="G655" i="1"/>
  <c r="F655" i="1"/>
  <c r="E655" i="1"/>
  <c r="W654" i="1"/>
  <c r="M654" i="1"/>
  <c r="L654" i="1"/>
  <c r="K654" i="1"/>
  <c r="G654" i="1"/>
  <c r="F654" i="1"/>
  <c r="E654" i="1"/>
  <c r="W653" i="1"/>
  <c r="M653" i="1"/>
  <c r="L653" i="1"/>
  <c r="K653" i="1"/>
  <c r="G653" i="1"/>
  <c r="F653" i="1"/>
  <c r="E653" i="1"/>
  <c r="W652" i="1"/>
  <c r="M652" i="1"/>
  <c r="L652" i="1"/>
  <c r="K652" i="1"/>
  <c r="G652" i="1"/>
  <c r="F652" i="1"/>
  <c r="E652" i="1"/>
  <c r="W651" i="1"/>
  <c r="M651" i="1"/>
  <c r="L651" i="1"/>
  <c r="K651" i="1"/>
  <c r="G651" i="1"/>
  <c r="F651" i="1"/>
  <c r="E651" i="1"/>
  <c r="W650" i="1"/>
  <c r="M650" i="1"/>
  <c r="L650" i="1"/>
  <c r="K650" i="1"/>
  <c r="G650" i="1"/>
  <c r="F650" i="1"/>
  <c r="E650" i="1"/>
  <c r="W649" i="1"/>
  <c r="M649" i="1"/>
  <c r="L649" i="1"/>
  <c r="K649" i="1"/>
  <c r="G649" i="1"/>
  <c r="F649" i="1"/>
  <c r="E649" i="1"/>
  <c r="W648" i="1"/>
  <c r="M648" i="1"/>
  <c r="L648" i="1"/>
  <c r="K648" i="1"/>
  <c r="G648" i="1"/>
  <c r="F648" i="1"/>
  <c r="E648" i="1"/>
  <c r="W647" i="1"/>
  <c r="M647" i="1"/>
  <c r="L647" i="1"/>
  <c r="K647" i="1"/>
  <c r="G647" i="1"/>
  <c r="F647" i="1"/>
  <c r="E647" i="1"/>
  <c r="W646" i="1"/>
  <c r="M646" i="1"/>
  <c r="L646" i="1"/>
  <c r="K646" i="1"/>
  <c r="G646" i="1"/>
  <c r="F646" i="1"/>
  <c r="E646" i="1"/>
  <c r="W645" i="1"/>
  <c r="M645" i="1"/>
  <c r="L645" i="1"/>
  <c r="K645" i="1"/>
  <c r="G645" i="1"/>
  <c r="F645" i="1"/>
  <c r="E645" i="1"/>
  <c r="W644" i="1"/>
  <c r="M644" i="1"/>
  <c r="L644" i="1"/>
  <c r="K644" i="1"/>
  <c r="G644" i="1"/>
  <c r="F644" i="1"/>
  <c r="E644" i="1"/>
  <c r="W643" i="1"/>
  <c r="M643" i="1"/>
  <c r="L643" i="1"/>
  <c r="K643" i="1"/>
  <c r="G643" i="1"/>
  <c r="F643" i="1"/>
  <c r="E643" i="1"/>
  <c r="W642" i="1"/>
  <c r="M642" i="1"/>
  <c r="L642" i="1"/>
  <c r="K642" i="1"/>
  <c r="G642" i="1"/>
  <c r="F642" i="1"/>
  <c r="E642" i="1"/>
  <c r="W641" i="1"/>
  <c r="M641" i="1"/>
  <c r="L641" i="1"/>
  <c r="K641" i="1"/>
  <c r="G641" i="1"/>
  <c r="F641" i="1"/>
  <c r="E641" i="1"/>
  <c r="W640" i="1"/>
  <c r="M640" i="1"/>
  <c r="L640" i="1"/>
  <c r="K640" i="1"/>
  <c r="G640" i="1"/>
  <c r="F640" i="1"/>
  <c r="E640" i="1"/>
  <c r="W639" i="1"/>
  <c r="M639" i="1"/>
  <c r="L639" i="1"/>
  <c r="K639" i="1"/>
  <c r="G639" i="1"/>
  <c r="F639" i="1"/>
  <c r="E639" i="1"/>
  <c r="W638" i="1"/>
  <c r="M638" i="1"/>
  <c r="L638" i="1"/>
  <c r="K638" i="1"/>
  <c r="G638" i="1"/>
  <c r="F638" i="1"/>
  <c r="E638" i="1"/>
  <c r="W637" i="1"/>
  <c r="M637" i="1"/>
  <c r="L637" i="1"/>
  <c r="K637" i="1"/>
  <c r="G637" i="1"/>
  <c r="F637" i="1"/>
  <c r="E637" i="1"/>
  <c r="W636" i="1"/>
  <c r="M636" i="1"/>
  <c r="L636" i="1"/>
  <c r="K636" i="1"/>
  <c r="G636" i="1"/>
  <c r="F636" i="1"/>
  <c r="E636" i="1"/>
  <c r="W635" i="1"/>
  <c r="M635" i="1"/>
  <c r="L635" i="1"/>
  <c r="K635" i="1"/>
  <c r="G635" i="1"/>
  <c r="F635" i="1"/>
  <c r="E635" i="1"/>
  <c r="W634" i="1"/>
  <c r="M634" i="1"/>
  <c r="L634" i="1"/>
  <c r="K634" i="1"/>
  <c r="G634" i="1"/>
  <c r="F634" i="1"/>
  <c r="E634" i="1"/>
  <c r="W633" i="1"/>
  <c r="M633" i="1"/>
  <c r="L633" i="1"/>
  <c r="K633" i="1"/>
  <c r="G633" i="1"/>
  <c r="F633" i="1"/>
  <c r="E633" i="1"/>
  <c r="W632" i="1"/>
  <c r="M632" i="1"/>
  <c r="L632" i="1"/>
  <c r="K632" i="1"/>
  <c r="G632" i="1"/>
  <c r="F632" i="1"/>
  <c r="E632" i="1"/>
  <c r="W631" i="1"/>
  <c r="M631" i="1"/>
  <c r="L631" i="1"/>
  <c r="K631" i="1"/>
  <c r="G631" i="1"/>
  <c r="F631" i="1"/>
  <c r="E631" i="1"/>
  <c r="W630" i="1"/>
  <c r="M630" i="1"/>
  <c r="L630" i="1"/>
  <c r="K630" i="1"/>
  <c r="G630" i="1"/>
  <c r="F630" i="1"/>
  <c r="E630" i="1"/>
  <c r="W629" i="1"/>
  <c r="M629" i="1"/>
  <c r="L629" i="1"/>
  <c r="K629" i="1"/>
  <c r="G629" i="1"/>
  <c r="F629" i="1"/>
  <c r="E629" i="1"/>
  <c r="W628" i="1"/>
  <c r="M628" i="1"/>
  <c r="L628" i="1"/>
  <c r="K628" i="1"/>
  <c r="G628" i="1"/>
  <c r="F628" i="1"/>
  <c r="E628" i="1"/>
  <c r="W627" i="1"/>
  <c r="M627" i="1"/>
  <c r="L627" i="1"/>
  <c r="K627" i="1"/>
  <c r="G627" i="1"/>
  <c r="F627" i="1"/>
  <c r="E627" i="1"/>
  <c r="W626" i="1"/>
  <c r="M626" i="1"/>
  <c r="L626" i="1"/>
  <c r="K626" i="1"/>
  <c r="G626" i="1"/>
  <c r="F626" i="1"/>
  <c r="E626" i="1"/>
  <c r="W625" i="1"/>
  <c r="M625" i="1"/>
  <c r="L625" i="1"/>
  <c r="K625" i="1"/>
  <c r="G625" i="1"/>
  <c r="F625" i="1"/>
  <c r="E625" i="1"/>
  <c r="W624" i="1"/>
  <c r="M624" i="1"/>
  <c r="L624" i="1"/>
  <c r="K624" i="1"/>
  <c r="G624" i="1"/>
  <c r="F624" i="1"/>
  <c r="E624" i="1"/>
  <c r="W623" i="1"/>
  <c r="M623" i="1"/>
  <c r="L623" i="1"/>
  <c r="K623" i="1"/>
  <c r="G623" i="1"/>
  <c r="F623" i="1"/>
  <c r="E623" i="1"/>
  <c r="W622" i="1"/>
  <c r="M622" i="1"/>
  <c r="L622" i="1"/>
  <c r="K622" i="1"/>
  <c r="G622" i="1"/>
  <c r="F622" i="1"/>
  <c r="E622" i="1"/>
  <c r="W621" i="1"/>
  <c r="M621" i="1"/>
  <c r="L621" i="1"/>
  <c r="K621" i="1"/>
  <c r="G621" i="1"/>
  <c r="F621" i="1"/>
  <c r="E621" i="1"/>
  <c r="W620" i="1"/>
  <c r="M620" i="1"/>
  <c r="L620" i="1"/>
  <c r="K620" i="1"/>
  <c r="G620" i="1"/>
  <c r="F620" i="1"/>
  <c r="E620" i="1"/>
  <c r="W619" i="1"/>
  <c r="M619" i="1"/>
  <c r="L619" i="1"/>
  <c r="K619" i="1"/>
  <c r="G619" i="1"/>
  <c r="F619" i="1"/>
  <c r="E619" i="1"/>
  <c r="W618" i="1"/>
  <c r="M618" i="1"/>
  <c r="L618" i="1"/>
  <c r="K618" i="1"/>
  <c r="G618" i="1"/>
  <c r="F618" i="1"/>
  <c r="E618" i="1"/>
  <c r="W617" i="1"/>
  <c r="M617" i="1"/>
  <c r="L617" i="1"/>
  <c r="K617" i="1"/>
  <c r="G617" i="1"/>
  <c r="F617" i="1"/>
  <c r="E617" i="1"/>
  <c r="W616" i="1"/>
  <c r="M616" i="1"/>
  <c r="L616" i="1"/>
  <c r="K616" i="1"/>
  <c r="G616" i="1"/>
  <c r="F616" i="1"/>
  <c r="E616" i="1"/>
  <c r="W615" i="1"/>
  <c r="M615" i="1"/>
  <c r="L615" i="1"/>
  <c r="K615" i="1"/>
  <c r="G615" i="1"/>
  <c r="F615" i="1"/>
  <c r="E615" i="1"/>
  <c r="W614" i="1"/>
  <c r="M614" i="1"/>
  <c r="L614" i="1"/>
  <c r="K614" i="1"/>
  <c r="G614" i="1"/>
  <c r="F614" i="1"/>
  <c r="E614" i="1"/>
  <c r="W613" i="1"/>
  <c r="M613" i="1"/>
  <c r="L613" i="1"/>
  <c r="K613" i="1"/>
  <c r="G613" i="1"/>
  <c r="F613" i="1"/>
  <c r="E613" i="1"/>
  <c r="W612" i="1"/>
  <c r="M612" i="1"/>
  <c r="L612" i="1"/>
  <c r="K612" i="1"/>
  <c r="G612" i="1"/>
  <c r="F612" i="1"/>
  <c r="E612" i="1"/>
  <c r="W611" i="1"/>
  <c r="M611" i="1"/>
  <c r="L611" i="1"/>
  <c r="K611" i="1"/>
  <c r="G611" i="1"/>
  <c r="F611" i="1"/>
  <c r="E611" i="1"/>
  <c r="W610" i="1"/>
  <c r="M610" i="1"/>
  <c r="L610" i="1"/>
  <c r="K610" i="1"/>
  <c r="G610" i="1"/>
  <c r="F610" i="1"/>
  <c r="E610" i="1"/>
  <c r="W609" i="1"/>
  <c r="M609" i="1"/>
  <c r="L609" i="1"/>
  <c r="K609" i="1"/>
  <c r="G609" i="1"/>
  <c r="F609" i="1"/>
  <c r="E609" i="1"/>
  <c r="W608" i="1"/>
  <c r="M608" i="1"/>
  <c r="L608" i="1"/>
  <c r="K608" i="1"/>
  <c r="G608" i="1"/>
  <c r="F608" i="1"/>
  <c r="E608" i="1"/>
  <c r="W607" i="1"/>
  <c r="M607" i="1"/>
  <c r="L607" i="1"/>
  <c r="K607" i="1"/>
  <c r="G607" i="1"/>
  <c r="F607" i="1"/>
  <c r="E607" i="1"/>
  <c r="W606" i="1"/>
  <c r="M606" i="1"/>
  <c r="L606" i="1"/>
  <c r="K606" i="1"/>
  <c r="G606" i="1"/>
  <c r="F606" i="1"/>
  <c r="E606" i="1"/>
  <c r="W605" i="1"/>
  <c r="M605" i="1"/>
  <c r="L605" i="1"/>
  <c r="K605" i="1"/>
  <c r="G605" i="1"/>
  <c r="F605" i="1"/>
  <c r="E605" i="1"/>
  <c r="W604" i="1"/>
  <c r="M604" i="1"/>
  <c r="L604" i="1"/>
  <c r="K604" i="1"/>
  <c r="G604" i="1"/>
  <c r="F604" i="1"/>
  <c r="E604" i="1"/>
  <c r="W603" i="1"/>
  <c r="M603" i="1"/>
  <c r="L603" i="1"/>
  <c r="K603" i="1"/>
  <c r="G603" i="1"/>
  <c r="F603" i="1"/>
  <c r="E603" i="1"/>
  <c r="W602" i="1"/>
  <c r="M602" i="1"/>
  <c r="L602" i="1"/>
  <c r="K602" i="1"/>
  <c r="G602" i="1"/>
  <c r="F602" i="1"/>
  <c r="E602" i="1"/>
  <c r="W601" i="1"/>
  <c r="M601" i="1"/>
  <c r="L601" i="1"/>
  <c r="K601" i="1"/>
  <c r="G601" i="1"/>
  <c r="F601" i="1"/>
  <c r="E601" i="1"/>
  <c r="W600" i="1"/>
  <c r="M600" i="1"/>
  <c r="L600" i="1"/>
  <c r="K600" i="1"/>
  <c r="G600" i="1"/>
  <c r="F600" i="1"/>
  <c r="E600" i="1"/>
  <c r="W599" i="1"/>
  <c r="M599" i="1"/>
  <c r="L599" i="1"/>
  <c r="K599" i="1"/>
  <c r="G599" i="1"/>
  <c r="F599" i="1"/>
  <c r="E599" i="1"/>
  <c r="W598" i="1"/>
  <c r="M598" i="1"/>
  <c r="L598" i="1"/>
  <c r="K598" i="1"/>
  <c r="G598" i="1"/>
  <c r="F598" i="1"/>
  <c r="E598" i="1"/>
  <c r="W597" i="1"/>
  <c r="M597" i="1"/>
  <c r="L597" i="1"/>
  <c r="K597" i="1"/>
  <c r="G597" i="1"/>
  <c r="F597" i="1"/>
  <c r="E597" i="1"/>
  <c r="W596" i="1"/>
  <c r="M596" i="1"/>
  <c r="L596" i="1"/>
  <c r="K596" i="1"/>
  <c r="G596" i="1"/>
  <c r="F596" i="1"/>
  <c r="E596" i="1"/>
  <c r="W595" i="1"/>
  <c r="M595" i="1"/>
  <c r="L595" i="1"/>
  <c r="K595" i="1"/>
  <c r="G595" i="1"/>
  <c r="F595" i="1"/>
  <c r="E595" i="1"/>
  <c r="W594" i="1"/>
  <c r="M594" i="1"/>
  <c r="L594" i="1"/>
  <c r="K594" i="1"/>
  <c r="G594" i="1"/>
  <c r="F594" i="1"/>
  <c r="E594" i="1"/>
  <c r="W593" i="1"/>
  <c r="M593" i="1"/>
  <c r="L593" i="1"/>
  <c r="K593" i="1"/>
  <c r="G593" i="1"/>
  <c r="F593" i="1"/>
  <c r="E593" i="1"/>
  <c r="W592" i="1"/>
  <c r="M592" i="1"/>
  <c r="L592" i="1"/>
  <c r="K592" i="1"/>
  <c r="G592" i="1"/>
  <c r="F592" i="1"/>
  <c r="E592" i="1"/>
  <c r="W591" i="1"/>
  <c r="M591" i="1"/>
  <c r="L591" i="1"/>
  <c r="K591" i="1"/>
  <c r="G591" i="1"/>
  <c r="F591" i="1"/>
  <c r="E591" i="1"/>
  <c r="W590" i="1"/>
  <c r="M590" i="1"/>
  <c r="L590" i="1"/>
  <c r="K590" i="1"/>
  <c r="G590" i="1"/>
  <c r="F590" i="1"/>
  <c r="E590" i="1"/>
  <c r="W589" i="1"/>
  <c r="M589" i="1"/>
  <c r="L589" i="1"/>
  <c r="K589" i="1"/>
  <c r="G589" i="1"/>
  <c r="F589" i="1"/>
  <c r="E589" i="1"/>
  <c r="W588" i="1"/>
  <c r="M588" i="1"/>
  <c r="L588" i="1"/>
  <c r="K588" i="1"/>
  <c r="G588" i="1"/>
  <c r="F588" i="1"/>
  <c r="E588" i="1"/>
  <c r="W587" i="1"/>
  <c r="M587" i="1"/>
  <c r="L587" i="1"/>
  <c r="K587" i="1"/>
  <c r="G587" i="1"/>
  <c r="F587" i="1"/>
  <c r="E587" i="1"/>
  <c r="W586" i="1"/>
  <c r="M586" i="1"/>
  <c r="L586" i="1"/>
  <c r="K586" i="1"/>
  <c r="G586" i="1"/>
  <c r="F586" i="1"/>
  <c r="E586" i="1"/>
  <c r="W585" i="1"/>
  <c r="M585" i="1"/>
  <c r="L585" i="1"/>
  <c r="K585" i="1"/>
  <c r="G585" i="1"/>
  <c r="F585" i="1"/>
  <c r="E585" i="1"/>
  <c r="W584" i="1"/>
  <c r="M584" i="1"/>
  <c r="L584" i="1"/>
  <c r="K584" i="1"/>
  <c r="G584" i="1"/>
  <c r="F584" i="1"/>
  <c r="E584" i="1"/>
  <c r="W583" i="1"/>
  <c r="M583" i="1"/>
  <c r="L583" i="1"/>
  <c r="K583" i="1"/>
  <c r="G583" i="1"/>
  <c r="F583" i="1"/>
  <c r="E583" i="1"/>
  <c r="W582" i="1"/>
  <c r="M582" i="1"/>
  <c r="L582" i="1"/>
  <c r="K582" i="1"/>
  <c r="G582" i="1"/>
  <c r="F582" i="1"/>
  <c r="E582" i="1"/>
  <c r="W581" i="1"/>
  <c r="M581" i="1"/>
  <c r="L581" i="1"/>
  <c r="K581" i="1"/>
  <c r="G581" i="1"/>
  <c r="F581" i="1"/>
  <c r="E581" i="1"/>
  <c r="W580" i="1"/>
  <c r="M580" i="1"/>
  <c r="L580" i="1"/>
  <c r="K580" i="1"/>
  <c r="G580" i="1"/>
  <c r="F580" i="1"/>
  <c r="E580" i="1"/>
  <c r="W579" i="1"/>
  <c r="M579" i="1"/>
  <c r="L579" i="1"/>
  <c r="K579" i="1"/>
  <c r="G579" i="1"/>
  <c r="F579" i="1"/>
  <c r="E579" i="1"/>
  <c r="W578" i="1"/>
  <c r="M578" i="1"/>
  <c r="L578" i="1"/>
  <c r="K578" i="1"/>
  <c r="G578" i="1"/>
  <c r="F578" i="1"/>
  <c r="E578" i="1"/>
  <c r="W577" i="1"/>
  <c r="M577" i="1"/>
  <c r="L577" i="1"/>
  <c r="K577" i="1"/>
  <c r="G577" i="1"/>
  <c r="F577" i="1"/>
  <c r="E577" i="1"/>
  <c r="W576" i="1"/>
  <c r="M576" i="1"/>
  <c r="L576" i="1"/>
  <c r="K576" i="1"/>
  <c r="G576" i="1"/>
  <c r="F576" i="1"/>
  <c r="E576" i="1"/>
  <c r="W575" i="1"/>
  <c r="M575" i="1"/>
  <c r="L575" i="1"/>
  <c r="K575" i="1"/>
  <c r="G575" i="1"/>
  <c r="F575" i="1"/>
  <c r="E575" i="1"/>
  <c r="W574" i="1"/>
  <c r="M574" i="1"/>
  <c r="L574" i="1"/>
  <c r="K574" i="1"/>
  <c r="G574" i="1"/>
  <c r="F574" i="1"/>
  <c r="E574" i="1"/>
  <c r="W573" i="1"/>
  <c r="M573" i="1"/>
  <c r="L573" i="1"/>
  <c r="K573" i="1"/>
  <c r="G573" i="1"/>
  <c r="F573" i="1"/>
  <c r="E573" i="1"/>
  <c r="W572" i="1"/>
  <c r="M572" i="1"/>
  <c r="L572" i="1"/>
  <c r="K572" i="1"/>
  <c r="G572" i="1"/>
  <c r="F572" i="1"/>
  <c r="E572" i="1"/>
  <c r="W571" i="1"/>
  <c r="M571" i="1"/>
  <c r="L571" i="1"/>
  <c r="K571" i="1"/>
  <c r="G571" i="1"/>
  <c r="F571" i="1"/>
  <c r="E571" i="1"/>
  <c r="W570" i="1"/>
  <c r="M570" i="1"/>
  <c r="L570" i="1"/>
  <c r="K570" i="1"/>
  <c r="G570" i="1"/>
  <c r="F570" i="1"/>
  <c r="E570" i="1"/>
  <c r="W569" i="1"/>
  <c r="M569" i="1"/>
  <c r="L569" i="1"/>
  <c r="K569" i="1"/>
  <c r="G569" i="1"/>
  <c r="F569" i="1"/>
  <c r="E569" i="1"/>
  <c r="W568" i="1"/>
  <c r="M568" i="1"/>
  <c r="L568" i="1"/>
  <c r="K568" i="1"/>
  <c r="G568" i="1"/>
  <c r="F568" i="1"/>
  <c r="E568" i="1"/>
  <c r="W567" i="1"/>
  <c r="M567" i="1"/>
  <c r="L567" i="1"/>
  <c r="K567" i="1"/>
  <c r="G567" i="1"/>
  <c r="F567" i="1"/>
  <c r="E567" i="1"/>
  <c r="W566" i="1"/>
  <c r="M566" i="1"/>
  <c r="L566" i="1"/>
  <c r="K566" i="1"/>
  <c r="G566" i="1"/>
  <c r="F566" i="1"/>
  <c r="E566" i="1"/>
  <c r="W565" i="1"/>
  <c r="M565" i="1"/>
  <c r="L565" i="1"/>
  <c r="K565" i="1"/>
  <c r="G565" i="1"/>
  <c r="F565" i="1"/>
  <c r="E565" i="1"/>
  <c r="W564" i="1"/>
  <c r="M564" i="1"/>
  <c r="L564" i="1"/>
  <c r="K564" i="1"/>
  <c r="G564" i="1"/>
  <c r="F564" i="1"/>
  <c r="E564" i="1"/>
  <c r="W563" i="1"/>
  <c r="M563" i="1"/>
  <c r="L563" i="1"/>
  <c r="K563" i="1"/>
  <c r="G563" i="1"/>
  <c r="F563" i="1"/>
  <c r="E563" i="1"/>
  <c r="W562" i="1"/>
  <c r="M562" i="1"/>
  <c r="L562" i="1"/>
  <c r="K562" i="1"/>
  <c r="G562" i="1"/>
  <c r="F562" i="1"/>
  <c r="E562" i="1"/>
  <c r="W561" i="1"/>
  <c r="M561" i="1"/>
  <c r="L561" i="1"/>
  <c r="K561" i="1"/>
  <c r="G561" i="1"/>
  <c r="F561" i="1"/>
  <c r="E561" i="1"/>
  <c r="W560" i="1"/>
  <c r="M560" i="1"/>
  <c r="L560" i="1"/>
  <c r="K560" i="1"/>
  <c r="G560" i="1"/>
  <c r="F560" i="1"/>
  <c r="E560" i="1"/>
  <c r="W559" i="1"/>
  <c r="M559" i="1"/>
  <c r="L559" i="1"/>
  <c r="K559" i="1"/>
  <c r="G559" i="1"/>
  <c r="F559" i="1"/>
  <c r="E559" i="1"/>
  <c r="W558" i="1"/>
  <c r="M558" i="1"/>
  <c r="L558" i="1"/>
  <c r="K558" i="1"/>
  <c r="G558" i="1"/>
  <c r="F558" i="1"/>
  <c r="E558" i="1"/>
  <c r="W557" i="1"/>
  <c r="M557" i="1"/>
  <c r="L557" i="1"/>
  <c r="K557" i="1"/>
  <c r="G557" i="1"/>
  <c r="F557" i="1"/>
  <c r="E557" i="1"/>
  <c r="W556" i="1"/>
  <c r="M556" i="1"/>
  <c r="L556" i="1"/>
  <c r="K556" i="1"/>
  <c r="G556" i="1"/>
  <c r="F556" i="1"/>
  <c r="E556" i="1"/>
  <c r="W555" i="1"/>
  <c r="M555" i="1"/>
  <c r="L555" i="1"/>
  <c r="K555" i="1"/>
  <c r="G555" i="1"/>
  <c r="F555" i="1"/>
  <c r="E555" i="1"/>
  <c r="W554" i="1"/>
  <c r="M554" i="1"/>
  <c r="L554" i="1"/>
  <c r="K554" i="1"/>
  <c r="G554" i="1"/>
  <c r="F554" i="1"/>
  <c r="E554" i="1"/>
  <c r="W553" i="1"/>
  <c r="M553" i="1"/>
  <c r="L553" i="1"/>
  <c r="K553" i="1"/>
  <c r="G553" i="1"/>
  <c r="F553" i="1"/>
  <c r="E553" i="1"/>
  <c r="W552" i="1"/>
  <c r="M552" i="1"/>
  <c r="L552" i="1"/>
  <c r="K552" i="1"/>
  <c r="G552" i="1"/>
  <c r="F552" i="1"/>
  <c r="E552" i="1"/>
  <c r="W551" i="1"/>
  <c r="M551" i="1"/>
  <c r="L551" i="1"/>
  <c r="K551" i="1"/>
  <c r="G551" i="1"/>
  <c r="F551" i="1"/>
  <c r="E551" i="1"/>
  <c r="W550" i="1"/>
  <c r="M550" i="1"/>
  <c r="L550" i="1"/>
  <c r="K550" i="1"/>
  <c r="G550" i="1"/>
  <c r="F550" i="1"/>
  <c r="E550" i="1"/>
  <c r="W549" i="1"/>
  <c r="M549" i="1"/>
  <c r="L549" i="1"/>
  <c r="K549" i="1"/>
  <c r="G549" i="1"/>
  <c r="F549" i="1"/>
  <c r="E549" i="1"/>
  <c r="W548" i="1"/>
  <c r="M548" i="1"/>
  <c r="L548" i="1"/>
  <c r="K548" i="1"/>
  <c r="G548" i="1"/>
  <c r="F548" i="1"/>
  <c r="E548" i="1"/>
  <c r="W547" i="1"/>
  <c r="M547" i="1"/>
  <c r="L547" i="1"/>
  <c r="K547" i="1"/>
  <c r="G547" i="1"/>
  <c r="F547" i="1"/>
  <c r="E547" i="1"/>
  <c r="W546" i="1"/>
  <c r="M546" i="1"/>
  <c r="L546" i="1"/>
  <c r="K546" i="1"/>
  <c r="G546" i="1"/>
  <c r="F546" i="1"/>
  <c r="E546" i="1"/>
  <c r="W545" i="1"/>
  <c r="M545" i="1"/>
  <c r="L545" i="1"/>
  <c r="K545" i="1"/>
  <c r="G545" i="1"/>
  <c r="F545" i="1"/>
  <c r="E545" i="1"/>
  <c r="W544" i="1"/>
  <c r="M544" i="1"/>
  <c r="L544" i="1"/>
  <c r="K544" i="1"/>
  <c r="G544" i="1"/>
  <c r="F544" i="1"/>
  <c r="E544" i="1"/>
  <c r="W543" i="1"/>
  <c r="M543" i="1"/>
  <c r="L543" i="1"/>
  <c r="K543" i="1"/>
  <c r="G543" i="1"/>
  <c r="F543" i="1"/>
  <c r="E543" i="1"/>
  <c r="W542" i="1"/>
  <c r="M542" i="1"/>
  <c r="L542" i="1"/>
  <c r="K542" i="1"/>
  <c r="G542" i="1"/>
  <c r="F542" i="1"/>
  <c r="E542" i="1"/>
  <c r="W541" i="1"/>
  <c r="M541" i="1"/>
  <c r="L541" i="1"/>
  <c r="K541" i="1"/>
  <c r="G541" i="1"/>
  <c r="F541" i="1"/>
  <c r="E541" i="1"/>
  <c r="W540" i="1"/>
  <c r="M540" i="1"/>
  <c r="L540" i="1"/>
  <c r="K540" i="1"/>
  <c r="G540" i="1"/>
  <c r="F540" i="1"/>
  <c r="E540" i="1"/>
  <c r="W539" i="1"/>
  <c r="M539" i="1"/>
  <c r="L539" i="1"/>
  <c r="K539" i="1"/>
  <c r="G539" i="1"/>
  <c r="F539" i="1"/>
  <c r="E539" i="1"/>
  <c r="W538" i="1"/>
  <c r="M538" i="1"/>
  <c r="L538" i="1"/>
  <c r="K538" i="1"/>
  <c r="G538" i="1"/>
  <c r="F538" i="1"/>
  <c r="E538" i="1"/>
  <c r="W537" i="1"/>
  <c r="M537" i="1"/>
  <c r="L537" i="1"/>
  <c r="K537" i="1"/>
  <c r="G537" i="1"/>
  <c r="F537" i="1"/>
  <c r="E537" i="1"/>
  <c r="W536" i="1"/>
  <c r="M536" i="1"/>
  <c r="L536" i="1"/>
  <c r="K536" i="1"/>
  <c r="G536" i="1"/>
  <c r="F536" i="1"/>
  <c r="E536" i="1"/>
  <c r="W535" i="1"/>
  <c r="M535" i="1"/>
  <c r="L535" i="1"/>
  <c r="K535" i="1"/>
  <c r="G535" i="1"/>
  <c r="F535" i="1"/>
  <c r="E535" i="1"/>
  <c r="W534" i="1"/>
  <c r="M534" i="1"/>
  <c r="L534" i="1"/>
  <c r="K534" i="1"/>
  <c r="G534" i="1"/>
  <c r="F534" i="1"/>
  <c r="E534" i="1"/>
  <c r="W533" i="1"/>
  <c r="M533" i="1"/>
  <c r="L533" i="1"/>
  <c r="K533" i="1"/>
  <c r="G533" i="1"/>
  <c r="F533" i="1"/>
  <c r="E533" i="1"/>
  <c r="W532" i="1"/>
  <c r="M532" i="1"/>
  <c r="L532" i="1"/>
  <c r="K532" i="1"/>
  <c r="G532" i="1"/>
  <c r="F532" i="1"/>
  <c r="E532" i="1"/>
  <c r="W531" i="1"/>
  <c r="M531" i="1"/>
  <c r="L531" i="1"/>
  <c r="K531" i="1"/>
  <c r="G531" i="1"/>
  <c r="F531" i="1"/>
  <c r="E531" i="1"/>
  <c r="W530" i="1"/>
  <c r="M530" i="1"/>
  <c r="L530" i="1"/>
  <c r="K530" i="1"/>
  <c r="G530" i="1"/>
  <c r="F530" i="1"/>
  <c r="E530" i="1"/>
  <c r="W529" i="1"/>
  <c r="M529" i="1"/>
  <c r="L529" i="1"/>
  <c r="K529" i="1"/>
  <c r="G529" i="1"/>
  <c r="F529" i="1"/>
  <c r="E529" i="1"/>
  <c r="W528" i="1"/>
  <c r="M528" i="1"/>
  <c r="L528" i="1"/>
  <c r="K528" i="1"/>
  <c r="G528" i="1"/>
  <c r="F528" i="1"/>
  <c r="E528" i="1"/>
  <c r="W527" i="1"/>
  <c r="M527" i="1"/>
  <c r="L527" i="1"/>
  <c r="K527" i="1"/>
  <c r="G527" i="1"/>
  <c r="F527" i="1"/>
  <c r="E527" i="1"/>
  <c r="W526" i="1"/>
  <c r="M526" i="1"/>
  <c r="L526" i="1"/>
  <c r="K526" i="1"/>
  <c r="G526" i="1"/>
  <c r="F526" i="1"/>
  <c r="E526" i="1"/>
  <c r="W525" i="1"/>
  <c r="M525" i="1"/>
  <c r="L525" i="1"/>
  <c r="K525" i="1"/>
  <c r="G525" i="1"/>
  <c r="F525" i="1"/>
  <c r="E525" i="1"/>
  <c r="W524" i="1"/>
  <c r="M524" i="1"/>
  <c r="L524" i="1"/>
  <c r="K524" i="1"/>
  <c r="G524" i="1"/>
  <c r="F524" i="1"/>
  <c r="E524" i="1"/>
  <c r="W523" i="1"/>
  <c r="M523" i="1"/>
  <c r="L523" i="1"/>
  <c r="K523" i="1"/>
  <c r="G523" i="1"/>
  <c r="F523" i="1"/>
  <c r="E523" i="1"/>
  <c r="W522" i="1"/>
  <c r="M522" i="1"/>
  <c r="L522" i="1"/>
  <c r="K522" i="1"/>
  <c r="G522" i="1"/>
  <c r="F522" i="1"/>
  <c r="E522" i="1"/>
  <c r="W521" i="1"/>
  <c r="M521" i="1"/>
  <c r="L521" i="1"/>
  <c r="K521" i="1"/>
  <c r="G521" i="1"/>
  <c r="F521" i="1"/>
  <c r="E521" i="1"/>
  <c r="W520" i="1"/>
  <c r="M520" i="1"/>
  <c r="L520" i="1"/>
  <c r="K520" i="1"/>
  <c r="G520" i="1"/>
  <c r="F520" i="1"/>
  <c r="E520" i="1"/>
  <c r="W519" i="1"/>
  <c r="M519" i="1"/>
  <c r="L519" i="1"/>
  <c r="K519" i="1"/>
  <c r="G519" i="1"/>
  <c r="F519" i="1"/>
  <c r="E519" i="1"/>
  <c r="W518" i="1"/>
  <c r="M518" i="1"/>
  <c r="L518" i="1"/>
  <c r="K518" i="1"/>
  <c r="G518" i="1"/>
  <c r="F518" i="1"/>
  <c r="E518" i="1"/>
  <c r="W517" i="1"/>
  <c r="M517" i="1"/>
  <c r="L517" i="1"/>
  <c r="K517" i="1"/>
  <c r="G517" i="1"/>
  <c r="F517" i="1"/>
  <c r="E517" i="1"/>
  <c r="W516" i="1"/>
  <c r="M516" i="1"/>
  <c r="L516" i="1"/>
  <c r="K516" i="1"/>
  <c r="G516" i="1"/>
  <c r="F516" i="1"/>
  <c r="E516" i="1"/>
  <c r="W515" i="1"/>
  <c r="M515" i="1"/>
  <c r="L515" i="1"/>
  <c r="K515" i="1"/>
  <c r="G515" i="1"/>
  <c r="F515" i="1"/>
  <c r="E515" i="1"/>
  <c r="W514" i="1"/>
  <c r="M514" i="1"/>
  <c r="L514" i="1"/>
  <c r="K514" i="1"/>
  <c r="G514" i="1"/>
  <c r="F514" i="1"/>
  <c r="E514" i="1"/>
  <c r="W513" i="1"/>
  <c r="M513" i="1"/>
  <c r="L513" i="1"/>
  <c r="K513" i="1"/>
  <c r="G513" i="1"/>
  <c r="F513" i="1"/>
  <c r="E513" i="1"/>
  <c r="W512" i="1"/>
  <c r="M512" i="1"/>
  <c r="L512" i="1"/>
  <c r="K512" i="1"/>
  <c r="G512" i="1"/>
  <c r="F512" i="1"/>
  <c r="E512" i="1"/>
  <c r="W511" i="1"/>
  <c r="M511" i="1"/>
  <c r="L511" i="1"/>
  <c r="K511" i="1"/>
  <c r="G511" i="1"/>
  <c r="F511" i="1"/>
  <c r="E511" i="1"/>
  <c r="W510" i="1"/>
  <c r="M510" i="1"/>
  <c r="L510" i="1"/>
  <c r="K510" i="1"/>
  <c r="G510" i="1"/>
  <c r="F510" i="1"/>
  <c r="E510" i="1"/>
  <c r="W509" i="1"/>
  <c r="M509" i="1"/>
  <c r="L509" i="1"/>
  <c r="K509" i="1"/>
  <c r="G509" i="1"/>
  <c r="F509" i="1"/>
  <c r="E509" i="1"/>
  <c r="W508" i="1"/>
  <c r="M508" i="1"/>
  <c r="L508" i="1"/>
  <c r="K508" i="1"/>
  <c r="G508" i="1"/>
  <c r="F508" i="1"/>
  <c r="E508" i="1"/>
  <c r="W507" i="1"/>
  <c r="M507" i="1"/>
  <c r="L507" i="1"/>
  <c r="K507" i="1"/>
  <c r="G507" i="1"/>
  <c r="F507" i="1"/>
  <c r="E507" i="1"/>
  <c r="W506" i="1"/>
  <c r="M506" i="1"/>
  <c r="L506" i="1"/>
  <c r="K506" i="1"/>
  <c r="G506" i="1"/>
  <c r="F506" i="1"/>
  <c r="E506" i="1"/>
  <c r="W505" i="1"/>
  <c r="M505" i="1"/>
  <c r="L505" i="1"/>
  <c r="K505" i="1"/>
  <c r="G505" i="1"/>
  <c r="F505" i="1"/>
  <c r="E505" i="1"/>
  <c r="W504" i="1"/>
  <c r="M504" i="1"/>
  <c r="L504" i="1"/>
  <c r="K504" i="1"/>
  <c r="G504" i="1"/>
  <c r="F504" i="1"/>
  <c r="E504" i="1"/>
  <c r="W503" i="1"/>
  <c r="M503" i="1"/>
  <c r="L503" i="1"/>
  <c r="K503" i="1"/>
  <c r="G503" i="1"/>
  <c r="F503" i="1"/>
  <c r="E503" i="1"/>
  <c r="W502" i="1"/>
  <c r="M502" i="1"/>
  <c r="L502" i="1"/>
  <c r="K502" i="1"/>
  <c r="G502" i="1"/>
  <c r="F502" i="1"/>
  <c r="E502" i="1"/>
  <c r="W501" i="1"/>
  <c r="M501" i="1"/>
  <c r="L501" i="1"/>
  <c r="K501" i="1"/>
  <c r="G501" i="1"/>
  <c r="F501" i="1"/>
  <c r="E501" i="1"/>
  <c r="W500" i="1"/>
  <c r="M500" i="1"/>
  <c r="L500" i="1"/>
  <c r="K500" i="1"/>
  <c r="G500" i="1"/>
  <c r="F500" i="1"/>
  <c r="E500" i="1"/>
  <c r="W499" i="1"/>
  <c r="M499" i="1"/>
  <c r="L499" i="1"/>
  <c r="K499" i="1"/>
  <c r="G499" i="1"/>
  <c r="F499" i="1"/>
  <c r="E499" i="1"/>
  <c r="W498" i="1"/>
  <c r="M498" i="1"/>
  <c r="L498" i="1"/>
  <c r="K498" i="1"/>
  <c r="G498" i="1"/>
  <c r="F498" i="1"/>
  <c r="E498" i="1"/>
  <c r="W497" i="1"/>
  <c r="M497" i="1"/>
  <c r="L497" i="1"/>
  <c r="K497" i="1"/>
  <c r="G497" i="1"/>
  <c r="F497" i="1"/>
  <c r="E497" i="1"/>
  <c r="W496" i="1"/>
  <c r="M496" i="1"/>
  <c r="L496" i="1"/>
  <c r="K496" i="1"/>
  <c r="G496" i="1"/>
  <c r="F496" i="1"/>
  <c r="E496" i="1"/>
  <c r="W495" i="1"/>
  <c r="M495" i="1"/>
  <c r="L495" i="1"/>
  <c r="K495" i="1"/>
  <c r="G495" i="1"/>
  <c r="F495" i="1"/>
  <c r="E495" i="1"/>
  <c r="W494" i="1"/>
  <c r="M494" i="1"/>
  <c r="L494" i="1"/>
  <c r="K494" i="1"/>
  <c r="G494" i="1"/>
  <c r="F494" i="1"/>
  <c r="E494" i="1"/>
  <c r="W493" i="1"/>
  <c r="M493" i="1"/>
  <c r="L493" i="1"/>
  <c r="K493" i="1"/>
  <c r="G493" i="1"/>
  <c r="F493" i="1"/>
  <c r="E493" i="1"/>
  <c r="W492" i="1"/>
  <c r="M492" i="1"/>
  <c r="L492" i="1"/>
  <c r="K492" i="1"/>
  <c r="G492" i="1"/>
  <c r="F492" i="1"/>
  <c r="E492" i="1"/>
  <c r="W491" i="1"/>
  <c r="M491" i="1"/>
  <c r="L491" i="1"/>
  <c r="K491" i="1"/>
  <c r="G491" i="1"/>
  <c r="F491" i="1"/>
  <c r="E491" i="1"/>
  <c r="W490" i="1"/>
  <c r="M490" i="1"/>
  <c r="L490" i="1"/>
  <c r="K490" i="1"/>
  <c r="G490" i="1"/>
  <c r="F490" i="1"/>
  <c r="E490" i="1"/>
  <c r="W489" i="1"/>
  <c r="M489" i="1"/>
  <c r="L489" i="1"/>
  <c r="K489" i="1"/>
  <c r="G489" i="1"/>
  <c r="F489" i="1"/>
  <c r="E489" i="1"/>
  <c r="W488" i="1"/>
  <c r="M488" i="1"/>
  <c r="L488" i="1"/>
  <c r="K488" i="1"/>
  <c r="G488" i="1"/>
  <c r="F488" i="1"/>
  <c r="E488" i="1"/>
  <c r="W487" i="1"/>
  <c r="M487" i="1"/>
  <c r="L487" i="1"/>
  <c r="K487" i="1"/>
  <c r="G487" i="1"/>
  <c r="F487" i="1"/>
  <c r="E487" i="1"/>
  <c r="W486" i="1"/>
  <c r="M486" i="1"/>
  <c r="L486" i="1"/>
  <c r="K486" i="1"/>
  <c r="G486" i="1"/>
  <c r="F486" i="1"/>
  <c r="E486" i="1"/>
  <c r="W485" i="1"/>
  <c r="M485" i="1"/>
  <c r="L485" i="1"/>
  <c r="K485" i="1"/>
  <c r="G485" i="1"/>
  <c r="F485" i="1"/>
  <c r="E485" i="1"/>
  <c r="W484" i="1"/>
  <c r="M484" i="1"/>
  <c r="L484" i="1"/>
  <c r="K484" i="1"/>
  <c r="G484" i="1"/>
  <c r="F484" i="1"/>
  <c r="E484" i="1"/>
  <c r="W483" i="1"/>
  <c r="M483" i="1"/>
  <c r="L483" i="1"/>
  <c r="K483" i="1"/>
  <c r="G483" i="1"/>
  <c r="F483" i="1"/>
  <c r="E483" i="1"/>
  <c r="W482" i="1"/>
  <c r="M482" i="1"/>
  <c r="L482" i="1"/>
  <c r="K482" i="1"/>
  <c r="G482" i="1"/>
  <c r="F482" i="1"/>
  <c r="E482" i="1"/>
  <c r="W481" i="1"/>
  <c r="M481" i="1"/>
  <c r="L481" i="1"/>
  <c r="K481" i="1"/>
  <c r="G481" i="1"/>
  <c r="F481" i="1"/>
  <c r="E481" i="1"/>
  <c r="W480" i="1"/>
  <c r="M480" i="1"/>
  <c r="L480" i="1"/>
  <c r="K480" i="1"/>
  <c r="G480" i="1"/>
  <c r="F480" i="1"/>
  <c r="E480" i="1"/>
  <c r="W479" i="1"/>
  <c r="M479" i="1"/>
  <c r="L479" i="1"/>
  <c r="K479" i="1"/>
  <c r="G479" i="1"/>
  <c r="F479" i="1"/>
  <c r="E479" i="1"/>
  <c r="W478" i="1"/>
  <c r="M478" i="1"/>
  <c r="L478" i="1"/>
  <c r="K478" i="1"/>
  <c r="G478" i="1"/>
  <c r="F478" i="1"/>
  <c r="E478" i="1"/>
  <c r="W477" i="1"/>
  <c r="M477" i="1"/>
  <c r="L477" i="1"/>
  <c r="K477" i="1"/>
  <c r="G477" i="1"/>
  <c r="F477" i="1"/>
  <c r="E477" i="1"/>
  <c r="W476" i="1"/>
  <c r="M476" i="1"/>
  <c r="L476" i="1"/>
  <c r="K476" i="1"/>
  <c r="G476" i="1"/>
  <c r="F476" i="1"/>
  <c r="E476" i="1"/>
  <c r="W475" i="1"/>
  <c r="M475" i="1"/>
  <c r="L475" i="1"/>
  <c r="K475" i="1"/>
  <c r="G475" i="1"/>
  <c r="F475" i="1"/>
  <c r="E475" i="1"/>
  <c r="W474" i="1"/>
  <c r="M474" i="1"/>
  <c r="L474" i="1"/>
  <c r="K474" i="1"/>
  <c r="G474" i="1"/>
  <c r="F474" i="1"/>
  <c r="E474" i="1"/>
  <c r="W473" i="1"/>
  <c r="M473" i="1"/>
  <c r="L473" i="1"/>
  <c r="K473" i="1"/>
  <c r="G473" i="1"/>
  <c r="F473" i="1"/>
  <c r="E473" i="1"/>
  <c r="W472" i="1"/>
  <c r="M472" i="1"/>
  <c r="L472" i="1"/>
  <c r="K472" i="1"/>
  <c r="G472" i="1"/>
  <c r="F472" i="1"/>
  <c r="E472" i="1"/>
  <c r="W471" i="1"/>
  <c r="M471" i="1"/>
  <c r="L471" i="1"/>
  <c r="K471" i="1"/>
  <c r="G471" i="1"/>
  <c r="F471" i="1"/>
  <c r="E471" i="1"/>
  <c r="W470" i="1"/>
  <c r="M470" i="1"/>
  <c r="L470" i="1"/>
  <c r="K470" i="1"/>
  <c r="G470" i="1"/>
  <c r="F470" i="1"/>
  <c r="E470" i="1"/>
  <c r="W469" i="1"/>
  <c r="M469" i="1"/>
  <c r="L469" i="1"/>
  <c r="K469" i="1"/>
  <c r="G469" i="1"/>
  <c r="F469" i="1"/>
  <c r="E469" i="1"/>
  <c r="W468" i="1"/>
  <c r="M468" i="1"/>
  <c r="L468" i="1"/>
  <c r="K468" i="1"/>
  <c r="G468" i="1"/>
  <c r="F468" i="1"/>
  <c r="E468" i="1"/>
  <c r="W467" i="1"/>
  <c r="M467" i="1"/>
  <c r="L467" i="1"/>
  <c r="K467" i="1"/>
  <c r="G467" i="1"/>
  <c r="F467" i="1"/>
  <c r="E467" i="1"/>
  <c r="W466" i="1"/>
  <c r="M466" i="1"/>
  <c r="L466" i="1"/>
  <c r="K466" i="1"/>
  <c r="G466" i="1"/>
  <c r="F466" i="1"/>
  <c r="E466" i="1"/>
  <c r="W465" i="1"/>
  <c r="M465" i="1"/>
  <c r="L465" i="1"/>
  <c r="K465" i="1"/>
  <c r="G465" i="1"/>
  <c r="F465" i="1"/>
  <c r="E465" i="1"/>
  <c r="W464" i="1"/>
  <c r="M464" i="1"/>
  <c r="L464" i="1"/>
  <c r="K464" i="1"/>
  <c r="G464" i="1"/>
  <c r="F464" i="1"/>
  <c r="E464" i="1"/>
  <c r="W463" i="1"/>
  <c r="M463" i="1"/>
  <c r="L463" i="1"/>
  <c r="K463" i="1"/>
  <c r="G463" i="1"/>
  <c r="F463" i="1"/>
  <c r="E463" i="1"/>
  <c r="W462" i="1"/>
  <c r="M462" i="1"/>
  <c r="L462" i="1"/>
  <c r="K462" i="1"/>
  <c r="G462" i="1"/>
  <c r="F462" i="1"/>
  <c r="E462" i="1"/>
  <c r="W461" i="1"/>
  <c r="M461" i="1"/>
  <c r="L461" i="1"/>
  <c r="K461" i="1"/>
  <c r="G461" i="1"/>
  <c r="F461" i="1"/>
  <c r="E461" i="1"/>
  <c r="W460" i="1"/>
  <c r="M460" i="1"/>
  <c r="L460" i="1"/>
  <c r="K460" i="1"/>
  <c r="G460" i="1"/>
  <c r="F460" i="1"/>
  <c r="E460" i="1"/>
  <c r="W459" i="1"/>
  <c r="M459" i="1"/>
  <c r="L459" i="1"/>
  <c r="K459" i="1"/>
  <c r="G459" i="1"/>
  <c r="F459" i="1"/>
  <c r="E459" i="1"/>
  <c r="W458" i="1"/>
  <c r="M458" i="1"/>
  <c r="L458" i="1"/>
  <c r="K458" i="1"/>
  <c r="G458" i="1"/>
  <c r="F458" i="1"/>
  <c r="E458" i="1"/>
  <c r="W457" i="1"/>
  <c r="M457" i="1"/>
  <c r="L457" i="1"/>
  <c r="K457" i="1"/>
  <c r="G457" i="1"/>
  <c r="F457" i="1"/>
  <c r="E457" i="1"/>
  <c r="W456" i="1"/>
  <c r="M456" i="1"/>
  <c r="L456" i="1"/>
  <c r="K456" i="1"/>
  <c r="G456" i="1"/>
  <c r="F456" i="1"/>
  <c r="E456" i="1"/>
  <c r="W455" i="1"/>
  <c r="M455" i="1"/>
  <c r="L455" i="1"/>
  <c r="K455" i="1"/>
  <c r="G455" i="1"/>
  <c r="F455" i="1"/>
  <c r="E455" i="1"/>
  <c r="W454" i="1"/>
  <c r="M454" i="1"/>
  <c r="L454" i="1"/>
  <c r="K454" i="1"/>
  <c r="G454" i="1"/>
  <c r="F454" i="1"/>
  <c r="E454" i="1"/>
  <c r="W453" i="1"/>
  <c r="M453" i="1"/>
  <c r="L453" i="1"/>
  <c r="K453" i="1"/>
  <c r="G453" i="1"/>
  <c r="F453" i="1"/>
  <c r="E453" i="1"/>
  <c r="W452" i="1"/>
  <c r="M452" i="1"/>
  <c r="L452" i="1"/>
  <c r="K452" i="1"/>
  <c r="G452" i="1"/>
  <c r="F452" i="1"/>
  <c r="E452" i="1"/>
  <c r="W451" i="1"/>
  <c r="M451" i="1"/>
  <c r="L451" i="1"/>
  <c r="K451" i="1"/>
  <c r="G451" i="1"/>
  <c r="F451" i="1"/>
  <c r="E451" i="1"/>
  <c r="W450" i="1"/>
  <c r="M450" i="1"/>
  <c r="L450" i="1"/>
  <c r="K450" i="1"/>
  <c r="G450" i="1"/>
  <c r="F450" i="1"/>
  <c r="E450" i="1"/>
  <c r="W449" i="1"/>
  <c r="M449" i="1"/>
  <c r="L449" i="1"/>
  <c r="K449" i="1"/>
  <c r="G449" i="1"/>
  <c r="F449" i="1"/>
  <c r="E449" i="1"/>
  <c r="W448" i="1"/>
  <c r="M448" i="1"/>
  <c r="L448" i="1"/>
  <c r="K448" i="1"/>
  <c r="G448" i="1"/>
  <c r="F448" i="1"/>
  <c r="E448" i="1"/>
  <c r="W447" i="1"/>
  <c r="M447" i="1"/>
  <c r="L447" i="1"/>
  <c r="K447" i="1"/>
  <c r="G447" i="1"/>
  <c r="F447" i="1"/>
  <c r="E447" i="1"/>
  <c r="W446" i="1"/>
  <c r="M446" i="1"/>
  <c r="L446" i="1"/>
  <c r="K446" i="1"/>
  <c r="G446" i="1"/>
  <c r="F446" i="1"/>
  <c r="E446" i="1"/>
  <c r="W445" i="1"/>
  <c r="M445" i="1"/>
  <c r="L445" i="1"/>
  <c r="K445" i="1"/>
  <c r="G445" i="1"/>
  <c r="F445" i="1"/>
  <c r="E445" i="1"/>
  <c r="W444" i="1"/>
  <c r="M444" i="1"/>
  <c r="L444" i="1"/>
  <c r="K444" i="1"/>
  <c r="G444" i="1"/>
  <c r="F444" i="1"/>
  <c r="E444" i="1"/>
  <c r="W443" i="1"/>
  <c r="M443" i="1"/>
  <c r="L443" i="1"/>
  <c r="K443" i="1"/>
  <c r="G443" i="1"/>
  <c r="F443" i="1"/>
  <c r="E443" i="1"/>
  <c r="W442" i="1"/>
  <c r="M442" i="1"/>
  <c r="L442" i="1"/>
  <c r="K442" i="1"/>
  <c r="G442" i="1"/>
  <c r="F442" i="1"/>
  <c r="E442" i="1"/>
  <c r="W441" i="1"/>
  <c r="M441" i="1"/>
  <c r="L441" i="1"/>
  <c r="K441" i="1"/>
  <c r="G441" i="1"/>
  <c r="F441" i="1"/>
  <c r="E441" i="1"/>
  <c r="W440" i="1"/>
  <c r="M440" i="1"/>
  <c r="L440" i="1"/>
  <c r="K440" i="1"/>
  <c r="G440" i="1"/>
  <c r="F440" i="1"/>
  <c r="E440" i="1"/>
  <c r="W439" i="1"/>
  <c r="M439" i="1"/>
  <c r="L439" i="1"/>
  <c r="K439" i="1"/>
  <c r="G439" i="1"/>
  <c r="F439" i="1"/>
  <c r="E439" i="1"/>
  <c r="W438" i="1"/>
  <c r="M438" i="1"/>
  <c r="L438" i="1"/>
  <c r="K438" i="1"/>
  <c r="G438" i="1"/>
  <c r="F438" i="1"/>
  <c r="E438" i="1"/>
  <c r="W437" i="1"/>
  <c r="M437" i="1"/>
  <c r="L437" i="1"/>
  <c r="K437" i="1"/>
  <c r="G437" i="1"/>
  <c r="F437" i="1"/>
  <c r="E437" i="1"/>
  <c r="W436" i="1"/>
  <c r="M436" i="1"/>
  <c r="L436" i="1"/>
  <c r="K436" i="1"/>
  <c r="G436" i="1"/>
  <c r="F436" i="1"/>
  <c r="E436" i="1"/>
  <c r="W435" i="1"/>
  <c r="M435" i="1"/>
  <c r="L435" i="1"/>
  <c r="K435" i="1"/>
  <c r="G435" i="1"/>
  <c r="F435" i="1"/>
  <c r="E435" i="1"/>
  <c r="W434" i="1"/>
  <c r="M434" i="1"/>
  <c r="L434" i="1"/>
  <c r="K434" i="1"/>
  <c r="G434" i="1"/>
  <c r="F434" i="1"/>
  <c r="E434" i="1"/>
  <c r="W433" i="1"/>
  <c r="M433" i="1"/>
  <c r="L433" i="1"/>
  <c r="K433" i="1"/>
  <c r="G433" i="1"/>
  <c r="F433" i="1"/>
  <c r="E433" i="1"/>
  <c r="W432" i="1"/>
  <c r="M432" i="1"/>
  <c r="L432" i="1"/>
  <c r="K432" i="1"/>
  <c r="G432" i="1"/>
  <c r="F432" i="1"/>
  <c r="E432" i="1"/>
  <c r="W431" i="1"/>
  <c r="M431" i="1"/>
  <c r="L431" i="1"/>
  <c r="K431" i="1"/>
  <c r="G431" i="1"/>
  <c r="F431" i="1"/>
  <c r="E431" i="1"/>
  <c r="W430" i="1"/>
  <c r="M430" i="1"/>
  <c r="L430" i="1"/>
  <c r="K430" i="1"/>
  <c r="G430" i="1"/>
  <c r="F430" i="1"/>
  <c r="E430" i="1"/>
  <c r="W429" i="1"/>
  <c r="M429" i="1"/>
  <c r="L429" i="1"/>
  <c r="K429" i="1"/>
  <c r="G429" i="1"/>
  <c r="F429" i="1"/>
  <c r="E429" i="1"/>
  <c r="W428" i="1"/>
  <c r="M428" i="1"/>
  <c r="L428" i="1"/>
  <c r="K428" i="1"/>
  <c r="G428" i="1"/>
  <c r="F428" i="1"/>
  <c r="E428" i="1"/>
  <c r="W427" i="1"/>
  <c r="M427" i="1"/>
  <c r="L427" i="1"/>
  <c r="K427" i="1"/>
  <c r="G427" i="1"/>
  <c r="F427" i="1"/>
  <c r="E427" i="1"/>
  <c r="W426" i="1"/>
  <c r="M426" i="1"/>
  <c r="L426" i="1"/>
  <c r="K426" i="1"/>
  <c r="G426" i="1"/>
  <c r="F426" i="1"/>
  <c r="E426" i="1"/>
  <c r="W425" i="1"/>
  <c r="M425" i="1"/>
  <c r="L425" i="1"/>
  <c r="K425" i="1"/>
  <c r="G425" i="1"/>
  <c r="F425" i="1"/>
  <c r="E425" i="1"/>
  <c r="W424" i="1"/>
  <c r="M424" i="1"/>
  <c r="L424" i="1"/>
  <c r="K424" i="1"/>
  <c r="G424" i="1"/>
  <c r="F424" i="1"/>
  <c r="E424" i="1"/>
  <c r="W423" i="1"/>
  <c r="M423" i="1"/>
  <c r="L423" i="1"/>
  <c r="K423" i="1"/>
  <c r="G423" i="1"/>
  <c r="F423" i="1"/>
  <c r="E423" i="1"/>
  <c r="W422" i="1"/>
  <c r="M422" i="1"/>
  <c r="L422" i="1"/>
  <c r="K422" i="1"/>
  <c r="G422" i="1"/>
  <c r="F422" i="1"/>
  <c r="E422" i="1"/>
  <c r="W421" i="1"/>
  <c r="M421" i="1"/>
  <c r="L421" i="1"/>
  <c r="K421" i="1"/>
  <c r="G421" i="1"/>
  <c r="F421" i="1"/>
  <c r="E421" i="1"/>
  <c r="W420" i="1"/>
  <c r="M420" i="1"/>
  <c r="L420" i="1"/>
  <c r="K420" i="1"/>
  <c r="G420" i="1"/>
  <c r="F420" i="1"/>
  <c r="E420" i="1"/>
  <c r="W419" i="1"/>
  <c r="M419" i="1"/>
  <c r="L419" i="1"/>
  <c r="K419" i="1"/>
  <c r="G419" i="1"/>
  <c r="F419" i="1"/>
  <c r="E419" i="1"/>
  <c r="W418" i="1"/>
  <c r="M418" i="1"/>
  <c r="L418" i="1"/>
  <c r="K418" i="1"/>
  <c r="G418" i="1"/>
  <c r="F418" i="1"/>
  <c r="E418" i="1"/>
  <c r="W417" i="1"/>
  <c r="M417" i="1"/>
  <c r="L417" i="1"/>
  <c r="K417" i="1"/>
  <c r="G417" i="1"/>
  <c r="F417" i="1"/>
  <c r="E417" i="1"/>
  <c r="W416" i="1"/>
  <c r="M416" i="1"/>
  <c r="L416" i="1"/>
  <c r="K416" i="1"/>
  <c r="G416" i="1"/>
  <c r="F416" i="1"/>
  <c r="E416" i="1"/>
  <c r="W415" i="1"/>
  <c r="M415" i="1"/>
  <c r="L415" i="1"/>
  <c r="K415" i="1"/>
  <c r="G415" i="1"/>
  <c r="F415" i="1"/>
  <c r="E415" i="1"/>
  <c r="W414" i="1"/>
  <c r="M414" i="1"/>
  <c r="L414" i="1"/>
  <c r="K414" i="1"/>
  <c r="G414" i="1"/>
  <c r="F414" i="1"/>
  <c r="E414" i="1"/>
  <c r="W413" i="1"/>
  <c r="M413" i="1"/>
  <c r="L413" i="1"/>
  <c r="K413" i="1"/>
  <c r="G413" i="1"/>
  <c r="F413" i="1"/>
  <c r="E413" i="1"/>
  <c r="W412" i="1"/>
  <c r="M412" i="1"/>
  <c r="L412" i="1"/>
  <c r="K412" i="1"/>
  <c r="G412" i="1"/>
  <c r="F412" i="1"/>
  <c r="E412" i="1"/>
  <c r="W411" i="1"/>
  <c r="M411" i="1"/>
  <c r="L411" i="1"/>
  <c r="K411" i="1"/>
  <c r="G411" i="1"/>
  <c r="F411" i="1"/>
  <c r="E411" i="1"/>
  <c r="W410" i="1"/>
  <c r="M410" i="1"/>
  <c r="L410" i="1"/>
  <c r="K410" i="1"/>
  <c r="G410" i="1"/>
  <c r="F410" i="1"/>
  <c r="E410" i="1"/>
  <c r="W409" i="1"/>
  <c r="M409" i="1"/>
  <c r="L409" i="1"/>
  <c r="K409" i="1"/>
  <c r="G409" i="1"/>
  <c r="F409" i="1"/>
  <c r="E409" i="1"/>
  <c r="W408" i="1"/>
  <c r="M408" i="1"/>
  <c r="L408" i="1"/>
  <c r="K408" i="1"/>
  <c r="G408" i="1"/>
  <c r="F408" i="1"/>
  <c r="E408" i="1"/>
  <c r="W407" i="1"/>
  <c r="M407" i="1"/>
  <c r="L407" i="1"/>
  <c r="K407" i="1"/>
  <c r="G407" i="1"/>
  <c r="F407" i="1"/>
  <c r="E407" i="1"/>
  <c r="W406" i="1"/>
  <c r="M406" i="1"/>
  <c r="L406" i="1"/>
  <c r="K406" i="1"/>
  <c r="G406" i="1"/>
  <c r="F406" i="1"/>
  <c r="E406" i="1"/>
  <c r="W405" i="1"/>
  <c r="M405" i="1"/>
  <c r="L405" i="1"/>
  <c r="K405" i="1"/>
  <c r="G405" i="1"/>
  <c r="F405" i="1"/>
  <c r="E405" i="1"/>
  <c r="W404" i="1"/>
  <c r="M404" i="1"/>
  <c r="L404" i="1"/>
  <c r="K404" i="1"/>
  <c r="G404" i="1"/>
  <c r="F404" i="1"/>
  <c r="E404" i="1"/>
  <c r="W403" i="1"/>
  <c r="M403" i="1"/>
  <c r="L403" i="1"/>
  <c r="K403" i="1"/>
  <c r="G403" i="1"/>
  <c r="F403" i="1"/>
  <c r="E403" i="1"/>
  <c r="W402" i="1"/>
  <c r="M402" i="1"/>
  <c r="L402" i="1"/>
  <c r="K402" i="1"/>
  <c r="G402" i="1"/>
  <c r="F402" i="1"/>
  <c r="E402" i="1"/>
  <c r="W401" i="1"/>
  <c r="M401" i="1"/>
  <c r="L401" i="1"/>
  <c r="K401" i="1"/>
  <c r="G401" i="1"/>
  <c r="F401" i="1"/>
  <c r="E401" i="1"/>
  <c r="W400" i="1"/>
  <c r="M400" i="1"/>
  <c r="L400" i="1"/>
  <c r="K400" i="1"/>
  <c r="G400" i="1"/>
  <c r="F400" i="1"/>
  <c r="E400" i="1"/>
  <c r="W399" i="1"/>
  <c r="M399" i="1"/>
  <c r="L399" i="1"/>
  <c r="K399" i="1"/>
  <c r="G399" i="1"/>
  <c r="F399" i="1"/>
  <c r="E399" i="1"/>
  <c r="W398" i="1"/>
  <c r="M398" i="1"/>
  <c r="L398" i="1"/>
  <c r="K398" i="1"/>
  <c r="G398" i="1"/>
  <c r="F398" i="1"/>
  <c r="E398" i="1"/>
  <c r="W397" i="1"/>
  <c r="M397" i="1"/>
  <c r="L397" i="1"/>
  <c r="K397" i="1"/>
  <c r="G397" i="1"/>
  <c r="F397" i="1"/>
  <c r="E397" i="1"/>
  <c r="W396" i="1"/>
  <c r="M396" i="1"/>
  <c r="L396" i="1"/>
  <c r="K396" i="1"/>
  <c r="G396" i="1"/>
  <c r="F396" i="1"/>
  <c r="E396" i="1"/>
  <c r="W395" i="1"/>
  <c r="M395" i="1"/>
  <c r="L395" i="1"/>
  <c r="K395" i="1"/>
  <c r="G395" i="1"/>
  <c r="F395" i="1"/>
  <c r="E395" i="1"/>
  <c r="W394" i="1"/>
  <c r="M394" i="1"/>
  <c r="L394" i="1"/>
  <c r="K394" i="1"/>
  <c r="G394" i="1"/>
  <c r="F394" i="1"/>
  <c r="E394" i="1"/>
  <c r="W393" i="1"/>
  <c r="M393" i="1"/>
  <c r="L393" i="1"/>
  <c r="K393" i="1"/>
  <c r="G393" i="1"/>
  <c r="F393" i="1"/>
  <c r="E393" i="1"/>
  <c r="W392" i="1"/>
  <c r="M392" i="1"/>
  <c r="L392" i="1"/>
  <c r="K392" i="1"/>
  <c r="G392" i="1"/>
  <c r="F392" i="1"/>
  <c r="E392" i="1"/>
  <c r="W391" i="1"/>
  <c r="M391" i="1"/>
  <c r="L391" i="1"/>
  <c r="K391" i="1"/>
  <c r="G391" i="1"/>
  <c r="F391" i="1"/>
  <c r="E391" i="1"/>
  <c r="W390" i="1"/>
  <c r="M390" i="1"/>
  <c r="L390" i="1"/>
  <c r="K390" i="1"/>
  <c r="G390" i="1"/>
  <c r="F390" i="1"/>
  <c r="E390" i="1"/>
  <c r="W389" i="1"/>
  <c r="M389" i="1"/>
  <c r="L389" i="1"/>
  <c r="K389" i="1"/>
  <c r="G389" i="1"/>
  <c r="F389" i="1"/>
  <c r="E389" i="1"/>
  <c r="W388" i="1"/>
  <c r="M388" i="1"/>
  <c r="L388" i="1"/>
  <c r="K388" i="1"/>
  <c r="G388" i="1"/>
  <c r="F388" i="1"/>
  <c r="E388" i="1"/>
  <c r="W387" i="1"/>
  <c r="M387" i="1"/>
  <c r="L387" i="1"/>
  <c r="K387" i="1"/>
  <c r="G387" i="1"/>
  <c r="F387" i="1"/>
  <c r="E387" i="1"/>
  <c r="W386" i="1"/>
  <c r="M386" i="1"/>
  <c r="L386" i="1"/>
  <c r="K386" i="1"/>
  <c r="G386" i="1"/>
  <c r="F386" i="1"/>
  <c r="E386" i="1"/>
  <c r="W385" i="1"/>
  <c r="M385" i="1"/>
  <c r="L385" i="1"/>
  <c r="K385" i="1"/>
  <c r="G385" i="1"/>
  <c r="F385" i="1"/>
  <c r="E385" i="1"/>
  <c r="W384" i="1"/>
  <c r="M384" i="1"/>
  <c r="L384" i="1"/>
  <c r="K384" i="1"/>
  <c r="G384" i="1"/>
  <c r="F384" i="1"/>
  <c r="E384" i="1"/>
  <c r="W383" i="1"/>
  <c r="M383" i="1"/>
  <c r="L383" i="1"/>
  <c r="K383" i="1"/>
  <c r="G383" i="1"/>
  <c r="F383" i="1"/>
  <c r="E383" i="1"/>
  <c r="W382" i="1"/>
  <c r="M382" i="1"/>
  <c r="L382" i="1"/>
  <c r="K382" i="1"/>
  <c r="G382" i="1"/>
  <c r="F382" i="1"/>
  <c r="E382" i="1"/>
  <c r="W381" i="1"/>
  <c r="M381" i="1"/>
  <c r="L381" i="1"/>
  <c r="K381" i="1"/>
  <c r="G381" i="1"/>
  <c r="F381" i="1"/>
  <c r="E381" i="1"/>
  <c r="W380" i="1"/>
  <c r="M380" i="1"/>
  <c r="L380" i="1"/>
  <c r="K380" i="1"/>
  <c r="G380" i="1"/>
  <c r="F380" i="1"/>
  <c r="E380" i="1"/>
  <c r="W379" i="1"/>
  <c r="M379" i="1"/>
  <c r="L379" i="1"/>
  <c r="K379" i="1"/>
  <c r="G379" i="1"/>
  <c r="F379" i="1"/>
  <c r="E379" i="1"/>
  <c r="W378" i="1"/>
  <c r="M378" i="1"/>
  <c r="L378" i="1"/>
  <c r="K378" i="1"/>
  <c r="G378" i="1"/>
  <c r="F378" i="1"/>
  <c r="E378" i="1"/>
  <c r="W377" i="1"/>
  <c r="M377" i="1"/>
  <c r="L377" i="1"/>
  <c r="K377" i="1"/>
  <c r="G377" i="1"/>
  <c r="F377" i="1"/>
  <c r="E377" i="1"/>
  <c r="W376" i="1"/>
  <c r="M376" i="1"/>
  <c r="L376" i="1"/>
  <c r="K376" i="1"/>
  <c r="G376" i="1"/>
  <c r="F376" i="1"/>
  <c r="E376" i="1"/>
  <c r="W375" i="1"/>
  <c r="M375" i="1"/>
  <c r="L375" i="1"/>
  <c r="K375" i="1"/>
  <c r="G375" i="1"/>
  <c r="F375" i="1"/>
  <c r="E375" i="1"/>
  <c r="W374" i="1"/>
  <c r="M374" i="1"/>
  <c r="L374" i="1"/>
  <c r="K374" i="1"/>
  <c r="G374" i="1"/>
  <c r="F374" i="1"/>
  <c r="E374" i="1"/>
  <c r="W373" i="1"/>
  <c r="M373" i="1"/>
  <c r="L373" i="1"/>
  <c r="K373" i="1"/>
  <c r="G373" i="1"/>
  <c r="F373" i="1"/>
  <c r="E373" i="1"/>
  <c r="W372" i="1"/>
  <c r="M372" i="1"/>
  <c r="L372" i="1"/>
  <c r="K372" i="1"/>
  <c r="G372" i="1"/>
  <c r="F372" i="1"/>
  <c r="E372" i="1"/>
  <c r="W371" i="1"/>
  <c r="M371" i="1"/>
  <c r="L371" i="1"/>
  <c r="K371" i="1"/>
  <c r="G371" i="1"/>
  <c r="F371" i="1"/>
  <c r="E371" i="1"/>
  <c r="W370" i="1"/>
  <c r="M370" i="1"/>
  <c r="L370" i="1"/>
  <c r="K370" i="1"/>
  <c r="G370" i="1"/>
  <c r="F370" i="1"/>
  <c r="E370" i="1"/>
  <c r="W369" i="1"/>
  <c r="M369" i="1"/>
  <c r="L369" i="1"/>
  <c r="K369" i="1"/>
  <c r="G369" i="1"/>
  <c r="F369" i="1"/>
  <c r="E369" i="1"/>
  <c r="W368" i="1"/>
  <c r="M368" i="1"/>
  <c r="L368" i="1"/>
  <c r="K368" i="1"/>
  <c r="G368" i="1"/>
  <c r="F368" i="1"/>
  <c r="E368" i="1"/>
  <c r="W367" i="1"/>
  <c r="M367" i="1"/>
  <c r="L367" i="1"/>
  <c r="K367" i="1"/>
  <c r="G367" i="1"/>
  <c r="F367" i="1"/>
  <c r="E367" i="1"/>
  <c r="W366" i="1"/>
  <c r="M366" i="1"/>
  <c r="L366" i="1"/>
  <c r="K366" i="1"/>
  <c r="G366" i="1"/>
  <c r="F366" i="1"/>
  <c r="E366" i="1"/>
  <c r="W365" i="1"/>
  <c r="M365" i="1"/>
  <c r="L365" i="1"/>
  <c r="K365" i="1"/>
  <c r="G365" i="1"/>
  <c r="F365" i="1"/>
  <c r="E365" i="1"/>
  <c r="W364" i="1"/>
  <c r="M364" i="1"/>
  <c r="L364" i="1"/>
  <c r="K364" i="1"/>
  <c r="G364" i="1"/>
  <c r="F364" i="1"/>
  <c r="E364" i="1"/>
  <c r="W363" i="1"/>
  <c r="M363" i="1"/>
  <c r="L363" i="1"/>
  <c r="K363" i="1"/>
  <c r="G363" i="1"/>
  <c r="F363" i="1"/>
  <c r="E363" i="1"/>
  <c r="W362" i="1"/>
  <c r="M362" i="1"/>
  <c r="L362" i="1"/>
  <c r="K362" i="1"/>
  <c r="G362" i="1"/>
  <c r="F362" i="1"/>
  <c r="E362" i="1"/>
  <c r="W361" i="1"/>
  <c r="M361" i="1"/>
  <c r="L361" i="1"/>
  <c r="K361" i="1"/>
  <c r="G361" i="1"/>
  <c r="F361" i="1"/>
  <c r="E361" i="1"/>
  <c r="W360" i="1"/>
  <c r="M360" i="1"/>
  <c r="L360" i="1"/>
  <c r="K360" i="1"/>
  <c r="G360" i="1"/>
  <c r="F360" i="1"/>
  <c r="E360" i="1"/>
  <c r="W359" i="1"/>
  <c r="M359" i="1"/>
  <c r="L359" i="1"/>
  <c r="K359" i="1"/>
  <c r="G359" i="1"/>
  <c r="F359" i="1"/>
  <c r="E359" i="1"/>
  <c r="W358" i="1"/>
  <c r="M358" i="1"/>
  <c r="L358" i="1"/>
  <c r="K358" i="1"/>
  <c r="G358" i="1"/>
  <c r="F358" i="1"/>
  <c r="E358" i="1"/>
  <c r="W357" i="1"/>
  <c r="M357" i="1"/>
  <c r="L357" i="1"/>
  <c r="K357" i="1"/>
  <c r="G357" i="1"/>
  <c r="F357" i="1"/>
  <c r="E357" i="1"/>
  <c r="W356" i="1"/>
  <c r="M356" i="1"/>
  <c r="L356" i="1"/>
  <c r="K356" i="1"/>
  <c r="G356" i="1"/>
  <c r="F356" i="1"/>
  <c r="E356" i="1"/>
  <c r="W355" i="1"/>
  <c r="M355" i="1"/>
  <c r="L355" i="1"/>
  <c r="K355" i="1"/>
  <c r="G355" i="1"/>
  <c r="F355" i="1"/>
  <c r="E355" i="1"/>
  <c r="W354" i="1"/>
  <c r="M354" i="1"/>
  <c r="L354" i="1"/>
  <c r="K354" i="1"/>
  <c r="G354" i="1"/>
  <c r="F354" i="1"/>
  <c r="E354" i="1"/>
  <c r="W353" i="1"/>
  <c r="M353" i="1"/>
  <c r="L353" i="1"/>
  <c r="K353" i="1"/>
  <c r="G353" i="1"/>
  <c r="F353" i="1"/>
  <c r="E353" i="1"/>
  <c r="W352" i="1"/>
  <c r="M352" i="1"/>
  <c r="L352" i="1"/>
  <c r="K352" i="1"/>
  <c r="G352" i="1"/>
  <c r="F352" i="1"/>
  <c r="E352" i="1"/>
  <c r="W351" i="1"/>
  <c r="M351" i="1"/>
  <c r="L351" i="1"/>
  <c r="K351" i="1"/>
  <c r="G351" i="1"/>
  <c r="F351" i="1"/>
  <c r="E351" i="1"/>
  <c r="W350" i="1"/>
  <c r="M350" i="1"/>
  <c r="L350" i="1"/>
  <c r="K350" i="1"/>
  <c r="G350" i="1"/>
  <c r="F350" i="1"/>
  <c r="E350" i="1"/>
  <c r="W349" i="1"/>
  <c r="M349" i="1"/>
  <c r="L349" i="1"/>
  <c r="K349" i="1"/>
  <c r="G349" i="1"/>
  <c r="F349" i="1"/>
  <c r="E349" i="1"/>
  <c r="W348" i="1"/>
  <c r="M348" i="1"/>
  <c r="L348" i="1"/>
  <c r="K348" i="1"/>
  <c r="G348" i="1"/>
  <c r="F348" i="1"/>
  <c r="E348" i="1"/>
  <c r="W347" i="1"/>
  <c r="M347" i="1"/>
  <c r="L347" i="1"/>
  <c r="K347" i="1"/>
  <c r="G347" i="1"/>
  <c r="F347" i="1"/>
  <c r="E347" i="1"/>
  <c r="W346" i="1"/>
  <c r="M346" i="1"/>
  <c r="L346" i="1"/>
  <c r="K346" i="1"/>
  <c r="G346" i="1"/>
  <c r="F346" i="1"/>
  <c r="E346" i="1"/>
  <c r="W345" i="1"/>
  <c r="M345" i="1"/>
  <c r="L345" i="1"/>
  <c r="K345" i="1"/>
  <c r="G345" i="1"/>
  <c r="F345" i="1"/>
  <c r="E345" i="1"/>
  <c r="W344" i="1"/>
  <c r="M344" i="1"/>
  <c r="L344" i="1"/>
  <c r="K344" i="1"/>
  <c r="G344" i="1"/>
  <c r="F344" i="1"/>
  <c r="E344" i="1"/>
  <c r="W343" i="1"/>
  <c r="M343" i="1"/>
  <c r="L343" i="1"/>
  <c r="K343" i="1"/>
  <c r="G343" i="1"/>
  <c r="F343" i="1"/>
  <c r="E343" i="1"/>
  <c r="W342" i="1"/>
  <c r="M342" i="1"/>
  <c r="L342" i="1"/>
  <c r="K342" i="1"/>
  <c r="G342" i="1"/>
  <c r="F342" i="1"/>
  <c r="E342" i="1"/>
  <c r="W341" i="1"/>
  <c r="M341" i="1"/>
  <c r="L341" i="1"/>
  <c r="K341" i="1"/>
  <c r="G341" i="1"/>
  <c r="F341" i="1"/>
  <c r="E341" i="1"/>
  <c r="W340" i="1"/>
  <c r="M340" i="1"/>
  <c r="L340" i="1"/>
  <c r="K340" i="1"/>
  <c r="G340" i="1"/>
  <c r="F340" i="1"/>
  <c r="E340" i="1"/>
  <c r="W339" i="1"/>
  <c r="M339" i="1"/>
  <c r="L339" i="1"/>
  <c r="K339" i="1"/>
  <c r="G339" i="1"/>
  <c r="F339" i="1"/>
  <c r="E339" i="1"/>
  <c r="W338" i="1"/>
  <c r="M338" i="1"/>
  <c r="L338" i="1"/>
  <c r="K338" i="1"/>
  <c r="G338" i="1"/>
  <c r="F338" i="1"/>
  <c r="E338" i="1"/>
  <c r="W337" i="1"/>
  <c r="M337" i="1"/>
  <c r="L337" i="1"/>
  <c r="K337" i="1"/>
  <c r="G337" i="1"/>
  <c r="F337" i="1"/>
  <c r="E337" i="1"/>
  <c r="W336" i="1"/>
  <c r="M336" i="1"/>
  <c r="L336" i="1"/>
  <c r="K336" i="1"/>
  <c r="G336" i="1"/>
  <c r="F336" i="1"/>
  <c r="E336" i="1"/>
  <c r="W335" i="1"/>
  <c r="M335" i="1"/>
  <c r="L335" i="1"/>
  <c r="K335" i="1"/>
  <c r="G335" i="1"/>
  <c r="F335" i="1"/>
  <c r="E335" i="1"/>
  <c r="W334" i="1"/>
  <c r="M334" i="1"/>
  <c r="L334" i="1"/>
  <c r="K334" i="1"/>
  <c r="G334" i="1"/>
  <c r="F334" i="1"/>
  <c r="E334" i="1"/>
  <c r="W333" i="1"/>
  <c r="M333" i="1"/>
  <c r="L333" i="1"/>
  <c r="K333" i="1"/>
  <c r="G333" i="1"/>
  <c r="F333" i="1"/>
  <c r="E333" i="1"/>
  <c r="W332" i="1"/>
  <c r="M332" i="1"/>
  <c r="L332" i="1"/>
  <c r="K332" i="1"/>
  <c r="G332" i="1"/>
  <c r="F332" i="1"/>
  <c r="E332" i="1"/>
  <c r="W331" i="1"/>
  <c r="M331" i="1"/>
  <c r="L331" i="1"/>
  <c r="K331" i="1"/>
  <c r="G331" i="1"/>
  <c r="F331" i="1"/>
  <c r="E331" i="1"/>
  <c r="W330" i="1"/>
  <c r="M330" i="1"/>
  <c r="L330" i="1"/>
  <c r="K330" i="1"/>
  <c r="G330" i="1"/>
  <c r="F330" i="1"/>
  <c r="E330" i="1"/>
  <c r="W329" i="1"/>
  <c r="M329" i="1"/>
  <c r="L329" i="1"/>
  <c r="K329" i="1"/>
  <c r="G329" i="1"/>
  <c r="F329" i="1"/>
  <c r="E329" i="1"/>
  <c r="W328" i="1"/>
  <c r="M328" i="1"/>
  <c r="L328" i="1"/>
  <c r="K328" i="1"/>
  <c r="G328" i="1"/>
  <c r="F328" i="1"/>
  <c r="E328" i="1"/>
  <c r="W327" i="1"/>
  <c r="M327" i="1"/>
  <c r="L327" i="1"/>
  <c r="K327" i="1"/>
  <c r="G327" i="1"/>
  <c r="F327" i="1"/>
  <c r="E327" i="1"/>
  <c r="W326" i="1"/>
  <c r="M326" i="1"/>
  <c r="L326" i="1"/>
  <c r="K326" i="1"/>
  <c r="G326" i="1"/>
  <c r="F326" i="1"/>
  <c r="E326" i="1"/>
  <c r="W325" i="1"/>
  <c r="M325" i="1"/>
  <c r="L325" i="1"/>
  <c r="K325" i="1"/>
  <c r="G325" i="1"/>
  <c r="F325" i="1"/>
  <c r="E325" i="1"/>
  <c r="W324" i="1"/>
  <c r="M324" i="1"/>
  <c r="L324" i="1"/>
  <c r="K324" i="1"/>
  <c r="G324" i="1"/>
  <c r="F324" i="1"/>
  <c r="E324" i="1"/>
  <c r="W323" i="1"/>
  <c r="M323" i="1"/>
  <c r="L323" i="1"/>
  <c r="K323" i="1"/>
  <c r="G323" i="1"/>
  <c r="F323" i="1"/>
  <c r="E323" i="1"/>
  <c r="W322" i="1"/>
  <c r="M322" i="1"/>
  <c r="L322" i="1"/>
  <c r="K322" i="1"/>
  <c r="G322" i="1"/>
  <c r="F322" i="1"/>
  <c r="E322" i="1"/>
  <c r="W321" i="1"/>
  <c r="M321" i="1"/>
  <c r="L321" i="1"/>
  <c r="K321" i="1"/>
  <c r="G321" i="1"/>
  <c r="F321" i="1"/>
  <c r="E321" i="1"/>
  <c r="W320" i="1"/>
  <c r="M320" i="1"/>
  <c r="L320" i="1"/>
  <c r="K320" i="1"/>
  <c r="G320" i="1"/>
  <c r="F320" i="1"/>
  <c r="E320" i="1"/>
  <c r="W319" i="1"/>
  <c r="M319" i="1"/>
  <c r="L319" i="1"/>
  <c r="K319" i="1"/>
  <c r="G319" i="1"/>
  <c r="F319" i="1"/>
  <c r="E319" i="1"/>
  <c r="W318" i="1"/>
  <c r="M318" i="1"/>
  <c r="L318" i="1"/>
  <c r="K318" i="1"/>
  <c r="G318" i="1"/>
  <c r="F318" i="1"/>
  <c r="E318" i="1"/>
  <c r="W317" i="1"/>
  <c r="M317" i="1"/>
  <c r="L317" i="1"/>
  <c r="K317" i="1"/>
  <c r="G317" i="1"/>
  <c r="F317" i="1"/>
  <c r="E317" i="1"/>
  <c r="W316" i="1"/>
  <c r="M316" i="1"/>
  <c r="L316" i="1"/>
  <c r="K316" i="1"/>
  <c r="G316" i="1"/>
  <c r="F316" i="1"/>
  <c r="E316" i="1"/>
  <c r="W315" i="1"/>
  <c r="M315" i="1"/>
  <c r="L315" i="1"/>
  <c r="K315" i="1"/>
  <c r="G315" i="1"/>
  <c r="F315" i="1"/>
  <c r="E315" i="1"/>
  <c r="W314" i="1"/>
  <c r="M314" i="1"/>
  <c r="L314" i="1"/>
  <c r="K314" i="1"/>
  <c r="G314" i="1"/>
  <c r="F314" i="1"/>
  <c r="E314" i="1"/>
  <c r="W313" i="1"/>
  <c r="M313" i="1"/>
  <c r="L313" i="1"/>
  <c r="K313" i="1"/>
  <c r="G313" i="1"/>
  <c r="F313" i="1"/>
  <c r="E313" i="1"/>
  <c r="W312" i="1"/>
  <c r="M312" i="1"/>
  <c r="L312" i="1"/>
  <c r="K312" i="1"/>
  <c r="G312" i="1"/>
  <c r="F312" i="1"/>
  <c r="E312" i="1"/>
  <c r="W311" i="1"/>
  <c r="M311" i="1"/>
  <c r="L311" i="1"/>
  <c r="K311" i="1"/>
  <c r="G311" i="1"/>
  <c r="F311" i="1"/>
  <c r="E311" i="1"/>
  <c r="W310" i="1"/>
  <c r="M310" i="1"/>
  <c r="L310" i="1"/>
  <c r="K310" i="1"/>
  <c r="G310" i="1"/>
  <c r="F310" i="1"/>
  <c r="E310" i="1"/>
  <c r="W309" i="1"/>
  <c r="M309" i="1"/>
  <c r="L309" i="1"/>
  <c r="K309" i="1"/>
  <c r="G309" i="1"/>
  <c r="F309" i="1"/>
  <c r="E309" i="1"/>
  <c r="W308" i="1"/>
  <c r="M308" i="1"/>
  <c r="L308" i="1"/>
  <c r="K308" i="1"/>
  <c r="G308" i="1"/>
  <c r="F308" i="1"/>
  <c r="E308" i="1"/>
  <c r="W307" i="1"/>
  <c r="M307" i="1"/>
  <c r="L307" i="1"/>
  <c r="K307" i="1"/>
  <c r="G307" i="1"/>
  <c r="F307" i="1"/>
  <c r="E307" i="1"/>
  <c r="W306" i="1"/>
  <c r="M306" i="1"/>
  <c r="L306" i="1"/>
  <c r="K306" i="1"/>
  <c r="G306" i="1"/>
  <c r="F306" i="1"/>
  <c r="E306" i="1"/>
  <c r="W305" i="1"/>
  <c r="M305" i="1"/>
  <c r="L305" i="1"/>
  <c r="K305" i="1"/>
  <c r="G305" i="1"/>
  <c r="F305" i="1"/>
  <c r="E305" i="1"/>
  <c r="W304" i="1"/>
  <c r="M304" i="1"/>
  <c r="L304" i="1"/>
  <c r="K304" i="1"/>
  <c r="G304" i="1"/>
  <c r="F304" i="1"/>
  <c r="E304" i="1"/>
  <c r="W303" i="1"/>
  <c r="M303" i="1"/>
  <c r="L303" i="1"/>
  <c r="K303" i="1"/>
  <c r="G303" i="1"/>
  <c r="F303" i="1"/>
  <c r="E303" i="1"/>
  <c r="W302" i="1"/>
  <c r="M302" i="1"/>
  <c r="L302" i="1"/>
  <c r="K302" i="1"/>
  <c r="G302" i="1"/>
  <c r="F302" i="1"/>
  <c r="E302" i="1"/>
  <c r="W301" i="1"/>
  <c r="M301" i="1"/>
  <c r="L301" i="1"/>
  <c r="K301" i="1"/>
  <c r="G301" i="1"/>
  <c r="F301" i="1"/>
  <c r="E301" i="1"/>
  <c r="W300" i="1"/>
  <c r="M300" i="1"/>
  <c r="L300" i="1"/>
  <c r="K300" i="1"/>
  <c r="G300" i="1"/>
  <c r="F300" i="1"/>
  <c r="E300" i="1"/>
  <c r="W299" i="1"/>
  <c r="M299" i="1"/>
  <c r="L299" i="1"/>
  <c r="K299" i="1"/>
  <c r="G299" i="1"/>
  <c r="F299" i="1"/>
  <c r="E299" i="1"/>
  <c r="W298" i="1"/>
  <c r="M298" i="1"/>
  <c r="L298" i="1"/>
  <c r="K298" i="1"/>
  <c r="G298" i="1"/>
  <c r="F298" i="1"/>
  <c r="E298" i="1"/>
  <c r="W297" i="1"/>
  <c r="M297" i="1"/>
  <c r="L297" i="1"/>
  <c r="K297" i="1"/>
  <c r="G297" i="1"/>
  <c r="F297" i="1"/>
  <c r="E297" i="1"/>
  <c r="W296" i="1"/>
  <c r="M296" i="1"/>
  <c r="L296" i="1"/>
  <c r="K296" i="1"/>
  <c r="G296" i="1"/>
  <c r="F296" i="1"/>
  <c r="E296" i="1"/>
  <c r="W295" i="1"/>
  <c r="M295" i="1"/>
  <c r="L295" i="1"/>
  <c r="K295" i="1"/>
  <c r="G295" i="1"/>
  <c r="F295" i="1"/>
  <c r="E295" i="1"/>
  <c r="W294" i="1"/>
  <c r="M294" i="1"/>
  <c r="L294" i="1"/>
  <c r="K294" i="1"/>
  <c r="G294" i="1"/>
  <c r="F294" i="1"/>
  <c r="E294" i="1"/>
  <c r="W293" i="1"/>
  <c r="M293" i="1"/>
  <c r="L293" i="1"/>
  <c r="K293" i="1"/>
  <c r="G293" i="1"/>
  <c r="F293" i="1"/>
  <c r="E293" i="1"/>
  <c r="W292" i="1"/>
  <c r="M292" i="1"/>
  <c r="L292" i="1"/>
  <c r="K292" i="1"/>
  <c r="G292" i="1"/>
  <c r="F292" i="1"/>
  <c r="E292" i="1"/>
  <c r="W291" i="1"/>
  <c r="M291" i="1"/>
  <c r="L291" i="1"/>
  <c r="K291" i="1"/>
  <c r="G291" i="1"/>
  <c r="F291" i="1"/>
  <c r="E291" i="1"/>
  <c r="W290" i="1"/>
  <c r="M290" i="1"/>
  <c r="L290" i="1"/>
  <c r="K290" i="1"/>
  <c r="G290" i="1"/>
  <c r="F290" i="1"/>
  <c r="E290" i="1"/>
  <c r="W289" i="1"/>
  <c r="M289" i="1"/>
  <c r="L289" i="1"/>
  <c r="K289" i="1"/>
  <c r="G289" i="1"/>
  <c r="F289" i="1"/>
  <c r="E289" i="1"/>
  <c r="W288" i="1"/>
  <c r="M288" i="1"/>
  <c r="L288" i="1"/>
  <c r="K288" i="1"/>
  <c r="G288" i="1"/>
  <c r="F288" i="1"/>
  <c r="E288" i="1"/>
  <c r="W287" i="1"/>
  <c r="M287" i="1"/>
  <c r="L287" i="1"/>
  <c r="K287" i="1"/>
  <c r="G287" i="1"/>
  <c r="F287" i="1"/>
  <c r="E287" i="1"/>
  <c r="W286" i="1"/>
  <c r="M286" i="1"/>
  <c r="L286" i="1"/>
  <c r="K286" i="1"/>
  <c r="G286" i="1"/>
  <c r="F286" i="1"/>
  <c r="E286" i="1"/>
  <c r="W285" i="1"/>
  <c r="M285" i="1"/>
  <c r="L285" i="1"/>
  <c r="K285" i="1"/>
  <c r="G285" i="1"/>
  <c r="F285" i="1"/>
  <c r="E285" i="1"/>
  <c r="W284" i="1"/>
  <c r="M284" i="1"/>
  <c r="L284" i="1"/>
  <c r="K284" i="1"/>
  <c r="G284" i="1"/>
  <c r="F284" i="1"/>
  <c r="E284" i="1"/>
  <c r="W283" i="1"/>
  <c r="M283" i="1"/>
  <c r="L283" i="1"/>
  <c r="K283" i="1"/>
  <c r="G283" i="1"/>
  <c r="F283" i="1"/>
  <c r="E283" i="1"/>
  <c r="W282" i="1"/>
  <c r="M282" i="1"/>
  <c r="L282" i="1"/>
  <c r="K282" i="1"/>
  <c r="G282" i="1"/>
  <c r="F282" i="1"/>
  <c r="E282" i="1"/>
  <c r="W281" i="1"/>
  <c r="M281" i="1"/>
  <c r="L281" i="1"/>
  <c r="K281" i="1"/>
  <c r="G281" i="1"/>
  <c r="F281" i="1"/>
  <c r="E281" i="1"/>
  <c r="W280" i="1"/>
  <c r="M280" i="1"/>
  <c r="L280" i="1"/>
  <c r="K280" i="1"/>
  <c r="G280" i="1"/>
  <c r="F280" i="1"/>
  <c r="E280" i="1"/>
  <c r="W279" i="1"/>
  <c r="M279" i="1"/>
  <c r="L279" i="1"/>
  <c r="K279" i="1"/>
  <c r="G279" i="1"/>
  <c r="F279" i="1"/>
  <c r="E279" i="1"/>
  <c r="W278" i="1"/>
  <c r="M278" i="1"/>
  <c r="L278" i="1"/>
  <c r="K278" i="1"/>
  <c r="G278" i="1"/>
  <c r="F278" i="1"/>
  <c r="E278" i="1"/>
  <c r="W277" i="1"/>
  <c r="M277" i="1"/>
  <c r="L277" i="1"/>
  <c r="K277" i="1"/>
  <c r="G277" i="1"/>
  <c r="F277" i="1"/>
  <c r="E277" i="1"/>
  <c r="W276" i="1"/>
  <c r="M276" i="1"/>
  <c r="L276" i="1"/>
  <c r="K276" i="1"/>
  <c r="G276" i="1"/>
  <c r="F276" i="1"/>
  <c r="E276" i="1"/>
  <c r="W275" i="1"/>
  <c r="M275" i="1"/>
  <c r="L275" i="1"/>
  <c r="K275" i="1"/>
  <c r="G275" i="1"/>
  <c r="F275" i="1"/>
  <c r="E275" i="1"/>
  <c r="W274" i="1"/>
  <c r="M274" i="1"/>
  <c r="L274" i="1"/>
  <c r="K274" i="1"/>
  <c r="G274" i="1"/>
  <c r="F274" i="1"/>
  <c r="E274" i="1"/>
  <c r="W273" i="1"/>
  <c r="M273" i="1"/>
  <c r="L273" i="1"/>
  <c r="K273" i="1"/>
  <c r="G273" i="1"/>
  <c r="F273" i="1"/>
  <c r="E273" i="1"/>
  <c r="W272" i="1"/>
  <c r="M272" i="1"/>
  <c r="L272" i="1"/>
  <c r="K272" i="1"/>
  <c r="G272" i="1"/>
  <c r="F272" i="1"/>
  <c r="E272" i="1"/>
  <c r="W271" i="1"/>
  <c r="M271" i="1"/>
  <c r="L271" i="1"/>
  <c r="K271" i="1"/>
  <c r="G271" i="1"/>
  <c r="F271" i="1"/>
  <c r="E271" i="1"/>
  <c r="W270" i="1"/>
  <c r="M270" i="1"/>
  <c r="L270" i="1"/>
  <c r="K270" i="1"/>
  <c r="G270" i="1"/>
  <c r="F270" i="1"/>
  <c r="E270" i="1"/>
  <c r="W269" i="1"/>
  <c r="M269" i="1"/>
  <c r="L269" i="1"/>
  <c r="K269" i="1"/>
  <c r="G269" i="1"/>
  <c r="F269" i="1"/>
  <c r="E269" i="1"/>
  <c r="W268" i="1"/>
  <c r="M268" i="1"/>
  <c r="L268" i="1"/>
  <c r="K268" i="1"/>
  <c r="G268" i="1"/>
  <c r="F268" i="1"/>
  <c r="E268" i="1"/>
  <c r="W267" i="1"/>
  <c r="M267" i="1"/>
  <c r="L267" i="1"/>
  <c r="K267" i="1"/>
  <c r="G267" i="1"/>
  <c r="F267" i="1"/>
  <c r="E267" i="1"/>
  <c r="W266" i="1"/>
  <c r="M266" i="1"/>
  <c r="L266" i="1"/>
  <c r="K266" i="1"/>
  <c r="G266" i="1"/>
  <c r="F266" i="1"/>
  <c r="E266" i="1"/>
  <c r="W265" i="1"/>
  <c r="M265" i="1"/>
  <c r="L265" i="1"/>
  <c r="K265" i="1"/>
  <c r="G265" i="1"/>
  <c r="F265" i="1"/>
  <c r="E265" i="1"/>
  <c r="W264" i="1"/>
  <c r="M264" i="1"/>
  <c r="L264" i="1"/>
  <c r="K264" i="1"/>
  <c r="G264" i="1"/>
  <c r="F264" i="1"/>
  <c r="E264" i="1"/>
  <c r="W263" i="1"/>
  <c r="M263" i="1"/>
  <c r="L263" i="1"/>
  <c r="K263" i="1"/>
  <c r="G263" i="1"/>
  <c r="F263" i="1"/>
  <c r="E263" i="1"/>
  <c r="W262" i="1"/>
  <c r="M262" i="1"/>
  <c r="L262" i="1"/>
  <c r="K262" i="1"/>
  <c r="G262" i="1"/>
  <c r="F262" i="1"/>
  <c r="E262" i="1"/>
  <c r="W261" i="1"/>
  <c r="M261" i="1"/>
  <c r="L261" i="1"/>
  <c r="K261" i="1"/>
  <c r="G261" i="1"/>
  <c r="F261" i="1"/>
  <c r="E261" i="1"/>
  <c r="W260" i="1"/>
  <c r="M260" i="1"/>
  <c r="L260" i="1"/>
  <c r="K260" i="1"/>
  <c r="G260" i="1"/>
  <c r="F260" i="1"/>
  <c r="E260" i="1"/>
  <c r="W259" i="1"/>
  <c r="M259" i="1"/>
  <c r="L259" i="1"/>
  <c r="K259" i="1"/>
  <c r="G259" i="1"/>
  <c r="F259" i="1"/>
  <c r="E259" i="1"/>
  <c r="W258" i="1"/>
  <c r="M258" i="1"/>
  <c r="L258" i="1"/>
  <c r="K258" i="1"/>
  <c r="G258" i="1"/>
  <c r="F258" i="1"/>
  <c r="E258" i="1"/>
  <c r="W257" i="1"/>
  <c r="M257" i="1"/>
  <c r="L257" i="1"/>
  <c r="K257" i="1"/>
  <c r="G257" i="1"/>
  <c r="F257" i="1"/>
  <c r="E257" i="1"/>
  <c r="W256" i="1"/>
  <c r="M256" i="1"/>
  <c r="L256" i="1"/>
  <c r="K256" i="1"/>
  <c r="G256" i="1"/>
  <c r="F256" i="1"/>
  <c r="E256" i="1"/>
  <c r="W255" i="1"/>
  <c r="M255" i="1"/>
  <c r="L255" i="1"/>
  <c r="K255" i="1"/>
  <c r="G255" i="1"/>
  <c r="F255" i="1"/>
  <c r="E255" i="1"/>
  <c r="W254" i="1"/>
  <c r="M254" i="1"/>
  <c r="L254" i="1"/>
  <c r="K254" i="1"/>
  <c r="G254" i="1"/>
  <c r="F254" i="1"/>
  <c r="E254" i="1"/>
  <c r="W253" i="1"/>
  <c r="M253" i="1"/>
  <c r="L253" i="1"/>
  <c r="K253" i="1"/>
  <c r="G253" i="1"/>
  <c r="F253" i="1"/>
  <c r="E253" i="1"/>
  <c r="W252" i="1"/>
  <c r="M252" i="1"/>
  <c r="L252" i="1"/>
  <c r="K252" i="1"/>
  <c r="G252" i="1"/>
  <c r="F252" i="1"/>
  <c r="E252" i="1"/>
  <c r="W251" i="1"/>
  <c r="M251" i="1"/>
  <c r="L251" i="1"/>
  <c r="K251" i="1"/>
  <c r="G251" i="1"/>
  <c r="F251" i="1"/>
  <c r="E251" i="1"/>
  <c r="W250" i="1"/>
  <c r="M250" i="1"/>
  <c r="L250" i="1"/>
  <c r="K250" i="1"/>
  <c r="G250" i="1"/>
  <c r="F250" i="1"/>
  <c r="E250" i="1"/>
  <c r="W249" i="1"/>
  <c r="M249" i="1"/>
  <c r="L249" i="1"/>
  <c r="K249" i="1"/>
  <c r="G249" i="1"/>
  <c r="F249" i="1"/>
  <c r="E249" i="1"/>
  <c r="W248" i="1"/>
  <c r="M248" i="1"/>
  <c r="L248" i="1"/>
  <c r="K248" i="1"/>
  <c r="G248" i="1"/>
  <c r="F248" i="1"/>
  <c r="E248" i="1"/>
  <c r="W247" i="1"/>
  <c r="M247" i="1"/>
  <c r="L247" i="1"/>
  <c r="K247" i="1"/>
  <c r="G247" i="1"/>
  <c r="F247" i="1"/>
  <c r="E247" i="1"/>
  <c r="W246" i="1"/>
  <c r="M246" i="1"/>
  <c r="L246" i="1"/>
  <c r="K246" i="1"/>
  <c r="G246" i="1"/>
  <c r="F246" i="1"/>
  <c r="E246" i="1"/>
  <c r="W245" i="1"/>
  <c r="M245" i="1"/>
  <c r="L245" i="1"/>
  <c r="K245" i="1"/>
  <c r="G245" i="1"/>
  <c r="F245" i="1"/>
  <c r="E245" i="1"/>
  <c r="W244" i="1"/>
  <c r="M244" i="1"/>
  <c r="L244" i="1"/>
  <c r="K244" i="1"/>
  <c r="G244" i="1"/>
  <c r="F244" i="1"/>
  <c r="E244" i="1"/>
  <c r="W243" i="1"/>
  <c r="M243" i="1"/>
  <c r="L243" i="1"/>
  <c r="K243" i="1"/>
  <c r="G243" i="1"/>
  <c r="F243" i="1"/>
  <c r="E243" i="1"/>
  <c r="W242" i="1"/>
  <c r="M242" i="1"/>
  <c r="L242" i="1"/>
  <c r="K242" i="1"/>
  <c r="G242" i="1"/>
  <c r="F242" i="1"/>
  <c r="E242" i="1"/>
  <c r="W241" i="1"/>
  <c r="M241" i="1"/>
  <c r="L241" i="1"/>
  <c r="K241" i="1"/>
  <c r="G241" i="1"/>
  <c r="F241" i="1"/>
  <c r="E241" i="1"/>
  <c r="W240" i="1"/>
  <c r="M240" i="1"/>
  <c r="L240" i="1"/>
  <c r="K240" i="1"/>
  <c r="G240" i="1"/>
  <c r="F240" i="1"/>
  <c r="E240" i="1"/>
  <c r="W239" i="1"/>
  <c r="M239" i="1"/>
  <c r="L239" i="1"/>
  <c r="K239" i="1"/>
  <c r="G239" i="1"/>
  <c r="F239" i="1"/>
  <c r="E239" i="1"/>
  <c r="W238" i="1"/>
  <c r="M238" i="1"/>
  <c r="L238" i="1"/>
  <c r="K238" i="1"/>
  <c r="G238" i="1"/>
  <c r="F238" i="1"/>
  <c r="E238" i="1"/>
  <c r="W237" i="1"/>
  <c r="M237" i="1"/>
  <c r="L237" i="1"/>
  <c r="K237" i="1"/>
  <c r="G237" i="1"/>
  <c r="F237" i="1"/>
  <c r="E237" i="1"/>
  <c r="W236" i="1"/>
  <c r="M236" i="1"/>
  <c r="L236" i="1"/>
  <c r="K236" i="1"/>
  <c r="G236" i="1"/>
  <c r="F236" i="1"/>
  <c r="E236" i="1"/>
  <c r="W235" i="1"/>
  <c r="M235" i="1"/>
  <c r="L235" i="1"/>
  <c r="K235" i="1"/>
  <c r="G235" i="1"/>
  <c r="F235" i="1"/>
  <c r="E235" i="1"/>
  <c r="W234" i="1"/>
  <c r="M234" i="1"/>
  <c r="L234" i="1"/>
  <c r="K234" i="1"/>
  <c r="G234" i="1"/>
  <c r="F234" i="1"/>
  <c r="E234" i="1"/>
  <c r="W233" i="1"/>
  <c r="M233" i="1"/>
  <c r="L233" i="1"/>
  <c r="K233" i="1"/>
  <c r="G233" i="1"/>
  <c r="F233" i="1"/>
  <c r="E233" i="1"/>
  <c r="W232" i="1"/>
  <c r="M232" i="1"/>
  <c r="L232" i="1"/>
  <c r="K232" i="1"/>
  <c r="G232" i="1"/>
  <c r="F232" i="1"/>
  <c r="E232" i="1"/>
  <c r="W231" i="1"/>
  <c r="M231" i="1"/>
  <c r="L231" i="1"/>
  <c r="K231" i="1"/>
  <c r="G231" i="1"/>
  <c r="F231" i="1"/>
  <c r="E231" i="1"/>
  <c r="W230" i="1"/>
  <c r="M230" i="1"/>
  <c r="L230" i="1"/>
  <c r="K230" i="1"/>
  <c r="G230" i="1"/>
  <c r="F230" i="1"/>
  <c r="E230" i="1"/>
  <c r="W229" i="1"/>
  <c r="M229" i="1"/>
  <c r="L229" i="1"/>
  <c r="K229" i="1"/>
  <c r="G229" i="1"/>
  <c r="F229" i="1"/>
  <c r="E229" i="1"/>
  <c r="W228" i="1"/>
  <c r="M228" i="1"/>
  <c r="L228" i="1"/>
  <c r="K228" i="1"/>
  <c r="G228" i="1"/>
  <c r="F228" i="1"/>
  <c r="E228" i="1"/>
  <c r="W227" i="1"/>
  <c r="M227" i="1"/>
  <c r="L227" i="1"/>
  <c r="K227" i="1"/>
  <c r="G227" i="1"/>
  <c r="F227" i="1"/>
  <c r="E227" i="1"/>
  <c r="W226" i="1"/>
  <c r="M226" i="1"/>
  <c r="L226" i="1"/>
  <c r="K226" i="1"/>
  <c r="G226" i="1"/>
  <c r="F226" i="1"/>
  <c r="E226" i="1"/>
  <c r="W225" i="1"/>
  <c r="M225" i="1"/>
  <c r="L225" i="1"/>
  <c r="K225" i="1"/>
  <c r="G225" i="1"/>
  <c r="F225" i="1"/>
  <c r="E225" i="1"/>
  <c r="W224" i="1"/>
  <c r="M224" i="1"/>
  <c r="L224" i="1"/>
  <c r="K224" i="1"/>
  <c r="G224" i="1"/>
  <c r="F224" i="1"/>
  <c r="E224" i="1"/>
  <c r="W223" i="1"/>
  <c r="M223" i="1"/>
  <c r="L223" i="1"/>
  <c r="K223" i="1"/>
  <c r="G223" i="1"/>
  <c r="F223" i="1"/>
  <c r="E223" i="1"/>
  <c r="W222" i="1"/>
  <c r="M222" i="1"/>
  <c r="L222" i="1"/>
  <c r="K222" i="1"/>
  <c r="G222" i="1"/>
  <c r="F222" i="1"/>
  <c r="E222" i="1"/>
  <c r="W221" i="1"/>
  <c r="M221" i="1"/>
  <c r="L221" i="1"/>
  <c r="K221" i="1"/>
  <c r="G221" i="1"/>
  <c r="F221" i="1"/>
  <c r="E221" i="1"/>
  <c r="W220" i="1"/>
  <c r="M220" i="1"/>
  <c r="L220" i="1"/>
  <c r="K220" i="1"/>
  <c r="G220" i="1"/>
  <c r="F220" i="1"/>
  <c r="E220" i="1"/>
  <c r="W219" i="1"/>
  <c r="M219" i="1"/>
  <c r="L219" i="1"/>
  <c r="K219" i="1"/>
  <c r="G219" i="1"/>
  <c r="F219" i="1"/>
  <c r="E219" i="1"/>
  <c r="W218" i="1"/>
  <c r="M218" i="1"/>
  <c r="L218" i="1"/>
  <c r="K218" i="1"/>
  <c r="G218" i="1"/>
  <c r="F218" i="1"/>
  <c r="E218" i="1"/>
  <c r="W217" i="1"/>
  <c r="M217" i="1"/>
  <c r="L217" i="1"/>
  <c r="K217" i="1"/>
  <c r="G217" i="1"/>
  <c r="F217" i="1"/>
  <c r="E217" i="1"/>
  <c r="W216" i="1"/>
  <c r="M216" i="1"/>
  <c r="L216" i="1"/>
  <c r="K216" i="1"/>
  <c r="G216" i="1"/>
  <c r="F216" i="1"/>
  <c r="E216" i="1"/>
  <c r="W215" i="1"/>
  <c r="M215" i="1"/>
  <c r="L215" i="1"/>
  <c r="K215" i="1"/>
  <c r="G215" i="1"/>
  <c r="F215" i="1"/>
  <c r="E215" i="1"/>
  <c r="W214" i="1"/>
  <c r="M214" i="1"/>
  <c r="L214" i="1"/>
  <c r="K214" i="1"/>
  <c r="G214" i="1"/>
  <c r="F214" i="1"/>
  <c r="E214" i="1"/>
  <c r="W213" i="1"/>
  <c r="M213" i="1"/>
  <c r="L213" i="1"/>
  <c r="K213" i="1"/>
  <c r="G213" i="1"/>
  <c r="F213" i="1"/>
  <c r="E213" i="1"/>
  <c r="W212" i="1"/>
  <c r="M212" i="1"/>
  <c r="L212" i="1"/>
  <c r="K212" i="1"/>
  <c r="G212" i="1"/>
  <c r="F212" i="1"/>
  <c r="E212" i="1"/>
  <c r="W211" i="1"/>
  <c r="M211" i="1"/>
  <c r="L211" i="1"/>
  <c r="K211" i="1"/>
  <c r="G211" i="1"/>
  <c r="F211" i="1"/>
  <c r="E211" i="1"/>
  <c r="W210" i="1"/>
  <c r="M210" i="1"/>
  <c r="L210" i="1"/>
  <c r="K210" i="1"/>
  <c r="G210" i="1"/>
  <c r="F210" i="1"/>
  <c r="E210" i="1"/>
  <c r="W209" i="1"/>
  <c r="M209" i="1"/>
  <c r="L209" i="1"/>
  <c r="K209" i="1"/>
  <c r="G209" i="1"/>
  <c r="F209" i="1"/>
  <c r="E209" i="1"/>
  <c r="W208" i="1"/>
  <c r="M208" i="1"/>
  <c r="L208" i="1"/>
  <c r="K208" i="1"/>
  <c r="G208" i="1"/>
  <c r="F208" i="1"/>
  <c r="E208" i="1"/>
  <c r="W207" i="1"/>
  <c r="M207" i="1"/>
  <c r="L207" i="1"/>
  <c r="K207" i="1"/>
  <c r="G207" i="1"/>
  <c r="F207" i="1"/>
  <c r="E207" i="1"/>
  <c r="W206" i="1"/>
  <c r="M206" i="1"/>
  <c r="L206" i="1"/>
  <c r="K206" i="1"/>
  <c r="G206" i="1"/>
  <c r="F206" i="1"/>
  <c r="E206" i="1"/>
  <c r="W205" i="1"/>
  <c r="M205" i="1"/>
  <c r="L205" i="1"/>
  <c r="K205" i="1"/>
  <c r="G205" i="1"/>
  <c r="F205" i="1"/>
  <c r="E205" i="1"/>
  <c r="W204" i="1"/>
  <c r="M204" i="1"/>
  <c r="L204" i="1"/>
  <c r="K204" i="1"/>
  <c r="G204" i="1"/>
  <c r="F204" i="1"/>
  <c r="E204" i="1"/>
  <c r="W203" i="1"/>
  <c r="M203" i="1"/>
  <c r="L203" i="1"/>
  <c r="K203" i="1"/>
  <c r="G203" i="1"/>
  <c r="F203" i="1"/>
  <c r="E203" i="1"/>
  <c r="W202" i="1"/>
  <c r="M202" i="1"/>
  <c r="L202" i="1"/>
  <c r="K202" i="1"/>
  <c r="G202" i="1"/>
  <c r="F202" i="1"/>
  <c r="E202" i="1"/>
  <c r="W201" i="1"/>
  <c r="M201" i="1"/>
  <c r="L201" i="1"/>
  <c r="K201" i="1"/>
  <c r="G201" i="1"/>
  <c r="F201" i="1"/>
  <c r="E201" i="1"/>
  <c r="W200" i="1"/>
  <c r="M200" i="1"/>
  <c r="L200" i="1"/>
  <c r="K200" i="1"/>
  <c r="G200" i="1"/>
  <c r="F200" i="1"/>
  <c r="E200" i="1"/>
  <c r="W199" i="1"/>
  <c r="M199" i="1"/>
  <c r="L199" i="1"/>
  <c r="K199" i="1"/>
  <c r="G199" i="1"/>
  <c r="F199" i="1"/>
  <c r="E199" i="1"/>
  <c r="W198" i="1"/>
  <c r="M198" i="1"/>
  <c r="L198" i="1"/>
  <c r="K198" i="1"/>
  <c r="G198" i="1"/>
  <c r="F198" i="1"/>
  <c r="E198" i="1"/>
  <c r="W197" i="1"/>
  <c r="M197" i="1"/>
  <c r="L197" i="1"/>
  <c r="K197" i="1"/>
  <c r="G197" i="1"/>
  <c r="F197" i="1"/>
  <c r="E197" i="1"/>
  <c r="W196" i="1"/>
  <c r="M196" i="1"/>
  <c r="L196" i="1"/>
  <c r="K196" i="1"/>
  <c r="G196" i="1"/>
  <c r="F196" i="1"/>
  <c r="E196" i="1"/>
  <c r="W195" i="1"/>
  <c r="M195" i="1"/>
  <c r="L195" i="1"/>
  <c r="K195" i="1"/>
  <c r="G195" i="1"/>
  <c r="F195" i="1"/>
  <c r="E195" i="1"/>
  <c r="W194" i="1"/>
  <c r="M194" i="1"/>
  <c r="L194" i="1"/>
  <c r="K194" i="1"/>
  <c r="G194" i="1"/>
  <c r="F194" i="1"/>
  <c r="E194" i="1"/>
  <c r="W193" i="1"/>
  <c r="M193" i="1"/>
  <c r="L193" i="1"/>
  <c r="K193" i="1"/>
  <c r="G193" i="1"/>
  <c r="F193" i="1"/>
  <c r="E193" i="1"/>
  <c r="W192" i="1"/>
  <c r="M192" i="1"/>
  <c r="L192" i="1"/>
  <c r="K192" i="1"/>
  <c r="G192" i="1"/>
  <c r="F192" i="1"/>
  <c r="E192" i="1"/>
  <c r="W191" i="1"/>
  <c r="M191" i="1"/>
  <c r="L191" i="1"/>
  <c r="K191" i="1"/>
  <c r="G191" i="1"/>
  <c r="F191" i="1"/>
  <c r="E191" i="1"/>
  <c r="W190" i="1"/>
  <c r="M190" i="1"/>
  <c r="L190" i="1"/>
  <c r="K190" i="1"/>
  <c r="G190" i="1"/>
  <c r="F190" i="1"/>
  <c r="E190" i="1"/>
  <c r="W189" i="1"/>
  <c r="M189" i="1"/>
  <c r="L189" i="1"/>
  <c r="K189" i="1"/>
  <c r="G189" i="1"/>
  <c r="F189" i="1"/>
  <c r="E189" i="1"/>
  <c r="W188" i="1"/>
  <c r="M188" i="1"/>
  <c r="L188" i="1"/>
  <c r="K188" i="1"/>
  <c r="G188" i="1"/>
  <c r="F188" i="1"/>
  <c r="E188" i="1"/>
  <c r="W187" i="1"/>
  <c r="M187" i="1"/>
  <c r="L187" i="1"/>
  <c r="K187" i="1"/>
  <c r="G187" i="1"/>
  <c r="F187" i="1"/>
  <c r="E187" i="1"/>
  <c r="W186" i="1"/>
  <c r="M186" i="1"/>
  <c r="L186" i="1"/>
  <c r="K186" i="1"/>
  <c r="G186" i="1"/>
  <c r="F186" i="1"/>
  <c r="E186" i="1"/>
  <c r="W185" i="1"/>
  <c r="M185" i="1"/>
  <c r="L185" i="1"/>
  <c r="K185" i="1"/>
  <c r="G185" i="1"/>
  <c r="F185" i="1"/>
  <c r="E185" i="1"/>
  <c r="W184" i="1"/>
  <c r="M184" i="1"/>
  <c r="L184" i="1"/>
  <c r="K184" i="1"/>
  <c r="G184" i="1"/>
  <c r="F184" i="1"/>
  <c r="E184" i="1"/>
  <c r="W183" i="1"/>
  <c r="M183" i="1"/>
  <c r="L183" i="1"/>
  <c r="K183" i="1"/>
  <c r="G183" i="1"/>
  <c r="F183" i="1"/>
  <c r="E183" i="1"/>
  <c r="W182" i="1"/>
  <c r="M182" i="1"/>
  <c r="L182" i="1"/>
  <c r="K182" i="1"/>
  <c r="G182" i="1"/>
  <c r="F182" i="1"/>
  <c r="E182" i="1"/>
  <c r="W181" i="1"/>
  <c r="M181" i="1"/>
  <c r="L181" i="1"/>
  <c r="K181" i="1"/>
  <c r="G181" i="1"/>
  <c r="F181" i="1"/>
  <c r="E181" i="1"/>
  <c r="W180" i="1"/>
  <c r="M180" i="1"/>
  <c r="L180" i="1"/>
  <c r="K180" i="1"/>
  <c r="G180" i="1"/>
  <c r="F180" i="1"/>
  <c r="E180" i="1"/>
  <c r="W179" i="1"/>
  <c r="M179" i="1"/>
  <c r="L179" i="1"/>
  <c r="K179" i="1"/>
  <c r="G179" i="1"/>
  <c r="F179" i="1"/>
  <c r="E179" i="1"/>
  <c r="W178" i="1"/>
  <c r="M178" i="1"/>
  <c r="L178" i="1"/>
  <c r="K178" i="1"/>
  <c r="G178" i="1"/>
  <c r="F178" i="1"/>
  <c r="E178" i="1"/>
  <c r="W177" i="1"/>
  <c r="M177" i="1"/>
  <c r="L177" i="1"/>
  <c r="K177" i="1"/>
  <c r="G177" i="1"/>
  <c r="F177" i="1"/>
  <c r="E177" i="1"/>
  <c r="W176" i="1"/>
  <c r="M176" i="1"/>
  <c r="L176" i="1"/>
  <c r="K176" i="1"/>
  <c r="G176" i="1"/>
  <c r="F176" i="1"/>
  <c r="E176" i="1"/>
  <c r="W175" i="1"/>
  <c r="M175" i="1"/>
  <c r="L175" i="1"/>
  <c r="K175" i="1"/>
  <c r="G175" i="1"/>
  <c r="F175" i="1"/>
  <c r="E175" i="1"/>
  <c r="W174" i="1"/>
  <c r="M174" i="1"/>
  <c r="L174" i="1"/>
  <c r="K174" i="1"/>
  <c r="G174" i="1"/>
  <c r="F174" i="1"/>
  <c r="E174" i="1"/>
  <c r="W173" i="1"/>
  <c r="M173" i="1"/>
  <c r="L173" i="1"/>
  <c r="K173" i="1"/>
  <c r="G173" i="1"/>
  <c r="F173" i="1"/>
  <c r="E173" i="1"/>
  <c r="W172" i="1"/>
  <c r="M172" i="1"/>
  <c r="L172" i="1"/>
  <c r="K172" i="1"/>
  <c r="G172" i="1"/>
  <c r="F172" i="1"/>
  <c r="E172" i="1"/>
  <c r="W171" i="1"/>
  <c r="M171" i="1"/>
  <c r="L171" i="1"/>
  <c r="K171" i="1"/>
  <c r="G171" i="1"/>
  <c r="F171" i="1"/>
  <c r="E171" i="1"/>
  <c r="W170" i="1"/>
  <c r="M170" i="1"/>
  <c r="L170" i="1"/>
  <c r="K170" i="1"/>
  <c r="G170" i="1"/>
  <c r="F170" i="1"/>
  <c r="E170" i="1"/>
  <c r="W169" i="1"/>
  <c r="M169" i="1"/>
  <c r="L169" i="1"/>
  <c r="K169" i="1"/>
  <c r="G169" i="1"/>
  <c r="F169" i="1"/>
  <c r="E169" i="1"/>
  <c r="W168" i="1"/>
  <c r="M168" i="1"/>
  <c r="L168" i="1"/>
  <c r="K168" i="1"/>
  <c r="G168" i="1"/>
  <c r="F168" i="1"/>
  <c r="E168" i="1"/>
  <c r="W167" i="1"/>
  <c r="M167" i="1"/>
  <c r="L167" i="1"/>
  <c r="K167" i="1"/>
  <c r="G167" i="1"/>
  <c r="F167" i="1"/>
  <c r="E167" i="1"/>
  <c r="W166" i="1"/>
  <c r="M166" i="1"/>
  <c r="L166" i="1"/>
  <c r="K166" i="1"/>
  <c r="G166" i="1"/>
  <c r="F166" i="1"/>
  <c r="E166" i="1"/>
  <c r="W165" i="1"/>
  <c r="M165" i="1"/>
  <c r="L165" i="1"/>
  <c r="K165" i="1"/>
  <c r="G165" i="1"/>
  <c r="F165" i="1"/>
  <c r="E165" i="1"/>
  <c r="W164" i="1"/>
  <c r="M164" i="1"/>
  <c r="L164" i="1"/>
  <c r="K164" i="1"/>
  <c r="G164" i="1"/>
  <c r="F164" i="1"/>
  <c r="E164" i="1"/>
  <c r="W163" i="1"/>
  <c r="M163" i="1"/>
  <c r="L163" i="1"/>
  <c r="K163" i="1"/>
  <c r="G163" i="1"/>
  <c r="F163" i="1"/>
  <c r="E163" i="1"/>
  <c r="W162" i="1"/>
  <c r="M162" i="1"/>
  <c r="L162" i="1"/>
  <c r="K162" i="1"/>
  <c r="G162" i="1"/>
  <c r="F162" i="1"/>
  <c r="E162" i="1"/>
  <c r="W161" i="1"/>
  <c r="M161" i="1"/>
  <c r="L161" i="1"/>
  <c r="K161" i="1"/>
  <c r="G161" i="1"/>
  <c r="F161" i="1"/>
  <c r="E161" i="1"/>
  <c r="W160" i="1"/>
  <c r="M160" i="1"/>
  <c r="L160" i="1"/>
  <c r="K160" i="1"/>
  <c r="G160" i="1"/>
  <c r="F160" i="1"/>
  <c r="E160" i="1"/>
  <c r="W159" i="1"/>
  <c r="M159" i="1"/>
  <c r="L159" i="1"/>
  <c r="K159" i="1"/>
  <c r="G159" i="1"/>
  <c r="F159" i="1"/>
  <c r="E159" i="1"/>
  <c r="W158" i="1"/>
  <c r="M158" i="1"/>
  <c r="L158" i="1"/>
  <c r="K158" i="1"/>
  <c r="G158" i="1"/>
  <c r="F158" i="1"/>
  <c r="E158" i="1"/>
  <c r="W157" i="1"/>
  <c r="M157" i="1"/>
  <c r="L157" i="1"/>
  <c r="K157" i="1"/>
  <c r="G157" i="1"/>
  <c r="F157" i="1"/>
  <c r="E157" i="1"/>
  <c r="W156" i="1"/>
  <c r="M156" i="1"/>
  <c r="L156" i="1"/>
  <c r="K156" i="1"/>
  <c r="G156" i="1"/>
  <c r="F156" i="1"/>
  <c r="E156" i="1"/>
  <c r="W155" i="1"/>
  <c r="M155" i="1"/>
  <c r="L155" i="1"/>
  <c r="K155" i="1"/>
  <c r="G155" i="1"/>
  <c r="F155" i="1"/>
  <c r="E155" i="1"/>
  <c r="W154" i="1"/>
  <c r="M154" i="1"/>
  <c r="L154" i="1"/>
  <c r="K154" i="1"/>
  <c r="G154" i="1"/>
  <c r="F154" i="1"/>
  <c r="E154" i="1"/>
  <c r="W153" i="1"/>
  <c r="M153" i="1"/>
  <c r="L153" i="1"/>
  <c r="K153" i="1"/>
  <c r="G153" i="1"/>
  <c r="F153" i="1"/>
  <c r="E153" i="1"/>
  <c r="W152" i="1"/>
  <c r="M152" i="1"/>
  <c r="L152" i="1"/>
  <c r="K152" i="1"/>
  <c r="G152" i="1"/>
  <c r="F152" i="1"/>
  <c r="E152" i="1"/>
  <c r="W151" i="1"/>
  <c r="M151" i="1"/>
  <c r="L151" i="1"/>
  <c r="K151" i="1"/>
  <c r="G151" i="1"/>
  <c r="F151" i="1"/>
  <c r="E151" i="1"/>
  <c r="W150" i="1"/>
  <c r="M150" i="1"/>
  <c r="L150" i="1"/>
  <c r="K150" i="1"/>
  <c r="G150" i="1"/>
  <c r="F150" i="1"/>
  <c r="E150" i="1"/>
  <c r="W149" i="1"/>
  <c r="M149" i="1"/>
  <c r="L149" i="1"/>
  <c r="K149" i="1"/>
  <c r="G149" i="1"/>
  <c r="F149" i="1"/>
  <c r="E149" i="1"/>
  <c r="W148" i="1"/>
  <c r="M148" i="1"/>
  <c r="L148" i="1"/>
  <c r="K148" i="1"/>
  <c r="G148" i="1"/>
  <c r="F148" i="1"/>
  <c r="E148" i="1"/>
  <c r="W147" i="1"/>
  <c r="M147" i="1"/>
  <c r="L147" i="1"/>
  <c r="K147" i="1"/>
  <c r="G147" i="1"/>
  <c r="F147" i="1"/>
  <c r="E147" i="1"/>
  <c r="W146" i="1"/>
  <c r="M146" i="1"/>
  <c r="L146" i="1"/>
  <c r="K146" i="1"/>
  <c r="G146" i="1"/>
  <c r="F146" i="1"/>
  <c r="E146" i="1"/>
  <c r="W145" i="1"/>
  <c r="M145" i="1"/>
  <c r="L145" i="1"/>
  <c r="K145" i="1"/>
  <c r="G145" i="1"/>
  <c r="F145" i="1"/>
  <c r="E145" i="1"/>
  <c r="W144" i="1"/>
  <c r="M144" i="1"/>
  <c r="L144" i="1"/>
  <c r="K144" i="1"/>
  <c r="G144" i="1"/>
  <c r="F144" i="1"/>
  <c r="E144" i="1"/>
  <c r="W143" i="1"/>
  <c r="M143" i="1"/>
  <c r="L143" i="1"/>
  <c r="K143" i="1"/>
  <c r="G143" i="1"/>
  <c r="F143" i="1"/>
  <c r="E143" i="1"/>
  <c r="W142" i="1"/>
  <c r="M142" i="1"/>
  <c r="L142" i="1"/>
  <c r="K142" i="1"/>
  <c r="G142" i="1"/>
  <c r="F142" i="1"/>
  <c r="E142" i="1"/>
  <c r="W141" i="1"/>
  <c r="M141" i="1"/>
  <c r="L141" i="1"/>
  <c r="K141" i="1"/>
  <c r="G141" i="1"/>
  <c r="F141" i="1"/>
  <c r="E141" i="1"/>
  <c r="W140" i="1"/>
  <c r="M140" i="1"/>
  <c r="L140" i="1"/>
  <c r="K140" i="1"/>
  <c r="G140" i="1"/>
  <c r="F140" i="1"/>
  <c r="E140" i="1"/>
  <c r="W139" i="1"/>
  <c r="M139" i="1"/>
  <c r="L139" i="1"/>
  <c r="K139" i="1"/>
  <c r="G139" i="1"/>
  <c r="F139" i="1"/>
  <c r="E139" i="1"/>
  <c r="W138" i="1"/>
  <c r="M138" i="1"/>
  <c r="L138" i="1"/>
  <c r="K138" i="1"/>
  <c r="G138" i="1"/>
  <c r="F138" i="1"/>
  <c r="E138" i="1"/>
  <c r="W137" i="1"/>
  <c r="M137" i="1"/>
  <c r="L137" i="1"/>
  <c r="K137" i="1"/>
  <c r="G137" i="1"/>
  <c r="F137" i="1"/>
  <c r="E137" i="1"/>
  <c r="W136" i="1"/>
  <c r="M136" i="1"/>
  <c r="L136" i="1"/>
  <c r="K136" i="1"/>
  <c r="G136" i="1"/>
  <c r="F136" i="1"/>
  <c r="E136" i="1"/>
  <c r="W135" i="1"/>
  <c r="M135" i="1"/>
  <c r="L135" i="1"/>
  <c r="K135" i="1"/>
  <c r="G135" i="1"/>
  <c r="F135" i="1"/>
  <c r="E135" i="1"/>
  <c r="W134" i="1"/>
  <c r="M134" i="1"/>
  <c r="L134" i="1"/>
  <c r="K134" i="1"/>
  <c r="G134" i="1"/>
  <c r="F134" i="1"/>
  <c r="E134" i="1"/>
  <c r="W133" i="1"/>
  <c r="M133" i="1"/>
  <c r="L133" i="1"/>
  <c r="K133" i="1"/>
  <c r="G133" i="1"/>
  <c r="F133" i="1"/>
  <c r="E133" i="1"/>
  <c r="W132" i="1"/>
  <c r="M132" i="1"/>
  <c r="L132" i="1"/>
  <c r="K132" i="1"/>
  <c r="G132" i="1"/>
  <c r="F132" i="1"/>
  <c r="E132" i="1"/>
  <c r="W131" i="1"/>
  <c r="M131" i="1"/>
  <c r="L131" i="1"/>
  <c r="K131" i="1"/>
  <c r="G131" i="1"/>
  <c r="F131" i="1"/>
  <c r="E131" i="1"/>
  <c r="W130" i="1"/>
  <c r="M130" i="1"/>
  <c r="L130" i="1"/>
  <c r="K130" i="1"/>
  <c r="G130" i="1"/>
  <c r="F130" i="1"/>
  <c r="E130" i="1"/>
  <c r="W129" i="1"/>
  <c r="M129" i="1"/>
  <c r="L129" i="1"/>
  <c r="K129" i="1"/>
  <c r="G129" i="1"/>
  <c r="F129" i="1"/>
  <c r="E129" i="1"/>
  <c r="W128" i="1"/>
  <c r="M128" i="1"/>
  <c r="L128" i="1"/>
  <c r="K128" i="1"/>
  <c r="G128" i="1"/>
  <c r="F128" i="1"/>
  <c r="E128" i="1"/>
  <c r="W127" i="1"/>
  <c r="M127" i="1"/>
  <c r="L127" i="1"/>
  <c r="K127" i="1"/>
  <c r="G127" i="1"/>
  <c r="F127" i="1"/>
  <c r="E127" i="1"/>
  <c r="W126" i="1"/>
  <c r="M126" i="1"/>
  <c r="L126" i="1"/>
  <c r="K126" i="1"/>
  <c r="G126" i="1"/>
  <c r="F126" i="1"/>
  <c r="E126" i="1"/>
  <c r="W125" i="1"/>
  <c r="M125" i="1"/>
  <c r="L125" i="1"/>
  <c r="K125" i="1"/>
  <c r="G125" i="1"/>
  <c r="F125" i="1"/>
  <c r="E125" i="1"/>
  <c r="W124" i="1"/>
  <c r="M124" i="1"/>
  <c r="L124" i="1"/>
  <c r="K124" i="1"/>
  <c r="G124" i="1"/>
  <c r="F124" i="1"/>
  <c r="E124" i="1"/>
  <c r="W123" i="1"/>
  <c r="M123" i="1"/>
  <c r="L123" i="1"/>
  <c r="K123" i="1"/>
  <c r="G123" i="1"/>
  <c r="F123" i="1"/>
  <c r="E123" i="1"/>
  <c r="W122" i="1"/>
  <c r="M122" i="1"/>
  <c r="L122" i="1"/>
  <c r="K122" i="1"/>
  <c r="G122" i="1"/>
  <c r="F122" i="1"/>
  <c r="E122" i="1"/>
  <c r="W121" i="1"/>
  <c r="M121" i="1"/>
  <c r="L121" i="1"/>
  <c r="K121" i="1"/>
  <c r="G121" i="1"/>
  <c r="F121" i="1"/>
  <c r="E121" i="1"/>
  <c r="W120" i="1"/>
  <c r="M120" i="1"/>
  <c r="L120" i="1"/>
  <c r="K120" i="1"/>
  <c r="G120" i="1"/>
  <c r="F120" i="1"/>
  <c r="E120" i="1"/>
  <c r="W119" i="1"/>
  <c r="M119" i="1"/>
  <c r="L119" i="1"/>
  <c r="K119" i="1"/>
  <c r="G119" i="1"/>
  <c r="F119" i="1"/>
  <c r="E119" i="1"/>
  <c r="W118" i="1"/>
  <c r="M118" i="1"/>
  <c r="L118" i="1"/>
  <c r="K118" i="1"/>
  <c r="G118" i="1"/>
  <c r="F118" i="1"/>
  <c r="E118" i="1"/>
  <c r="W117" i="1"/>
  <c r="M117" i="1"/>
  <c r="L117" i="1"/>
  <c r="K117" i="1"/>
  <c r="G117" i="1"/>
  <c r="F117" i="1"/>
  <c r="E117" i="1"/>
  <c r="W116" i="1"/>
  <c r="M116" i="1"/>
  <c r="L116" i="1"/>
  <c r="K116" i="1"/>
  <c r="G116" i="1"/>
  <c r="F116" i="1"/>
  <c r="E116" i="1"/>
  <c r="W115" i="1"/>
  <c r="M115" i="1"/>
  <c r="L115" i="1"/>
  <c r="K115" i="1"/>
  <c r="G115" i="1"/>
  <c r="F115" i="1"/>
  <c r="E115" i="1"/>
  <c r="W114" i="1"/>
  <c r="M114" i="1"/>
  <c r="L114" i="1"/>
  <c r="K114" i="1"/>
  <c r="G114" i="1"/>
  <c r="F114" i="1"/>
  <c r="E114" i="1"/>
  <c r="W113" i="1"/>
  <c r="M113" i="1"/>
  <c r="L113" i="1"/>
  <c r="K113" i="1"/>
  <c r="G113" i="1"/>
  <c r="F113" i="1"/>
  <c r="E113" i="1"/>
  <c r="W112" i="1"/>
  <c r="M112" i="1"/>
  <c r="L112" i="1"/>
  <c r="K112" i="1"/>
  <c r="G112" i="1"/>
  <c r="F112" i="1"/>
  <c r="E112" i="1"/>
  <c r="W111" i="1"/>
  <c r="M111" i="1"/>
  <c r="L111" i="1"/>
  <c r="K111" i="1"/>
  <c r="G111" i="1"/>
  <c r="F111" i="1"/>
  <c r="E111" i="1"/>
  <c r="W110" i="1"/>
  <c r="M110" i="1"/>
  <c r="L110" i="1"/>
  <c r="K110" i="1"/>
  <c r="G110" i="1"/>
  <c r="F110" i="1"/>
  <c r="E110" i="1"/>
  <c r="W109" i="1"/>
  <c r="M109" i="1"/>
  <c r="L109" i="1"/>
  <c r="K109" i="1"/>
  <c r="G109" i="1"/>
  <c r="F109" i="1"/>
  <c r="E109" i="1"/>
  <c r="W108" i="1"/>
  <c r="M108" i="1"/>
  <c r="L108" i="1"/>
  <c r="K108" i="1"/>
  <c r="G108" i="1"/>
  <c r="F108" i="1"/>
  <c r="E108" i="1"/>
  <c r="W107" i="1"/>
  <c r="M107" i="1"/>
  <c r="L107" i="1"/>
  <c r="K107" i="1"/>
  <c r="G107" i="1"/>
  <c r="F107" i="1"/>
  <c r="E107" i="1"/>
  <c r="W106" i="1"/>
  <c r="M106" i="1"/>
  <c r="L106" i="1"/>
  <c r="K106" i="1"/>
  <c r="G106" i="1"/>
  <c r="F106" i="1"/>
  <c r="E106" i="1"/>
  <c r="W105" i="1"/>
  <c r="M105" i="1"/>
  <c r="L105" i="1"/>
  <c r="K105" i="1"/>
  <c r="G105" i="1"/>
  <c r="F105" i="1"/>
  <c r="E105" i="1"/>
  <c r="W104" i="1"/>
  <c r="M104" i="1"/>
  <c r="L104" i="1"/>
  <c r="K104" i="1"/>
  <c r="G104" i="1"/>
  <c r="F104" i="1"/>
  <c r="E104" i="1"/>
  <c r="W103" i="1"/>
  <c r="M103" i="1"/>
  <c r="L103" i="1"/>
  <c r="K103" i="1"/>
  <c r="G103" i="1"/>
  <c r="F103" i="1"/>
  <c r="E103" i="1"/>
  <c r="W102" i="1"/>
  <c r="M102" i="1"/>
  <c r="L102" i="1"/>
  <c r="K102" i="1"/>
  <c r="G102" i="1"/>
  <c r="F102" i="1"/>
  <c r="E102" i="1"/>
  <c r="W101" i="1"/>
  <c r="M101" i="1"/>
  <c r="L101" i="1"/>
  <c r="K101" i="1"/>
  <c r="G101" i="1"/>
  <c r="F101" i="1"/>
  <c r="E101" i="1"/>
  <c r="W100" i="1"/>
  <c r="M100" i="1"/>
  <c r="L100" i="1"/>
  <c r="K100" i="1"/>
  <c r="G100" i="1"/>
  <c r="F100" i="1"/>
  <c r="E100" i="1"/>
  <c r="W99" i="1"/>
  <c r="M99" i="1"/>
  <c r="L99" i="1"/>
  <c r="K99" i="1"/>
  <c r="G99" i="1"/>
  <c r="F99" i="1"/>
  <c r="E99" i="1"/>
  <c r="W98" i="1"/>
  <c r="M98" i="1"/>
  <c r="L98" i="1"/>
  <c r="K98" i="1"/>
  <c r="G98" i="1"/>
  <c r="F98" i="1"/>
  <c r="E98" i="1"/>
  <c r="W97" i="1"/>
  <c r="M97" i="1"/>
  <c r="L97" i="1"/>
  <c r="K97" i="1"/>
  <c r="G97" i="1"/>
  <c r="F97" i="1"/>
  <c r="E97" i="1"/>
  <c r="W96" i="1"/>
  <c r="M96" i="1"/>
  <c r="L96" i="1"/>
  <c r="K96" i="1"/>
  <c r="G96" i="1"/>
  <c r="F96" i="1"/>
  <c r="E96" i="1"/>
  <c r="W95" i="1"/>
  <c r="M95" i="1"/>
  <c r="L95" i="1"/>
  <c r="K95" i="1"/>
  <c r="G95" i="1"/>
  <c r="F95" i="1"/>
  <c r="E95" i="1"/>
  <c r="W94" i="1"/>
  <c r="M94" i="1"/>
  <c r="L94" i="1"/>
  <c r="K94" i="1"/>
  <c r="G94" i="1"/>
  <c r="F94" i="1"/>
  <c r="E94" i="1"/>
  <c r="W93" i="1"/>
  <c r="M93" i="1"/>
  <c r="L93" i="1"/>
  <c r="K93" i="1"/>
  <c r="G93" i="1"/>
  <c r="F93" i="1"/>
  <c r="E93" i="1"/>
  <c r="W92" i="1"/>
  <c r="M92" i="1"/>
  <c r="L92" i="1"/>
  <c r="K92" i="1"/>
  <c r="G92" i="1"/>
  <c r="F92" i="1"/>
  <c r="E92" i="1"/>
  <c r="W91" i="1"/>
  <c r="M91" i="1"/>
  <c r="L91" i="1"/>
  <c r="K91" i="1"/>
  <c r="G91" i="1"/>
  <c r="F91" i="1"/>
  <c r="E91" i="1"/>
  <c r="W90" i="1"/>
  <c r="M90" i="1"/>
  <c r="L90" i="1"/>
  <c r="K90" i="1"/>
  <c r="G90" i="1"/>
  <c r="F90" i="1"/>
  <c r="E90" i="1"/>
  <c r="W89" i="1"/>
  <c r="M89" i="1"/>
  <c r="L89" i="1"/>
  <c r="K89" i="1"/>
  <c r="G89" i="1"/>
  <c r="F89" i="1"/>
  <c r="E89" i="1"/>
  <c r="W88" i="1"/>
  <c r="M88" i="1"/>
  <c r="L88" i="1"/>
  <c r="K88" i="1"/>
  <c r="G88" i="1"/>
  <c r="F88" i="1"/>
  <c r="E88" i="1"/>
  <c r="W87" i="1"/>
  <c r="M87" i="1"/>
  <c r="L87" i="1"/>
  <c r="K87" i="1"/>
  <c r="G87" i="1"/>
  <c r="F87" i="1"/>
  <c r="E87" i="1"/>
  <c r="W86" i="1"/>
  <c r="M86" i="1"/>
  <c r="L86" i="1"/>
  <c r="K86" i="1"/>
  <c r="G86" i="1"/>
  <c r="F86" i="1"/>
  <c r="E86" i="1"/>
  <c r="W85" i="1"/>
  <c r="M85" i="1"/>
  <c r="L85" i="1"/>
  <c r="K85" i="1"/>
  <c r="G85" i="1"/>
  <c r="F85" i="1"/>
  <c r="E85" i="1"/>
  <c r="W84" i="1"/>
  <c r="M84" i="1"/>
  <c r="L84" i="1"/>
  <c r="K84" i="1"/>
  <c r="G84" i="1"/>
  <c r="F84" i="1"/>
  <c r="E84" i="1"/>
  <c r="W83" i="1"/>
  <c r="M83" i="1"/>
  <c r="L83" i="1"/>
  <c r="K83" i="1"/>
  <c r="G83" i="1"/>
  <c r="F83" i="1"/>
  <c r="E83" i="1"/>
  <c r="W82" i="1"/>
  <c r="M82" i="1"/>
  <c r="L82" i="1"/>
  <c r="K82" i="1"/>
  <c r="G82" i="1"/>
  <c r="F82" i="1"/>
  <c r="E82" i="1"/>
  <c r="W81" i="1"/>
  <c r="M81" i="1"/>
  <c r="L81" i="1"/>
  <c r="K81" i="1"/>
  <c r="G81" i="1"/>
  <c r="F81" i="1"/>
  <c r="E81" i="1"/>
  <c r="W80" i="1"/>
  <c r="M80" i="1"/>
  <c r="L80" i="1"/>
  <c r="K80" i="1"/>
  <c r="G80" i="1"/>
  <c r="F80" i="1"/>
  <c r="E80" i="1"/>
  <c r="W79" i="1"/>
  <c r="M79" i="1"/>
  <c r="L79" i="1"/>
  <c r="K79" i="1"/>
  <c r="G79" i="1"/>
  <c r="F79" i="1"/>
  <c r="E79" i="1"/>
  <c r="W78" i="1"/>
  <c r="M78" i="1"/>
  <c r="L78" i="1"/>
  <c r="K78" i="1"/>
  <c r="G78" i="1"/>
  <c r="F78" i="1"/>
  <c r="E78" i="1"/>
  <c r="W77" i="1"/>
  <c r="M77" i="1"/>
  <c r="L77" i="1"/>
  <c r="K77" i="1"/>
  <c r="G77" i="1"/>
  <c r="F77" i="1"/>
  <c r="E77" i="1"/>
  <c r="W76" i="1"/>
  <c r="M76" i="1"/>
  <c r="L76" i="1"/>
  <c r="K76" i="1"/>
  <c r="G76" i="1"/>
  <c r="F76" i="1"/>
  <c r="E76" i="1"/>
  <c r="W75" i="1"/>
  <c r="M75" i="1"/>
  <c r="L75" i="1"/>
  <c r="K75" i="1"/>
  <c r="G75" i="1"/>
  <c r="F75" i="1"/>
  <c r="E75" i="1"/>
  <c r="W74" i="1"/>
  <c r="M74" i="1"/>
  <c r="L74" i="1"/>
  <c r="K74" i="1"/>
  <c r="G74" i="1"/>
  <c r="F74" i="1"/>
  <c r="E74" i="1"/>
  <c r="W73" i="1"/>
  <c r="M73" i="1"/>
  <c r="L73" i="1"/>
  <c r="K73" i="1"/>
  <c r="G73" i="1"/>
  <c r="F73" i="1"/>
  <c r="E73" i="1"/>
  <c r="W72" i="1"/>
  <c r="M72" i="1"/>
  <c r="L72" i="1"/>
  <c r="K72" i="1"/>
  <c r="G72" i="1"/>
  <c r="F72" i="1"/>
  <c r="E72" i="1"/>
  <c r="W71" i="1"/>
  <c r="M71" i="1"/>
  <c r="L71" i="1"/>
  <c r="K71" i="1"/>
  <c r="G71" i="1"/>
  <c r="F71" i="1"/>
  <c r="E71" i="1"/>
  <c r="W70" i="1"/>
  <c r="M70" i="1"/>
  <c r="L70" i="1"/>
  <c r="K70" i="1"/>
  <c r="G70" i="1"/>
  <c r="F70" i="1"/>
  <c r="E70" i="1"/>
  <c r="W69" i="1"/>
  <c r="M69" i="1"/>
  <c r="L69" i="1"/>
  <c r="K69" i="1"/>
  <c r="G69" i="1"/>
  <c r="F69" i="1"/>
  <c r="E69" i="1"/>
  <c r="W68" i="1"/>
  <c r="M68" i="1"/>
  <c r="L68" i="1"/>
  <c r="K68" i="1"/>
  <c r="G68" i="1"/>
  <c r="F68" i="1"/>
  <c r="E68" i="1"/>
  <c r="W67" i="1"/>
  <c r="M67" i="1"/>
  <c r="L67" i="1"/>
  <c r="K67" i="1"/>
  <c r="G67" i="1"/>
  <c r="F67" i="1"/>
  <c r="E67" i="1"/>
  <c r="W66" i="1"/>
  <c r="M66" i="1"/>
  <c r="L66" i="1"/>
  <c r="K66" i="1"/>
  <c r="G66" i="1"/>
  <c r="F66" i="1"/>
  <c r="E66" i="1"/>
  <c r="W65" i="1"/>
  <c r="M65" i="1"/>
  <c r="L65" i="1"/>
  <c r="K65" i="1"/>
  <c r="G65" i="1"/>
  <c r="F65" i="1"/>
  <c r="E65" i="1"/>
  <c r="W64" i="1"/>
  <c r="M64" i="1"/>
  <c r="L64" i="1"/>
  <c r="K64" i="1"/>
  <c r="G64" i="1"/>
  <c r="F64" i="1"/>
  <c r="E64" i="1"/>
  <c r="W63" i="1"/>
  <c r="M63" i="1"/>
  <c r="L63" i="1"/>
  <c r="K63" i="1"/>
  <c r="G63" i="1"/>
  <c r="F63" i="1"/>
  <c r="E63" i="1"/>
  <c r="W62" i="1"/>
  <c r="M62" i="1"/>
  <c r="L62" i="1"/>
  <c r="K62" i="1"/>
  <c r="G62" i="1"/>
  <c r="F62" i="1"/>
  <c r="E62" i="1"/>
  <c r="W61" i="1"/>
  <c r="M61" i="1"/>
  <c r="L61" i="1"/>
  <c r="K61" i="1"/>
  <c r="G61" i="1"/>
  <c r="F61" i="1"/>
  <c r="E61" i="1"/>
  <c r="W60" i="1"/>
  <c r="M60" i="1"/>
  <c r="L60" i="1"/>
  <c r="K60" i="1"/>
  <c r="G60" i="1"/>
  <c r="F60" i="1"/>
  <c r="E60" i="1"/>
  <c r="W59" i="1"/>
  <c r="M59" i="1"/>
  <c r="L59" i="1"/>
  <c r="K59" i="1"/>
  <c r="G59" i="1"/>
  <c r="F59" i="1"/>
  <c r="E59" i="1"/>
  <c r="W58" i="1"/>
  <c r="M58" i="1"/>
  <c r="L58" i="1"/>
  <c r="K58" i="1"/>
  <c r="G58" i="1"/>
  <c r="F58" i="1"/>
  <c r="E58" i="1"/>
  <c r="W57" i="1"/>
  <c r="M57" i="1"/>
  <c r="L57" i="1"/>
  <c r="K57" i="1"/>
  <c r="G57" i="1"/>
  <c r="F57" i="1"/>
  <c r="E57" i="1"/>
  <c r="W56" i="1"/>
  <c r="M56" i="1"/>
  <c r="L56" i="1"/>
  <c r="K56" i="1"/>
  <c r="G56" i="1"/>
  <c r="F56" i="1"/>
  <c r="E56" i="1"/>
  <c r="W55" i="1"/>
  <c r="M55" i="1"/>
  <c r="L55" i="1"/>
  <c r="K55" i="1"/>
  <c r="G55" i="1"/>
  <c r="F55" i="1"/>
  <c r="E55" i="1"/>
  <c r="W54" i="1"/>
  <c r="M54" i="1"/>
  <c r="L54" i="1"/>
  <c r="K54" i="1"/>
  <c r="G54" i="1"/>
  <c r="F54" i="1"/>
  <c r="E54" i="1"/>
  <c r="W53" i="1"/>
  <c r="M53" i="1"/>
  <c r="L53" i="1"/>
  <c r="K53" i="1"/>
  <c r="G53" i="1"/>
  <c r="F53" i="1"/>
  <c r="E53" i="1"/>
  <c r="W52" i="1"/>
  <c r="M52" i="1"/>
  <c r="L52" i="1"/>
  <c r="K52" i="1"/>
  <c r="G52" i="1"/>
  <c r="F52" i="1"/>
  <c r="E52" i="1"/>
  <c r="W51" i="1"/>
  <c r="M51" i="1"/>
  <c r="L51" i="1"/>
  <c r="K51" i="1"/>
  <c r="G51" i="1"/>
  <c r="F51" i="1"/>
  <c r="E51" i="1"/>
  <c r="W50" i="1"/>
  <c r="M50" i="1"/>
  <c r="L50" i="1"/>
  <c r="K50" i="1"/>
  <c r="G50" i="1"/>
  <c r="F50" i="1"/>
  <c r="E50" i="1"/>
  <c r="W49" i="1"/>
  <c r="M49" i="1"/>
  <c r="L49" i="1"/>
  <c r="K49" i="1"/>
  <c r="G49" i="1"/>
  <c r="F49" i="1"/>
  <c r="E49" i="1"/>
  <c r="W48" i="1"/>
  <c r="M48" i="1"/>
  <c r="L48" i="1"/>
  <c r="K48" i="1"/>
  <c r="G48" i="1"/>
  <c r="F48" i="1"/>
  <c r="E48" i="1"/>
  <c r="W47" i="1"/>
  <c r="M47" i="1"/>
  <c r="L47" i="1"/>
  <c r="K47" i="1"/>
  <c r="G47" i="1"/>
  <c r="F47" i="1"/>
  <c r="E47" i="1"/>
  <c r="W46" i="1"/>
  <c r="M46" i="1"/>
  <c r="L46" i="1"/>
  <c r="K46" i="1"/>
  <c r="G46" i="1"/>
  <c r="F46" i="1"/>
  <c r="E46" i="1"/>
  <c r="W45" i="1"/>
  <c r="M45" i="1"/>
  <c r="L45" i="1"/>
  <c r="K45" i="1"/>
  <c r="G45" i="1"/>
  <c r="F45" i="1"/>
  <c r="E45" i="1"/>
  <c r="W44" i="1"/>
  <c r="M44" i="1"/>
  <c r="L44" i="1"/>
  <c r="K44" i="1"/>
  <c r="G44" i="1"/>
  <c r="F44" i="1"/>
  <c r="E44" i="1"/>
  <c r="W43" i="1"/>
  <c r="M43" i="1"/>
  <c r="L43" i="1"/>
  <c r="K43" i="1"/>
  <c r="G43" i="1"/>
  <c r="F43" i="1"/>
  <c r="E43" i="1"/>
  <c r="W42" i="1"/>
  <c r="M42" i="1"/>
  <c r="L42" i="1"/>
  <c r="K42" i="1"/>
  <c r="G42" i="1"/>
  <c r="F42" i="1"/>
  <c r="E42" i="1"/>
  <c r="W41" i="1"/>
  <c r="M41" i="1"/>
  <c r="L41" i="1"/>
  <c r="K41" i="1"/>
  <c r="G41" i="1"/>
  <c r="F41" i="1"/>
  <c r="E41" i="1"/>
  <c r="W40" i="1"/>
  <c r="M40" i="1"/>
  <c r="L40" i="1"/>
  <c r="K40" i="1"/>
  <c r="G40" i="1"/>
  <c r="F40" i="1"/>
  <c r="E40" i="1"/>
  <c r="W39" i="1"/>
  <c r="M39" i="1"/>
  <c r="L39" i="1"/>
  <c r="K39" i="1"/>
  <c r="G39" i="1"/>
  <c r="F39" i="1"/>
  <c r="E39" i="1"/>
  <c r="W38" i="1"/>
  <c r="M38" i="1"/>
  <c r="L38" i="1"/>
  <c r="K38" i="1"/>
  <c r="G38" i="1"/>
  <c r="F38" i="1"/>
  <c r="E38" i="1"/>
  <c r="W37" i="1"/>
  <c r="M37" i="1"/>
  <c r="L37" i="1"/>
  <c r="K37" i="1"/>
  <c r="G37" i="1"/>
  <c r="F37" i="1"/>
  <c r="E37" i="1"/>
  <c r="W36" i="1"/>
  <c r="P36" i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P359" i="1" s="1"/>
  <c r="P360" i="1" s="1"/>
  <c r="P361" i="1" s="1"/>
  <c r="P362" i="1" s="1"/>
  <c r="P363" i="1" s="1"/>
  <c r="P364" i="1" s="1"/>
  <c r="P365" i="1" s="1"/>
  <c r="P366" i="1" s="1"/>
  <c r="P367" i="1" s="1"/>
  <c r="P368" i="1" s="1"/>
  <c r="P369" i="1" s="1"/>
  <c r="P370" i="1" s="1"/>
  <c r="P371" i="1" s="1"/>
  <c r="P372" i="1" s="1"/>
  <c r="P373" i="1" s="1"/>
  <c r="P374" i="1" s="1"/>
  <c r="P375" i="1" s="1"/>
  <c r="P376" i="1" s="1"/>
  <c r="P377" i="1" s="1"/>
  <c r="P378" i="1" s="1"/>
  <c r="P379" i="1" s="1"/>
  <c r="P380" i="1" s="1"/>
  <c r="P381" i="1" s="1"/>
  <c r="P382" i="1" s="1"/>
  <c r="P383" i="1" s="1"/>
  <c r="P384" i="1" s="1"/>
  <c r="P385" i="1" s="1"/>
  <c r="P386" i="1" s="1"/>
  <c r="P387" i="1" s="1"/>
  <c r="P388" i="1" s="1"/>
  <c r="P389" i="1" s="1"/>
  <c r="P390" i="1" s="1"/>
  <c r="P391" i="1" s="1"/>
  <c r="P392" i="1" s="1"/>
  <c r="P393" i="1" s="1"/>
  <c r="P394" i="1" s="1"/>
  <c r="P395" i="1" s="1"/>
  <c r="P396" i="1" s="1"/>
  <c r="P397" i="1" s="1"/>
  <c r="P398" i="1" s="1"/>
  <c r="P399" i="1" s="1"/>
  <c r="P400" i="1" s="1"/>
  <c r="P401" i="1" s="1"/>
  <c r="P402" i="1" s="1"/>
  <c r="P403" i="1" s="1"/>
  <c r="P404" i="1" s="1"/>
  <c r="P405" i="1" s="1"/>
  <c r="P406" i="1" s="1"/>
  <c r="P407" i="1" s="1"/>
  <c r="P408" i="1" s="1"/>
  <c r="P409" i="1" s="1"/>
  <c r="P410" i="1" s="1"/>
  <c r="P411" i="1" s="1"/>
  <c r="P412" i="1" s="1"/>
  <c r="P413" i="1" s="1"/>
  <c r="P414" i="1" s="1"/>
  <c r="P415" i="1" s="1"/>
  <c r="P416" i="1" s="1"/>
  <c r="P417" i="1" s="1"/>
  <c r="P418" i="1" s="1"/>
  <c r="P419" i="1" s="1"/>
  <c r="P420" i="1" s="1"/>
  <c r="P421" i="1" s="1"/>
  <c r="P422" i="1" s="1"/>
  <c r="P423" i="1" s="1"/>
  <c r="P424" i="1" s="1"/>
  <c r="P425" i="1" s="1"/>
  <c r="P426" i="1" s="1"/>
  <c r="P427" i="1" s="1"/>
  <c r="P428" i="1" s="1"/>
  <c r="P429" i="1" s="1"/>
  <c r="P430" i="1" s="1"/>
  <c r="P431" i="1" s="1"/>
  <c r="P432" i="1" s="1"/>
  <c r="P433" i="1" s="1"/>
  <c r="P434" i="1" s="1"/>
  <c r="P435" i="1" s="1"/>
  <c r="P436" i="1" s="1"/>
  <c r="P437" i="1" s="1"/>
  <c r="P438" i="1" s="1"/>
  <c r="P439" i="1" s="1"/>
  <c r="P440" i="1" s="1"/>
  <c r="P441" i="1" s="1"/>
  <c r="P442" i="1" s="1"/>
  <c r="P443" i="1" s="1"/>
  <c r="P444" i="1" s="1"/>
  <c r="P445" i="1" s="1"/>
  <c r="P446" i="1" s="1"/>
  <c r="P447" i="1" s="1"/>
  <c r="P448" i="1" s="1"/>
  <c r="P449" i="1" s="1"/>
  <c r="P450" i="1" s="1"/>
  <c r="P451" i="1" s="1"/>
  <c r="P452" i="1" s="1"/>
  <c r="P453" i="1" s="1"/>
  <c r="P454" i="1" s="1"/>
  <c r="P455" i="1" s="1"/>
  <c r="P456" i="1" s="1"/>
  <c r="P457" i="1" s="1"/>
  <c r="P458" i="1" s="1"/>
  <c r="P459" i="1" s="1"/>
  <c r="P460" i="1" s="1"/>
  <c r="P461" i="1" s="1"/>
  <c r="P462" i="1" s="1"/>
  <c r="P463" i="1" s="1"/>
  <c r="P464" i="1" s="1"/>
  <c r="P465" i="1" s="1"/>
  <c r="P466" i="1" s="1"/>
  <c r="P467" i="1" s="1"/>
  <c r="P468" i="1" s="1"/>
  <c r="P469" i="1" s="1"/>
  <c r="P470" i="1" s="1"/>
  <c r="P471" i="1" s="1"/>
  <c r="P472" i="1" s="1"/>
  <c r="P473" i="1" s="1"/>
  <c r="P474" i="1" s="1"/>
  <c r="P475" i="1" s="1"/>
  <c r="P476" i="1" s="1"/>
  <c r="P477" i="1" s="1"/>
  <c r="P478" i="1" s="1"/>
  <c r="P479" i="1" s="1"/>
  <c r="P480" i="1" s="1"/>
  <c r="P481" i="1" s="1"/>
  <c r="P482" i="1" s="1"/>
  <c r="P483" i="1" s="1"/>
  <c r="P484" i="1" s="1"/>
  <c r="P485" i="1" s="1"/>
  <c r="P486" i="1" s="1"/>
  <c r="P487" i="1" s="1"/>
  <c r="P488" i="1" s="1"/>
  <c r="P489" i="1" s="1"/>
  <c r="P490" i="1" s="1"/>
  <c r="P491" i="1" s="1"/>
  <c r="P492" i="1" s="1"/>
  <c r="P493" i="1" s="1"/>
  <c r="P494" i="1" s="1"/>
  <c r="P495" i="1" s="1"/>
  <c r="P496" i="1" s="1"/>
  <c r="P497" i="1" s="1"/>
  <c r="P498" i="1" s="1"/>
  <c r="P499" i="1" s="1"/>
  <c r="P500" i="1" s="1"/>
  <c r="P501" i="1" s="1"/>
  <c r="P502" i="1" s="1"/>
  <c r="P503" i="1" s="1"/>
  <c r="P504" i="1" s="1"/>
  <c r="P505" i="1" s="1"/>
  <c r="P506" i="1" s="1"/>
  <c r="P507" i="1" s="1"/>
  <c r="P508" i="1" s="1"/>
  <c r="P509" i="1" s="1"/>
  <c r="P510" i="1" s="1"/>
  <c r="P511" i="1" s="1"/>
  <c r="P512" i="1" s="1"/>
  <c r="P513" i="1" s="1"/>
  <c r="P514" i="1" s="1"/>
  <c r="P515" i="1" s="1"/>
  <c r="P516" i="1" s="1"/>
  <c r="P517" i="1" s="1"/>
  <c r="P518" i="1" s="1"/>
  <c r="P519" i="1" s="1"/>
  <c r="P520" i="1" s="1"/>
  <c r="P521" i="1" s="1"/>
  <c r="P522" i="1" s="1"/>
  <c r="P523" i="1" s="1"/>
  <c r="P524" i="1" s="1"/>
  <c r="P525" i="1" s="1"/>
  <c r="P526" i="1" s="1"/>
  <c r="P527" i="1" s="1"/>
  <c r="P528" i="1" s="1"/>
  <c r="P529" i="1" s="1"/>
  <c r="P530" i="1" s="1"/>
  <c r="P531" i="1" s="1"/>
  <c r="P532" i="1" s="1"/>
  <c r="P533" i="1" s="1"/>
  <c r="P534" i="1" s="1"/>
  <c r="P535" i="1" s="1"/>
  <c r="P536" i="1" s="1"/>
  <c r="P537" i="1" s="1"/>
  <c r="P538" i="1" s="1"/>
  <c r="P539" i="1" s="1"/>
  <c r="P540" i="1" s="1"/>
  <c r="P541" i="1" s="1"/>
  <c r="P542" i="1" s="1"/>
  <c r="P543" i="1" s="1"/>
  <c r="P544" i="1" s="1"/>
  <c r="P545" i="1" s="1"/>
  <c r="P546" i="1" s="1"/>
  <c r="P547" i="1" s="1"/>
  <c r="P548" i="1" s="1"/>
  <c r="P549" i="1" s="1"/>
  <c r="P550" i="1" s="1"/>
  <c r="P551" i="1" s="1"/>
  <c r="P552" i="1" s="1"/>
  <c r="P553" i="1" s="1"/>
  <c r="P554" i="1" s="1"/>
  <c r="P555" i="1" s="1"/>
  <c r="P556" i="1" s="1"/>
  <c r="P557" i="1" s="1"/>
  <c r="P558" i="1" s="1"/>
  <c r="P559" i="1" s="1"/>
  <c r="P560" i="1" s="1"/>
  <c r="P561" i="1" s="1"/>
  <c r="P562" i="1" s="1"/>
  <c r="P563" i="1" s="1"/>
  <c r="P564" i="1" s="1"/>
  <c r="P565" i="1" s="1"/>
  <c r="P566" i="1" s="1"/>
  <c r="P567" i="1" s="1"/>
  <c r="P568" i="1" s="1"/>
  <c r="P569" i="1" s="1"/>
  <c r="P570" i="1" s="1"/>
  <c r="P571" i="1" s="1"/>
  <c r="P572" i="1" s="1"/>
  <c r="P573" i="1" s="1"/>
  <c r="P574" i="1" s="1"/>
  <c r="P575" i="1" s="1"/>
  <c r="P576" i="1" s="1"/>
  <c r="P577" i="1" s="1"/>
  <c r="P578" i="1" s="1"/>
  <c r="P579" i="1" s="1"/>
  <c r="P580" i="1" s="1"/>
  <c r="P581" i="1" s="1"/>
  <c r="P582" i="1" s="1"/>
  <c r="P583" i="1" s="1"/>
  <c r="P584" i="1" s="1"/>
  <c r="P585" i="1" s="1"/>
  <c r="P586" i="1" s="1"/>
  <c r="P587" i="1" s="1"/>
  <c r="P588" i="1" s="1"/>
  <c r="P589" i="1" s="1"/>
  <c r="P590" i="1" s="1"/>
  <c r="P591" i="1" s="1"/>
  <c r="P592" i="1" s="1"/>
  <c r="P593" i="1" s="1"/>
  <c r="P594" i="1" s="1"/>
  <c r="P595" i="1" s="1"/>
  <c r="P596" i="1" s="1"/>
  <c r="P597" i="1" s="1"/>
  <c r="P598" i="1" s="1"/>
  <c r="P599" i="1" s="1"/>
  <c r="P600" i="1" s="1"/>
  <c r="P601" i="1" s="1"/>
  <c r="P602" i="1" s="1"/>
  <c r="P603" i="1" s="1"/>
  <c r="P604" i="1" s="1"/>
  <c r="P605" i="1" s="1"/>
  <c r="P606" i="1" s="1"/>
  <c r="P607" i="1" s="1"/>
  <c r="P608" i="1" s="1"/>
  <c r="P609" i="1" s="1"/>
  <c r="P610" i="1" s="1"/>
  <c r="P611" i="1" s="1"/>
  <c r="P612" i="1" s="1"/>
  <c r="P613" i="1" s="1"/>
  <c r="P614" i="1" s="1"/>
  <c r="P615" i="1" s="1"/>
  <c r="P616" i="1" s="1"/>
  <c r="P617" i="1" s="1"/>
  <c r="P618" i="1" s="1"/>
  <c r="P619" i="1" s="1"/>
  <c r="P620" i="1" s="1"/>
  <c r="P621" i="1" s="1"/>
  <c r="P622" i="1" s="1"/>
  <c r="P623" i="1" s="1"/>
  <c r="P624" i="1" s="1"/>
  <c r="P625" i="1" s="1"/>
  <c r="P626" i="1" s="1"/>
  <c r="P627" i="1" s="1"/>
  <c r="P628" i="1" s="1"/>
  <c r="P629" i="1" s="1"/>
  <c r="P630" i="1" s="1"/>
  <c r="P631" i="1" s="1"/>
  <c r="P632" i="1" s="1"/>
  <c r="P633" i="1" s="1"/>
  <c r="P634" i="1" s="1"/>
  <c r="P635" i="1" s="1"/>
  <c r="P636" i="1" s="1"/>
  <c r="P637" i="1" s="1"/>
  <c r="P638" i="1" s="1"/>
  <c r="P639" i="1" s="1"/>
  <c r="P640" i="1" s="1"/>
  <c r="P641" i="1" s="1"/>
  <c r="P642" i="1" s="1"/>
  <c r="P643" i="1" s="1"/>
  <c r="P644" i="1" s="1"/>
  <c r="P645" i="1" s="1"/>
  <c r="P646" i="1" s="1"/>
  <c r="P647" i="1" s="1"/>
  <c r="P648" i="1" s="1"/>
  <c r="P649" i="1" s="1"/>
  <c r="P650" i="1" s="1"/>
  <c r="P651" i="1" s="1"/>
  <c r="P652" i="1" s="1"/>
  <c r="P653" i="1" s="1"/>
  <c r="P654" i="1" s="1"/>
  <c r="P655" i="1" s="1"/>
  <c r="P656" i="1" s="1"/>
  <c r="P657" i="1" s="1"/>
  <c r="P658" i="1" s="1"/>
  <c r="P659" i="1" s="1"/>
  <c r="P660" i="1" s="1"/>
  <c r="P661" i="1" s="1"/>
  <c r="P662" i="1" s="1"/>
  <c r="P663" i="1" s="1"/>
  <c r="P664" i="1" s="1"/>
  <c r="P665" i="1" s="1"/>
  <c r="P666" i="1" s="1"/>
  <c r="P667" i="1" s="1"/>
  <c r="P668" i="1" s="1"/>
  <c r="P669" i="1" s="1"/>
  <c r="P670" i="1" s="1"/>
  <c r="P671" i="1" s="1"/>
  <c r="P672" i="1" s="1"/>
  <c r="P673" i="1" s="1"/>
  <c r="P674" i="1" s="1"/>
  <c r="P675" i="1" s="1"/>
  <c r="P676" i="1" s="1"/>
  <c r="P677" i="1" s="1"/>
  <c r="P678" i="1" s="1"/>
  <c r="P679" i="1" s="1"/>
  <c r="P680" i="1" s="1"/>
  <c r="P681" i="1" s="1"/>
  <c r="P682" i="1" s="1"/>
  <c r="P683" i="1" s="1"/>
  <c r="P684" i="1" s="1"/>
  <c r="P685" i="1" s="1"/>
  <c r="P686" i="1" s="1"/>
  <c r="P687" i="1" s="1"/>
  <c r="P688" i="1" s="1"/>
  <c r="P689" i="1" s="1"/>
  <c r="P690" i="1" s="1"/>
  <c r="P691" i="1" s="1"/>
  <c r="P692" i="1" s="1"/>
  <c r="P693" i="1" s="1"/>
  <c r="P694" i="1" s="1"/>
  <c r="P695" i="1" s="1"/>
  <c r="P696" i="1" s="1"/>
  <c r="P697" i="1" s="1"/>
  <c r="P698" i="1" s="1"/>
  <c r="P699" i="1" s="1"/>
  <c r="P700" i="1" s="1"/>
  <c r="P701" i="1" s="1"/>
  <c r="P702" i="1" s="1"/>
  <c r="P703" i="1" s="1"/>
  <c r="P704" i="1" s="1"/>
  <c r="P705" i="1" s="1"/>
  <c r="P706" i="1" s="1"/>
  <c r="P707" i="1" s="1"/>
  <c r="P708" i="1" s="1"/>
  <c r="P709" i="1" s="1"/>
  <c r="P710" i="1" s="1"/>
  <c r="P711" i="1" s="1"/>
  <c r="P712" i="1" s="1"/>
  <c r="P713" i="1" s="1"/>
  <c r="P714" i="1" s="1"/>
  <c r="P715" i="1" s="1"/>
  <c r="P716" i="1" s="1"/>
  <c r="P717" i="1" s="1"/>
  <c r="P718" i="1" s="1"/>
  <c r="P719" i="1" s="1"/>
  <c r="P720" i="1" s="1"/>
  <c r="P721" i="1" s="1"/>
  <c r="P722" i="1" s="1"/>
  <c r="P723" i="1" s="1"/>
  <c r="P724" i="1" s="1"/>
  <c r="P725" i="1" s="1"/>
  <c r="P726" i="1" s="1"/>
  <c r="P727" i="1" s="1"/>
  <c r="P728" i="1" s="1"/>
  <c r="P729" i="1" s="1"/>
  <c r="P730" i="1" s="1"/>
  <c r="P731" i="1" s="1"/>
  <c r="P732" i="1" s="1"/>
  <c r="P733" i="1" s="1"/>
  <c r="P734" i="1" s="1"/>
  <c r="P735" i="1" s="1"/>
  <c r="P736" i="1" s="1"/>
  <c r="P737" i="1" s="1"/>
  <c r="P738" i="1" s="1"/>
  <c r="P739" i="1" s="1"/>
  <c r="P740" i="1" s="1"/>
  <c r="P741" i="1" s="1"/>
  <c r="P742" i="1" s="1"/>
  <c r="P743" i="1" s="1"/>
  <c r="P744" i="1" s="1"/>
  <c r="P745" i="1" s="1"/>
  <c r="P746" i="1" s="1"/>
  <c r="P747" i="1" s="1"/>
  <c r="P748" i="1" s="1"/>
  <c r="P749" i="1" s="1"/>
  <c r="P750" i="1" s="1"/>
  <c r="P751" i="1" s="1"/>
  <c r="P752" i="1" s="1"/>
  <c r="P753" i="1" s="1"/>
  <c r="P754" i="1" s="1"/>
  <c r="P755" i="1" s="1"/>
  <c r="P756" i="1" s="1"/>
  <c r="P757" i="1" s="1"/>
  <c r="P758" i="1" s="1"/>
  <c r="P759" i="1" s="1"/>
  <c r="P760" i="1" s="1"/>
  <c r="P761" i="1" s="1"/>
  <c r="P762" i="1" s="1"/>
  <c r="P763" i="1" s="1"/>
  <c r="P764" i="1" s="1"/>
  <c r="P765" i="1" s="1"/>
  <c r="P766" i="1" s="1"/>
  <c r="P767" i="1" s="1"/>
  <c r="P768" i="1" s="1"/>
  <c r="P769" i="1" s="1"/>
  <c r="P770" i="1" s="1"/>
  <c r="P771" i="1" s="1"/>
  <c r="P772" i="1" s="1"/>
  <c r="P773" i="1" s="1"/>
  <c r="P774" i="1" s="1"/>
  <c r="P775" i="1" s="1"/>
  <c r="P776" i="1" s="1"/>
  <c r="P777" i="1" s="1"/>
  <c r="P778" i="1" s="1"/>
  <c r="P779" i="1" s="1"/>
  <c r="P780" i="1" s="1"/>
  <c r="P781" i="1" s="1"/>
  <c r="P782" i="1" s="1"/>
  <c r="P783" i="1" s="1"/>
  <c r="P784" i="1" s="1"/>
  <c r="P785" i="1" s="1"/>
  <c r="P786" i="1" s="1"/>
  <c r="P787" i="1" s="1"/>
  <c r="M36" i="1"/>
  <c r="L36" i="1"/>
  <c r="K36" i="1"/>
  <c r="D6" i="1"/>
  <c r="T630" i="1" l="1"/>
  <c r="T629" i="1"/>
  <c r="T628" i="1"/>
  <c r="T627" i="1"/>
  <c r="T626" i="1"/>
  <c r="T625" i="1"/>
  <c r="T624" i="1"/>
  <c r="T623" i="1"/>
  <c r="T622" i="1"/>
  <c r="T621" i="1"/>
  <c r="T553" i="1"/>
  <c r="T552" i="1"/>
  <c r="T551" i="1"/>
  <c r="T550" i="1"/>
  <c r="T549" i="1"/>
  <c r="T548" i="1"/>
  <c r="T547" i="1"/>
  <c r="T706" i="1"/>
  <c r="T705" i="1"/>
  <c r="T704" i="1"/>
  <c r="T703" i="1"/>
  <c r="T702" i="1"/>
  <c r="T701" i="1"/>
  <c r="T700" i="1"/>
  <c r="T699" i="1"/>
  <c r="T698" i="1"/>
  <c r="T697" i="1"/>
  <c r="T320" i="1"/>
  <c r="T319" i="1"/>
  <c r="T318" i="1"/>
  <c r="T317" i="1"/>
  <c r="T316" i="1"/>
  <c r="T314" i="1"/>
  <c r="T313" i="1"/>
  <c r="T312" i="1"/>
  <c r="T311" i="1"/>
  <c r="T308" i="1"/>
  <c r="T307" i="1"/>
  <c r="T306" i="1"/>
  <c r="T304" i="1"/>
  <c r="T631" i="1"/>
  <c r="T554" i="1"/>
  <c r="S23" i="2"/>
  <c r="R23" i="2"/>
  <c r="P23" i="2"/>
  <c r="O23" i="2"/>
  <c r="M23" i="2"/>
  <c r="K23" i="2"/>
  <c r="A58" i="2"/>
  <c r="T696" i="1"/>
  <c r="T695" i="1"/>
  <c r="T694" i="1"/>
  <c r="T693" i="1"/>
  <c r="T305" i="1"/>
  <c r="V16" i="2"/>
  <c r="T324" i="1"/>
  <c r="T323" i="1"/>
  <c r="T322" i="1"/>
  <c r="T321" i="1"/>
  <c r="T334" i="1"/>
  <c r="T333" i="1"/>
  <c r="T332" i="1"/>
  <c r="T329" i="1"/>
  <c r="T328" i="1"/>
  <c r="T327" i="1"/>
  <c r="T326" i="1"/>
  <c r="T325" i="1"/>
  <c r="T633" i="1"/>
  <c r="T632" i="1"/>
  <c r="T356" i="1"/>
  <c r="T355" i="1"/>
  <c r="T354" i="1"/>
  <c r="T353" i="1"/>
  <c r="T352" i="1"/>
  <c r="T351" i="1"/>
  <c r="T350" i="1"/>
  <c r="T349" i="1"/>
  <c r="T348" i="1"/>
  <c r="T347" i="1"/>
  <c r="T652" i="1"/>
  <c r="T651" i="1"/>
  <c r="T650" i="1"/>
  <c r="T649" i="1"/>
  <c r="T648" i="1"/>
  <c r="T647" i="1"/>
  <c r="T646" i="1"/>
  <c r="T645" i="1"/>
  <c r="T644" i="1"/>
  <c r="T643" i="1"/>
  <c r="T642" i="1"/>
  <c r="T640" i="1"/>
  <c r="T639" i="1"/>
  <c r="T638" i="1"/>
  <c r="T637" i="1"/>
  <c r="T636" i="1"/>
  <c r="T635" i="1"/>
  <c r="T634" i="1"/>
  <c r="T560" i="1"/>
  <c r="T559" i="1"/>
  <c r="T558" i="1"/>
  <c r="T557" i="1"/>
  <c r="T556" i="1"/>
  <c r="T368" i="1"/>
  <c r="T366" i="1"/>
  <c r="T365" i="1"/>
  <c r="T364" i="1"/>
  <c r="T361" i="1"/>
  <c r="T360" i="1"/>
  <c r="T359" i="1"/>
  <c r="T358" i="1"/>
  <c r="T357" i="1"/>
  <c r="T303" i="1"/>
  <c r="T302" i="1"/>
  <c r="T301" i="1"/>
  <c r="T300" i="1"/>
  <c r="T299" i="1"/>
  <c r="T291" i="1"/>
  <c r="T290" i="1"/>
  <c r="T289" i="1"/>
  <c r="T288" i="1"/>
  <c r="T287" i="1"/>
  <c r="T286" i="1"/>
  <c r="T285" i="1"/>
  <c r="T284" i="1"/>
  <c r="T279" i="1"/>
  <c r="T278" i="1"/>
  <c r="T277" i="1"/>
  <c r="T276" i="1"/>
  <c r="T275" i="1"/>
  <c r="T274" i="1"/>
  <c r="T273" i="1"/>
  <c r="T272" i="1"/>
  <c r="T207" i="1"/>
  <c r="T206" i="1"/>
  <c r="T205" i="1"/>
  <c r="T204" i="1"/>
  <c r="T200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3" i="1"/>
  <c r="T662" i="1"/>
  <c r="T661" i="1"/>
  <c r="T660" i="1"/>
  <c r="T659" i="1"/>
  <c r="T658" i="1"/>
  <c r="T657" i="1"/>
  <c r="T656" i="1"/>
  <c r="T655" i="1"/>
  <c r="T654" i="1"/>
  <c r="T653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38" i="1"/>
  <c r="T537" i="1"/>
  <c r="T536" i="1"/>
  <c r="T535" i="1"/>
  <c r="T534" i="1"/>
  <c r="T530" i="1"/>
  <c r="T529" i="1"/>
  <c r="T528" i="1"/>
  <c r="T527" i="1"/>
  <c r="T526" i="1"/>
  <c r="T525" i="1"/>
  <c r="T524" i="1"/>
  <c r="T509" i="1"/>
  <c r="T309" i="1"/>
  <c r="T208" i="1"/>
  <c r="T124" i="1"/>
  <c r="T506" i="1"/>
  <c r="T502" i="1"/>
  <c r="T499" i="1"/>
  <c r="T497" i="1"/>
  <c r="T488" i="1"/>
  <c r="T485" i="1"/>
  <c r="T515" i="1"/>
  <c r="T513" i="1"/>
  <c r="T511" i="1"/>
  <c r="T510" i="1"/>
  <c r="T508" i="1"/>
  <c r="T503" i="1"/>
  <c r="T498" i="1"/>
  <c r="T493" i="1"/>
  <c r="T489" i="1"/>
  <c r="T487" i="1"/>
  <c r="T483" i="1"/>
  <c r="T210" i="1"/>
  <c r="T520" i="1"/>
  <c r="T518" i="1"/>
  <c r="T517" i="1"/>
  <c r="T516" i="1"/>
  <c r="T514" i="1"/>
  <c r="T512" i="1"/>
  <c r="T505" i="1"/>
  <c r="T501" i="1"/>
  <c r="T495" i="1"/>
  <c r="T492" i="1"/>
  <c r="T484" i="1"/>
  <c r="T412" i="1"/>
  <c r="T408" i="1"/>
  <c r="T403" i="1"/>
  <c r="T390" i="1"/>
  <c r="T522" i="1"/>
  <c r="T521" i="1"/>
  <c r="T419" i="1"/>
  <c r="T418" i="1"/>
  <c r="T417" i="1"/>
  <c r="T416" i="1"/>
  <c r="T414" i="1"/>
  <c r="T411" i="1"/>
  <c r="T407" i="1"/>
  <c r="T404" i="1"/>
  <c r="T400" i="1"/>
  <c r="T211" i="1"/>
  <c r="T406" i="1"/>
  <c r="T496" i="1"/>
  <c r="T420" i="1"/>
  <c r="T410" i="1"/>
  <c r="T405" i="1"/>
  <c r="T402" i="1"/>
  <c r="T399" i="1"/>
  <c r="T212" i="1"/>
  <c r="T519" i="1"/>
  <c r="T504" i="1"/>
  <c r="T500" i="1"/>
  <c r="T494" i="1"/>
  <c r="T490" i="1"/>
  <c r="T486" i="1"/>
  <c r="T415" i="1"/>
  <c r="T413" i="1"/>
  <c r="T409" i="1"/>
  <c r="T401" i="1"/>
  <c r="T398" i="1"/>
  <c r="T389" i="1"/>
  <c r="T209" i="1"/>
  <c r="T315" i="1"/>
  <c r="V22" i="2"/>
  <c r="V21" i="2"/>
  <c r="V20" i="2"/>
  <c r="V19" i="2"/>
  <c r="V18" i="2"/>
  <c r="V17" i="2"/>
  <c r="U22" i="2"/>
  <c r="U21" i="2"/>
  <c r="U20" i="2"/>
  <c r="U19" i="2"/>
  <c r="U18" i="2"/>
  <c r="U17" i="2"/>
  <c r="Q23" i="2"/>
  <c r="T310" i="1"/>
  <c r="N23" i="2"/>
  <c r="U16" i="2"/>
  <c r="T22" i="2"/>
  <c r="T21" i="2"/>
  <c r="T20" i="2"/>
  <c r="T19" i="2"/>
  <c r="T18" i="2"/>
  <c r="T17" i="2"/>
  <c r="T603" i="1"/>
  <c r="T491" i="1"/>
  <c r="T601" i="1"/>
  <c r="T564" i="1"/>
  <c r="T331" i="1"/>
  <c r="T295" i="1"/>
  <c r="T281" i="1"/>
  <c r="T422" i="1"/>
  <c r="T280" i="1"/>
  <c r="T119" i="1"/>
  <c r="T116" i="1"/>
  <c r="T567" i="1"/>
  <c r="T555" i="1"/>
  <c r="T539" i="1"/>
  <c r="T507" i="1"/>
  <c r="T421" i="1"/>
  <c r="T362" i="1"/>
  <c r="T330" i="1"/>
  <c r="T282" i="1"/>
  <c r="T571" i="1"/>
  <c r="T566" i="1"/>
  <c r="T562" i="1"/>
  <c r="T423" i="1"/>
  <c r="T570" i="1"/>
  <c r="T565" i="1"/>
  <c r="T563" i="1"/>
  <c r="T561" i="1"/>
  <c r="T523" i="1"/>
  <c r="T298" i="1"/>
  <c r="T297" i="1"/>
  <c r="T293" i="1"/>
  <c r="T587" i="1"/>
  <c r="T602" i="1"/>
  <c r="T363" i="1"/>
  <c r="T294" i="1"/>
  <c r="T292" i="1"/>
  <c r="T569" i="1"/>
  <c r="T283" i="1"/>
  <c r="T118" i="1"/>
  <c r="T117" i="1"/>
  <c r="T115" i="1"/>
  <c r="T296" i="1"/>
  <c r="T568" i="1"/>
  <c r="L23" i="2"/>
  <c r="T16" i="2"/>
  <c r="T131" i="1"/>
  <c r="T125" i="1"/>
  <c r="T120" i="1"/>
  <c r="T129" i="1"/>
  <c r="T130" i="1"/>
  <c r="T126" i="1"/>
  <c r="T123" i="1"/>
  <c r="T201" i="1"/>
  <c r="T133" i="1"/>
  <c r="T132" i="1"/>
  <c r="T127" i="1"/>
  <c r="T122" i="1"/>
  <c r="T121" i="1"/>
  <c r="T203" i="1"/>
  <c r="T128" i="1"/>
  <c r="T199" i="1"/>
  <c r="T198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C23" i="1"/>
  <c r="T736" i="1"/>
  <c r="T481" i="1"/>
  <c r="T474" i="1"/>
  <c r="T470" i="1"/>
  <c r="T458" i="1"/>
  <c r="T455" i="1"/>
  <c r="T450" i="1"/>
  <c r="T446" i="1"/>
  <c r="T443" i="1"/>
  <c r="T438" i="1"/>
  <c r="T434" i="1"/>
  <c r="T426" i="1"/>
  <c r="D23" i="1"/>
  <c r="T457" i="1"/>
  <c r="T448" i="1"/>
  <c r="T444" i="1"/>
  <c r="T441" i="1"/>
  <c r="T427" i="1"/>
  <c r="T482" i="1"/>
  <c r="T459" i="1"/>
  <c r="T454" i="1"/>
  <c r="T439" i="1"/>
  <c r="T431" i="1"/>
  <c r="T480" i="1"/>
  <c r="T475" i="1"/>
  <c r="T471" i="1"/>
  <c r="T468" i="1"/>
  <c r="T460" i="1"/>
  <c r="T453" i="1"/>
  <c r="T440" i="1"/>
  <c r="T428" i="1"/>
  <c r="T478" i="1"/>
  <c r="T473" i="1"/>
  <c r="T456" i="1"/>
  <c r="T449" i="1"/>
  <c r="T445" i="1"/>
  <c r="T437" i="1"/>
  <c r="T433" i="1"/>
  <c r="T429" i="1"/>
  <c r="T424" i="1"/>
  <c r="T476" i="1"/>
  <c r="T469" i="1"/>
  <c r="T436" i="1"/>
  <c r="T430" i="1"/>
  <c r="T477" i="1"/>
  <c r="T472" i="1"/>
  <c r="T452" i="1"/>
  <c r="T435" i="1"/>
  <c r="T479" i="1"/>
  <c r="T451" i="1"/>
  <c r="T447" i="1"/>
  <c r="T442" i="1"/>
  <c r="T432" i="1"/>
  <c r="T425" i="1"/>
  <c r="T467" i="1"/>
  <c r="T392" i="1"/>
  <c r="T336" i="1"/>
  <c r="T112" i="1"/>
  <c r="T105" i="1"/>
  <c r="T101" i="1"/>
  <c r="T787" i="1"/>
  <c r="T785" i="1"/>
  <c r="T784" i="1"/>
  <c r="T782" i="1"/>
  <c r="T781" i="1"/>
  <c r="T779" i="1"/>
  <c r="T778" i="1"/>
  <c r="T776" i="1"/>
  <c r="T774" i="1"/>
  <c r="T772" i="1"/>
  <c r="T769" i="1"/>
  <c r="T767" i="1"/>
  <c r="T765" i="1"/>
  <c r="T760" i="1"/>
  <c r="T758" i="1"/>
  <c r="T756" i="1"/>
  <c r="T754" i="1"/>
  <c r="T752" i="1"/>
  <c r="T750" i="1"/>
  <c r="T466" i="1"/>
  <c r="T462" i="1"/>
  <c r="T461" i="1"/>
  <c r="T168" i="1"/>
  <c r="T140" i="1"/>
  <c r="T137" i="1"/>
  <c r="T786" i="1"/>
  <c r="T783" i="1"/>
  <c r="T780" i="1"/>
  <c r="T777" i="1"/>
  <c r="T775" i="1"/>
  <c r="T773" i="1"/>
  <c r="T771" i="1"/>
  <c r="T770" i="1"/>
  <c r="T768" i="1"/>
  <c r="T766" i="1"/>
  <c r="T764" i="1"/>
  <c r="T763" i="1"/>
  <c r="T762" i="1"/>
  <c r="T761" i="1"/>
  <c r="T759" i="1"/>
  <c r="T757" i="1"/>
  <c r="T755" i="1"/>
  <c r="T753" i="1"/>
  <c r="T751" i="1"/>
  <c r="T749" i="1"/>
  <c r="T667" i="1"/>
  <c r="T666" i="1"/>
  <c r="T665" i="1"/>
  <c r="T664" i="1"/>
  <c r="T533" i="1"/>
  <c r="T532" i="1"/>
  <c r="T531" i="1"/>
  <c r="T170" i="1"/>
  <c r="T114" i="1"/>
  <c r="T110" i="1"/>
  <c r="T108" i="1"/>
  <c r="T106" i="1"/>
  <c r="T103" i="1"/>
  <c r="T99" i="1"/>
  <c r="T97" i="1"/>
  <c r="T464" i="1"/>
  <c r="T396" i="1"/>
  <c r="T393" i="1"/>
  <c r="T345" i="1"/>
  <c r="T337" i="1"/>
  <c r="T335" i="1"/>
  <c r="T172" i="1"/>
  <c r="T98" i="1"/>
  <c r="T465" i="1"/>
  <c r="T342" i="1"/>
  <c r="T338" i="1"/>
  <c r="T138" i="1"/>
  <c r="T134" i="1"/>
  <c r="T100" i="1"/>
  <c r="T463" i="1"/>
  <c r="T395" i="1"/>
  <c r="T344" i="1"/>
  <c r="T341" i="1"/>
  <c r="T171" i="1"/>
  <c r="T391" i="1"/>
  <c r="T343" i="1"/>
  <c r="T169" i="1"/>
  <c r="T139" i="1"/>
  <c r="T394" i="1"/>
  <c r="T339" i="1"/>
  <c r="T173" i="1"/>
  <c r="T167" i="1"/>
  <c r="T141" i="1"/>
  <c r="T111" i="1"/>
  <c r="T346" i="1"/>
  <c r="T135" i="1"/>
  <c r="T104" i="1"/>
  <c r="T166" i="1"/>
  <c r="T136" i="1"/>
  <c r="T113" i="1"/>
  <c r="T109" i="1"/>
  <c r="T102" i="1"/>
  <c r="T397" i="1"/>
  <c r="T340" i="1"/>
  <c r="T269" i="1"/>
  <c r="T265" i="1"/>
  <c r="T232" i="1"/>
  <c r="T222" i="1"/>
  <c r="T214" i="1"/>
  <c r="T231" i="1"/>
  <c r="T223" i="1"/>
  <c r="T213" i="1"/>
  <c r="T267" i="1"/>
  <c r="T235" i="1"/>
  <c r="T227" i="1"/>
  <c r="T221" i="1"/>
  <c r="T253" i="1"/>
  <c r="T226" i="1"/>
  <c r="T216" i="1"/>
  <c r="T268" i="1"/>
  <c r="T264" i="1"/>
  <c r="T219" i="1"/>
  <c r="T225" i="1"/>
  <c r="T215" i="1"/>
  <c r="T270" i="1"/>
  <c r="T230" i="1"/>
  <c r="T220" i="1"/>
  <c r="T271" i="1"/>
  <c r="T266" i="1"/>
  <c r="T233" i="1"/>
  <c r="T229" i="1"/>
  <c r="T224" i="1"/>
  <c r="T217" i="1"/>
  <c r="T234" i="1"/>
  <c r="T228" i="1"/>
  <c r="T218" i="1"/>
  <c r="T540" i="1"/>
  <c r="T543" i="1"/>
  <c r="T546" i="1"/>
  <c r="T542" i="1"/>
  <c r="T541" i="1"/>
  <c r="T258" i="1"/>
  <c r="T197" i="1"/>
  <c r="T192" i="1"/>
  <c r="T545" i="1"/>
  <c r="T263" i="1"/>
  <c r="T261" i="1"/>
  <c r="T544" i="1"/>
  <c r="T259" i="1"/>
  <c r="T257" i="1"/>
  <c r="T256" i="1"/>
  <c r="T255" i="1"/>
  <c r="T254" i="1"/>
  <c r="T194" i="1"/>
  <c r="T191" i="1"/>
  <c r="T190" i="1"/>
  <c r="T262" i="1"/>
  <c r="T260" i="1"/>
  <c r="T195" i="1"/>
  <c r="T193" i="1"/>
  <c r="T196" i="1"/>
  <c r="T189" i="1"/>
  <c r="T202" i="1"/>
  <c r="B23" i="1"/>
  <c r="B25" i="1"/>
  <c r="T383" i="1"/>
  <c r="T378" i="1"/>
  <c r="T373" i="1"/>
  <c r="T371" i="1"/>
  <c r="T247" i="1"/>
  <c r="T242" i="1"/>
  <c r="T237" i="1"/>
  <c r="T385" i="1"/>
  <c r="T382" i="1"/>
  <c r="T376" i="1"/>
  <c r="T372" i="1"/>
  <c r="T369" i="1"/>
  <c r="T252" i="1"/>
  <c r="T249" i="1"/>
  <c r="T248" i="1"/>
  <c r="T245" i="1"/>
  <c r="T243" i="1"/>
  <c r="T238" i="1"/>
  <c r="T387" i="1"/>
  <c r="T380" i="1"/>
  <c r="T374" i="1"/>
  <c r="T251" i="1"/>
  <c r="T239" i="1"/>
  <c r="T236" i="1"/>
  <c r="T388" i="1"/>
  <c r="T384" i="1"/>
  <c r="T381" i="1"/>
  <c r="T379" i="1"/>
  <c r="T377" i="1"/>
  <c r="T375" i="1"/>
  <c r="T250" i="1"/>
  <c r="T241" i="1"/>
  <c r="T386" i="1"/>
  <c r="T370" i="1"/>
  <c r="T246" i="1"/>
  <c r="T244" i="1"/>
  <c r="T240" i="1"/>
  <c r="V582" i="1"/>
  <c r="T641" i="1"/>
  <c r="V308" i="1"/>
  <c r="T367" i="1"/>
  <c r="B26" i="1"/>
  <c r="T107" i="1"/>
  <c r="T86" i="1"/>
  <c r="T82" i="1"/>
  <c r="T77" i="1"/>
  <c r="T81" i="1"/>
  <c r="T85" i="1"/>
  <c r="T89" i="1"/>
  <c r="T96" i="1"/>
  <c r="T94" i="1"/>
  <c r="T90" i="1"/>
  <c r="T87" i="1"/>
  <c r="T84" i="1"/>
  <c r="T80" i="1"/>
  <c r="T78" i="1"/>
  <c r="T91" i="1"/>
  <c r="T76" i="1"/>
  <c r="T83" i="1"/>
  <c r="T88" i="1"/>
  <c r="T93" i="1"/>
  <c r="T92" i="1"/>
  <c r="T95" i="1"/>
  <c r="T79" i="1"/>
  <c r="J37" i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D22" i="1" s="1"/>
  <c r="I37" i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C22" i="1" s="1"/>
  <c r="V787" i="1"/>
  <c r="U787" i="1"/>
  <c r="V786" i="1"/>
  <c r="U786" i="1"/>
  <c r="V785" i="1"/>
  <c r="U785" i="1"/>
  <c r="U784" i="1"/>
  <c r="V784" i="1"/>
  <c r="V783" i="1"/>
  <c r="U783" i="1"/>
  <c r="V782" i="1"/>
  <c r="U782" i="1"/>
  <c r="V781" i="1"/>
  <c r="U781" i="1"/>
  <c r="V780" i="1"/>
  <c r="U780" i="1"/>
  <c r="V779" i="1"/>
  <c r="U779" i="1"/>
  <c r="V778" i="1"/>
  <c r="U778" i="1"/>
  <c r="V777" i="1"/>
  <c r="U777" i="1"/>
  <c r="U776" i="1"/>
  <c r="V776" i="1"/>
  <c r="U775" i="1"/>
  <c r="V775" i="1"/>
  <c r="V774" i="1"/>
  <c r="U774" i="1"/>
  <c r="V773" i="1"/>
  <c r="U773" i="1"/>
  <c r="V772" i="1"/>
  <c r="U772" i="1"/>
  <c r="V771" i="1"/>
  <c r="U771" i="1"/>
  <c r="V770" i="1"/>
  <c r="U770" i="1"/>
  <c r="U769" i="1"/>
  <c r="V769" i="1"/>
  <c r="V768" i="1"/>
  <c r="U768" i="1"/>
  <c r="V767" i="1"/>
  <c r="U767" i="1"/>
  <c r="V766" i="1"/>
  <c r="U766" i="1"/>
  <c r="V765" i="1"/>
  <c r="U765" i="1"/>
  <c r="U764" i="1"/>
  <c r="V764" i="1"/>
  <c r="V763" i="1"/>
  <c r="U763" i="1"/>
  <c r="V762" i="1"/>
  <c r="U762" i="1"/>
  <c r="U761" i="1"/>
  <c r="V761" i="1"/>
  <c r="U760" i="1"/>
  <c r="V760" i="1"/>
  <c r="U759" i="1"/>
  <c r="V759" i="1"/>
  <c r="V758" i="1"/>
  <c r="U758" i="1"/>
  <c r="V757" i="1"/>
  <c r="U757" i="1"/>
  <c r="U756" i="1"/>
  <c r="V756" i="1"/>
  <c r="V755" i="1"/>
  <c r="U755" i="1"/>
  <c r="V754" i="1"/>
  <c r="U754" i="1"/>
  <c r="U753" i="1"/>
  <c r="V753" i="1"/>
  <c r="U752" i="1"/>
  <c r="V752" i="1"/>
  <c r="U751" i="1"/>
  <c r="V751" i="1"/>
  <c r="V750" i="1"/>
  <c r="U750" i="1"/>
  <c r="U749" i="1"/>
  <c r="V749" i="1"/>
  <c r="V748" i="1"/>
  <c r="U748" i="1"/>
  <c r="V747" i="1"/>
  <c r="U747" i="1"/>
  <c r="V746" i="1"/>
  <c r="U746" i="1"/>
  <c r="U745" i="1"/>
  <c r="V745" i="1"/>
  <c r="V744" i="1"/>
  <c r="U744" i="1"/>
  <c r="U743" i="1"/>
  <c r="V743" i="1"/>
  <c r="U742" i="1"/>
  <c r="V742" i="1"/>
  <c r="V741" i="1"/>
  <c r="U741" i="1"/>
  <c r="U740" i="1"/>
  <c r="V740" i="1"/>
  <c r="U739" i="1"/>
  <c r="V739" i="1"/>
  <c r="V738" i="1"/>
  <c r="U738" i="1"/>
  <c r="U737" i="1"/>
  <c r="V737" i="1"/>
  <c r="V736" i="1"/>
  <c r="U736" i="1"/>
  <c r="V735" i="1"/>
  <c r="U735" i="1"/>
  <c r="V734" i="1"/>
  <c r="U734" i="1"/>
  <c r="V733" i="1"/>
  <c r="U733" i="1"/>
  <c r="V732" i="1"/>
  <c r="U732" i="1"/>
  <c r="U731" i="1"/>
  <c r="V731" i="1"/>
  <c r="V730" i="1"/>
  <c r="U730" i="1"/>
  <c r="V729" i="1"/>
  <c r="U729" i="1"/>
  <c r="U728" i="1"/>
  <c r="V728" i="1"/>
  <c r="U727" i="1"/>
  <c r="V727" i="1"/>
  <c r="U726" i="1"/>
  <c r="V726" i="1"/>
  <c r="U725" i="1"/>
  <c r="V725" i="1"/>
  <c r="V724" i="1"/>
  <c r="U724" i="1"/>
  <c r="U723" i="1"/>
  <c r="V723" i="1"/>
  <c r="U722" i="1"/>
  <c r="V722" i="1"/>
  <c r="U721" i="1"/>
  <c r="V721" i="1"/>
  <c r="V720" i="1"/>
  <c r="U720" i="1"/>
  <c r="V719" i="1"/>
  <c r="U719" i="1"/>
  <c r="U718" i="1"/>
  <c r="V718" i="1"/>
  <c r="V717" i="1"/>
  <c r="U717" i="1"/>
  <c r="U716" i="1"/>
  <c r="V716" i="1"/>
  <c r="U715" i="1"/>
  <c r="V715" i="1"/>
  <c r="U714" i="1"/>
  <c r="V714" i="1"/>
  <c r="U713" i="1"/>
  <c r="V713" i="1"/>
  <c r="U712" i="1"/>
  <c r="V712" i="1"/>
  <c r="U711" i="1"/>
  <c r="V711" i="1"/>
  <c r="U710" i="1"/>
  <c r="V710" i="1"/>
  <c r="V709" i="1"/>
  <c r="U709" i="1"/>
  <c r="U708" i="1"/>
  <c r="V708" i="1"/>
  <c r="U707" i="1"/>
  <c r="V707" i="1"/>
  <c r="U706" i="1"/>
  <c r="V706" i="1"/>
  <c r="V705" i="1"/>
  <c r="U705" i="1"/>
  <c r="U704" i="1"/>
  <c r="V704" i="1"/>
  <c r="V703" i="1"/>
  <c r="U703" i="1"/>
  <c r="U702" i="1"/>
  <c r="V702" i="1"/>
  <c r="V701" i="1"/>
  <c r="U701" i="1"/>
  <c r="V700" i="1"/>
  <c r="U700" i="1"/>
  <c r="V699" i="1"/>
  <c r="U699" i="1"/>
  <c r="V698" i="1"/>
  <c r="U698" i="1"/>
  <c r="U697" i="1"/>
  <c r="V697" i="1"/>
  <c r="U696" i="1"/>
  <c r="V696" i="1"/>
  <c r="V695" i="1"/>
  <c r="U695" i="1"/>
  <c r="V694" i="1"/>
  <c r="U694" i="1"/>
  <c r="U693" i="1"/>
  <c r="V693" i="1"/>
  <c r="U692" i="1"/>
  <c r="V692" i="1"/>
  <c r="V691" i="1"/>
  <c r="U691" i="1"/>
  <c r="U690" i="1"/>
  <c r="V690" i="1"/>
  <c r="V689" i="1"/>
  <c r="U689" i="1"/>
  <c r="U688" i="1"/>
  <c r="V688" i="1"/>
  <c r="U687" i="1"/>
  <c r="V687" i="1"/>
  <c r="V686" i="1"/>
  <c r="U686" i="1"/>
  <c r="U685" i="1"/>
  <c r="V685" i="1"/>
  <c r="V684" i="1"/>
  <c r="U684" i="1"/>
  <c r="U683" i="1"/>
  <c r="V683" i="1"/>
  <c r="U682" i="1"/>
  <c r="V682" i="1"/>
  <c r="V681" i="1"/>
  <c r="U681" i="1"/>
  <c r="V680" i="1"/>
  <c r="U680" i="1"/>
  <c r="V679" i="1"/>
  <c r="U679" i="1"/>
  <c r="V678" i="1"/>
  <c r="U678" i="1"/>
  <c r="U677" i="1"/>
  <c r="V677" i="1"/>
  <c r="U676" i="1"/>
  <c r="V676" i="1"/>
  <c r="U675" i="1"/>
  <c r="V675" i="1"/>
  <c r="U674" i="1"/>
  <c r="V674" i="1"/>
  <c r="U673" i="1"/>
  <c r="V673" i="1"/>
  <c r="U672" i="1"/>
  <c r="V672" i="1"/>
  <c r="U671" i="1"/>
  <c r="V671" i="1"/>
  <c r="U670" i="1"/>
  <c r="V670" i="1"/>
  <c r="V669" i="1"/>
  <c r="U669" i="1"/>
  <c r="U668" i="1"/>
  <c r="V668" i="1"/>
  <c r="V667" i="1"/>
  <c r="U667" i="1"/>
  <c r="U666" i="1"/>
  <c r="V666" i="1"/>
  <c r="V665" i="1"/>
  <c r="U665" i="1"/>
  <c r="V664" i="1"/>
  <c r="U664" i="1"/>
  <c r="V663" i="1"/>
  <c r="U663" i="1"/>
  <c r="V662" i="1"/>
  <c r="U662" i="1"/>
  <c r="U661" i="1"/>
  <c r="V661" i="1"/>
  <c r="V660" i="1"/>
  <c r="U660" i="1"/>
  <c r="V659" i="1"/>
  <c r="U659" i="1"/>
  <c r="V658" i="1"/>
  <c r="U658" i="1"/>
  <c r="V657" i="1"/>
  <c r="U657" i="1"/>
  <c r="U656" i="1"/>
  <c r="V656" i="1"/>
  <c r="V655" i="1"/>
  <c r="U655" i="1"/>
  <c r="V654" i="1"/>
  <c r="U654" i="1"/>
  <c r="U653" i="1"/>
  <c r="V653" i="1"/>
  <c r="U652" i="1"/>
  <c r="V652" i="1"/>
  <c r="V651" i="1"/>
  <c r="U651" i="1"/>
  <c r="V650" i="1"/>
  <c r="U650" i="1"/>
  <c r="V649" i="1"/>
  <c r="U649" i="1"/>
  <c r="U648" i="1"/>
  <c r="V648" i="1"/>
  <c r="V647" i="1"/>
  <c r="U647" i="1"/>
  <c r="V646" i="1"/>
  <c r="U646" i="1"/>
  <c r="U645" i="1"/>
  <c r="V645" i="1"/>
  <c r="U644" i="1"/>
  <c r="V644" i="1"/>
  <c r="V643" i="1"/>
  <c r="U643" i="1"/>
  <c r="U642" i="1"/>
  <c r="V642" i="1"/>
  <c r="V641" i="1"/>
  <c r="U641" i="1"/>
  <c r="V640" i="1"/>
  <c r="U640" i="1"/>
  <c r="V639" i="1"/>
  <c r="U639" i="1"/>
  <c r="V638" i="1"/>
  <c r="U638" i="1"/>
  <c r="V637" i="1"/>
  <c r="U637" i="1"/>
  <c r="U636" i="1"/>
  <c r="V636" i="1"/>
  <c r="U635" i="1"/>
  <c r="V635" i="1"/>
  <c r="V634" i="1"/>
  <c r="U634" i="1"/>
  <c r="U633" i="1"/>
  <c r="V633" i="1"/>
  <c r="V632" i="1"/>
  <c r="U632" i="1"/>
  <c r="U631" i="1"/>
  <c r="V631" i="1"/>
  <c r="V630" i="1"/>
  <c r="U630" i="1"/>
  <c r="U629" i="1"/>
  <c r="V629" i="1"/>
  <c r="U628" i="1"/>
  <c r="V628" i="1"/>
  <c r="V627" i="1"/>
  <c r="U627" i="1"/>
  <c r="V626" i="1"/>
  <c r="U626" i="1"/>
  <c r="V625" i="1"/>
  <c r="U625" i="1"/>
  <c r="U624" i="1"/>
  <c r="V624" i="1"/>
  <c r="V623" i="1"/>
  <c r="U623" i="1"/>
  <c r="U622" i="1"/>
  <c r="V622" i="1"/>
  <c r="V621" i="1"/>
  <c r="U621" i="1"/>
  <c r="V620" i="1"/>
  <c r="U620" i="1"/>
  <c r="V619" i="1"/>
  <c r="U619" i="1"/>
  <c r="U618" i="1"/>
  <c r="V618" i="1"/>
  <c r="U617" i="1"/>
  <c r="V617" i="1"/>
  <c r="U616" i="1"/>
  <c r="V616" i="1"/>
  <c r="V615" i="1"/>
  <c r="U615" i="1"/>
  <c r="V614" i="1"/>
  <c r="U614" i="1"/>
  <c r="U613" i="1"/>
  <c r="V613" i="1"/>
  <c r="U612" i="1"/>
  <c r="V612" i="1"/>
  <c r="U611" i="1"/>
  <c r="V611" i="1"/>
  <c r="U610" i="1"/>
  <c r="V610" i="1"/>
  <c r="U609" i="1"/>
  <c r="V609" i="1"/>
  <c r="V608" i="1"/>
  <c r="U608" i="1"/>
  <c r="V607" i="1"/>
  <c r="U607" i="1"/>
  <c r="U606" i="1"/>
  <c r="V606" i="1"/>
  <c r="U605" i="1"/>
  <c r="V605" i="1"/>
  <c r="U604" i="1"/>
  <c r="V604" i="1"/>
  <c r="V603" i="1"/>
  <c r="U603" i="1"/>
  <c r="V602" i="1"/>
  <c r="U602" i="1"/>
  <c r="V601" i="1"/>
  <c r="U601" i="1"/>
  <c r="U600" i="1"/>
  <c r="V600" i="1"/>
  <c r="V599" i="1"/>
  <c r="U599" i="1"/>
  <c r="V598" i="1"/>
  <c r="U598" i="1"/>
  <c r="U597" i="1"/>
  <c r="V597" i="1"/>
  <c r="V596" i="1"/>
  <c r="U596" i="1"/>
  <c r="V595" i="1"/>
  <c r="U595" i="1"/>
  <c r="U594" i="1"/>
  <c r="V594" i="1"/>
  <c r="V593" i="1"/>
  <c r="U593" i="1"/>
  <c r="U592" i="1"/>
  <c r="V592" i="1"/>
  <c r="U591" i="1"/>
  <c r="V591" i="1"/>
  <c r="U590" i="1"/>
  <c r="V590" i="1"/>
  <c r="V589" i="1"/>
  <c r="U589" i="1"/>
  <c r="U588" i="1"/>
  <c r="V588" i="1"/>
  <c r="V587" i="1"/>
  <c r="U587" i="1"/>
  <c r="V586" i="1"/>
  <c r="U586" i="1"/>
  <c r="U585" i="1"/>
  <c r="V585" i="1"/>
  <c r="V584" i="1"/>
  <c r="U584" i="1"/>
  <c r="V583" i="1"/>
  <c r="U583" i="1"/>
  <c r="U582" i="1"/>
  <c r="U581" i="1"/>
  <c r="V581" i="1"/>
  <c r="U580" i="1"/>
  <c r="V580" i="1"/>
  <c r="U579" i="1"/>
  <c r="V579" i="1"/>
  <c r="U578" i="1"/>
  <c r="V578" i="1"/>
  <c r="U577" i="1"/>
  <c r="V577" i="1"/>
  <c r="V576" i="1"/>
  <c r="U576" i="1"/>
  <c r="U575" i="1"/>
  <c r="V575" i="1"/>
  <c r="U574" i="1"/>
  <c r="V574" i="1"/>
  <c r="U573" i="1"/>
  <c r="V573" i="1"/>
  <c r="V572" i="1"/>
  <c r="U572" i="1"/>
  <c r="V571" i="1"/>
  <c r="U571" i="1"/>
  <c r="V570" i="1"/>
  <c r="U570" i="1"/>
  <c r="V569" i="1"/>
  <c r="U569" i="1"/>
  <c r="U568" i="1"/>
  <c r="V568" i="1"/>
  <c r="U567" i="1"/>
  <c r="V567" i="1"/>
  <c r="V566" i="1"/>
  <c r="U566" i="1"/>
  <c r="U565" i="1"/>
  <c r="V565" i="1"/>
  <c r="U564" i="1"/>
  <c r="V564" i="1"/>
  <c r="V563" i="1"/>
  <c r="U563" i="1"/>
  <c r="U562" i="1"/>
  <c r="V562" i="1"/>
  <c r="V561" i="1"/>
  <c r="U561" i="1"/>
  <c r="U560" i="1"/>
  <c r="V560" i="1"/>
  <c r="U559" i="1"/>
  <c r="V559" i="1"/>
  <c r="U558" i="1"/>
  <c r="V558" i="1"/>
  <c r="V557" i="1"/>
  <c r="U557" i="1"/>
  <c r="U556" i="1"/>
  <c r="V556" i="1"/>
  <c r="V555" i="1"/>
  <c r="U555" i="1"/>
  <c r="U554" i="1"/>
  <c r="V554" i="1"/>
  <c r="V553" i="1"/>
  <c r="U553" i="1"/>
  <c r="V552" i="1"/>
  <c r="U552" i="1"/>
  <c r="U551" i="1"/>
  <c r="V551" i="1"/>
  <c r="V550" i="1"/>
  <c r="U550" i="1"/>
  <c r="V549" i="1"/>
  <c r="U549" i="1"/>
  <c r="V548" i="1"/>
  <c r="U548" i="1"/>
  <c r="U547" i="1"/>
  <c r="V547" i="1"/>
  <c r="V546" i="1"/>
  <c r="U546" i="1"/>
  <c r="V545" i="1"/>
  <c r="U545" i="1"/>
  <c r="V544" i="1"/>
  <c r="U544" i="1"/>
  <c r="U543" i="1"/>
  <c r="V543" i="1"/>
  <c r="V542" i="1"/>
  <c r="U542" i="1"/>
  <c r="V541" i="1"/>
  <c r="U541" i="1"/>
  <c r="V540" i="1"/>
  <c r="U540" i="1"/>
  <c r="V539" i="1"/>
  <c r="U539" i="1"/>
  <c r="U538" i="1"/>
  <c r="V538" i="1"/>
  <c r="U537" i="1"/>
  <c r="V537" i="1"/>
  <c r="U536" i="1"/>
  <c r="V536" i="1"/>
  <c r="V535" i="1"/>
  <c r="U535" i="1"/>
  <c r="V534" i="1"/>
  <c r="U534" i="1"/>
  <c r="U533" i="1"/>
  <c r="V533" i="1"/>
  <c r="V532" i="1"/>
  <c r="U532" i="1"/>
  <c r="U531" i="1"/>
  <c r="V531" i="1"/>
  <c r="U530" i="1"/>
  <c r="V530" i="1"/>
  <c r="V529" i="1"/>
  <c r="U529" i="1"/>
  <c r="V528" i="1"/>
  <c r="U528" i="1"/>
  <c r="V527" i="1"/>
  <c r="U527" i="1"/>
  <c r="U526" i="1"/>
  <c r="V526" i="1"/>
  <c r="V525" i="1"/>
  <c r="U525" i="1"/>
  <c r="V524" i="1"/>
  <c r="U524" i="1"/>
  <c r="V523" i="1"/>
  <c r="U523" i="1"/>
  <c r="U522" i="1"/>
  <c r="V522" i="1"/>
  <c r="U521" i="1"/>
  <c r="V521" i="1"/>
  <c r="U520" i="1"/>
  <c r="V520" i="1"/>
  <c r="U519" i="1"/>
  <c r="V519" i="1"/>
  <c r="V518" i="1"/>
  <c r="U518" i="1"/>
  <c r="V517" i="1"/>
  <c r="U517" i="1"/>
  <c r="V516" i="1"/>
  <c r="U516" i="1"/>
  <c r="U515" i="1"/>
  <c r="V515" i="1"/>
  <c r="V514" i="1"/>
  <c r="U514" i="1"/>
  <c r="U513" i="1"/>
  <c r="V513" i="1"/>
  <c r="U512" i="1"/>
  <c r="V512" i="1"/>
  <c r="U511" i="1"/>
  <c r="V511" i="1"/>
  <c r="U510" i="1"/>
  <c r="V510" i="1"/>
  <c r="U509" i="1"/>
  <c r="V509" i="1"/>
  <c r="U508" i="1"/>
  <c r="V508" i="1"/>
  <c r="V507" i="1"/>
  <c r="U507" i="1"/>
  <c r="V506" i="1"/>
  <c r="U506" i="1"/>
  <c r="V505" i="1"/>
  <c r="U505" i="1"/>
  <c r="V504" i="1"/>
  <c r="U504" i="1"/>
  <c r="V503" i="1"/>
  <c r="U503" i="1"/>
  <c r="U502" i="1"/>
  <c r="V502" i="1"/>
  <c r="V501" i="1"/>
  <c r="U501" i="1"/>
  <c r="U500" i="1"/>
  <c r="V500" i="1"/>
  <c r="V499" i="1"/>
  <c r="U499" i="1"/>
  <c r="V498" i="1"/>
  <c r="U498" i="1"/>
  <c r="V497" i="1"/>
  <c r="U497" i="1"/>
  <c r="V496" i="1"/>
  <c r="U496" i="1"/>
  <c r="V495" i="1"/>
  <c r="U495" i="1"/>
  <c r="U494" i="1"/>
  <c r="V494" i="1"/>
  <c r="V493" i="1"/>
  <c r="U493" i="1"/>
  <c r="U492" i="1"/>
  <c r="V492" i="1"/>
  <c r="U491" i="1"/>
  <c r="V491" i="1"/>
  <c r="U490" i="1"/>
  <c r="V490" i="1"/>
  <c r="V489" i="1"/>
  <c r="U489" i="1"/>
  <c r="V488" i="1"/>
  <c r="U488" i="1"/>
  <c r="U487" i="1"/>
  <c r="V487" i="1"/>
  <c r="V486" i="1"/>
  <c r="U486" i="1"/>
  <c r="V485" i="1"/>
  <c r="U485" i="1"/>
  <c r="V484" i="1"/>
  <c r="U484" i="1"/>
  <c r="V483" i="1"/>
  <c r="U483" i="1"/>
  <c r="U482" i="1"/>
  <c r="V482" i="1"/>
  <c r="U481" i="1"/>
  <c r="V481" i="1"/>
  <c r="U480" i="1"/>
  <c r="V480" i="1"/>
  <c r="V479" i="1"/>
  <c r="U479" i="1"/>
  <c r="V478" i="1"/>
  <c r="U478" i="1"/>
  <c r="V477" i="1"/>
  <c r="U477" i="1"/>
  <c r="U476" i="1"/>
  <c r="V476" i="1"/>
  <c r="V475" i="1"/>
  <c r="U475" i="1"/>
  <c r="V474" i="1"/>
  <c r="U474" i="1"/>
  <c r="V473" i="1"/>
  <c r="U473" i="1"/>
  <c r="U472" i="1"/>
  <c r="V472" i="1"/>
  <c r="U471" i="1"/>
  <c r="V471" i="1"/>
  <c r="V470" i="1"/>
  <c r="U470" i="1"/>
  <c r="U469" i="1"/>
  <c r="V469" i="1"/>
  <c r="V468" i="1"/>
  <c r="U468" i="1"/>
  <c r="U467" i="1"/>
  <c r="V467" i="1"/>
  <c r="U466" i="1"/>
  <c r="V466" i="1"/>
  <c r="U465" i="1"/>
  <c r="V465" i="1"/>
  <c r="U464" i="1"/>
  <c r="V464" i="1"/>
  <c r="U463" i="1"/>
  <c r="V463" i="1"/>
  <c r="V462" i="1"/>
  <c r="U462" i="1"/>
  <c r="V461" i="1"/>
  <c r="U461" i="1"/>
  <c r="U460" i="1"/>
  <c r="V460" i="1"/>
  <c r="U459" i="1"/>
  <c r="V459" i="1"/>
  <c r="V458" i="1"/>
  <c r="U458" i="1"/>
  <c r="V457" i="1"/>
  <c r="U457" i="1"/>
  <c r="U456" i="1"/>
  <c r="V456" i="1"/>
  <c r="V455" i="1"/>
  <c r="U455" i="1"/>
  <c r="V454" i="1"/>
  <c r="U454" i="1"/>
  <c r="V453" i="1"/>
  <c r="U453" i="1"/>
  <c r="U452" i="1"/>
  <c r="V452" i="1"/>
  <c r="V451" i="1"/>
  <c r="U451" i="1"/>
  <c r="V450" i="1"/>
  <c r="U450" i="1"/>
  <c r="V449" i="1"/>
  <c r="U449" i="1"/>
  <c r="V448" i="1"/>
  <c r="U448" i="1"/>
  <c r="U447" i="1"/>
  <c r="V447" i="1"/>
  <c r="V446" i="1"/>
  <c r="U446" i="1"/>
  <c r="U445" i="1"/>
  <c r="V445" i="1"/>
  <c r="U444" i="1"/>
  <c r="V444" i="1"/>
  <c r="U443" i="1"/>
  <c r="V443" i="1"/>
  <c r="V442" i="1"/>
  <c r="U442" i="1"/>
  <c r="U441" i="1"/>
  <c r="V441" i="1"/>
  <c r="V440" i="1"/>
  <c r="U440" i="1"/>
  <c r="U439" i="1"/>
  <c r="V439" i="1"/>
  <c r="V438" i="1"/>
  <c r="U438" i="1"/>
  <c r="V437" i="1"/>
  <c r="U437" i="1"/>
  <c r="U436" i="1"/>
  <c r="V436" i="1"/>
  <c r="U435" i="1"/>
  <c r="V435" i="1"/>
  <c r="V434" i="1"/>
  <c r="U434" i="1"/>
  <c r="U433" i="1"/>
  <c r="V433" i="1"/>
  <c r="V432" i="1"/>
  <c r="U432" i="1"/>
  <c r="U431" i="1"/>
  <c r="V431" i="1"/>
  <c r="V430" i="1"/>
  <c r="U430" i="1"/>
  <c r="V429" i="1"/>
  <c r="U429" i="1"/>
  <c r="V428" i="1"/>
  <c r="U428" i="1"/>
  <c r="U427" i="1"/>
  <c r="V427" i="1"/>
  <c r="V426" i="1"/>
  <c r="U426" i="1"/>
  <c r="V425" i="1"/>
  <c r="U425" i="1"/>
  <c r="U424" i="1"/>
  <c r="V424" i="1"/>
  <c r="V423" i="1"/>
  <c r="U423" i="1"/>
  <c r="V422" i="1"/>
  <c r="U422" i="1"/>
  <c r="U421" i="1"/>
  <c r="V421" i="1"/>
  <c r="V420" i="1"/>
  <c r="U420" i="1"/>
  <c r="U419" i="1"/>
  <c r="V419" i="1"/>
  <c r="V418" i="1"/>
  <c r="U418" i="1"/>
  <c r="V417" i="1"/>
  <c r="U417" i="1"/>
  <c r="V416" i="1"/>
  <c r="U416" i="1"/>
  <c r="V415" i="1"/>
  <c r="U415" i="1"/>
  <c r="V414" i="1"/>
  <c r="U414" i="1"/>
  <c r="V413" i="1"/>
  <c r="U413" i="1"/>
  <c r="V412" i="1"/>
  <c r="U412" i="1"/>
  <c r="V411" i="1"/>
  <c r="U411" i="1"/>
  <c r="V410" i="1"/>
  <c r="U410" i="1"/>
  <c r="U409" i="1"/>
  <c r="V409" i="1"/>
  <c r="U408" i="1"/>
  <c r="V408" i="1"/>
  <c r="V407" i="1"/>
  <c r="U407" i="1"/>
  <c r="U406" i="1"/>
  <c r="V406" i="1"/>
  <c r="U405" i="1"/>
  <c r="V405" i="1"/>
  <c r="V404" i="1"/>
  <c r="U404" i="1"/>
  <c r="U403" i="1"/>
  <c r="V403" i="1"/>
  <c r="U402" i="1"/>
  <c r="V402" i="1"/>
  <c r="V401" i="1"/>
  <c r="U401" i="1"/>
  <c r="V400" i="1"/>
  <c r="U400" i="1"/>
  <c r="V399" i="1"/>
  <c r="U399" i="1"/>
  <c r="U398" i="1"/>
  <c r="V398" i="1"/>
  <c r="U397" i="1"/>
  <c r="V397" i="1"/>
  <c r="U396" i="1"/>
  <c r="V396" i="1"/>
  <c r="V395" i="1"/>
  <c r="U395" i="1"/>
  <c r="U394" i="1"/>
  <c r="V394" i="1"/>
  <c r="U393" i="1"/>
  <c r="V393" i="1"/>
  <c r="U392" i="1"/>
  <c r="V392" i="1"/>
  <c r="U391" i="1"/>
  <c r="V391" i="1"/>
  <c r="U390" i="1"/>
  <c r="V390" i="1"/>
  <c r="U389" i="1"/>
  <c r="V389" i="1"/>
  <c r="U388" i="1"/>
  <c r="V388" i="1"/>
  <c r="V387" i="1"/>
  <c r="U387" i="1"/>
  <c r="V386" i="1"/>
  <c r="U386" i="1"/>
  <c r="U385" i="1"/>
  <c r="V385" i="1"/>
  <c r="V384" i="1"/>
  <c r="U384" i="1"/>
  <c r="V383" i="1"/>
  <c r="U383" i="1"/>
  <c r="U382" i="1"/>
  <c r="V382" i="1"/>
  <c r="U381" i="1"/>
  <c r="V381" i="1"/>
  <c r="V380" i="1"/>
  <c r="U380" i="1"/>
  <c r="V379" i="1"/>
  <c r="U379" i="1"/>
  <c r="V378" i="1"/>
  <c r="U378" i="1"/>
  <c r="U377" i="1"/>
  <c r="V377" i="1"/>
  <c r="V376" i="1"/>
  <c r="U376" i="1"/>
  <c r="U375" i="1"/>
  <c r="V375" i="1"/>
  <c r="U374" i="1"/>
  <c r="V374" i="1"/>
  <c r="V373" i="1"/>
  <c r="U373" i="1"/>
  <c r="V372" i="1"/>
  <c r="U372" i="1"/>
  <c r="V371" i="1"/>
  <c r="U371" i="1"/>
  <c r="U370" i="1"/>
  <c r="V370" i="1"/>
  <c r="U369" i="1"/>
  <c r="V369" i="1"/>
  <c r="U368" i="1"/>
  <c r="V368" i="1"/>
  <c r="V367" i="1"/>
  <c r="U367" i="1"/>
  <c r="V366" i="1"/>
  <c r="U366" i="1"/>
  <c r="V365" i="1"/>
  <c r="U365" i="1"/>
  <c r="V364" i="1"/>
  <c r="U364" i="1"/>
  <c r="U363" i="1"/>
  <c r="V363" i="1"/>
  <c r="V362" i="1"/>
  <c r="U362" i="1"/>
  <c r="U361" i="1"/>
  <c r="V361" i="1"/>
  <c r="U360" i="1"/>
  <c r="V360" i="1"/>
  <c r="U359" i="1"/>
  <c r="V359" i="1"/>
  <c r="U358" i="1"/>
  <c r="V358" i="1"/>
  <c r="V357" i="1"/>
  <c r="U357" i="1"/>
  <c r="V356" i="1"/>
  <c r="U356" i="1"/>
  <c r="U355" i="1"/>
  <c r="V355" i="1"/>
  <c r="U354" i="1"/>
  <c r="V354" i="1"/>
  <c r="V353" i="1"/>
  <c r="U353" i="1"/>
  <c r="V352" i="1"/>
  <c r="U352" i="1"/>
  <c r="V351" i="1"/>
  <c r="U351" i="1"/>
  <c r="V350" i="1"/>
  <c r="U350" i="1"/>
  <c r="U349" i="1"/>
  <c r="V349" i="1"/>
  <c r="U348" i="1"/>
  <c r="V348" i="1"/>
  <c r="U347" i="1"/>
  <c r="V347" i="1"/>
  <c r="V346" i="1"/>
  <c r="U346" i="1"/>
  <c r="U345" i="1"/>
  <c r="V345" i="1"/>
  <c r="U344" i="1"/>
  <c r="V344" i="1"/>
  <c r="U343" i="1"/>
  <c r="V343" i="1"/>
  <c r="V342" i="1"/>
  <c r="U342" i="1"/>
  <c r="U341" i="1"/>
  <c r="V341" i="1"/>
  <c r="V340" i="1"/>
  <c r="U340" i="1"/>
  <c r="V339" i="1"/>
  <c r="U339" i="1"/>
  <c r="U338" i="1"/>
  <c r="V338" i="1"/>
  <c r="U337" i="1"/>
  <c r="V337" i="1"/>
  <c r="U336" i="1"/>
  <c r="V336" i="1"/>
  <c r="V335" i="1"/>
  <c r="U335" i="1"/>
  <c r="U334" i="1"/>
  <c r="V334" i="1"/>
  <c r="U333" i="1"/>
  <c r="V333" i="1"/>
  <c r="V332" i="1"/>
  <c r="U332" i="1"/>
  <c r="U331" i="1"/>
  <c r="V331" i="1"/>
  <c r="V330" i="1"/>
  <c r="U330" i="1"/>
  <c r="V329" i="1"/>
  <c r="U329" i="1"/>
  <c r="U328" i="1"/>
  <c r="V328" i="1"/>
  <c r="U327" i="1"/>
  <c r="V327" i="1"/>
  <c r="U326" i="1"/>
  <c r="V326" i="1"/>
  <c r="U325" i="1"/>
  <c r="V325" i="1"/>
  <c r="V324" i="1"/>
  <c r="U324" i="1"/>
  <c r="V323" i="1"/>
  <c r="U323" i="1"/>
  <c r="V322" i="1"/>
  <c r="U322" i="1"/>
  <c r="V321" i="1"/>
  <c r="U321" i="1"/>
  <c r="U320" i="1"/>
  <c r="V320" i="1"/>
  <c r="U319" i="1"/>
  <c r="V319" i="1"/>
  <c r="V318" i="1"/>
  <c r="U318" i="1"/>
  <c r="U317" i="1"/>
  <c r="V317" i="1"/>
  <c r="V316" i="1"/>
  <c r="U316" i="1"/>
  <c r="V315" i="1"/>
  <c r="U315" i="1"/>
  <c r="U314" i="1"/>
  <c r="V314" i="1"/>
  <c r="U313" i="1"/>
  <c r="V313" i="1"/>
  <c r="V312" i="1"/>
  <c r="U312" i="1"/>
  <c r="V311" i="1"/>
  <c r="U311" i="1"/>
  <c r="U310" i="1"/>
  <c r="V310" i="1"/>
  <c r="V309" i="1"/>
  <c r="U309" i="1"/>
  <c r="U307" i="1"/>
  <c r="V307" i="1"/>
  <c r="V306" i="1"/>
  <c r="U306" i="1"/>
  <c r="U305" i="1"/>
  <c r="V305" i="1"/>
  <c r="U304" i="1"/>
  <c r="V304" i="1"/>
  <c r="V303" i="1"/>
  <c r="U303" i="1"/>
  <c r="U302" i="1"/>
  <c r="V302" i="1"/>
  <c r="U301" i="1"/>
  <c r="V301" i="1"/>
  <c r="U300" i="1"/>
  <c r="V300" i="1"/>
  <c r="U299" i="1"/>
  <c r="V299" i="1"/>
  <c r="U298" i="1"/>
  <c r="V298" i="1"/>
  <c r="U297" i="1"/>
  <c r="V297" i="1"/>
  <c r="U296" i="1"/>
  <c r="V296" i="1"/>
  <c r="V295" i="1"/>
  <c r="U295" i="1"/>
  <c r="V294" i="1"/>
  <c r="U294" i="1"/>
  <c r="V293" i="1"/>
  <c r="U293" i="1"/>
  <c r="V292" i="1"/>
  <c r="U292" i="1"/>
  <c r="V291" i="1"/>
  <c r="U291" i="1"/>
  <c r="V290" i="1"/>
  <c r="U290" i="1"/>
  <c r="V289" i="1"/>
  <c r="U289" i="1"/>
  <c r="V288" i="1"/>
  <c r="U288" i="1"/>
  <c r="U287" i="1"/>
  <c r="V287" i="1"/>
  <c r="V286" i="1"/>
  <c r="U286" i="1"/>
  <c r="V285" i="1"/>
  <c r="U285" i="1"/>
  <c r="V284" i="1"/>
  <c r="U284" i="1"/>
  <c r="U283" i="1"/>
  <c r="V283" i="1"/>
  <c r="V282" i="1"/>
  <c r="U282" i="1"/>
  <c r="U281" i="1"/>
  <c r="V281" i="1"/>
  <c r="V280" i="1"/>
  <c r="U280" i="1"/>
  <c r="V279" i="1"/>
  <c r="U279" i="1"/>
  <c r="U278" i="1"/>
  <c r="V278" i="1"/>
  <c r="V277" i="1"/>
  <c r="U277" i="1"/>
  <c r="V276" i="1"/>
  <c r="U276" i="1"/>
  <c r="U275" i="1"/>
  <c r="V275" i="1"/>
  <c r="V274" i="1"/>
  <c r="U274" i="1"/>
  <c r="V273" i="1"/>
  <c r="U273" i="1"/>
  <c r="U272" i="1"/>
  <c r="V272" i="1"/>
  <c r="V271" i="1"/>
  <c r="U271" i="1"/>
  <c r="U270" i="1"/>
  <c r="V270" i="1"/>
  <c r="U269" i="1"/>
  <c r="V269" i="1"/>
  <c r="V268" i="1"/>
  <c r="U268" i="1"/>
  <c r="V267" i="1"/>
  <c r="U267" i="1"/>
  <c r="U266" i="1"/>
  <c r="V266" i="1"/>
  <c r="V265" i="1"/>
  <c r="U265" i="1"/>
  <c r="V264" i="1"/>
  <c r="U264" i="1"/>
  <c r="V263" i="1"/>
  <c r="U263" i="1"/>
  <c r="V262" i="1"/>
  <c r="U262" i="1"/>
  <c r="V261" i="1"/>
  <c r="U261" i="1"/>
  <c r="V260" i="1"/>
  <c r="U260" i="1"/>
  <c r="U259" i="1"/>
  <c r="V259" i="1"/>
  <c r="V258" i="1"/>
  <c r="U258" i="1"/>
  <c r="V257" i="1"/>
  <c r="U257" i="1"/>
  <c r="U256" i="1"/>
  <c r="V256" i="1"/>
  <c r="U255" i="1"/>
  <c r="V255" i="1"/>
  <c r="U254" i="1"/>
  <c r="V254" i="1"/>
  <c r="U253" i="1"/>
  <c r="V253" i="1"/>
  <c r="U252" i="1"/>
  <c r="V252" i="1"/>
  <c r="V251" i="1"/>
  <c r="U251" i="1"/>
  <c r="V250" i="1"/>
  <c r="U250" i="1"/>
  <c r="V249" i="1"/>
  <c r="U249" i="1"/>
  <c r="V248" i="1"/>
  <c r="U248" i="1"/>
  <c r="V247" i="1"/>
  <c r="U247" i="1"/>
  <c r="U246" i="1"/>
  <c r="V246" i="1"/>
  <c r="U245" i="1"/>
  <c r="V245" i="1"/>
  <c r="V244" i="1"/>
  <c r="U244" i="1"/>
  <c r="V243" i="1"/>
  <c r="U243" i="1"/>
  <c r="U242" i="1"/>
  <c r="V242" i="1"/>
  <c r="V241" i="1"/>
  <c r="U241" i="1"/>
  <c r="U240" i="1"/>
  <c r="V240" i="1"/>
  <c r="V239" i="1"/>
  <c r="U239" i="1"/>
  <c r="U238" i="1"/>
  <c r="V238" i="1"/>
  <c r="U237" i="1"/>
  <c r="V237" i="1"/>
  <c r="V236" i="1"/>
  <c r="U236" i="1"/>
  <c r="U235" i="1"/>
  <c r="V235" i="1"/>
  <c r="U234" i="1"/>
  <c r="V234" i="1"/>
  <c r="U233" i="1"/>
  <c r="V233" i="1"/>
  <c r="U232" i="1"/>
  <c r="V232" i="1"/>
  <c r="V231" i="1"/>
  <c r="U231" i="1"/>
  <c r="U230" i="1"/>
  <c r="V230" i="1"/>
  <c r="V229" i="1"/>
  <c r="U229" i="1"/>
  <c r="U228" i="1"/>
  <c r="V228" i="1"/>
  <c r="U227" i="1"/>
  <c r="V227" i="1"/>
  <c r="U226" i="1"/>
  <c r="V226" i="1"/>
  <c r="V225" i="1"/>
  <c r="U225" i="1"/>
  <c r="V224" i="1"/>
  <c r="U224" i="1"/>
  <c r="U223" i="1"/>
  <c r="V223" i="1"/>
  <c r="V222" i="1"/>
  <c r="U222" i="1"/>
  <c r="V221" i="1"/>
  <c r="U221" i="1"/>
  <c r="U220" i="1"/>
  <c r="V220" i="1"/>
  <c r="U219" i="1"/>
  <c r="V219" i="1"/>
  <c r="U218" i="1"/>
  <c r="V218" i="1"/>
  <c r="V217" i="1"/>
  <c r="U217" i="1"/>
  <c r="V216" i="1"/>
  <c r="U216" i="1"/>
  <c r="V215" i="1"/>
  <c r="U215" i="1"/>
  <c r="V214" i="1"/>
  <c r="U214" i="1"/>
  <c r="V213" i="1"/>
  <c r="U213" i="1"/>
  <c r="V212" i="1"/>
  <c r="U212" i="1"/>
  <c r="V211" i="1"/>
  <c r="U211" i="1"/>
  <c r="V210" i="1"/>
  <c r="U210" i="1"/>
  <c r="V209" i="1"/>
  <c r="U209" i="1"/>
  <c r="V208" i="1"/>
  <c r="U208" i="1"/>
  <c r="U207" i="1"/>
  <c r="V207" i="1"/>
  <c r="U206" i="1"/>
  <c r="V206" i="1"/>
  <c r="V205" i="1"/>
  <c r="U205" i="1"/>
  <c r="V204" i="1"/>
  <c r="U204" i="1"/>
  <c r="V203" i="1"/>
  <c r="U203" i="1"/>
  <c r="V202" i="1"/>
  <c r="U202" i="1"/>
  <c r="U201" i="1"/>
  <c r="V201" i="1"/>
  <c r="V200" i="1"/>
  <c r="U200" i="1"/>
  <c r="V199" i="1"/>
  <c r="U199" i="1"/>
  <c r="V198" i="1"/>
  <c r="U198" i="1"/>
  <c r="V197" i="1"/>
  <c r="U197" i="1"/>
  <c r="V196" i="1"/>
  <c r="U196" i="1"/>
  <c r="V195" i="1"/>
  <c r="U195" i="1"/>
  <c r="U194" i="1"/>
  <c r="V194" i="1"/>
  <c r="U193" i="1"/>
  <c r="V193" i="1"/>
  <c r="U192" i="1"/>
  <c r="V192" i="1"/>
  <c r="U191" i="1"/>
  <c r="V191" i="1"/>
  <c r="U190" i="1"/>
  <c r="V190" i="1"/>
  <c r="U189" i="1"/>
  <c r="V189" i="1"/>
  <c r="V188" i="1"/>
  <c r="U188" i="1"/>
  <c r="V187" i="1"/>
  <c r="U187" i="1"/>
  <c r="V186" i="1"/>
  <c r="U186" i="1"/>
  <c r="V185" i="1"/>
  <c r="U185" i="1"/>
  <c r="V184" i="1"/>
  <c r="U184" i="1"/>
  <c r="V183" i="1"/>
  <c r="U183" i="1"/>
  <c r="V182" i="1"/>
  <c r="U182" i="1"/>
  <c r="V181" i="1"/>
  <c r="U181" i="1"/>
  <c r="U180" i="1"/>
  <c r="V180" i="1"/>
  <c r="V179" i="1"/>
  <c r="U179" i="1"/>
  <c r="V178" i="1"/>
  <c r="U178" i="1"/>
  <c r="V177" i="1"/>
  <c r="U177" i="1"/>
  <c r="V176" i="1"/>
  <c r="U176" i="1"/>
  <c r="U175" i="1"/>
  <c r="V175" i="1"/>
  <c r="U174" i="1"/>
  <c r="V174" i="1"/>
  <c r="V173" i="1"/>
  <c r="U173" i="1"/>
  <c r="V172" i="1"/>
  <c r="U172" i="1"/>
  <c r="U171" i="1"/>
  <c r="V171" i="1"/>
  <c r="V170" i="1"/>
  <c r="U170" i="1"/>
  <c r="V169" i="1"/>
  <c r="U169" i="1"/>
  <c r="U168" i="1"/>
  <c r="V168" i="1"/>
  <c r="V167" i="1"/>
  <c r="U167" i="1"/>
  <c r="U166" i="1"/>
  <c r="V166" i="1"/>
  <c r="U165" i="1"/>
  <c r="V165" i="1"/>
  <c r="U164" i="1"/>
  <c r="V164" i="1"/>
  <c r="U163" i="1"/>
  <c r="V163" i="1"/>
  <c r="U162" i="1"/>
  <c r="V162" i="1"/>
  <c r="U161" i="1"/>
  <c r="V161" i="1"/>
  <c r="V160" i="1"/>
  <c r="U160" i="1"/>
  <c r="V159" i="1"/>
  <c r="U159" i="1"/>
  <c r="U158" i="1"/>
  <c r="V158" i="1"/>
  <c r="U157" i="1"/>
  <c r="V157" i="1"/>
  <c r="V156" i="1"/>
  <c r="U156" i="1"/>
  <c r="V155" i="1"/>
  <c r="U155" i="1"/>
  <c r="U154" i="1"/>
  <c r="V154" i="1"/>
  <c r="U153" i="1"/>
  <c r="V153" i="1"/>
  <c r="V152" i="1"/>
  <c r="U152" i="1"/>
  <c r="U151" i="1"/>
  <c r="V151" i="1"/>
  <c r="U150" i="1"/>
  <c r="V150" i="1"/>
  <c r="U149" i="1"/>
  <c r="V149" i="1"/>
  <c r="U148" i="1"/>
  <c r="V148" i="1"/>
  <c r="V147" i="1"/>
  <c r="U147" i="1"/>
  <c r="U146" i="1"/>
  <c r="V146" i="1"/>
  <c r="U145" i="1"/>
  <c r="V145" i="1"/>
  <c r="V144" i="1"/>
  <c r="U144" i="1"/>
  <c r="U143" i="1"/>
  <c r="V143" i="1"/>
  <c r="U142" i="1"/>
  <c r="V142" i="1"/>
  <c r="U141" i="1"/>
  <c r="V141" i="1"/>
  <c r="U140" i="1"/>
  <c r="V140" i="1"/>
  <c r="U139" i="1"/>
  <c r="V139" i="1"/>
  <c r="U138" i="1"/>
  <c r="V138" i="1"/>
  <c r="U137" i="1"/>
  <c r="V137" i="1"/>
  <c r="U136" i="1"/>
  <c r="V136" i="1"/>
  <c r="U135" i="1"/>
  <c r="V135" i="1"/>
  <c r="V134" i="1"/>
  <c r="U134" i="1"/>
  <c r="V133" i="1"/>
  <c r="U133" i="1"/>
  <c r="U132" i="1"/>
  <c r="V132" i="1"/>
  <c r="U131" i="1"/>
  <c r="V131" i="1"/>
  <c r="V130" i="1"/>
  <c r="U130" i="1"/>
  <c r="V129" i="1"/>
  <c r="V128" i="1"/>
  <c r="U128" i="1"/>
  <c r="U127" i="1"/>
  <c r="V127" i="1"/>
  <c r="V126" i="1"/>
  <c r="U126" i="1"/>
  <c r="V125" i="1"/>
  <c r="U125" i="1"/>
  <c r="V124" i="1"/>
  <c r="U124" i="1"/>
  <c r="U123" i="1"/>
  <c r="V123" i="1"/>
  <c r="V122" i="1"/>
  <c r="U122" i="1"/>
  <c r="U121" i="1"/>
  <c r="V121" i="1"/>
  <c r="U120" i="1"/>
  <c r="V120" i="1"/>
  <c r="V119" i="1"/>
  <c r="U119" i="1"/>
  <c r="V118" i="1"/>
  <c r="U118" i="1"/>
  <c r="V117" i="1"/>
  <c r="U117" i="1"/>
  <c r="U116" i="1"/>
  <c r="V116" i="1"/>
  <c r="V115" i="1"/>
  <c r="U115" i="1"/>
  <c r="V114" i="1"/>
  <c r="U114" i="1"/>
  <c r="U113" i="1"/>
  <c r="V113" i="1"/>
  <c r="U112" i="1"/>
  <c r="V112" i="1"/>
  <c r="U111" i="1"/>
  <c r="V111" i="1"/>
  <c r="U110" i="1"/>
  <c r="V110" i="1"/>
  <c r="U109" i="1"/>
  <c r="V109" i="1"/>
  <c r="U108" i="1"/>
  <c r="V108" i="1"/>
  <c r="U107" i="1"/>
  <c r="V107" i="1"/>
  <c r="V106" i="1"/>
  <c r="U106" i="1"/>
  <c r="V105" i="1"/>
  <c r="U105" i="1"/>
  <c r="U104" i="1"/>
  <c r="V104" i="1"/>
  <c r="U103" i="1"/>
  <c r="V103" i="1"/>
  <c r="V102" i="1"/>
  <c r="U102" i="1"/>
  <c r="V101" i="1"/>
  <c r="U101" i="1"/>
  <c r="V100" i="1"/>
  <c r="U100" i="1"/>
  <c r="U99" i="1"/>
  <c r="V99" i="1"/>
  <c r="V98" i="1"/>
  <c r="U98" i="1"/>
  <c r="U97" i="1"/>
  <c r="V97" i="1"/>
  <c r="U96" i="1"/>
  <c r="V96" i="1"/>
  <c r="U95" i="1"/>
  <c r="V95" i="1"/>
  <c r="U94" i="1"/>
  <c r="V94" i="1"/>
  <c r="U93" i="1"/>
  <c r="V93" i="1"/>
  <c r="V92" i="1"/>
  <c r="U92" i="1"/>
  <c r="U91" i="1"/>
  <c r="V91" i="1"/>
  <c r="U90" i="1"/>
  <c r="V90" i="1"/>
  <c r="U89" i="1"/>
  <c r="V89" i="1"/>
  <c r="U88" i="1"/>
  <c r="V88" i="1"/>
  <c r="U87" i="1"/>
  <c r="V87" i="1"/>
  <c r="V86" i="1"/>
  <c r="U86" i="1"/>
  <c r="V85" i="1"/>
  <c r="U85" i="1"/>
  <c r="V84" i="1"/>
  <c r="U84" i="1"/>
  <c r="U83" i="1"/>
  <c r="V83" i="1"/>
  <c r="U82" i="1"/>
  <c r="V82" i="1"/>
  <c r="U81" i="1"/>
  <c r="V81" i="1"/>
  <c r="V80" i="1"/>
  <c r="U80" i="1"/>
  <c r="V79" i="1"/>
  <c r="U79" i="1"/>
  <c r="U78" i="1"/>
  <c r="V78" i="1"/>
  <c r="U77" i="1"/>
  <c r="V77" i="1"/>
  <c r="V76" i="1"/>
  <c r="U76" i="1"/>
  <c r="U75" i="1"/>
  <c r="V75" i="1"/>
  <c r="U74" i="1"/>
  <c r="V74" i="1"/>
  <c r="V73" i="1"/>
  <c r="U73" i="1"/>
  <c r="V72" i="1"/>
  <c r="U72" i="1"/>
  <c r="U71" i="1"/>
  <c r="V71" i="1"/>
  <c r="V70" i="1"/>
  <c r="U70" i="1"/>
  <c r="U69" i="1"/>
  <c r="V69" i="1"/>
  <c r="V68" i="1"/>
  <c r="U68" i="1"/>
  <c r="V67" i="1"/>
  <c r="U67" i="1"/>
  <c r="V66" i="1"/>
  <c r="U66" i="1"/>
  <c r="V65" i="1"/>
  <c r="U65" i="1"/>
  <c r="V64" i="1"/>
  <c r="U64" i="1"/>
  <c r="U63" i="1"/>
  <c r="V63" i="1"/>
  <c r="V62" i="1"/>
  <c r="U62" i="1"/>
  <c r="V61" i="1"/>
  <c r="U61" i="1"/>
  <c r="V60" i="1"/>
  <c r="U60" i="1"/>
  <c r="U59" i="1"/>
  <c r="V59" i="1"/>
  <c r="V58" i="1"/>
  <c r="U58" i="1"/>
  <c r="V57" i="1"/>
  <c r="U57" i="1"/>
  <c r="V56" i="1"/>
  <c r="U56" i="1"/>
  <c r="V55" i="1"/>
  <c r="U55" i="1"/>
  <c r="U54" i="1"/>
  <c r="V54" i="1"/>
  <c r="U53" i="1"/>
  <c r="V53" i="1"/>
  <c r="U52" i="1"/>
  <c r="V52" i="1"/>
  <c r="U51" i="1"/>
  <c r="V51" i="1"/>
  <c r="V50" i="1"/>
  <c r="U50" i="1"/>
  <c r="V49" i="1"/>
  <c r="U49" i="1"/>
  <c r="U48" i="1"/>
  <c r="V48" i="1"/>
  <c r="V47" i="1"/>
  <c r="U47" i="1"/>
  <c r="U46" i="1"/>
  <c r="V46" i="1"/>
  <c r="V45" i="1"/>
  <c r="U45" i="1"/>
  <c r="V44" i="1"/>
  <c r="U44" i="1"/>
  <c r="V43" i="1"/>
  <c r="U43" i="1"/>
  <c r="U42" i="1"/>
  <c r="V42" i="1"/>
  <c r="V41" i="1"/>
  <c r="U41" i="1"/>
  <c r="V40" i="1"/>
  <c r="U40" i="1"/>
  <c r="U39" i="1"/>
  <c r="V39" i="1"/>
  <c r="U38" i="1"/>
  <c r="V38" i="1"/>
  <c r="U37" i="1"/>
  <c r="H37" i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V37" i="1"/>
  <c r="Q37" i="1"/>
  <c r="U129" i="1"/>
  <c r="U308" i="1"/>
  <c r="W22" i="2" l="1"/>
  <c r="W21" i="2"/>
  <c r="W20" i="2"/>
  <c r="W19" i="2"/>
  <c r="W18" i="2"/>
  <c r="W17" i="2"/>
  <c r="W16" i="2"/>
  <c r="B10" i="2" s="1"/>
  <c r="A16" i="1"/>
  <c r="H308" i="1"/>
  <c r="N307" i="1"/>
  <c r="O307" i="1"/>
  <c r="N306" i="1"/>
  <c r="O306" i="1"/>
  <c r="N305" i="1"/>
  <c r="O305" i="1"/>
  <c r="N304" i="1"/>
  <c r="O304" i="1"/>
  <c r="N303" i="1"/>
  <c r="O303" i="1"/>
  <c r="N302" i="1"/>
  <c r="O302" i="1"/>
  <c r="N301" i="1"/>
  <c r="O301" i="1"/>
  <c r="N300" i="1"/>
  <c r="O300" i="1"/>
  <c r="N299" i="1"/>
  <c r="O299" i="1"/>
  <c r="N298" i="1"/>
  <c r="O298" i="1"/>
  <c r="N297" i="1"/>
  <c r="O297" i="1"/>
  <c r="N296" i="1"/>
  <c r="O296" i="1"/>
  <c r="N295" i="1"/>
  <c r="O295" i="1"/>
  <c r="N294" i="1"/>
  <c r="O294" i="1"/>
  <c r="N293" i="1"/>
  <c r="O293" i="1"/>
  <c r="N292" i="1"/>
  <c r="O292" i="1"/>
  <c r="N291" i="1"/>
  <c r="O291" i="1"/>
  <c r="N290" i="1"/>
  <c r="O290" i="1"/>
  <c r="N289" i="1"/>
  <c r="O289" i="1"/>
  <c r="N288" i="1"/>
  <c r="O288" i="1"/>
  <c r="N287" i="1"/>
  <c r="O287" i="1"/>
  <c r="N286" i="1"/>
  <c r="O286" i="1"/>
  <c r="N285" i="1"/>
  <c r="O285" i="1"/>
  <c r="N284" i="1"/>
  <c r="O284" i="1"/>
  <c r="N283" i="1"/>
  <c r="O283" i="1"/>
  <c r="N282" i="1"/>
  <c r="O282" i="1"/>
  <c r="N281" i="1"/>
  <c r="O281" i="1"/>
  <c r="N280" i="1"/>
  <c r="O280" i="1"/>
  <c r="N279" i="1"/>
  <c r="O279" i="1"/>
  <c r="N278" i="1"/>
  <c r="O278" i="1"/>
  <c r="N277" i="1"/>
  <c r="O277" i="1"/>
  <c r="N276" i="1"/>
  <c r="O276" i="1"/>
  <c r="N275" i="1"/>
  <c r="O275" i="1"/>
  <c r="N274" i="1"/>
  <c r="O274" i="1"/>
  <c r="N273" i="1"/>
  <c r="O273" i="1"/>
  <c r="N272" i="1"/>
  <c r="O272" i="1"/>
  <c r="N271" i="1"/>
  <c r="O271" i="1"/>
  <c r="N270" i="1"/>
  <c r="O270" i="1"/>
  <c r="N269" i="1"/>
  <c r="O269" i="1"/>
  <c r="N268" i="1"/>
  <c r="O268" i="1"/>
  <c r="N267" i="1"/>
  <c r="O267" i="1"/>
  <c r="N266" i="1"/>
  <c r="O266" i="1"/>
  <c r="N265" i="1"/>
  <c r="O265" i="1"/>
  <c r="N264" i="1"/>
  <c r="O264" i="1"/>
  <c r="N263" i="1"/>
  <c r="O263" i="1"/>
  <c r="N262" i="1"/>
  <c r="O262" i="1"/>
  <c r="N261" i="1"/>
  <c r="O261" i="1"/>
  <c r="N260" i="1"/>
  <c r="O260" i="1"/>
  <c r="N259" i="1"/>
  <c r="O259" i="1"/>
  <c r="N258" i="1"/>
  <c r="O258" i="1"/>
  <c r="N257" i="1"/>
  <c r="O257" i="1"/>
  <c r="N256" i="1"/>
  <c r="O256" i="1"/>
  <c r="N255" i="1"/>
  <c r="O255" i="1"/>
  <c r="N254" i="1"/>
  <c r="O254" i="1"/>
  <c r="N253" i="1"/>
  <c r="O253" i="1"/>
  <c r="N252" i="1"/>
  <c r="O252" i="1"/>
  <c r="N251" i="1"/>
  <c r="O251" i="1"/>
  <c r="N250" i="1"/>
  <c r="O250" i="1"/>
  <c r="N249" i="1"/>
  <c r="O249" i="1"/>
  <c r="N248" i="1"/>
  <c r="O248" i="1"/>
  <c r="N247" i="1"/>
  <c r="O247" i="1"/>
  <c r="N246" i="1"/>
  <c r="O246" i="1"/>
  <c r="N245" i="1"/>
  <c r="O245" i="1"/>
  <c r="N244" i="1"/>
  <c r="O244" i="1"/>
  <c r="N243" i="1"/>
  <c r="O243" i="1"/>
  <c r="N242" i="1"/>
  <c r="O242" i="1"/>
  <c r="N241" i="1"/>
  <c r="O241" i="1"/>
  <c r="O240" i="1"/>
  <c r="N240" i="1"/>
  <c r="O239" i="1"/>
  <c r="N239" i="1"/>
  <c r="N238" i="1"/>
  <c r="O238" i="1"/>
  <c r="O237" i="1"/>
  <c r="N237" i="1"/>
  <c r="O236" i="1"/>
  <c r="N236" i="1"/>
  <c r="N235" i="1"/>
  <c r="O235" i="1"/>
  <c r="O234" i="1"/>
  <c r="N234" i="1"/>
  <c r="N233" i="1"/>
  <c r="O233" i="1"/>
  <c r="N232" i="1"/>
  <c r="O232" i="1"/>
  <c r="O231" i="1"/>
  <c r="N231" i="1"/>
  <c r="O230" i="1"/>
  <c r="N230" i="1"/>
  <c r="O229" i="1"/>
  <c r="N229" i="1"/>
  <c r="N228" i="1"/>
  <c r="O228" i="1"/>
  <c r="N227" i="1"/>
  <c r="O227" i="1"/>
  <c r="O226" i="1"/>
  <c r="N226" i="1"/>
  <c r="O225" i="1"/>
  <c r="N225" i="1"/>
  <c r="O224" i="1"/>
  <c r="N224" i="1"/>
  <c r="N223" i="1"/>
  <c r="O223" i="1"/>
  <c r="O222" i="1"/>
  <c r="N222" i="1"/>
  <c r="N221" i="1"/>
  <c r="O221" i="1"/>
  <c r="N220" i="1"/>
  <c r="O220" i="1"/>
  <c r="O219" i="1"/>
  <c r="N219" i="1"/>
  <c r="N218" i="1"/>
  <c r="O218" i="1"/>
  <c r="O217" i="1"/>
  <c r="N217" i="1"/>
  <c r="N216" i="1"/>
  <c r="O216" i="1"/>
  <c r="O215" i="1"/>
  <c r="N215" i="1"/>
  <c r="N214" i="1"/>
  <c r="O214" i="1"/>
  <c r="O213" i="1"/>
  <c r="N213" i="1"/>
  <c r="N212" i="1"/>
  <c r="O212" i="1"/>
  <c r="O211" i="1"/>
  <c r="N211" i="1"/>
  <c r="O210" i="1"/>
  <c r="N210" i="1"/>
  <c r="N209" i="1"/>
  <c r="O209" i="1"/>
  <c r="N208" i="1"/>
  <c r="O208" i="1"/>
  <c r="O207" i="1"/>
  <c r="N207" i="1"/>
  <c r="O206" i="1"/>
  <c r="N206" i="1"/>
  <c r="O205" i="1"/>
  <c r="N205" i="1"/>
  <c r="N204" i="1"/>
  <c r="O204" i="1"/>
  <c r="O203" i="1"/>
  <c r="N203" i="1"/>
  <c r="N202" i="1"/>
  <c r="O202" i="1"/>
  <c r="N201" i="1"/>
  <c r="O201" i="1"/>
  <c r="O200" i="1"/>
  <c r="N200" i="1"/>
  <c r="O199" i="1"/>
  <c r="N199" i="1"/>
  <c r="N198" i="1"/>
  <c r="O198" i="1"/>
  <c r="O197" i="1"/>
  <c r="N197" i="1"/>
  <c r="O196" i="1"/>
  <c r="N196" i="1"/>
  <c r="N195" i="1"/>
  <c r="O195" i="1"/>
  <c r="O194" i="1"/>
  <c r="N194" i="1"/>
  <c r="O193" i="1"/>
  <c r="N193" i="1"/>
  <c r="N192" i="1"/>
  <c r="O192" i="1"/>
  <c r="O191" i="1"/>
  <c r="N191" i="1"/>
  <c r="O190" i="1"/>
  <c r="N190" i="1"/>
  <c r="N189" i="1"/>
  <c r="O189" i="1"/>
  <c r="N188" i="1"/>
  <c r="O188" i="1"/>
  <c r="O187" i="1"/>
  <c r="N187" i="1"/>
  <c r="N186" i="1"/>
  <c r="O186" i="1"/>
  <c r="O185" i="1"/>
  <c r="N185" i="1"/>
  <c r="N184" i="1"/>
  <c r="O184" i="1"/>
  <c r="O183" i="1"/>
  <c r="N183" i="1"/>
  <c r="N182" i="1"/>
  <c r="O182" i="1"/>
  <c r="N181" i="1"/>
  <c r="O181" i="1"/>
  <c r="O180" i="1"/>
  <c r="N180" i="1"/>
  <c r="N179" i="1"/>
  <c r="O179" i="1"/>
  <c r="N178" i="1"/>
  <c r="O178" i="1"/>
  <c r="N177" i="1"/>
  <c r="O177" i="1"/>
  <c r="N176" i="1"/>
  <c r="O176" i="1"/>
  <c r="O175" i="1"/>
  <c r="N175" i="1"/>
  <c r="O174" i="1"/>
  <c r="N174" i="1"/>
  <c r="N173" i="1"/>
  <c r="O173" i="1"/>
  <c r="N172" i="1"/>
  <c r="O172" i="1"/>
  <c r="N171" i="1"/>
  <c r="O171" i="1"/>
  <c r="N170" i="1"/>
  <c r="O170" i="1"/>
  <c r="N169" i="1"/>
  <c r="O169" i="1"/>
  <c r="N168" i="1"/>
  <c r="O168" i="1"/>
  <c r="O167" i="1"/>
  <c r="N167" i="1"/>
  <c r="N166" i="1"/>
  <c r="O166" i="1"/>
  <c r="N165" i="1"/>
  <c r="O165" i="1"/>
  <c r="O164" i="1"/>
  <c r="N164" i="1"/>
  <c r="O163" i="1"/>
  <c r="N163" i="1"/>
  <c r="O162" i="1"/>
  <c r="N162" i="1"/>
  <c r="N161" i="1"/>
  <c r="O161" i="1"/>
  <c r="N160" i="1"/>
  <c r="O160" i="1"/>
  <c r="N159" i="1"/>
  <c r="O159" i="1"/>
  <c r="O158" i="1"/>
  <c r="N158" i="1"/>
  <c r="N157" i="1"/>
  <c r="O157" i="1"/>
  <c r="N156" i="1"/>
  <c r="O156" i="1"/>
  <c r="O155" i="1"/>
  <c r="N155" i="1"/>
  <c r="O154" i="1"/>
  <c r="N154" i="1"/>
  <c r="N153" i="1"/>
  <c r="O153" i="1"/>
  <c r="N152" i="1"/>
  <c r="O152" i="1"/>
  <c r="N151" i="1"/>
  <c r="O151" i="1"/>
  <c r="O150" i="1"/>
  <c r="N150" i="1"/>
  <c r="N149" i="1"/>
  <c r="O149" i="1"/>
  <c r="N148" i="1"/>
  <c r="O148" i="1"/>
  <c r="O147" i="1"/>
  <c r="N147" i="1"/>
  <c r="N146" i="1"/>
  <c r="O146" i="1"/>
  <c r="O145" i="1"/>
  <c r="N145" i="1"/>
  <c r="O144" i="1"/>
  <c r="N144" i="1"/>
  <c r="O143" i="1"/>
  <c r="N143" i="1"/>
  <c r="O142" i="1"/>
  <c r="N142" i="1"/>
  <c r="N141" i="1"/>
  <c r="O141" i="1"/>
  <c r="N140" i="1"/>
  <c r="O140" i="1"/>
  <c r="O139" i="1"/>
  <c r="N139" i="1"/>
  <c r="O138" i="1"/>
  <c r="N138" i="1"/>
  <c r="O137" i="1"/>
  <c r="N137" i="1"/>
  <c r="O136" i="1"/>
  <c r="N136" i="1"/>
  <c r="O135" i="1"/>
  <c r="N135" i="1"/>
  <c r="N134" i="1"/>
  <c r="O134" i="1"/>
  <c r="O133" i="1"/>
  <c r="N133" i="1"/>
  <c r="N132" i="1"/>
  <c r="O132" i="1"/>
  <c r="O131" i="1"/>
  <c r="N131" i="1"/>
  <c r="N130" i="1"/>
  <c r="O130" i="1"/>
  <c r="O129" i="1"/>
  <c r="N129" i="1"/>
  <c r="O128" i="1"/>
  <c r="N128" i="1"/>
  <c r="N127" i="1"/>
  <c r="O127" i="1"/>
  <c r="O126" i="1"/>
  <c r="N126" i="1"/>
  <c r="N125" i="1"/>
  <c r="O125" i="1"/>
  <c r="N124" i="1"/>
  <c r="O124" i="1"/>
  <c r="O123" i="1"/>
  <c r="N123" i="1"/>
  <c r="O122" i="1"/>
  <c r="N122" i="1"/>
  <c r="O121" i="1"/>
  <c r="N121" i="1"/>
  <c r="N120" i="1"/>
  <c r="O120" i="1"/>
  <c r="O119" i="1"/>
  <c r="N119" i="1"/>
  <c r="N118" i="1"/>
  <c r="O118" i="1"/>
  <c r="N117" i="1"/>
  <c r="O117" i="1"/>
  <c r="O116" i="1"/>
  <c r="N116" i="1"/>
  <c r="O115" i="1"/>
  <c r="N115" i="1"/>
  <c r="O114" i="1"/>
  <c r="N114" i="1"/>
  <c r="N113" i="1"/>
  <c r="O113" i="1"/>
  <c r="O112" i="1"/>
  <c r="N112" i="1"/>
  <c r="O111" i="1"/>
  <c r="N111" i="1"/>
  <c r="N110" i="1"/>
  <c r="O110" i="1"/>
  <c r="N109" i="1"/>
  <c r="O109" i="1"/>
  <c r="O108" i="1"/>
  <c r="N108" i="1"/>
  <c r="O107" i="1"/>
  <c r="N107" i="1"/>
  <c r="O106" i="1"/>
  <c r="N106" i="1"/>
  <c r="N105" i="1"/>
  <c r="O105" i="1"/>
  <c r="O104" i="1"/>
  <c r="N104" i="1"/>
  <c r="N103" i="1"/>
  <c r="O103" i="1"/>
  <c r="N102" i="1"/>
  <c r="O102" i="1"/>
  <c r="O101" i="1"/>
  <c r="N101" i="1"/>
  <c r="N100" i="1"/>
  <c r="O100" i="1"/>
  <c r="N99" i="1"/>
  <c r="O99" i="1"/>
  <c r="N98" i="1"/>
  <c r="O98" i="1"/>
  <c r="N97" i="1"/>
  <c r="O97" i="1"/>
  <c r="O96" i="1"/>
  <c r="N96" i="1"/>
  <c r="N95" i="1"/>
  <c r="O95" i="1"/>
  <c r="N94" i="1"/>
  <c r="O94" i="1"/>
  <c r="N93" i="1"/>
  <c r="O93" i="1"/>
  <c r="O92" i="1"/>
  <c r="N92" i="1"/>
  <c r="N91" i="1"/>
  <c r="O91" i="1"/>
  <c r="N90" i="1"/>
  <c r="O90" i="1"/>
  <c r="N89" i="1"/>
  <c r="O89" i="1"/>
  <c r="O88" i="1"/>
  <c r="N88" i="1"/>
  <c r="N87" i="1"/>
  <c r="O87" i="1"/>
  <c r="N86" i="1"/>
  <c r="O86" i="1"/>
  <c r="N85" i="1"/>
  <c r="O85" i="1"/>
  <c r="N84" i="1"/>
  <c r="O84" i="1"/>
  <c r="O83" i="1"/>
  <c r="N83" i="1"/>
  <c r="N82" i="1"/>
  <c r="O82" i="1"/>
  <c r="N81" i="1"/>
  <c r="O81" i="1"/>
  <c r="N80" i="1"/>
  <c r="O80" i="1"/>
  <c r="N79" i="1"/>
  <c r="O79" i="1"/>
  <c r="N78" i="1"/>
  <c r="O78" i="1"/>
  <c r="O77" i="1"/>
  <c r="N77" i="1"/>
  <c r="N76" i="1"/>
  <c r="O76" i="1"/>
  <c r="O75" i="1"/>
  <c r="N75" i="1"/>
  <c r="O74" i="1"/>
  <c r="N74" i="1"/>
  <c r="N73" i="1"/>
  <c r="O73" i="1"/>
  <c r="N72" i="1"/>
  <c r="O72" i="1"/>
  <c r="O71" i="1"/>
  <c r="N71" i="1"/>
  <c r="N70" i="1"/>
  <c r="O70" i="1"/>
  <c r="O69" i="1"/>
  <c r="N69" i="1"/>
  <c r="N68" i="1"/>
  <c r="O68" i="1"/>
  <c r="N67" i="1"/>
  <c r="O67" i="1"/>
  <c r="N66" i="1"/>
  <c r="O66" i="1"/>
  <c r="N65" i="1"/>
  <c r="O65" i="1"/>
  <c r="O64" i="1"/>
  <c r="N64" i="1"/>
  <c r="O63" i="1"/>
  <c r="N63" i="1"/>
  <c r="N62" i="1"/>
  <c r="O62" i="1"/>
  <c r="O61" i="1"/>
  <c r="N61" i="1"/>
  <c r="O60" i="1"/>
  <c r="N60" i="1"/>
  <c r="N59" i="1"/>
  <c r="O59" i="1"/>
  <c r="O58" i="1"/>
  <c r="N58" i="1"/>
  <c r="N57" i="1"/>
  <c r="O57" i="1"/>
  <c r="N56" i="1"/>
  <c r="O56" i="1"/>
  <c r="O55" i="1"/>
  <c r="N55" i="1"/>
  <c r="O54" i="1"/>
  <c r="N54" i="1"/>
  <c r="N53" i="1"/>
  <c r="O53" i="1"/>
  <c r="O52" i="1"/>
  <c r="N52" i="1"/>
  <c r="O51" i="1"/>
  <c r="N51" i="1"/>
  <c r="O50" i="1"/>
  <c r="N50" i="1"/>
  <c r="O49" i="1"/>
  <c r="N49" i="1"/>
  <c r="N48" i="1"/>
  <c r="O48" i="1"/>
  <c r="O47" i="1"/>
  <c r="N47" i="1"/>
  <c r="O46" i="1"/>
  <c r="N46" i="1"/>
  <c r="N45" i="1"/>
  <c r="O45" i="1"/>
  <c r="N44" i="1"/>
  <c r="O44" i="1"/>
  <c r="N43" i="1"/>
  <c r="O43" i="1"/>
  <c r="N42" i="1"/>
  <c r="O42" i="1"/>
  <c r="N41" i="1"/>
  <c r="O41" i="1"/>
  <c r="O40" i="1"/>
  <c r="N40" i="1"/>
  <c r="N39" i="1"/>
  <c r="O39" i="1"/>
  <c r="N38" i="1"/>
  <c r="O38" i="1"/>
  <c r="N37" i="1"/>
  <c r="O37" i="1"/>
  <c r="R37" i="1"/>
  <c r="Q38" i="1"/>
  <c r="A60" i="2" l="1"/>
  <c r="A59" i="2"/>
  <c r="H309" i="1"/>
  <c r="O308" i="1"/>
  <c r="N308" i="1"/>
  <c r="Q39" i="1"/>
  <c r="R38" i="1"/>
  <c r="S38" i="1" s="1"/>
  <c r="S37" i="1"/>
  <c r="N309" i="1" l="1"/>
  <c r="O309" i="1"/>
  <c r="H310" i="1"/>
  <c r="R39" i="1"/>
  <c r="Q40" i="1"/>
  <c r="N310" i="1" l="1"/>
  <c r="O310" i="1"/>
  <c r="H311" i="1"/>
  <c r="Q41" i="1"/>
  <c r="R40" i="1"/>
  <c r="S40" i="1" s="1"/>
  <c r="S39" i="1"/>
  <c r="O311" i="1" l="1"/>
  <c r="N311" i="1"/>
  <c r="H312" i="1"/>
  <c r="R41" i="1"/>
  <c r="Q42" i="1"/>
  <c r="O312" i="1" l="1"/>
  <c r="N312" i="1"/>
  <c r="H313" i="1"/>
  <c r="Q43" i="1"/>
  <c r="R42" i="1"/>
  <c r="S42" i="1" s="1"/>
  <c r="S41" i="1"/>
  <c r="N313" i="1" l="1"/>
  <c r="O313" i="1"/>
  <c r="H314" i="1"/>
  <c r="R43" i="1"/>
  <c r="Q44" i="1"/>
  <c r="O314" i="1" l="1"/>
  <c r="N314" i="1"/>
  <c r="H315" i="1"/>
  <c r="Q45" i="1"/>
  <c r="R44" i="1"/>
  <c r="S44" i="1" s="1"/>
  <c r="S43" i="1"/>
  <c r="N315" i="1" l="1"/>
  <c r="O315" i="1"/>
  <c r="H316" i="1"/>
  <c r="R45" i="1"/>
  <c r="Q46" i="1"/>
  <c r="O316" i="1" l="1"/>
  <c r="N316" i="1"/>
  <c r="H317" i="1"/>
  <c r="Q47" i="1"/>
  <c r="R46" i="1"/>
  <c r="S46" i="1" s="1"/>
  <c r="S45" i="1"/>
  <c r="N317" i="1" l="1"/>
  <c r="O317" i="1"/>
  <c r="H318" i="1"/>
  <c r="R47" i="1"/>
  <c r="Q48" i="1"/>
  <c r="N318" i="1" l="1"/>
  <c r="O318" i="1"/>
  <c r="H319" i="1"/>
  <c r="Q49" i="1"/>
  <c r="R48" i="1"/>
  <c r="S48" i="1" s="1"/>
  <c r="S47" i="1"/>
  <c r="O319" i="1" l="1"/>
  <c r="N319" i="1"/>
  <c r="H320" i="1"/>
  <c r="R49" i="1"/>
  <c r="Q50" i="1"/>
  <c r="O320" i="1" l="1"/>
  <c r="N320" i="1"/>
  <c r="H321" i="1"/>
  <c r="Q51" i="1"/>
  <c r="R50" i="1"/>
  <c r="S50" i="1" s="1"/>
  <c r="S49" i="1"/>
  <c r="O321" i="1" l="1"/>
  <c r="N321" i="1"/>
  <c r="H322" i="1"/>
  <c r="R51" i="1"/>
  <c r="Q52" i="1"/>
  <c r="N322" i="1" l="1"/>
  <c r="O322" i="1"/>
  <c r="H323" i="1"/>
  <c r="Q53" i="1"/>
  <c r="R52" i="1"/>
  <c r="S52" i="1" s="1"/>
  <c r="S51" i="1"/>
  <c r="N323" i="1" l="1"/>
  <c r="O323" i="1"/>
  <c r="H324" i="1"/>
  <c r="R53" i="1"/>
  <c r="Q54" i="1"/>
  <c r="O324" i="1" l="1"/>
  <c r="N324" i="1"/>
  <c r="H325" i="1"/>
  <c r="Q55" i="1"/>
  <c r="R54" i="1"/>
  <c r="S54" i="1" s="1"/>
  <c r="S53" i="1"/>
  <c r="N325" i="1" l="1"/>
  <c r="O325" i="1"/>
  <c r="H326" i="1"/>
  <c r="R55" i="1"/>
  <c r="Q56" i="1"/>
  <c r="N326" i="1" l="1"/>
  <c r="O326" i="1"/>
  <c r="H327" i="1"/>
  <c r="Q57" i="1"/>
  <c r="R56" i="1"/>
  <c r="S56" i="1" s="1"/>
  <c r="S55" i="1"/>
  <c r="N327" i="1" l="1"/>
  <c r="O327" i="1"/>
  <c r="H328" i="1"/>
  <c r="R57" i="1"/>
  <c r="Q58" i="1"/>
  <c r="N328" i="1" l="1"/>
  <c r="O328" i="1"/>
  <c r="H329" i="1"/>
  <c r="Q59" i="1"/>
  <c r="R58" i="1"/>
  <c r="S58" i="1" s="1"/>
  <c r="S57" i="1"/>
  <c r="O329" i="1" l="1"/>
  <c r="N329" i="1"/>
  <c r="H330" i="1"/>
  <c r="R59" i="1"/>
  <c r="Q60" i="1"/>
  <c r="N330" i="1" l="1"/>
  <c r="O330" i="1"/>
  <c r="H331" i="1"/>
  <c r="Q61" i="1"/>
  <c r="R60" i="1"/>
  <c r="S60" i="1" s="1"/>
  <c r="S59" i="1"/>
  <c r="O331" i="1" l="1"/>
  <c r="N331" i="1"/>
  <c r="H332" i="1"/>
  <c r="R61" i="1"/>
  <c r="Q62" i="1"/>
  <c r="O332" i="1" l="1"/>
  <c r="N332" i="1"/>
  <c r="H333" i="1"/>
  <c r="Q63" i="1"/>
  <c r="R62" i="1"/>
  <c r="S62" i="1" s="1"/>
  <c r="S61" i="1"/>
  <c r="N333" i="1" l="1"/>
  <c r="O333" i="1"/>
  <c r="H334" i="1"/>
  <c r="R63" i="1"/>
  <c r="Q64" i="1"/>
  <c r="O334" i="1" l="1"/>
  <c r="N334" i="1"/>
  <c r="H335" i="1"/>
  <c r="Q65" i="1"/>
  <c r="R64" i="1"/>
  <c r="S64" i="1" s="1"/>
  <c r="S63" i="1"/>
  <c r="O335" i="1" l="1"/>
  <c r="N335" i="1"/>
  <c r="H336" i="1"/>
  <c r="R65" i="1"/>
  <c r="Q66" i="1"/>
  <c r="N336" i="1" l="1"/>
  <c r="O336" i="1"/>
  <c r="H337" i="1"/>
  <c r="Q67" i="1"/>
  <c r="R66" i="1"/>
  <c r="S66" i="1" s="1"/>
  <c r="S65" i="1"/>
  <c r="N337" i="1" l="1"/>
  <c r="O337" i="1"/>
  <c r="H338" i="1"/>
  <c r="R67" i="1"/>
  <c r="S67" i="1" s="1"/>
  <c r="Q68" i="1"/>
  <c r="O338" i="1" l="1"/>
  <c r="N338" i="1"/>
  <c r="H339" i="1"/>
  <c r="Q69" i="1"/>
  <c r="R68" i="1"/>
  <c r="O339" i="1" l="1"/>
  <c r="N339" i="1"/>
  <c r="H340" i="1"/>
  <c r="Q70" i="1"/>
  <c r="R69" i="1"/>
  <c r="S69" i="1" s="1"/>
  <c r="S68" i="1"/>
  <c r="N340" i="1" l="1"/>
  <c r="O340" i="1"/>
  <c r="H341" i="1"/>
  <c r="R70" i="1"/>
  <c r="Q71" i="1"/>
  <c r="O341" i="1" l="1"/>
  <c r="N341" i="1"/>
  <c r="H342" i="1"/>
  <c r="Q72" i="1"/>
  <c r="R71" i="1"/>
  <c r="S71" i="1" s="1"/>
  <c r="S70" i="1"/>
  <c r="O342" i="1" l="1"/>
  <c r="N342" i="1"/>
  <c r="H343" i="1"/>
  <c r="R72" i="1"/>
  <c r="Q73" i="1"/>
  <c r="N343" i="1" l="1"/>
  <c r="O343" i="1"/>
  <c r="H344" i="1"/>
  <c r="Q74" i="1"/>
  <c r="R73" i="1"/>
  <c r="S73" i="1" s="1"/>
  <c r="S72" i="1"/>
  <c r="N344" i="1" l="1"/>
  <c r="O344" i="1"/>
  <c r="H345" i="1"/>
  <c r="R74" i="1"/>
  <c r="Q75" i="1"/>
  <c r="O345" i="1" l="1"/>
  <c r="N345" i="1"/>
  <c r="H346" i="1"/>
  <c r="Q76" i="1"/>
  <c r="R75" i="1"/>
  <c r="S75" i="1" s="1"/>
  <c r="S74" i="1"/>
  <c r="N346" i="1" l="1"/>
  <c r="O346" i="1"/>
  <c r="H347" i="1"/>
  <c r="R76" i="1"/>
  <c r="Q77" i="1"/>
  <c r="O347" i="1" l="1"/>
  <c r="N347" i="1"/>
  <c r="H348" i="1"/>
  <c r="Q78" i="1"/>
  <c r="R77" i="1"/>
  <c r="S77" i="1" s="1"/>
  <c r="S76" i="1"/>
  <c r="N348" i="1" l="1"/>
  <c r="O348" i="1"/>
  <c r="H349" i="1"/>
  <c r="R78" i="1"/>
  <c r="Q79" i="1"/>
  <c r="O349" i="1" l="1"/>
  <c r="N349" i="1"/>
  <c r="H350" i="1"/>
  <c r="Q80" i="1"/>
  <c r="R79" i="1"/>
  <c r="S79" i="1" s="1"/>
  <c r="S78" i="1"/>
  <c r="O350" i="1" l="1"/>
  <c r="N350" i="1"/>
  <c r="H351" i="1"/>
  <c r="R80" i="1"/>
  <c r="Q81" i="1"/>
  <c r="N351" i="1" l="1"/>
  <c r="O351" i="1"/>
  <c r="H352" i="1"/>
  <c r="Q82" i="1"/>
  <c r="R81" i="1"/>
  <c r="S81" i="1" s="1"/>
  <c r="S80" i="1"/>
  <c r="N352" i="1" l="1"/>
  <c r="O352" i="1"/>
  <c r="H353" i="1"/>
  <c r="R82" i="1"/>
  <c r="Q83" i="1"/>
  <c r="N353" i="1" l="1"/>
  <c r="O353" i="1"/>
  <c r="H354" i="1"/>
  <c r="Q84" i="1"/>
  <c r="R83" i="1"/>
  <c r="S83" i="1" s="1"/>
  <c r="S82" i="1"/>
  <c r="O354" i="1" l="1"/>
  <c r="N354" i="1"/>
  <c r="H355" i="1"/>
  <c r="R84" i="1"/>
  <c r="Q85" i="1"/>
  <c r="O355" i="1" l="1"/>
  <c r="N355" i="1"/>
  <c r="H356" i="1"/>
  <c r="Q86" i="1"/>
  <c r="R85" i="1"/>
  <c r="S85" i="1" s="1"/>
  <c r="S84" i="1"/>
  <c r="O356" i="1" l="1"/>
  <c r="N356" i="1"/>
  <c r="H357" i="1"/>
  <c r="R86" i="1"/>
  <c r="Q87" i="1"/>
  <c r="N357" i="1" l="1"/>
  <c r="O357" i="1"/>
  <c r="H358" i="1"/>
  <c r="Q88" i="1"/>
  <c r="R87" i="1"/>
  <c r="S87" i="1" s="1"/>
  <c r="S86" i="1"/>
  <c r="N358" i="1" l="1"/>
  <c r="O358" i="1"/>
  <c r="H359" i="1"/>
  <c r="R88" i="1"/>
  <c r="Q89" i="1"/>
  <c r="O359" i="1" l="1"/>
  <c r="N359" i="1"/>
  <c r="H360" i="1"/>
  <c r="Q90" i="1"/>
  <c r="R89" i="1"/>
  <c r="S89" i="1" s="1"/>
  <c r="S88" i="1"/>
  <c r="N360" i="1" l="1"/>
  <c r="O360" i="1"/>
  <c r="H361" i="1"/>
  <c r="R90" i="1"/>
  <c r="Q91" i="1"/>
  <c r="O361" i="1" l="1"/>
  <c r="N361" i="1"/>
  <c r="H362" i="1"/>
  <c r="Q92" i="1"/>
  <c r="R91" i="1"/>
  <c r="S91" i="1" s="1"/>
  <c r="S90" i="1"/>
  <c r="O362" i="1" l="1"/>
  <c r="N362" i="1"/>
  <c r="H363" i="1"/>
  <c r="R92" i="1"/>
  <c r="Q93" i="1"/>
  <c r="O363" i="1" l="1"/>
  <c r="N363" i="1"/>
  <c r="H364" i="1"/>
  <c r="Q94" i="1"/>
  <c r="R93" i="1"/>
  <c r="S93" i="1" s="1"/>
  <c r="S92" i="1"/>
  <c r="O364" i="1" l="1"/>
  <c r="N364" i="1"/>
  <c r="H365" i="1"/>
  <c r="R94" i="1"/>
  <c r="Q95" i="1"/>
  <c r="O365" i="1" l="1"/>
  <c r="N365" i="1"/>
  <c r="H366" i="1"/>
  <c r="Q96" i="1"/>
  <c r="R95" i="1"/>
  <c r="S95" i="1" s="1"/>
  <c r="S94" i="1"/>
  <c r="O366" i="1" l="1"/>
  <c r="N366" i="1"/>
  <c r="H367" i="1"/>
  <c r="R96" i="1"/>
  <c r="Q97" i="1"/>
  <c r="O367" i="1" l="1"/>
  <c r="N367" i="1"/>
  <c r="H368" i="1"/>
  <c r="Q98" i="1"/>
  <c r="R97" i="1"/>
  <c r="S97" i="1" s="1"/>
  <c r="S96" i="1"/>
  <c r="N368" i="1" l="1"/>
  <c r="O368" i="1"/>
  <c r="H369" i="1"/>
  <c r="R98" i="1"/>
  <c r="Q99" i="1"/>
  <c r="O369" i="1" l="1"/>
  <c r="N369" i="1"/>
  <c r="H370" i="1"/>
  <c r="Q100" i="1"/>
  <c r="R99" i="1"/>
  <c r="S99" i="1" s="1"/>
  <c r="S98" i="1"/>
  <c r="O370" i="1" l="1"/>
  <c r="N370" i="1"/>
  <c r="H371" i="1"/>
  <c r="R100" i="1"/>
  <c r="Q101" i="1"/>
  <c r="O371" i="1" l="1"/>
  <c r="N371" i="1"/>
  <c r="H372" i="1"/>
  <c r="Q102" i="1"/>
  <c r="R101" i="1"/>
  <c r="S101" i="1" s="1"/>
  <c r="S100" i="1"/>
  <c r="N372" i="1" l="1"/>
  <c r="O372" i="1"/>
  <c r="H373" i="1"/>
  <c r="R102" i="1"/>
  <c r="Q103" i="1"/>
  <c r="O373" i="1" l="1"/>
  <c r="N373" i="1"/>
  <c r="H374" i="1"/>
  <c r="Q104" i="1"/>
  <c r="R103" i="1"/>
  <c r="S103" i="1" s="1"/>
  <c r="S102" i="1"/>
  <c r="O374" i="1" l="1"/>
  <c r="N374" i="1"/>
  <c r="H375" i="1"/>
  <c r="R104" i="1"/>
  <c r="Q105" i="1"/>
  <c r="O375" i="1" l="1"/>
  <c r="N375" i="1"/>
  <c r="H376" i="1"/>
  <c r="Q106" i="1"/>
  <c r="R105" i="1"/>
  <c r="S105" i="1" s="1"/>
  <c r="S104" i="1"/>
  <c r="O376" i="1" l="1"/>
  <c r="N376" i="1"/>
  <c r="H377" i="1"/>
  <c r="R106" i="1"/>
  <c r="Q107" i="1"/>
  <c r="O377" i="1" l="1"/>
  <c r="N377" i="1"/>
  <c r="H378" i="1"/>
  <c r="Q108" i="1"/>
  <c r="R107" i="1"/>
  <c r="S107" i="1" s="1"/>
  <c r="S106" i="1"/>
  <c r="N378" i="1" l="1"/>
  <c r="O378" i="1"/>
  <c r="H379" i="1"/>
  <c r="R108" i="1"/>
  <c r="Q109" i="1"/>
  <c r="O379" i="1" l="1"/>
  <c r="N379" i="1"/>
  <c r="H380" i="1"/>
  <c r="Q110" i="1"/>
  <c r="R109" i="1"/>
  <c r="S109" i="1" s="1"/>
  <c r="S108" i="1"/>
  <c r="O380" i="1" l="1"/>
  <c r="N380" i="1"/>
  <c r="H381" i="1"/>
  <c r="R110" i="1"/>
  <c r="Q111" i="1"/>
  <c r="N381" i="1" l="1"/>
  <c r="O381" i="1"/>
  <c r="H382" i="1"/>
  <c r="Q112" i="1"/>
  <c r="R111" i="1"/>
  <c r="S111" i="1" s="1"/>
  <c r="S110" i="1"/>
  <c r="N382" i="1" l="1"/>
  <c r="O382" i="1"/>
  <c r="H383" i="1"/>
  <c r="R112" i="1"/>
  <c r="Q113" i="1"/>
  <c r="O383" i="1" l="1"/>
  <c r="N383" i="1"/>
  <c r="H384" i="1"/>
  <c r="Q114" i="1"/>
  <c r="R113" i="1"/>
  <c r="S113" i="1" s="1"/>
  <c r="S112" i="1"/>
  <c r="O384" i="1" l="1"/>
  <c r="N384" i="1"/>
  <c r="H385" i="1"/>
  <c r="R114" i="1"/>
  <c r="Q115" i="1"/>
  <c r="N385" i="1" l="1"/>
  <c r="O385" i="1"/>
  <c r="H386" i="1"/>
  <c r="Q116" i="1"/>
  <c r="R115" i="1"/>
  <c r="S115" i="1" s="1"/>
  <c r="S114" i="1"/>
  <c r="N386" i="1" l="1"/>
  <c r="O386" i="1"/>
  <c r="H387" i="1"/>
  <c r="R116" i="1"/>
  <c r="Q117" i="1"/>
  <c r="O387" i="1" l="1"/>
  <c r="N387" i="1"/>
  <c r="H388" i="1"/>
  <c r="Q118" i="1"/>
  <c r="R117" i="1"/>
  <c r="S117" i="1" s="1"/>
  <c r="S116" i="1"/>
  <c r="O388" i="1" l="1"/>
  <c r="N388" i="1"/>
  <c r="H389" i="1"/>
  <c r="R118" i="1"/>
  <c r="Q119" i="1"/>
  <c r="O389" i="1" l="1"/>
  <c r="N389" i="1"/>
  <c r="H390" i="1"/>
  <c r="Q120" i="1"/>
  <c r="R119" i="1"/>
  <c r="S119" i="1" s="1"/>
  <c r="S118" i="1"/>
  <c r="O390" i="1" l="1"/>
  <c r="N390" i="1"/>
  <c r="H391" i="1"/>
  <c r="R120" i="1"/>
  <c r="S120" i="1" s="1"/>
  <c r="Q121" i="1"/>
  <c r="O391" i="1" l="1"/>
  <c r="N391" i="1"/>
  <c r="H392" i="1"/>
  <c r="Q122" i="1"/>
  <c r="R121" i="1"/>
  <c r="O392" i="1" l="1"/>
  <c r="N392" i="1"/>
  <c r="H393" i="1"/>
  <c r="Q123" i="1"/>
  <c r="R122" i="1"/>
  <c r="S122" i="1" s="1"/>
  <c r="S121" i="1"/>
  <c r="O393" i="1" l="1"/>
  <c r="N393" i="1"/>
  <c r="H394" i="1"/>
  <c r="R123" i="1"/>
  <c r="Q124" i="1"/>
  <c r="O394" i="1" l="1"/>
  <c r="N394" i="1"/>
  <c r="H395" i="1"/>
  <c r="Q125" i="1"/>
  <c r="R124" i="1"/>
  <c r="S124" i="1" s="1"/>
  <c r="S123" i="1"/>
  <c r="O395" i="1" l="1"/>
  <c r="N395" i="1"/>
  <c r="H396" i="1"/>
  <c r="R125" i="1"/>
  <c r="Q126" i="1"/>
  <c r="O396" i="1" l="1"/>
  <c r="N396" i="1"/>
  <c r="H397" i="1"/>
  <c r="Q127" i="1"/>
  <c r="R126" i="1"/>
  <c r="S126" i="1" s="1"/>
  <c r="S125" i="1"/>
  <c r="O397" i="1" l="1"/>
  <c r="N397" i="1"/>
  <c r="H398" i="1"/>
  <c r="R127" i="1"/>
  <c r="Q128" i="1"/>
  <c r="N398" i="1" l="1"/>
  <c r="O398" i="1"/>
  <c r="H399" i="1"/>
  <c r="Q129" i="1"/>
  <c r="R128" i="1"/>
  <c r="S128" i="1" s="1"/>
  <c r="S127" i="1"/>
  <c r="N399" i="1" l="1"/>
  <c r="O399" i="1"/>
  <c r="H400" i="1"/>
  <c r="R129" i="1"/>
  <c r="Q130" i="1"/>
  <c r="N400" i="1" l="1"/>
  <c r="O400" i="1"/>
  <c r="H401" i="1"/>
  <c r="Q131" i="1"/>
  <c r="R130" i="1"/>
  <c r="S130" i="1" s="1"/>
  <c r="S129" i="1"/>
  <c r="O401" i="1" l="1"/>
  <c r="N401" i="1"/>
  <c r="H402" i="1"/>
  <c r="R131" i="1"/>
  <c r="Q132" i="1"/>
  <c r="N402" i="1" l="1"/>
  <c r="O402" i="1"/>
  <c r="H403" i="1"/>
  <c r="Q133" i="1"/>
  <c r="R132" i="1"/>
  <c r="S132" i="1" s="1"/>
  <c r="S131" i="1"/>
  <c r="N403" i="1" l="1"/>
  <c r="O403" i="1"/>
  <c r="H404" i="1"/>
  <c r="R133" i="1"/>
  <c r="Q134" i="1"/>
  <c r="N404" i="1" l="1"/>
  <c r="O404" i="1"/>
  <c r="H405" i="1"/>
  <c r="Q135" i="1"/>
  <c r="R134" i="1"/>
  <c r="S134" i="1" s="1"/>
  <c r="S133" i="1"/>
  <c r="N405" i="1" l="1"/>
  <c r="O405" i="1"/>
  <c r="H406" i="1"/>
  <c r="R135" i="1"/>
  <c r="Q136" i="1"/>
  <c r="O406" i="1" l="1"/>
  <c r="N406" i="1"/>
  <c r="H407" i="1"/>
  <c r="Q137" i="1"/>
  <c r="R136" i="1"/>
  <c r="S136" i="1" s="1"/>
  <c r="S135" i="1"/>
  <c r="N407" i="1" l="1"/>
  <c r="O407" i="1"/>
  <c r="H408" i="1"/>
  <c r="R137" i="1"/>
  <c r="Q138" i="1"/>
  <c r="O408" i="1" l="1"/>
  <c r="N408" i="1"/>
  <c r="H409" i="1"/>
  <c r="Q139" i="1"/>
  <c r="R138" i="1"/>
  <c r="S138" i="1" s="1"/>
  <c r="S137" i="1"/>
  <c r="N409" i="1" l="1"/>
  <c r="O409" i="1"/>
  <c r="H410" i="1"/>
  <c r="R139" i="1"/>
  <c r="Q140" i="1"/>
  <c r="N410" i="1" l="1"/>
  <c r="O410" i="1"/>
  <c r="H411" i="1"/>
  <c r="Q141" i="1"/>
  <c r="R140" i="1"/>
  <c r="S140" i="1" s="1"/>
  <c r="S139" i="1"/>
  <c r="N411" i="1" l="1"/>
  <c r="O411" i="1"/>
  <c r="H412" i="1"/>
  <c r="R141" i="1"/>
  <c r="Q142" i="1"/>
  <c r="N412" i="1" l="1"/>
  <c r="O412" i="1"/>
  <c r="H413" i="1"/>
  <c r="Q143" i="1"/>
  <c r="R142" i="1"/>
  <c r="S142" i="1" s="1"/>
  <c r="S141" i="1"/>
  <c r="O413" i="1" l="1"/>
  <c r="N413" i="1"/>
  <c r="H414" i="1"/>
  <c r="R143" i="1"/>
  <c r="Q144" i="1"/>
  <c r="O414" i="1" l="1"/>
  <c r="N414" i="1"/>
  <c r="H415" i="1"/>
  <c r="Q145" i="1"/>
  <c r="R144" i="1"/>
  <c r="S144" i="1" s="1"/>
  <c r="S143" i="1"/>
  <c r="N415" i="1" l="1"/>
  <c r="O415" i="1"/>
  <c r="H416" i="1"/>
  <c r="R145" i="1"/>
  <c r="S145" i="1" s="1"/>
  <c r="Q146" i="1"/>
  <c r="N416" i="1" l="1"/>
  <c r="O416" i="1"/>
  <c r="H417" i="1"/>
  <c r="Q147" i="1"/>
  <c r="R146" i="1"/>
  <c r="N417" i="1" l="1"/>
  <c r="O417" i="1"/>
  <c r="H418" i="1"/>
  <c r="Q148" i="1"/>
  <c r="R147" i="1"/>
  <c r="S147" i="1" s="1"/>
  <c r="S146" i="1"/>
  <c r="O418" i="1" l="1"/>
  <c r="N418" i="1"/>
  <c r="H419" i="1"/>
  <c r="R148" i="1"/>
  <c r="S148" i="1" s="1"/>
  <c r="Q149" i="1"/>
  <c r="R149" i="1" l="1"/>
  <c r="S149" i="1" s="1"/>
  <c r="O419" i="1"/>
  <c r="N419" i="1"/>
  <c r="H420" i="1"/>
  <c r="Q150" i="1"/>
  <c r="N420" i="1" l="1"/>
  <c r="O420" i="1"/>
  <c r="H421" i="1"/>
  <c r="R150" i="1"/>
  <c r="Q151" i="1"/>
  <c r="N421" i="1" l="1"/>
  <c r="O421" i="1"/>
  <c r="H422" i="1"/>
  <c r="Q152" i="1"/>
  <c r="R151" i="1"/>
  <c r="S151" i="1" s="1"/>
  <c r="S150" i="1"/>
  <c r="N422" i="1" l="1"/>
  <c r="O422" i="1"/>
  <c r="H423" i="1"/>
  <c r="R152" i="1"/>
  <c r="Q153" i="1"/>
  <c r="O423" i="1" l="1"/>
  <c r="N423" i="1"/>
  <c r="H424" i="1"/>
  <c r="Q154" i="1"/>
  <c r="R153" i="1"/>
  <c r="S153" i="1" s="1"/>
  <c r="S152" i="1"/>
  <c r="O424" i="1" l="1"/>
  <c r="N424" i="1"/>
  <c r="H425" i="1"/>
  <c r="R154" i="1"/>
  <c r="Q155" i="1"/>
  <c r="N425" i="1" l="1"/>
  <c r="O425" i="1"/>
  <c r="H426" i="1"/>
  <c r="Q156" i="1"/>
  <c r="R155" i="1"/>
  <c r="S155" i="1" s="1"/>
  <c r="S154" i="1"/>
  <c r="O426" i="1" l="1"/>
  <c r="N426" i="1"/>
  <c r="H427" i="1"/>
  <c r="R156" i="1"/>
  <c r="Q157" i="1"/>
  <c r="N427" i="1" l="1"/>
  <c r="O427" i="1"/>
  <c r="H428" i="1"/>
  <c r="Q158" i="1"/>
  <c r="R157" i="1"/>
  <c r="S157" i="1" s="1"/>
  <c r="S156" i="1"/>
  <c r="O428" i="1" l="1"/>
  <c r="N428" i="1"/>
  <c r="H429" i="1"/>
  <c r="R158" i="1"/>
  <c r="Q159" i="1"/>
  <c r="O429" i="1" l="1"/>
  <c r="N429" i="1"/>
  <c r="H430" i="1"/>
  <c r="Q160" i="1"/>
  <c r="R159" i="1"/>
  <c r="S159" i="1" s="1"/>
  <c r="S158" i="1"/>
  <c r="N430" i="1" l="1"/>
  <c r="O430" i="1"/>
  <c r="H431" i="1"/>
  <c r="R160" i="1"/>
  <c r="Q161" i="1"/>
  <c r="O431" i="1" l="1"/>
  <c r="N431" i="1"/>
  <c r="H432" i="1"/>
  <c r="Q162" i="1"/>
  <c r="R161" i="1"/>
  <c r="S161" i="1" s="1"/>
  <c r="S160" i="1"/>
  <c r="N432" i="1" l="1"/>
  <c r="O432" i="1"/>
  <c r="H433" i="1"/>
  <c r="R162" i="1"/>
  <c r="Q163" i="1"/>
  <c r="O433" i="1" l="1"/>
  <c r="N433" i="1"/>
  <c r="H434" i="1"/>
  <c r="Q164" i="1"/>
  <c r="R163" i="1"/>
  <c r="S163" i="1" s="1"/>
  <c r="S162" i="1"/>
  <c r="O434" i="1" l="1"/>
  <c r="N434" i="1"/>
  <c r="H435" i="1"/>
  <c r="R164" i="1"/>
  <c r="Q165" i="1"/>
  <c r="O435" i="1" l="1"/>
  <c r="N435" i="1"/>
  <c r="H436" i="1"/>
  <c r="Q166" i="1"/>
  <c r="R165" i="1"/>
  <c r="S165" i="1" s="1"/>
  <c r="S164" i="1"/>
  <c r="O436" i="1" l="1"/>
  <c r="N436" i="1"/>
  <c r="H437" i="1"/>
  <c r="R166" i="1"/>
  <c r="Q167" i="1"/>
  <c r="O437" i="1" l="1"/>
  <c r="N437" i="1"/>
  <c r="H438" i="1"/>
  <c r="Q168" i="1"/>
  <c r="R167" i="1"/>
  <c r="S167" i="1" s="1"/>
  <c r="S166" i="1"/>
  <c r="O438" i="1" l="1"/>
  <c r="N438" i="1"/>
  <c r="H439" i="1"/>
  <c r="R168" i="1"/>
  <c r="Q169" i="1"/>
  <c r="O439" i="1" l="1"/>
  <c r="N439" i="1"/>
  <c r="H440" i="1"/>
  <c r="Q170" i="1"/>
  <c r="R169" i="1"/>
  <c r="S169" i="1" s="1"/>
  <c r="S168" i="1"/>
  <c r="O440" i="1" l="1"/>
  <c r="N440" i="1"/>
  <c r="H441" i="1"/>
  <c r="R170" i="1"/>
  <c r="Q171" i="1"/>
  <c r="O441" i="1" l="1"/>
  <c r="N441" i="1"/>
  <c r="H442" i="1"/>
  <c r="Q172" i="1"/>
  <c r="R171" i="1"/>
  <c r="S171" i="1" s="1"/>
  <c r="S170" i="1"/>
  <c r="O442" i="1" l="1"/>
  <c r="N442" i="1"/>
  <c r="H443" i="1"/>
  <c r="R172" i="1"/>
  <c r="Q173" i="1"/>
  <c r="O443" i="1" l="1"/>
  <c r="N443" i="1"/>
  <c r="H444" i="1"/>
  <c r="Q174" i="1"/>
  <c r="R173" i="1"/>
  <c r="S173" i="1" s="1"/>
  <c r="S172" i="1"/>
  <c r="N444" i="1" l="1"/>
  <c r="O444" i="1"/>
  <c r="H445" i="1"/>
  <c r="R174" i="1"/>
  <c r="Q175" i="1"/>
  <c r="N445" i="1" l="1"/>
  <c r="O445" i="1"/>
  <c r="H446" i="1"/>
  <c r="Q176" i="1"/>
  <c r="R175" i="1"/>
  <c r="S175" i="1" s="1"/>
  <c r="S174" i="1"/>
  <c r="N446" i="1" l="1"/>
  <c r="O446" i="1"/>
  <c r="H447" i="1"/>
  <c r="R176" i="1"/>
  <c r="Q177" i="1"/>
  <c r="N447" i="1" l="1"/>
  <c r="O447" i="1"/>
  <c r="H448" i="1"/>
  <c r="Q178" i="1"/>
  <c r="R177" i="1"/>
  <c r="S177" i="1" s="1"/>
  <c r="S176" i="1"/>
  <c r="O448" i="1" l="1"/>
  <c r="N448" i="1"/>
  <c r="H449" i="1"/>
  <c r="R178" i="1"/>
  <c r="Q179" i="1"/>
  <c r="O449" i="1" l="1"/>
  <c r="N449" i="1"/>
  <c r="H450" i="1"/>
  <c r="Q180" i="1"/>
  <c r="R179" i="1"/>
  <c r="S179" i="1" s="1"/>
  <c r="S178" i="1"/>
  <c r="O450" i="1" l="1"/>
  <c r="N450" i="1"/>
  <c r="H451" i="1"/>
  <c r="R180" i="1"/>
  <c r="Q181" i="1"/>
  <c r="O451" i="1" l="1"/>
  <c r="N451" i="1"/>
  <c r="H452" i="1"/>
  <c r="Q182" i="1"/>
  <c r="R181" i="1"/>
  <c r="S181" i="1" s="1"/>
  <c r="S180" i="1"/>
  <c r="N452" i="1" l="1"/>
  <c r="O452" i="1"/>
  <c r="H453" i="1"/>
  <c r="R182" i="1"/>
  <c r="S182" i="1" s="1"/>
  <c r="Q183" i="1"/>
  <c r="O453" i="1" l="1"/>
  <c r="N453" i="1"/>
  <c r="H454" i="1"/>
  <c r="Q184" i="1"/>
  <c r="R183" i="1"/>
  <c r="N454" i="1" l="1"/>
  <c r="O454" i="1"/>
  <c r="H455" i="1"/>
  <c r="Q185" i="1"/>
  <c r="R184" i="1"/>
  <c r="S184" i="1" s="1"/>
  <c r="S183" i="1"/>
  <c r="N455" i="1" l="1"/>
  <c r="O455" i="1"/>
  <c r="H456" i="1"/>
  <c r="R185" i="1"/>
  <c r="Q186" i="1"/>
  <c r="N456" i="1" l="1"/>
  <c r="O456" i="1"/>
  <c r="H457" i="1"/>
  <c r="Q187" i="1"/>
  <c r="R186" i="1"/>
  <c r="S186" i="1" s="1"/>
  <c r="S185" i="1"/>
  <c r="N457" i="1" l="1"/>
  <c r="O457" i="1"/>
  <c r="H458" i="1"/>
  <c r="R187" i="1"/>
  <c r="Q188" i="1"/>
  <c r="N458" i="1" l="1"/>
  <c r="O458" i="1"/>
  <c r="H459" i="1"/>
  <c r="Q189" i="1"/>
  <c r="R188" i="1"/>
  <c r="S188" i="1" s="1"/>
  <c r="S187" i="1"/>
  <c r="O459" i="1" l="1"/>
  <c r="N459" i="1"/>
  <c r="H460" i="1"/>
  <c r="R189" i="1"/>
  <c r="Q190" i="1"/>
  <c r="O460" i="1" l="1"/>
  <c r="N460" i="1"/>
  <c r="H461" i="1"/>
  <c r="Q191" i="1"/>
  <c r="R190" i="1"/>
  <c r="S190" i="1" s="1"/>
  <c r="S189" i="1"/>
  <c r="N461" i="1" l="1"/>
  <c r="O461" i="1"/>
  <c r="H462" i="1"/>
  <c r="R191" i="1"/>
  <c r="Q192" i="1"/>
  <c r="N462" i="1" l="1"/>
  <c r="O462" i="1"/>
  <c r="H463" i="1"/>
  <c r="Q193" i="1"/>
  <c r="R192" i="1"/>
  <c r="S192" i="1" s="1"/>
  <c r="S191" i="1"/>
  <c r="N463" i="1" l="1"/>
  <c r="O463" i="1"/>
  <c r="H464" i="1"/>
  <c r="R193" i="1"/>
  <c r="Q194" i="1"/>
  <c r="O464" i="1" l="1"/>
  <c r="N464" i="1"/>
  <c r="H465" i="1"/>
  <c r="Q195" i="1"/>
  <c r="R194" i="1"/>
  <c r="S194" i="1" s="1"/>
  <c r="S193" i="1"/>
  <c r="O465" i="1" l="1"/>
  <c r="N465" i="1"/>
  <c r="H466" i="1"/>
  <c r="R195" i="1"/>
  <c r="Q196" i="1"/>
  <c r="O466" i="1" l="1"/>
  <c r="N466" i="1"/>
  <c r="H467" i="1"/>
  <c r="Q197" i="1"/>
  <c r="R196" i="1"/>
  <c r="S196" i="1" s="1"/>
  <c r="S195" i="1"/>
  <c r="O467" i="1" l="1"/>
  <c r="N467" i="1"/>
  <c r="H468" i="1"/>
  <c r="R197" i="1"/>
  <c r="Q198" i="1"/>
  <c r="O468" i="1" l="1"/>
  <c r="N468" i="1"/>
  <c r="H469" i="1"/>
  <c r="Q199" i="1"/>
  <c r="R198" i="1"/>
  <c r="S198" i="1" s="1"/>
  <c r="S197" i="1"/>
  <c r="O469" i="1" l="1"/>
  <c r="N469" i="1"/>
  <c r="H470" i="1"/>
  <c r="R199" i="1"/>
  <c r="Q200" i="1"/>
  <c r="N470" i="1" l="1"/>
  <c r="O470" i="1"/>
  <c r="H471" i="1"/>
  <c r="Q201" i="1"/>
  <c r="R200" i="1"/>
  <c r="S200" i="1" s="1"/>
  <c r="S199" i="1"/>
  <c r="N471" i="1" l="1"/>
  <c r="O471" i="1"/>
  <c r="H472" i="1"/>
  <c r="R201" i="1"/>
  <c r="Q202" i="1"/>
  <c r="O472" i="1" l="1"/>
  <c r="N472" i="1"/>
  <c r="H473" i="1"/>
  <c r="Q203" i="1"/>
  <c r="R202" i="1"/>
  <c r="S202" i="1" s="1"/>
  <c r="S201" i="1"/>
  <c r="O473" i="1" l="1"/>
  <c r="N473" i="1"/>
  <c r="H474" i="1"/>
  <c r="R203" i="1"/>
  <c r="Q204" i="1"/>
  <c r="O474" i="1" l="1"/>
  <c r="N474" i="1"/>
  <c r="H475" i="1"/>
  <c r="Q205" i="1"/>
  <c r="R204" i="1"/>
  <c r="S204" i="1" s="1"/>
  <c r="S203" i="1"/>
  <c r="N475" i="1" l="1"/>
  <c r="O475" i="1"/>
  <c r="H476" i="1"/>
  <c r="R205" i="1"/>
  <c r="Q206" i="1"/>
  <c r="O476" i="1" l="1"/>
  <c r="N476" i="1"/>
  <c r="H477" i="1"/>
  <c r="Q207" i="1"/>
  <c r="R206" i="1"/>
  <c r="S206" i="1" s="1"/>
  <c r="S205" i="1"/>
  <c r="O477" i="1" l="1"/>
  <c r="N477" i="1"/>
  <c r="H478" i="1"/>
  <c r="R207" i="1"/>
  <c r="Q208" i="1"/>
  <c r="O478" i="1" l="1"/>
  <c r="N478" i="1"/>
  <c r="H479" i="1"/>
  <c r="Q209" i="1"/>
  <c r="R208" i="1"/>
  <c r="S208" i="1" s="1"/>
  <c r="S207" i="1"/>
  <c r="O479" i="1" l="1"/>
  <c r="N479" i="1"/>
  <c r="H480" i="1"/>
  <c r="R209" i="1"/>
  <c r="Q210" i="1"/>
  <c r="N480" i="1" l="1"/>
  <c r="O480" i="1"/>
  <c r="H481" i="1"/>
  <c r="Q211" i="1"/>
  <c r="R210" i="1"/>
  <c r="S210" i="1" s="1"/>
  <c r="S209" i="1"/>
  <c r="N481" i="1" l="1"/>
  <c r="O481" i="1"/>
  <c r="H482" i="1"/>
  <c r="R211" i="1"/>
  <c r="Q212" i="1"/>
  <c r="O482" i="1" l="1"/>
  <c r="N482" i="1"/>
  <c r="H483" i="1"/>
  <c r="Q213" i="1"/>
  <c r="R212" i="1"/>
  <c r="S212" i="1" s="1"/>
  <c r="S211" i="1"/>
  <c r="N483" i="1" l="1"/>
  <c r="O483" i="1"/>
  <c r="H484" i="1"/>
  <c r="R213" i="1"/>
  <c r="Q214" i="1"/>
  <c r="N484" i="1" l="1"/>
  <c r="O484" i="1"/>
  <c r="H485" i="1"/>
  <c r="Q215" i="1"/>
  <c r="R214" i="1"/>
  <c r="S214" i="1" s="1"/>
  <c r="S213" i="1"/>
  <c r="N485" i="1" l="1"/>
  <c r="O485" i="1"/>
  <c r="H486" i="1"/>
  <c r="R215" i="1"/>
  <c r="Q216" i="1"/>
  <c r="O486" i="1" l="1"/>
  <c r="N486" i="1"/>
  <c r="H487" i="1"/>
  <c r="Q217" i="1"/>
  <c r="R216" i="1"/>
  <c r="S216" i="1" s="1"/>
  <c r="S215" i="1"/>
  <c r="O487" i="1" l="1"/>
  <c r="N487" i="1"/>
  <c r="H488" i="1"/>
  <c r="R217" i="1"/>
  <c r="Q218" i="1"/>
  <c r="O488" i="1" l="1"/>
  <c r="N488" i="1"/>
  <c r="H489" i="1"/>
  <c r="Q219" i="1"/>
  <c r="R218" i="1"/>
  <c r="S218" i="1" s="1"/>
  <c r="S217" i="1"/>
  <c r="N489" i="1" l="1"/>
  <c r="O489" i="1"/>
  <c r="H490" i="1"/>
  <c r="R219" i="1"/>
  <c r="Q220" i="1"/>
  <c r="O490" i="1" l="1"/>
  <c r="N490" i="1"/>
  <c r="H491" i="1"/>
  <c r="Q221" i="1"/>
  <c r="R220" i="1"/>
  <c r="S220" i="1" s="1"/>
  <c r="S219" i="1"/>
  <c r="O491" i="1" l="1"/>
  <c r="N491" i="1"/>
  <c r="H492" i="1"/>
  <c r="R221" i="1"/>
  <c r="Q222" i="1"/>
  <c r="O492" i="1" l="1"/>
  <c r="N492" i="1"/>
  <c r="H493" i="1"/>
  <c r="Q223" i="1"/>
  <c r="R222" i="1"/>
  <c r="S222" i="1" s="1"/>
  <c r="S221" i="1"/>
  <c r="N493" i="1" l="1"/>
  <c r="O493" i="1"/>
  <c r="H494" i="1"/>
  <c r="R223" i="1"/>
  <c r="Q224" i="1"/>
  <c r="O494" i="1" l="1"/>
  <c r="N494" i="1"/>
  <c r="H495" i="1"/>
  <c r="Q225" i="1"/>
  <c r="R224" i="1"/>
  <c r="S224" i="1" s="1"/>
  <c r="S223" i="1"/>
  <c r="N495" i="1" l="1"/>
  <c r="O495" i="1"/>
  <c r="H496" i="1"/>
  <c r="R225" i="1"/>
  <c r="Q226" i="1"/>
  <c r="N496" i="1" l="1"/>
  <c r="O496" i="1"/>
  <c r="H497" i="1"/>
  <c r="Q227" i="1"/>
  <c r="R226" i="1"/>
  <c r="S226" i="1" s="1"/>
  <c r="S225" i="1"/>
  <c r="O497" i="1" l="1"/>
  <c r="N497" i="1"/>
  <c r="H498" i="1"/>
  <c r="R227" i="1"/>
  <c r="Q228" i="1"/>
  <c r="N498" i="1" l="1"/>
  <c r="O498" i="1"/>
  <c r="H499" i="1"/>
  <c r="Q229" i="1"/>
  <c r="R228" i="1"/>
  <c r="S228" i="1" s="1"/>
  <c r="S227" i="1"/>
  <c r="O499" i="1" l="1"/>
  <c r="N499" i="1"/>
  <c r="H500" i="1"/>
  <c r="R229" i="1"/>
  <c r="S229" i="1" s="1"/>
  <c r="Q230" i="1"/>
  <c r="O500" i="1" l="1"/>
  <c r="N500" i="1"/>
  <c r="H501" i="1"/>
  <c r="Q231" i="1"/>
  <c r="R230" i="1"/>
  <c r="O501" i="1" l="1"/>
  <c r="N501" i="1"/>
  <c r="H502" i="1"/>
  <c r="Q232" i="1"/>
  <c r="R231" i="1"/>
  <c r="S231" i="1" s="1"/>
  <c r="S230" i="1"/>
  <c r="O502" i="1" l="1"/>
  <c r="N502" i="1"/>
  <c r="H503" i="1"/>
  <c r="R232" i="1"/>
  <c r="Q233" i="1"/>
  <c r="O503" i="1" l="1"/>
  <c r="N503" i="1"/>
  <c r="H504" i="1"/>
  <c r="Q234" i="1"/>
  <c r="R233" i="1"/>
  <c r="S233" i="1" s="1"/>
  <c r="S232" i="1"/>
  <c r="O504" i="1" l="1"/>
  <c r="N504" i="1"/>
  <c r="H505" i="1"/>
  <c r="R234" i="1"/>
  <c r="Q235" i="1"/>
  <c r="N505" i="1" l="1"/>
  <c r="O505" i="1"/>
  <c r="H506" i="1"/>
  <c r="Q236" i="1"/>
  <c r="R235" i="1"/>
  <c r="S235" i="1" s="1"/>
  <c r="S234" i="1"/>
  <c r="O506" i="1" l="1"/>
  <c r="N506" i="1"/>
  <c r="H507" i="1"/>
  <c r="R236" i="1"/>
  <c r="Q237" i="1"/>
  <c r="O507" i="1" l="1"/>
  <c r="N507" i="1"/>
  <c r="H508" i="1"/>
  <c r="Q238" i="1"/>
  <c r="R237" i="1"/>
  <c r="S237" i="1" s="1"/>
  <c r="S236" i="1"/>
  <c r="N508" i="1" l="1"/>
  <c r="O508" i="1"/>
  <c r="H509" i="1"/>
  <c r="R238" i="1"/>
  <c r="Q239" i="1"/>
  <c r="O509" i="1" l="1"/>
  <c r="N509" i="1"/>
  <c r="H510" i="1"/>
  <c r="Q240" i="1"/>
  <c r="R239" i="1"/>
  <c r="S239" i="1" s="1"/>
  <c r="S238" i="1"/>
  <c r="N510" i="1" l="1"/>
  <c r="O510" i="1"/>
  <c r="H511" i="1"/>
  <c r="R240" i="1"/>
  <c r="Q241" i="1"/>
  <c r="N511" i="1" l="1"/>
  <c r="O511" i="1"/>
  <c r="H512" i="1"/>
  <c r="Q242" i="1"/>
  <c r="R241" i="1"/>
  <c r="S241" i="1" s="1"/>
  <c r="S240" i="1"/>
  <c r="N512" i="1" l="1"/>
  <c r="O512" i="1"/>
  <c r="H513" i="1"/>
  <c r="R242" i="1"/>
  <c r="Q243" i="1"/>
  <c r="N513" i="1" l="1"/>
  <c r="O513" i="1"/>
  <c r="H514" i="1"/>
  <c r="Q244" i="1"/>
  <c r="R243" i="1"/>
  <c r="S243" i="1" s="1"/>
  <c r="S242" i="1"/>
  <c r="N514" i="1" l="1"/>
  <c r="O514" i="1"/>
  <c r="H515" i="1"/>
  <c r="R244" i="1"/>
  <c r="Q245" i="1"/>
  <c r="O515" i="1" l="1"/>
  <c r="N515" i="1"/>
  <c r="H516" i="1"/>
  <c r="Q246" i="1"/>
  <c r="R245" i="1"/>
  <c r="S245" i="1" s="1"/>
  <c r="S244" i="1"/>
  <c r="O516" i="1" l="1"/>
  <c r="N516" i="1"/>
  <c r="H517" i="1"/>
  <c r="R246" i="1"/>
  <c r="Q247" i="1"/>
  <c r="N517" i="1" l="1"/>
  <c r="O517" i="1"/>
  <c r="H518" i="1"/>
  <c r="Q248" i="1"/>
  <c r="R247" i="1"/>
  <c r="S247" i="1" s="1"/>
  <c r="S246" i="1"/>
  <c r="O518" i="1" l="1"/>
  <c r="N518" i="1"/>
  <c r="H519" i="1"/>
  <c r="R248" i="1"/>
  <c r="Q249" i="1"/>
  <c r="N519" i="1" l="1"/>
  <c r="O519" i="1"/>
  <c r="H520" i="1"/>
  <c r="Q250" i="1"/>
  <c r="R249" i="1"/>
  <c r="S249" i="1" s="1"/>
  <c r="S248" i="1"/>
  <c r="N520" i="1" l="1"/>
  <c r="O520" i="1"/>
  <c r="H521" i="1"/>
  <c r="R250" i="1"/>
  <c r="Q251" i="1"/>
  <c r="N521" i="1" l="1"/>
  <c r="O521" i="1"/>
  <c r="H522" i="1"/>
  <c r="Q252" i="1"/>
  <c r="R251" i="1"/>
  <c r="S251" i="1" s="1"/>
  <c r="S250" i="1"/>
  <c r="O522" i="1" l="1"/>
  <c r="N522" i="1"/>
  <c r="H523" i="1"/>
  <c r="R252" i="1"/>
  <c r="Q253" i="1"/>
  <c r="N523" i="1" l="1"/>
  <c r="O523" i="1"/>
  <c r="H524" i="1"/>
  <c r="Q254" i="1"/>
  <c r="R253" i="1"/>
  <c r="S253" i="1" s="1"/>
  <c r="S252" i="1"/>
  <c r="O524" i="1" l="1"/>
  <c r="N524" i="1"/>
  <c r="H525" i="1"/>
  <c r="R254" i="1"/>
  <c r="Q255" i="1"/>
  <c r="N525" i="1" l="1"/>
  <c r="O525" i="1"/>
  <c r="H526" i="1"/>
  <c r="Q256" i="1"/>
  <c r="R255" i="1"/>
  <c r="S255" i="1" s="1"/>
  <c r="S254" i="1"/>
  <c r="N526" i="1" l="1"/>
  <c r="O526" i="1"/>
  <c r="H527" i="1"/>
  <c r="R256" i="1"/>
  <c r="Q257" i="1"/>
  <c r="O527" i="1" l="1"/>
  <c r="N527" i="1"/>
  <c r="H528" i="1"/>
  <c r="Q258" i="1"/>
  <c r="R257" i="1"/>
  <c r="S257" i="1" s="1"/>
  <c r="S256" i="1"/>
  <c r="O528" i="1" l="1"/>
  <c r="N528" i="1"/>
  <c r="H529" i="1"/>
  <c r="R258" i="1"/>
  <c r="S258" i="1" s="1"/>
  <c r="Q259" i="1"/>
  <c r="R259" i="1" l="1"/>
  <c r="S259" i="1" s="1"/>
  <c r="O529" i="1"/>
  <c r="N529" i="1"/>
  <c r="H530" i="1"/>
  <c r="Q260" i="1"/>
  <c r="O530" i="1" l="1"/>
  <c r="N530" i="1"/>
  <c r="H531" i="1"/>
  <c r="R260" i="1"/>
  <c r="S260" i="1" s="1"/>
  <c r="Q261" i="1"/>
  <c r="O531" i="1" l="1"/>
  <c r="N531" i="1"/>
  <c r="H532" i="1"/>
  <c r="Q262" i="1"/>
  <c r="R261" i="1"/>
  <c r="O532" i="1" l="1"/>
  <c r="N532" i="1"/>
  <c r="H533" i="1"/>
  <c r="Q263" i="1"/>
  <c r="R262" i="1"/>
  <c r="S262" i="1" s="1"/>
  <c r="S261" i="1"/>
  <c r="O533" i="1" l="1"/>
  <c r="N533" i="1"/>
  <c r="H534" i="1"/>
  <c r="R263" i="1"/>
  <c r="Q264" i="1"/>
  <c r="O534" i="1" l="1"/>
  <c r="N534" i="1"/>
  <c r="H535" i="1"/>
  <c r="Q265" i="1"/>
  <c r="R264" i="1"/>
  <c r="S264" i="1" s="1"/>
  <c r="S263" i="1"/>
  <c r="O535" i="1" l="1"/>
  <c r="N535" i="1"/>
  <c r="H536" i="1"/>
  <c r="R265" i="1"/>
  <c r="Q266" i="1"/>
  <c r="O536" i="1" l="1"/>
  <c r="N536" i="1"/>
  <c r="H537" i="1"/>
  <c r="Q267" i="1"/>
  <c r="R266" i="1"/>
  <c r="S266" i="1" s="1"/>
  <c r="S265" i="1"/>
  <c r="O537" i="1" l="1"/>
  <c r="N537" i="1"/>
  <c r="H538" i="1"/>
  <c r="R267" i="1"/>
  <c r="Q268" i="1"/>
  <c r="N538" i="1" l="1"/>
  <c r="O538" i="1"/>
  <c r="H539" i="1"/>
  <c r="Q269" i="1"/>
  <c r="R268" i="1"/>
  <c r="S268" i="1" s="1"/>
  <c r="S267" i="1"/>
  <c r="O539" i="1" l="1"/>
  <c r="N539" i="1"/>
  <c r="H540" i="1"/>
  <c r="R269" i="1"/>
  <c r="Q270" i="1"/>
  <c r="O540" i="1" l="1"/>
  <c r="N540" i="1"/>
  <c r="H541" i="1"/>
  <c r="Q271" i="1"/>
  <c r="R270" i="1"/>
  <c r="S270" i="1" s="1"/>
  <c r="S269" i="1"/>
  <c r="O541" i="1" l="1"/>
  <c r="N541" i="1"/>
  <c r="H542" i="1"/>
  <c r="R271" i="1"/>
  <c r="Q272" i="1"/>
  <c r="O542" i="1" l="1"/>
  <c r="N542" i="1"/>
  <c r="H543" i="1"/>
  <c r="Q273" i="1"/>
  <c r="R272" i="1"/>
  <c r="S272" i="1" s="1"/>
  <c r="S271" i="1"/>
  <c r="O543" i="1" l="1"/>
  <c r="N543" i="1"/>
  <c r="H544" i="1"/>
  <c r="R273" i="1"/>
  <c r="Q274" i="1"/>
  <c r="O544" i="1" l="1"/>
  <c r="N544" i="1"/>
  <c r="H545" i="1"/>
  <c r="Q275" i="1"/>
  <c r="R274" i="1"/>
  <c r="S274" i="1" s="1"/>
  <c r="S273" i="1"/>
  <c r="N545" i="1" l="1"/>
  <c r="O545" i="1"/>
  <c r="H546" i="1"/>
  <c r="R275" i="1"/>
  <c r="Q276" i="1"/>
  <c r="O546" i="1" l="1"/>
  <c r="N546" i="1"/>
  <c r="H547" i="1"/>
  <c r="Q277" i="1"/>
  <c r="R276" i="1"/>
  <c r="S276" i="1" s="1"/>
  <c r="S275" i="1"/>
  <c r="N547" i="1" l="1"/>
  <c r="O547" i="1"/>
  <c r="H548" i="1"/>
  <c r="R277" i="1"/>
  <c r="Q278" i="1"/>
  <c r="O548" i="1" l="1"/>
  <c r="N548" i="1"/>
  <c r="H549" i="1"/>
  <c r="Q279" i="1"/>
  <c r="R278" i="1"/>
  <c r="S278" i="1" s="1"/>
  <c r="S277" i="1"/>
  <c r="O549" i="1" l="1"/>
  <c r="N549" i="1"/>
  <c r="H550" i="1"/>
  <c r="R279" i="1"/>
  <c r="Q280" i="1"/>
  <c r="O550" i="1" l="1"/>
  <c r="N550" i="1"/>
  <c r="H551" i="1"/>
  <c r="Q281" i="1"/>
  <c r="R280" i="1"/>
  <c r="S280" i="1" s="1"/>
  <c r="S279" i="1"/>
  <c r="N551" i="1" l="1"/>
  <c r="O551" i="1"/>
  <c r="H552" i="1"/>
  <c r="R281" i="1"/>
  <c r="Q282" i="1"/>
  <c r="O552" i="1" l="1"/>
  <c r="N552" i="1"/>
  <c r="H553" i="1"/>
  <c r="Q283" i="1"/>
  <c r="R282" i="1"/>
  <c r="S282" i="1" s="1"/>
  <c r="S281" i="1"/>
  <c r="O553" i="1" l="1"/>
  <c r="N553" i="1"/>
  <c r="H554" i="1"/>
  <c r="R283" i="1"/>
  <c r="Q284" i="1"/>
  <c r="N554" i="1" l="1"/>
  <c r="O554" i="1"/>
  <c r="H555" i="1"/>
  <c r="Q285" i="1"/>
  <c r="R284" i="1"/>
  <c r="S284" i="1" s="1"/>
  <c r="S283" i="1"/>
  <c r="N555" i="1" l="1"/>
  <c r="O555" i="1"/>
  <c r="H556" i="1"/>
  <c r="R285" i="1"/>
  <c r="Q286" i="1"/>
  <c r="N556" i="1" l="1"/>
  <c r="O556" i="1"/>
  <c r="H557" i="1"/>
  <c r="Q287" i="1"/>
  <c r="R286" i="1"/>
  <c r="S286" i="1" s="1"/>
  <c r="S285" i="1"/>
  <c r="O557" i="1" l="1"/>
  <c r="N557" i="1"/>
  <c r="H558" i="1"/>
  <c r="R287" i="1"/>
  <c r="Q288" i="1"/>
  <c r="O558" i="1" l="1"/>
  <c r="N558" i="1"/>
  <c r="H559" i="1"/>
  <c r="Q289" i="1"/>
  <c r="R288" i="1"/>
  <c r="S288" i="1" s="1"/>
  <c r="S287" i="1"/>
  <c r="N559" i="1" l="1"/>
  <c r="O559" i="1"/>
  <c r="H560" i="1"/>
  <c r="R289" i="1"/>
  <c r="Q290" i="1"/>
  <c r="O560" i="1" l="1"/>
  <c r="N560" i="1"/>
  <c r="H561" i="1"/>
  <c r="Q291" i="1"/>
  <c r="R290" i="1"/>
  <c r="S290" i="1" s="1"/>
  <c r="S289" i="1"/>
  <c r="O561" i="1" l="1"/>
  <c r="N561" i="1"/>
  <c r="H562" i="1"/>
  <c r="R291" i="1"/>
  <c r="Q292" i="1"/>
  <c r="O562" i="1" l="1"/>
  <c r="N562" i="1"/>
  <c r="H563" i="1"/>
  <c r="Q293" i="1"/>
  <c r="R292" i="1"/>
  <c r="S292" i="1" s="1"/>
  <c r="S291" i="1"/>
  <c r="O563" i="1" l="1"/>
  <c r="N563" i="1"/>
  <c r="H564" i="1"/>
  <c r="R293" i="1"/>
  <c r="Q294" i="1"/>
  <c r="O564" i="1" l="1"/>
  <c r="N564" i="1"/>
  <c r="H565" i="1"/>
  <c r="Q295" i="1"/>
  <c r="R294" i="1"/>
  <c r="S294" i="1" s="1"/>
  <c r="S293" i="1"/>
  <c r="O565" i="1" l="1"/>
  <c r="N565" i="1"/>
  <c r="H566" i="1"/>
  <c r="R295" i="1"/>
  <c r="Q296" i="1"/>
  <c r="O566" i="1" l="1"/>
  <c r="N566" i="1"/>
  <c r="H567" i="1"/>
  <c r="Q297" i="1"/>
  <c r="R296" i="1"/>
  <c r="S296" i="1" s="1"/>
  <c r="S295" i="1"/>
  <c r="N567" i="1" l="1"/>
  <c r="O567" i="1"/>
  <c r="H568" i="1"/>
  <c r="R297" i="1"/>
  <c r="Q298" i="1"/>
  <c r="N568" i="1" l="1"/>
  <c r="O568" i="1"/>
  <c r="H569" i="1"/>
  <c r="Q299" i="1"/>
  <c r="R298" i="1"/>
  <c r="S298" i="1" s="1"/>
  <c r="S297" i="1"/>
  <c r="N569" i="1" l="1"/>
  <c r="O569" i="1"/>
  <c r="H570" i="1"/>
  <c r="R299" i="1"/>
  <c r="Q300" i="1"/>
  <c r="O570" i="1" l="1"/>
  <c r="N570" i="1"/>
  <c r="H571" i="1"/>
  <c r="Q301" i="1"/>
  <c r="R300" i="1"/>
  <c r="S300" i="1" s="1"/>
  <c r="S299" i="1"/>
  <c r="O571" i="1" l="1"/>
  <c r="N571" i="1"/>
  <c r="H572" i="1"/>
  <c r="R301" i="1"/>
  <c r="Q302" i="1"/>
  <c r="O572" i="1" l="1"/>
  <c r="N572" i="1"/>
  <c r="H573" i="1"/>
  <c r="Q303" i="1"/>
  <c r="R302" i="1"/>
  <c r="S302" i="1" s="1"/>
  <c r="S301" i="1"/>
  <c r="O573" i="1" l="1"/>
  <c r="N573" i="1"/>
  <c r="H574" i="1"/>
  <c r="R303" i="1"/>
  <c r="Q304" i="1"/>
  <c r="N574" i="1" l="1"/>
  <c r="O574" i="1"/>
  <c r="H575" i="1"/>
  <c r="Q305" i="1"/>
  <c r="R304" i="1"/>
  <c r="S304" i="1" s="1"/>
  <c r="S303" i="1"/>
  <c r="O575" i="1" l="1"/>
  <c r="N575" i="1"/>
  <c r="H576" i="1"/>
  <c r="R305" i="1"/>
  <c r="Q306" i="1"/>
  <c r="N576" i="1" l="1"/>
  <c r="O576" i="1"/>
  <c r="H577" i="1"/>
  <c r="Q307" i="1"/>
  <c r="R306" i="1"/>
  <c r="S306" i="1" s="1"/>
  <c r="S305" i="1"/>
  <c r="N577" i="1" l="1"/>
  <c r="O577" i="1"/>
  <c r="H578" i="1"/>
  <c r="R307" i="1"/>
  <c r="Q308" i="1"/>
  <c r="O578" i="1" l="1"/>
  <c r="N578" i="1"/>
  <c r="H579" i="1"/>
  <c r="Q309" i="1"/>
  <c r="R308" i="1"/>
  <c r="S308" i="1" s="1"/>
  <c r="S307" i="1"/>
  <c r="N579" i="1" l="1"/>
  <c r="O579" i="1"/>
  <c r="H580" i="1"/>
  <c r="R309" i="1"/>
  <c r="Q310" i="1"/>
  <c r="N580" i="1" l="1"/>
  <c r="O580" i="1"/>
  <c r="H581" i="1"/>
  <c r="Q311" i="1"/>
  <c r="R310" i="1"/>
  <c r="S310" i="1" s="1"/>
  <c r="S309" i="1"/>
  <c r="N581" i="1" l="1"/>
  <c r="O581" i="1"/>
  <c r="H582" i="1"/>
  <c r="R311" i="1"/>
  <c r="S311" i="1" s="1"/>
  <c r="Q312" i="1"/>
  <c r="N582" i="1" l="1"/>
  <c r="O582" i="1"/>
  <c r="H583" i="1"/>
  <c r="Q313" i="1"/>
  <c r="R312" i="1"/>
  <c r="N583" i="1" l="1"/>
  <c r="O583" i="1"/>
  <c r="H584" i="1"/>
  <c r="Q314" i="1"/>
  <c r="R313" i="1"/>
  <c r="S313" i="1" s="1"/>
  <c r="S312" i="1"/>
  <c r="O584" i="1" l="1"/>
  <c r="N584" i="1"/>
  <c r="H585" i="1"/>
  <c r="R314" i="1"/>
  <c r="Q315" i="1"/>
  <c r="O585" i="1" l="1"/>
  <c r="N585" i="1"/>
  <c r="H586" i="1"/>
  <c r="Q316" i="1"/>
  <c r="R315" i="1"/>
  <c r="S315" i="1" s="1"/>
  <c r="S314" i="1"/>
  <c r="N586" i="1" l="1"/>
  <c r="O586" i="1"/>
  <c r="H587" i="1"/>
  <c r="R316" i="1"/>
  <c r="Q317" i="1"/>
  <c r="O587" i="1" l="1"/>
  <c r="N587" i="1"/>
  <c r="H588" i="1"/>
  <c r="Q318" i="1"/>
  <c r="R317" i="1"/>
  <c r="S317" i="1" s="1"/>
  <c r="S316" i="1"/>
  <c r="N588" i="1" l="1"/>
  <c r="O588" i="1"/>
  <c r="H589" i="1"/>
  <c r="R318" i="1"/>
  <c r="Q319" i="1"/>
  <c r="O589" i="1" l="1"/>
  <c r="N589" i="1"/>
  <c r="H590" i="1"/>
  <c r="Q320" i="1"/>
  <c r="R319" i="1"/>
  <c r="S319" i="1" s="1"/>
  <c r="S318" i="1"/>
  <c r="N590" i="1" l="1"/>
  <c r="O590" i="1"/>
  <c r="H591" i="1"/>
  <c r="R320" i="1"/>
  <c r="Q321" i="1"/>
  <c r="N591" i="1" l="1"/>
  <c r="O591" i="1"/>
  <c r="H592" i="1"/>
  <c r="Q322" i="1"/>
  <c r="R321" i="1"/>
  <c r="S321" i="1" s="1"/>
  <c r="S320" i="1"/>
  <c r="N592" i="1" l="1"/>
  <c r="O592" i="1"/>
  <c r="H593" i="1"/>
  <c r="R322" i="1"/>
  <c r="Q323" i="1"/>
  <c r="O593" i="1" l="1"/>
  <c r="N593" i="1"/>
  <c r="H594" i="1"/>
  <c r="Q324" i="1"/>
  <c r="R323" i="1"/>
  <c r="S323" i="1" s="1"/>
  <c r="S322" i="1"/>
  <c r="O594" i="1" l="1"/>
  <c r="N594" i="1"/>
  <c r="H595" i="1"/>
  <c r="R324" i="1"/>
  <c r="Q325" i="1"/>
  <c r="O595" i="1" l="1"/>
  <c r="N595" i="1"/>
  <c r="H596" i="1"/>
  <c r="Q326" i="1"/>
  <c r="R325" i="1"/>
  <c r="S325" i="1" s="1"/>
  <c r="S324" i="1"/>
  <c r="N596" i="1" l="1"/>
  <c r="O596" i="1"/>
  <c r="H597" i="1"/>
  <c r="R326" i="1"/>
  <c r="Q327" i="1"/>
  <c r="O597" i="1" l="1"/>
  <c r="N597" i="1"/>
  <c r="H598" i="1"/>
  <c r="Q328" i="1"/>
  <c r="R327" i="1"/>
  <c r="S327" i="1" s="1"/>
  <c r="S326" i="1"/>
  <c r="N598" i="1" l="1"/>
  <c r="O598" i="1"/>
  <c r="H599" i="1"/>
  <c r="R328" i="1"/>
  <c r="Q329" i="1"/>
  <c r="O599" i="1" l="1"/>
  <c r="N599" i="1"/>
  <c r="H600" i="1"/>
  <c r="Q330" i="1"/>
  <c r="R329" i="1"/>
  <c r="S329" i="1" s="1"/>
  <c r="S328" i="1"/>
  <c r="N600" i="1" l="1"/>
  <c r="O600" i="1"/>
  <c r="H601" i="1"/>
  <c r="R330" i="1"/>
  <c r="Q331" i="1"/>
  <c r="N601" i="1" l="1"/>
  <c r="O601" i="1"/>
  <c r="H602" i="1"/>
  <c r="Q332" i="1"/>
  <c r="R331" i="1"/>
  <c r="S331" i="1" s="1"/>
  <c r="S330" i="1"/>
  <c r="N602" i="1" l="1"/>
  <c r="O602" i="1"/>
  <c r="H603" i="1"/>
  <c r="R332" i="1"/>
  <c r="Q333" i="1"/>
  <c r="O603" i="1" l="1"/>
  <c r="N603" i="1"/>
  <c r="H604" i="1"/>
  <c r="Q334" i="1"/>
  <c r="R333" i="1"/>
  <c r="S333" i="1" s="1"/>
  <c r="S332" i="1"/>
  <c r="N604" i="1" l="1"/>
  <c r="O604" i="1"/>
  <c r="H605" i="1"/>
  <c r="R334" i="1"/>
  <c r="S334" i="1" s="1"/>
  <c r="Q335" i="1"/>
  <c r="O605" i="1" l="1"/>
  <c r="N605" i="1"/>
  <c r="H606" i="1"/>
  <c r="Q336" i="1"/>
  <c r="R335" i="1"/>
  <c r="N606" i="1" l="1"/>
  <c r="O606" i="1"/>
  <c r="H607" i="1"/>
  <c r="Q337" i="1"/>
  <c r="R336" i="1"/>
  <c r="S336" i="1" s="1"/>
  <c r="S335" i="1"/>
  <c r="N607" i="1" l="1"/>
  <c r="O607" i="1"/>
  <c r="H608" i="1"/>
  <c r="R337" i="1"/>
  <c r="Q338" i="1"/>
  <c r="O608" i="1" l="1"/>
  <c r="N608" i="1"/>
  <c r="H609" i="1"/>
  <c r="Q339" i="1"/>
  <c r="R338" i="1"/>
  <c r="S338" i="1" s="1"/>
  <c r="S337" i="1"/>
  <c r="N609" i="1" l="1"/>
  <c r="O609" i="1"/>
  <c r="H610" i="1"/>
  <c r="R339" i="1"/>
  <c r="Q340" i="1"/>
  <c r="O610" i="1" l="1"/>
  <c r="N610" i="1"/>
  <c r="H611" i="1"/>
  <c r="Q341" i="1"/>
  <c r="R340" i="1"/>
  <c r="S340" i="1" s="1"/>
  <c r="S339" i="1"/>
  <c r="N611" i="1" l="1"/>
  <c r="O611" i="1"/>
  <c r="H612" i="1"/>
  <c r="R341" i="1"/>
  <c r="Q342" i="1"/>
  <c r="O612" i="1" l="1"/>
  <c r="N612" i="1"/>
  <c r="H613" i="1"/>
  <c r="Q343" i="1"/>
  <c r="R342" i="1"/>
  <c r="S342" i="1" s="1"/>
  <c r="S341" i="1"/>
  <c r="N613" i="1" l="1"/>
  <c r="O613" i="1"/>
  <c r="H614" i="1"/>
  <c r="R343" i="1"/>
  <c r="Q344" i="1"/>
  <c r="O614" i="1" l="1"/>
  <c r="N614" i="1"/>
  <c r="H615" i="1"/>
  <c r="Q345" i="1"/>
  <c r="R344" i="1"/>
  <c r="S344" i="1" s="1"/>
  <c r="S343" i="1"/>
  <c r="O615" i="1" l="1"/>
  <c r="N615" i="1"/>
  <c r="H616" i="1"/>
  <c r="R345" i="1"/>
  <c r="Q346" i="1"/>
  <c r="N616" i="1" l="1"/>
  <c r="O616" i="1"/>
  <c r="H617" i="1"/>
  <c r="Q347" i="1"/>
  <c r="R346" i="1"/>
  <c r="S346" i="1" s="1"/>
  <c r="S345" i="1"/>
  <c r="O617" i="1" l="1"/>
  <c r="N617" i="1"/>
  <c r="H618" i="1"/>
  <c r="R347" i="1"/>
  <c r="Q348" i="1"/>
  <c r="O618" i="1" l="1"/>
  <c r="N618" i="1"/>
  <c r="H619" i="1"/>
  <c r="Q349" i="1"/>
  <c r="R348" i="1"/>
  <c r="S348" i="1" s="1"/>
  <c r="S347" i="1"/>
  <c r="N619" i="1" l="1"/>
  <c r="O619" i="1"/>
  <c r="H620" i="1"/>
  <c r="R349" i="1"/>
  <c r="S349" i="1" s="1"/>
  <c r="Q350" i="1"/>
  <c r="N620" i="1" l="1"/>
  <c r="O620" i="1"/>
  <c r="H621" i="1"/>
  <c r="Q351" i="1"/>
  <c r="R350" i="1"/>
  <c r="S350" i="1" s="1"/>
  <c r="O621" i="1" l="1"/>
  <c r="N621" i="1"/>
  <c r="H622" i="1"/>
  <c r="Q352" i="1"/>
  <c r="R351" i="1"/>
  <c r="N622" i="1" l="1"/>
  <c r="O622" i="1"/>
  <c r="H623" i="1"/>
  <c r="Q353" i="1"/>
  <c r="R352" i="1"/>
  <c r="S352" i="1" s="1"/>
  <c r="S351" i="1"/>
  <c r="O623" i="1" l="1"/>
  <c r="N623" i="1"/>
  <c r="H624" i="1"/>
  <c r="R353" i="1"/>
  <c r="Q354" i="1"/>
  <c r="O624" i="1" l="1"/>
  <c r="N624" i="1"/>
  <c r="H625" i="1"/>
  <c r="Q355" i="1"/>
  <c r="R354" i="1"/>
  <c r="S354" i="1" s="1"/>
  <c r="S353" i="1"/>
  <c r="N625" i="1" l="1"/>
  <c r="O625" i="1"/>
  <c r="H626" i="1"/>
  <c r="R355" i="1"/>
  <c r="Q356" i="1"/>
  <c r="O626" i="1" l="1"/>
  <c r="N626" i="1"/>
  <c r="H627" i="1"/>
  <c r="Q357" i="1"/>
  <c r="R356" i="1"/>
  <c r="S356" i="1" s="1"/>
  <c r="S355" i="1"/>
  <c r="O627" i="1" l="1"/>
  <c r="N627" i="1"/>
  <c r="H628" i="1"/>
  <c r="R357" i="1"/>
  <c r="Q358" i="1"/>
  <c r="N628" i="1" l="1"/>
  <c r="O628" i="1"/>
  <c r="H629" i="1"/>
  <c r="Q359" i="1"/>
  <c r="R358" i="1"/>
  <c r="S358" i="1" s="1"/>
  <c r="S357" i="1"/>
  <c r="O629" i="1" l="1"/>
  <c r="N629" i="1"/>
  <c r="H630" i="1"/>
  <c r="R359" i="1"/>
  <c r="Q360" i="1"/>
  <c r="N630" i="1" l="1"/>
  <c r="O630" i="1"/>
  <c r="H631" i="1"/>
  <c r="Q361" i="1"/>
  <c r="R360" i="1"/>
  <c r="S360" i="1" s="1"/>
  <c r="S359" i="1"/>
  <c r="N631" i="1" l="1"/>
  <c r="O631" i="1"/>
  <c r="H632" i="1"/>
  <c r="R361" i="1"/>
  <c r="Q362" i="1"/>
  <c r="N632" i="1" l="1"/>
  <c r="O632" i="1"/>
  <c r="H633" i="1"/>
  <c r="Q363" i="1"/>
  <c r="R362" i="1"/>
  <c r="S362" i="1" s="1"/>
  <c r="S361" i="1"/>
  <c r="N633" i="1" l="1"/>
  <c r="O633" i="1"/>
  <c r="H634" i="1"/>
  <c r="R363" i="1"/>
  <c r="Q364" i="1"/>
  <c r="N634" i="1" l="1"/>
  <c r="O634" i="1"/>
  <c r="H635" i="1"/>
  <c r="Q365" i="1"/>
  <c r="R364" i="1"/>
  <c r="S364" i="1" s="1"/>
  <c r="S363" i="1"/>
  <c r="O635" i="1" l="1"/>
  <c r="N635" i="1"/>
  <c r="H636" i="1"/>
  <c r="R365" i="1"/>
  <c r="Q366" i="1"/>
  <c r="N636" i="1" l="1"/>
  <c r="O636" i="1"/>
  <c r="H637" i="1"/>
  <c r="Q367" i="1"/>
  <c r="R366" i="1"/>
  <c r="S366" i="1" s="1"/>
  <c r="S365" i="1"/>
  <c r="O637" i="1" l="1"/>
  <c r="N637" i="1"/>
  <c r="H638" i="1"/>
  <c r="R367" i="1"/>
  <c r="Q368" i="1"/>
  <c r="O638" i="1" l="1"/>
  <c r="N638" i="1"/>
  <c r="H639" i="1"/>
  <c r="Q369" i="1"/>
  <c r="R368" i="1"/>
  <c r="S368" i="1" s="1"/>
  <c r="S367" i="1"/>
  <c r="O639" i="1" l="1"/>
  <c r="N639" i="1"/>
  <c r="H640" i="1"/>
  <c r="R369" i="1"/>
  <c r="Q370" i="1"/>
  <c r="N640" i="1" l="1"/>
  <c r="O640" i="1"/>
  <c r="H641" i="1"/>
  <c r="Q371" i="1"/>
  <c r="R370" i="1"/>
  <c r="S370" i="1" s="1"/>
  <c r="S369" i="1"/>
  <c r="N641" i="1" l="1"/>
  <c r="O641" i="1"/>
  <c r="H642" i="1"/>
  <c r="R371" i="1"/>
  <c r="Q372" i="1"/>
  <c r="N642" i="1" l="1"/>
  <c r="O642" i="1"/>
  <c r="H643" i="1"/>
  <c r="Q373" i="1"/>
  <c r="R372" i="1"/>
  <c r="S372" i="1" s="1"/>
  <c r="S371" i="1"/>
  <c r="N643" i="1" l="1"/>
  <c r="O643" i="1"/>
  <c r="H644" i="1"/>
  <c r="R373" i="1"/>
  <c r="Q374" i="1"/>
  <c r="N644" i="1" l="1"/>
  <c r="O644" i="1"/>
  <c r="H645" i="1"/>
  <c r="Q375" i="1"/>
  <c r="R374" i="1"/>
  <c r="S374" i="1" s="1"/>
  <c r="S373" i="1"/>
  <c r="O645" i="1" l="1"/>
  <c r="N645" i="1"/>
  <c r="H646" i="1"/>
  <c r="R375" i="1"/>
  <c r="Q376" i="1"/>
  <c r="O646" i="1" l="1"/>
  <c r="N646" i="1"/>
  <c r="H647" i="1"/>
  <c r="Q377" i="1"/>
  <c r="R376" i="1"/>
  <c r="S376" i="1" s="1"/>
  <c r="S375" i="1"/>
  <c r="O647" i="1" l="1"/>
  <c r="N647" i="1"/>
  <c r="H648" i="1"/>
  <c r="R377" i="1"/>
  <c r="Q378" i="1"/>
  <c r="O648" i="1" l="1"/>
  <c r="N648" i="1"/>
  <c r="H649" i="1"/>
  <c r="Q379" i="1"/>
  <c r="R378" i="1"/>
  <c r="S378" i="1" s="1"/>
  <c r="S377" i="1"/>
  <c r="N649" i="1" l="1"/>
  <c r="O649" i="1"/>
  <c r="H650" i="1"/>
  <c r="R379" i="1"/>
  <c r="Q380" i="1"/>
  <c r="N650" i="1" l="1"/>
  <c r="O650" i="1"/>
  <c r="H651" i="1"/>
  <c r="Q381" i="1"/>
  <c r="R380" i="1"/>
  <c r="S380" i="1" s="1"/>
  <c r="S379" i="1"/>
  <c r="O651" i="1" l="1"/>
  <c r="N651" i="1"/>
  <c r="H652" i="1"/>
  <c r="R381" i="1"/>
  <c r="Q382" i="1"/>
  <c r="O652" i="1" l="1"/>
  <c r="N652" i="1"/>
  <c r="H653" i="1"/>
  <c r="Q383" i="1"/>
  <c r="R382" i="1"/>
  <c r="S382" i="1" s="1"/>
  <c r="S381" i="1"/>
  <c r="O653" i="1" l="1"/>
  <c r="N653" i="1"/>
  <c r="H654" i="1"/>
  <c r="R383" i="1"/>
  <c r="Q384" i="1"/>
  <c r="N654" i="1" l="1"/>
  <c r="O654" i="1"/>
  <c r="H655" i="1"/>
  <c r="Q385" i="1"/>
  <c r="R384" i="1"/>
  <c r="S384" i="1" s="1"/>
  <c r="S383" i="1"/>
  <c r="O655" i="1" l="1"/>
  <c r="N655" i="1"/>
  <c r="H656" i="1"/>
  <c r="R385" i="1"/>
  <c r="Q386" i="1"/>
  <c r="O656" i="1" l="1"/>
  <c r="N656" i="1"/>
  <c r="H657" i="1"/>
  <c r="Q387" i="1"/>
  <c r="R386" i="1"/>
  <c r="S386" i="1" s="1"/>
  <c r="S385" i="1"/>
  <c r="O657" i="1" l="1"/>
  <c r="N657" i="1"/>
  <c r="H658" i="1"/>
  <c r="R387" i="1"/>
  <c r="Q388" i="1"/>
  <c r="N658" i="1" l="1"/>
  <c r="O658" i="1"/>
  <c r="H659" i="1"/>
  <c r="Q389" i="1"/>
  <c r="R388" i="1"/>
  <c r="S388" i="1" s="1"/>
  <c r="S387" i="1"/>
  <c r="O659" i="1" l="1"/>
  <c r="N659" i="1"/>
  <c r="H660" i="1"/>
  <c r="R389" i="1"/>
  <c r="Q390" i="1"/>
  <c r="N660" i="1" l="1"/>
  <c r="O660" i="1"/>
  <c r="H661" i="1"/>
  <c r="Q391" i="1"/>
  <c r="R390" i="1"/>
  <c r="S390" i="1" s="1"/>
  <c r="S389" i="1"/>
  <c r="O661" i="1" l="1"/>
  <c r="N661" i="1"/>
  <c r="H662" i="1"/>
  <c r="R391" i="1"/>
  <c r="S391" i="1" s="1"/>
  <c r="Q392" i="1"/>
  <c r="O662" i="1" l="1"/>
  <c r="N662" i="1"/>
  <c r="H663" i="1"/>
  <c r="Q393" i="1"/>
  <c r="R392" i="1"/>
  <c r="O663" i="1" l="1"/>
  <c r="N663" i="1"/>
  <c r="H664" i="1"/>
  <c r="Q394" i="1"/>
  <c r="R393" i="1"/>
  <c r="S393" i="1" s="1"/>
  <c r="S392" i="1"/>
  <c r="O664" i="1" l="1"/>
  <c r="N664" i="1"/>
  <c r="H665" i="1"/>
  <c r="R394" i="1"/>
  <c r="Q395" i="1"/>
  <c r="N665" i="1" l="1"/>
  <c r="O665" i="1"/>
  <c r="H666" i="1"/>
  <c r="Q396" i="1"/>
  <c r="R395" i="1"/>
  <c r="S395" i="1" s="1"/>
  <c r="S394" i="1"/>
  <c r="N666" i="1" l="1"/>
  <c r="O666" i="1"/>
  <c r="H667" i="1"/>
  <c r="R396" i="1"/>
  <c r="Q397" i="1"/>
  <c r="O667" i="1" l="1"/>
  <c r="N667" i="1"/>
  <c r="H668" i="1"/>
  <c r="Q398" i="1"/>
  <c r="R397" i="1"/>
  <c r="S397" i="1" s="1"/>
  <c r="S396" i="1"/>
  <c r="N668" i="1" l="1"/>
  <c r="O668" i="1"/>
  <c r="H669" i="1"/>
  <c r="R398" i="1"/>
  <c r="Q399" i="1"/>
  <c r="N669" i="1" l="1"/>
  <c r="O669" i="1"/>
  <c r="H670" i="1"/>
  <c r="Q400" i="1"/>
  <c r="R399" i="1"/>
  <c r="S399" i="1" s="1"/>
  <c r="S398" i="1"/>
  <c r="O670" i="1" l="1"/>
  <c r="N670" i="1"/>
  <c r="H671" i="1"/>
  <c r="R400" i="1"/>
  <c r="S400" i="1" s="1"/>
  <c r="Q401" i="1"/>
  <c r="N671" i="1" l="1"/>
  <c r="O671" i="1"/>
  <c r="H672" i="1"/>
  <c r="Q402" i="1"/>
  <c r="R401" i="1"/>
  <c r="S401" i="1" s="1"/>
  <c r="O672" i="1" l="1"/>
  <c r="N672" i="1"/>
  <c r="H673" i="1"/>
  <c r="Q403" i="1"/>
  <c r="R402" i="1"/>
  <c r="O673" i="1" l="1"/>
  <c r="N673" i="1"/>
  <c r="H674" i="1"/>
  <c r="Q404" i="1"/>
  <c r="R403" i="1"/>
  <c r="S403" i="1" s="1"/>
  <c r="S402" i="1"/>
  <c r="O674" i="1" l="1"/>
  <c r="N674" i="1"/>
  <c r="H675" i="1"/>
  <c r="R404" i="1"/>
  <c r="Q405" i="1"/>
  <c r="O675" i="1" l="1"/>
  <c r="N675" i="1"/>
  <c r="H676" i="1"/>
  <c r="Q406" i="1"/>
  <c r="R405" i="1"/>
  <c r="S405" i="1" s="1"/>
  <c r="S404" i="1"/>
  <c r="N676" i="1" l="1"/>
  <c r="O676" i="1"/>
  <c r="H677" i="1"/>
  <c r="R406" i="1"/>
  <c r="Q407" i="1"/>
  <c r="N677" i="1" l="1"/>
  <c r="O677" i="1"/>
  <c r="H678" i="1"/>
  <c r="Q408" i="1"/>
  <c r="R407" i="1"/>
  <c r="S407" i="1" s="1"/>
  <c r="S406" i="1"/>
  <c r="N678" i="1" l="1"/>
  <c r="O678" i="1"/>
  <c r="H679" i="1"/>
  <c r="R408" i="1"/>
  <c r="Q409" i="1"/>
  <c r="O679" i="1" l="1"/>
  <c r="N679" i="1"/>
  <c r="H680" i="1"/>
  <c r="Q410" i="1"/>
  <c r="R409" i="1"/>
  <c r="S409" i="1" s="1"/>
  <c r="S408" i="1"/>
  <c r="N680" i="1" l="1"/>
  <c r="O680" i="1"/>
  <c r="H681" i="1"/>
  <c r="R410" i="1"/>
  <c r="Q411" i="1"/>
  <c r="N681" i="1" l="1"/>
  <c r="O681" i="1"/>
  <c r="H682" i="1"/>
  <c r="Q412" i="1"/>
  <c r="R411" i="1"/>
  <c r="S411" i="1" s="1"/>
  <c r="S410" i="1"/>
  <c r="N682" i="1" l="1"/>
  <c r="O682" i="1"/>
  <c r="H683" i="1"/>
  <c r="R412" i="1"/>
  <c r="Q413" i="1"/>
  <c r="O683" i="1" l="1"/>
  <c r="N683" i="1"/>
  <c r="H684" i="1"/>
  <c r="Q414" i="1"/>
  <c r="R413" i="1"/>
  <c r="S413" i="1" s="1"/>
  <c r="S412" i="1"/>
  <c r="N684" i="1" l="1"/>
  <c r="O684" i="1"/>
  <c r="H685" i="1"/>
  <c r="R414" i="1"/>
  <c r="Q415" i="1"/>
  <c r="O685" i="1" l="1"/>
  <c r="N685" i="1"/>
  <c r="H686" i="1"/>
  <c r="Q416" i="1"/>
  <c r="R415" i="1"/>
  <c r="S415" i="1" s="1"/>
  <c r="S414" i="1"/>
  <c r="N686" i="1" l="1"/>
  <c r="O686" i="1"/>
  <c r="H687" i="1"/>
  <c r="R416" i="1"/>
  <c r="Q417" i="1"/>
  <c r="N687" i="1" l="1"/>
  <c r="O687" i="1"/>
  <c r="H688" i="1"/>
  <c r="Q418" i="1"/>
  <c r="R417" i="1"/>
  <c r="S417" i="1" s="1"/>
  <c r="S416" i="1"/>
  <c r="N688" i="1" l="1"/>
  <c r="O688" i="1"/>
  <c r="H689" i="1"/>
  <c r="R418" i="1"/>
  <c r="Q419" i="1"/>
  <c r="O689" i="1" l="1"/>
  <c r="N689" i="1"/>
  <c r="H690" i="1"/>
  <c r="Q420" i="1"/>
  <c r="R419" i="1"/>
  <c r="S419" i="1" s="1"/>
  <c r="S418" i="1"/>
  <c r="O690" i="1" l="1"/>
  <c r="N690" i="1"/>
  <c r="H691" i="1"/>
  <c r="R420" i="1"/>
  <c r="Q421" i="1"/>
  <c r="N691" i="1" l="1"/>
  <c r="O691" i="1"/>
  <c r="H692" i="1"/>
  <c r="Q422" i="1"/>
  <c r="R421" i="1"/>
  <c r="S421" i="1" s="1"/>
  <c r="S420" i="1"/>
  <c r="O692" i="1" l="1"/>
  <c r="N692" i="1"/>
  <c r="H693" i="1"/>
  <c r="R422" i="1"/>
  <c r="Q423" i="1"/>
  <c r="O693" i="1" l="1"/>
  <c r="N693" i="1"/>
  <c r="H694" i="1"/>
  <c r="Q424" i="1"/>
  <c r="R423" i="1"/>
  <c r="S423" i="1" s="1"/>
  <c r="S422" i="1"/>
  <c r="O694" i="1" l="1"/>
  <c r="N694" i="1"/>
  <c r="H695" i="1"/>
  <c r="R424" i="1"/>
  <c r="Q425" i="1"/>
  <c r="N695" i="1" l="1"/>
  <c r="O695" i="1"/>
  <c r="H696" i="1"/>
  <c r="Q426" i="1"/>
  <c r="R425" i="1"/>
  <c r="S425" i="1" s="1"/>
  <c r="S424" i="1"/>
  <c r="N696" i="1" l="1"/>
  <c r="O696" i="1"/>
  <c r="H697" i="1"/>
  <c r="R426" i="1"/>
  <c r="Q427" i="1"/>
  <c r="N697" i="1" l="1"/>
  <c r="O697" i="1"/>
  <c r="H698" i="1"/>
  <c r="Q428" i="1"/>
  <c r="R427" i="1"/>
  <c r="S427" i="1" s="1"/>
  <c r="S426" i="1"/>
  <c r="O698" i="1" l="1"/>
  <c r="N698" i="1"/>
  <c r="H699" i="1"/>
  <c r="R428" i="1"/>
  <c r="Q429" i="1"/>
  <c r="N699" i="1" l="1"/>
  <c r="O699" i="1"/>
  <c r="H700" i="1"/>
  <c r="Q430" i="1"/>
  <c r="R429" i="1"/>
  <c r="S429" i="1" s="1"/>
  <c r="S428" i="1"/>
  <c r="N700" i="1" l="1"/>
  <c r="O700" i="1"/>
  <c r="H701" i="1"/>
  <c r="R430" i="1"/>
  <c r="Q431" i="1"/>
  <c r="O701" i="1" l="1"/>
  <c r="N701" i="1"/>
  <c r="H702" i="1"/>
  <c r="Q432" i="1"/>
  <c r="R431" i="1"/>
  <c r="S431" i="1" s="1"/>
  <c r="S430" i="1"/>
  <c r="N702" i="1" l="1"/>
  <c r="O702" i="1"/>
  <c r="H703" i="1"/>
  <c r="R432" i="1"/>
  <c r="Q433" i="1"/>
  <c r="O703" i="1" l="1"/>
  <c r="N703" i="1"/>
  <c r="H704" i="1"/>
  <c r="Q434" i="1"/>
  <c r="R433" i="1"/>
  <c r="S433" i="1" s="1"/>
  <c r="S432" i="1"/>
  <c r="O704" i="1" l="1"/>
  <c r="N704" i="1"/>
  <c r="H705" i="1"/>
  <c r="R434" i="1"/>
  <c r="Q435" i="1"/>
  <c r="O705" i="1" l="1"/>
  <c r="N705" i="1"/>
  <c r="H706" i="1"/>
  <c r="Q436" i="1"/>
  <c r="R435" i="1"/>
  <c r="S435" i="1" s="1"/>
  <c r="S434" i="1"/>
  <c r="O706" i="1" l="1"/>
  <c r="N706" i="1"/>
  <c r="H707" i="1"/>
  <c r="R436" i="1"/>
  <c r="Q437" i="1"/>
  <c r="N707" i="1" l="1"/>
  <c r="O707" i="1"/>
  <c r="H708" i="1"/>
  <c r="Q438" i="1"/>
  <c r="R437" i="1"/>
  <c r="S437" i="1" s="1"/>
  <c r="S436" i="1"/>
  <c r="N708" i="1" l="1"/>
  <c r="O708" i="1"/>
  <c r="H709" i="1"/>
  <c r="R438" i="1"/>
  <c r="Q439" i="1"/>
  <c r="O709" i="1" l="1"/>
  <c r="N709" i="1"/>
  <c r="H710" i="1"/>
  <c r="Q440" i="1"/>
  <c r="R439" i="1"/>
  <c r="S439" i="1" s="1"/>
  <c r="S438" i="1"/>
  <c r="O710" i="1" l="1"/>
  <c r="N710" i="1"/>
  <c r="H711" i="1"/>
  <c r="R440" i="1"/>
  <c r="Q441" i="1"/>
  <c r="O711" i="1" l="1"/>
  <c r="N711" i="1"/>
  <c r="H712" i="1"/>
  <c r="Q442" i="1"/>
  <c r="R441" i="1"/>
  <c r="S441" i="1" s="1"/>
  <c r="S440" i="1"/>
  <c r="N712" i="1" l="1"/>
  <c r="O712" i="1"/>
  <c r="H713" i="1"/>
  <c r="R442" i="1"/>
  <c r="Q443" i="1"/>
  <c r="O713" i="1" l="1"/>
  <c r="N713" i="1"/>
  <c r="H714" i="1"/>
  <c r="Q444" i="1"/>
  <c r="R443" i="1"/>
  <c r="S443" i="1" s="1"/>
  <c r="S442" i="1"/>
  <c r="O714" i="1" l="1"/>
  <c r="N714" i="1"/>
  <c r="H715" i="1"/>
  <c r="R444" i="1"/>
  <c r="Q445" i="1"/>
  <c r="O715" i="1" l="1"/>
  <c r="N715" i="1"/>
  <c r="H716" i="1"/>
  <c r="Q446" i="1"/>
  <c r="R445" i="1"/>
  <c r="S445" i="1" s="1"/>
  <c r="S444" i="1"/>
  <c r="O716" i="1" l="1"/>
  <c r="N716" i="1"/>
  <c r="H717" i="1"/>
  <c r="R446" i="1"/>
  <c r="Q447" i="1"/>
  <c r="N717" i="1" l="1"/>
  <c r="O717" i="1"/>
  <c r="H718" i="1"/>
  <c r="Q448" i="1"/>
  <c r="R447" i="1"/>
  <c r="S447" i="1" s="1"/>
  <c r="S446" i="1"/>
  <c r="N718" i="1" l="1"/>
  <c r="O718" i="1"/>
  <c r="H719" i="1"/>
  <c r="R448" i="1"/>
  <c r="Q449" i="1"/>
  <c r="O719" i="1" l="1"/>
  <c r="N719" i="1"/>
  <c r="H720" i="1"/>
  <c r="Q450" i="1"/>
  <c r="R449" i="1"/>
  <c r="S449" i="1" s="1"/>
  <c r="S448" i="1"/>
  <c r="O720" i="1" l="1"/>
  <c r="N720" i="1"/>
  <c r="H721" i="1"/>
  <c r="R450" i="1"/>
  <c r="Q451" i="1"/>
  <c r="N721" i="1" l="1"/>
  <c r="O721" i="1"/>
  <c r="H722" i="1"/>
  <c r="Q452" i="1"/>
  <c r="R451" i="1"/>
  <c r="S451" i="1" s="1"/>
  <c r="S450" i="1"/>
  <c r="O722" i="1" l="1"/>
  <c r="N722" i="1"/>
  <c r="H723" i="1"/>
  <c r="R452" i="1"/>
  <c r="Q453" i="1"/>
  <c r="O723" i="1" l="1"/>
  <c r="N723" i="1"/>
  <c r="H724" i="1"/>
  <c r="Q454" i="1"/>
  <c r="R453" i="1"/>
  <c r="S453" i="1" s="1"/>
  <c r="S452" i="1"/>
  <c r="N724" i="1" l="1"/>
  <c r="O724" i="1"/>
  <c r="H725" i="1"/>
  <c r="R454" i="1"/>
  <c r="Q455" i="1"/>
  <c r="O725" i="1" l="1"/>
  <c r="N725" i="1"/>
  <c r="H726" i="1"/>
  <c r="Q456" i="1"/>
  <c r="R455" i="1"/>
  <c r="S455" i="1" s="1"/>
  <c r="S454" i="1"/>
  <c r="O726" i="1" l="1"/>
  <c r="N726" i="1"/>
  <c r="H727" i="1"/>
  <c r="R456" i="1"/>
  <c r="Q457" i="1"/>
  <c r="O727" i="1" l="1"/>
  <c r="N727" i="1"/>
  <c r="H728" i="1"/>
  <c r="Q458" i="1"/>
  <c r="R457" i="1"/>
  <c r="S457" i="1" s="1"/>
  <c r="S456" i="1"/>
  <c r="O728" i="1" l="1"/>
  <c r="N728" i="1"/>
  <c r="H729" i="1"/>
  <c r="R458" i="1"/>
  <c r="Q459" i="1"/>
  <c r="O729" i="1" l="1"/>
  <c r="N729" i="1"/>
  <c r="H730" i="1"/>
  <c r="Q460" i="1"/>
  <c r="R459" i="1"/>
  <c r="S459" i="1" s="1"/>
  <c r="S458" i="1"/>
  <c r="N730" i="1" l="1"/>
  <c r="O730" i="1"/>
  <c r="H731" i="1"/>
  <c r="R460" i="1"/>
  <c r="Q461" i="1"/>
  <c r="O731" i="1" l="1"/>
  <c r="N731" i="1"/>
  <c r="H732" i="1"/>
  <c r="Q462" i="1"/>
  <c r="R461" i="1"/>
  <c r="S461" i="1" s="1"/>
  <c r="S460" i="1"/>
  <c r="O732" i="1" l="1"/>
  <c r="N732" i="1"/>
  <c r="H733" i="1"/>
  <c r="R462" i="1"/>
  <c r="Q463" i="1"/>
  <c r="O733" i="1" l="1"/>
  <c r="N733" i="1"/>
  <c r="H734" i="1"/>
  <c r="Q464" i="1"/>
  <c r="R463" i="1"/>
  <c r="S463" i="1" s="1"/>
  <c r="S462" i="1"/>
  <c r="O734" i="1" l="1"/>
  <c r="N734" i="1"/>
  <c r="H735" i="1"/>
  <c r="R464" i="1"/>
  <c r="Q465" i="1"/>
  <c r="N735" i="1" l="1"/>
  <c r="O735" i="1"/>
  <c r="H736" i="1"/>
  <c r="Q466" i="1"/>
  <c r="R465" i="1"/>
  <c r="S465" i="1" s="1"/>
  <c r="S464" i="1"/>
  <c r="O736" i="1" l="1"/>
  <c r="N736" i="1"/>
  <c r="H737" i="1"/>
  <c r="R466" i="1"/>
  <c r="Q467" i="1"/>
  <c r="N737" i="1" l="1"/>
  <c r="O737" i="1"/>
  <c r="H738" i="1"/>
  <c r="Q468" i="1"/>
  <c r="R467" i="1"/>
  <c r="S467" i="1" s="1"/>
  <c r="S466" i="1"/>
  <c r="N738" i="1" l="1"/>
  <c r="O738" i="1"/>
  <c r="H739" i="1"/>
  <c r="R468" i="1"/>
  <c r="Q469" i="1"/>
  <c r="N739" i="1" l="1"/>
  <c r="O739" i="1"/>
  <c r="H740" i="1"/>
  <c r="Q470" i="1"/>
  <c r="R469" i="1"/>
  <c r="S469" i="1" s="1"/>
  <c r="S468" i="1"/>
  <c r="N740" i="1" l="1"/>
  <c r="O740" i="1"/>
  <c r="H741" i="1"/>
  <c r="R470" i="1"/>
  <c r="S470" i="1" s="1"/>
  <c r="Q471" i="1"/>
  <c r="O741" i="1" l="1"/>
  <c r="N741" i="1"/>
  <c r="H742" i="1"/>
  <c r="Q472" i="1"/>
  <c r="R471" i="1"/>
  <c r="N742" i="1" l="1"/>
  <c r="O742" i="1"/>
  <c r="H743" i="1"/>
  <c r="Q473" i="1"/>
  <c r="R472" i="1"/>
  <c r="S472" i="1" s="1"/>
  <c r="S471" i="1"/>
  <c r="O743" i="1" l="1"/>
  <c r="N743" i="1"/>
  <c r="H744" i="1"/>
  <c r="R473" i="1"/>
  <c r="Q474" i="1"/>
  <c r="O744" i="1" l="1"/>
  <c r="N744" i="1"/>
  <c r="H745" i="1"/>
  <c r="Q475" i="1"/>
  <c r="R474" i="1"/>
  <c r="S474" i="1" s="1"/>
  <c r="S473" i="1"/>
  <c r="O745" i="1" l="1"/>
  <c r="N745" i="1"/>
  <c r="H746" i="1"/>
  <c r="R475" i="1"/>
  <c r="Q476" i="1"/>
  <c r="O746" i="1" l="1"/>
  <c r="N746" i="1"/>
  <c r="H747" i="1"/>
  <c r="Q477" i="1"/>
  <c r="R476" i="1"/>
  <c r="S476" i="1" s="1"/>
  <c r="S475" i="1"/>
  <c r="O747" i="1" l="1"/>
  <c r="N747" i="1"/>
  <c r="H748" i="1"/>
  <c r="R477" i="1"/>
  <c r="Q478" i="1"/>
  <c r="N748" i="1" l="1"/>
  <c r="O748" i="1"/>
  <c r="H749" i="1"/>
  <c r="Q479" i="1"/>
  <c r="R478" i="1"/>
  <c r="S478" i="1" s="1"/>
  <c r="S477" i="1"/>
  <c r="O749" i="1" l="1"/>
  <c r="N749" i="1"/>
  <c r="H750" i="1"/>
  <c r="R479" i="1"/>
  <c r="Q480" i="1"/>
  <c r="N750" i="1" l="1"/>
  <c r="O750" i="1"/>
  <c r="H751" i="1"/>
  <c r="Q481" i="1"/>
  <c r="R480" i="1"/>
  <c r="S480" i="1" s="1"/>
  <c r="S479" i="1"/>
  <c r="N751" i="1" l="1"/>
  <c r="O751" i="1"/>
  <c r="H752" i="1"/>
  <c r="R481" i="1"/>
  <c r="Q482" i="1"/>
  <c r="O752" i="1" l="1"/>
  <c r="N752" i="1"/>
  <c r="H753" i="1"/>
  <c r="Q483" i="1"/>
  <c r="R482" i="1"/>
  <c r="S482" i="1" s="1"/>
  <c r="S481" i="1"/>
  <c r="N753" i="1" l="1"/>
  <c r="O753" i="1"/>
  <c r="H754" i="1"/>
  <c r="R483" i="1"/>
  <c r="Q484" i="1"/>
  <c r="O754" i="1" l="1"/>
  <c r="N754" i="1"/>
  <c r="H755" i="1"/>
  <c r="Q485" i="1"/>
  <c r="R484" i="1"/>
  <c r="S484" i="1" s="1"/>
  <c r="S483" i="1"/>
  <c r="O755" i="1" l="1"/>
  <c r="N755" i="1"/>
  <c r="H756" i="1"/>
  <c r="R485" i="1"/>
  <c r="Q486" i="1"/>
  <c r="O756" i="1" l="1"/>
  <c r="N756" i="1"/>
  <c r="H757" i="1"/>
  <c r="Q487" i="1"/>
  <c r="R486" i="1"/>
  <c r="S486" i="1" s="1"/>
  <c r="S485" i="1"/>
  <c r="O757" i="1" l="1"/>
  <c r="N757" i="1"/>
  <c r="H758" i="1"/>
  <c r="R487" i="1"/>
  <c r="Q488" i="1"/>
  <c r="O758" i="1" l="1"/>
  <c r="N758" i="1"/>
  <c r="H759" i="1"/>
  <c r="Q489" i="1"/>
  <c r="R488" i="1"/>
  <c r="S488" i="1" s="1"/>
  <c r="S487" i="1"/>
  <c r="O759" i="1" l="1"/>
  <c r="N759" i="1"/>
  <c r="H760" i="1"/>
  <c r="R489" i="1"/>
  <c r="Q490" i="1"/>
  <c r="N760" i="1" l="1"/>
  <c r="O760" i="1"/>
  <c r="H761" i="1"/>
  <c r="Q491" i="1"/>
  <c r="R490" i="1"/>
  <c r="S490" i="1" s="1"/>
  <c r="S489" i="1"/>
  <c r="O761" i="1" l="1"/>
  <c r="N761" i="1"/>
  <c r="H762" i="1"/>
  <c r="R491" i="1"/>
  <c r="Q492" i="1"/>
  <c r="O762" i="1" l="1"/>
  <c r="N762" i="1"/>
  <c r="H763" i="1"/>
  <c r="Q493" i="1"/>
  <c r="R492" i="1"/>
  <c r="S492" i="1" s="1"/>
  <c r="S491" i="1"/>
  <c r="O763" i="1" l="1"/>
  <c r="N763" i="1"/>
  <c r="H764" i="1"/>
  <c r="R493" i="1"/>
  <c r="Q494" i="1"/>
  <c r="O764" i="1" l="1"/>
  <c r="N764" i="1"/>
  <c r="H765" i="1"/>
  <c r="Q495" i="1"/>
  <c r="R494" i="1"/>
  <c r="S494" i="1" s="1"/>
  <c r="S493" i="1"/>
  <c r="O765" i="1" l="1"/>
  <c r="N765" i="1"/>
  <c r="H766" i="1"/>
  <c r="R495" i="1"/>
  <c r="Q496" i="1"/>
  <c r="O766" i="1" l="1"/>
  <c r="N766" i="1"/>
  <c r="H767" i="1"/>
  <c r="Q497" i="1"/>
  <c r="R496" i="1"/>
  <c r="S496" i="1" s="1"/>
  <c r="S495" i="1"/>
  <c r="O767" i="1" l="1"/>
  <c r="N767" i="1"/>
  <c r="H768" i="1"/>
  <c r="R497" i="1"/>
  <c r="Q498" i="1"/>
  <c r="O768" i="1" l="1"/>
  <c r="N768" i="1"/>
  <c r="H769" i="1"/>
  <c r="Q499" i="1"/>
  <c r="R498" i="1"/>
  <c r="S498" i="1" s="1"/>
  <c r="S497" i="1"/>
  <c r="N769" i="1" l="1"/>
  <c r="O769" i="1"/>
  <c r="H770" i="1"/>
  <c r="R499" i="1"/>
  <c r="Q500" i="1"/>
  <c r="O770" i="1" l="1"/>
  <c r="N770" i="1"/>
  <c r="H771" i="1"/>
  <c r="Q501" i="1"/>
  <c r="R500" i="1"/>
  <c r="S500" i="1" s="1"/>
  <c r="S499" i="1"/>
  <c r="O771" i="1" l="1"/>
  <c r="N771" i="1"/>
  <c r="H772" i="1"/>
  <c r="R501" i="1"/>
  <c r="Q502" i="1"/>
  <c r="O772" i="1" l="1"/>
  <c r="N772" i="1"/>
  <c r="H773" i="1"/>
  <c r="Q503" i="1"/>
  <c r="R502" i="1"/>
  <c r="S502" i="1" s="1"/>
  <c r="S501" i="1"/>
  <c r="O773" i="1" l="1"/>
  <c r="N773" i="1"/>
  <c r="H774" i="1"/>
  <c r="R503" i="1"/>
  <c r="Q504" i="1"/>
  <c r="O774" i="1" l="1"/>
  <c r="N774" i="1"/>
  <c r="H775" i="1"/>
  <c r="Q505" i="1"/>
  <c r="R504" i="1"/>
  <c r="S504" i="1" s="1"/>
  <c r="S503" i="1"/>
  <c r="O775" i="1" l="1"/>
  <c r="N775" i="1"/>
  <c r="H776" i="1"/>
  <c r="R505" i="1"/>
  <c r="Q506" i="1"/>
  <c r="O776" i="1" l="1"/>
  <c r="N776" i="1"/>
  <c r="H777" i="1"/>
  <c r="Q507" i="1"/>
  <c r="R506" i="1"/>
  <c r="S506" i="1" s="1"/>
  <c r="S505" i="1"/>
  <c r="O777" i="1" l="1"/>
  <c r="N777" i="1"/>
  <c r="H778" i="1"/>
  <c r="R507" i="1"/>
  <c r="Q508" i="1"/>
  <c r="O778" i="1" l="1"/>
  <c r="N778" i="1"/>
  <c r="H779" i="1"/>
  <c r="Q509" i="1"/>
  <c r="R508" i="1"/>
  <c r="S508" i="1" s="1"/>
  <c r="S507" i="1"/>
  <c r="O779" i="1" l="1"/>
  <c r="N779" i="1"/>
  <c r="H780" i="1"/>
  <c r="R509" i="1"/>
  <c r="Q510" i="1"/>
  <c r="O780" i="1" l="1"/>
  <c r="N780" i="1"/>
  <c r="H781" i="1"/>
  <c r="Q511" i="1"/>
  <c r="R510" i="1"/>
  <c r="S510" i="1" s="1"/>
  <c r="S509" i="1"/>
  <c r="O781" i="1" l="1"/>
  <c r="N781" i="1"/>
  <c r="H782" i="1"/>
  <c r="R511" i="1"/>
  <c r="Q512" i="1"/>
  <c r="O782" i="1" l="1"/>
  <c r="N782" i="1"/>
  <c r="H783" i="1"/>
  <c r="Q513" i="1"/>
  <c r="R512" i="1"/>
  <c r="S512" i="1" s="1"/>
  <c r="S511" i="1"/>
  <c r="O783" i="1" l="1"/>
  <c r="N783" i="1"/>
  <c r="H784" i="1"/>
  <c r="N784" i="1" s="1"/>
  <c r="R513" i="1"/>
  <c r="Q514" i="1"/>
  <c r="O784" i="1" l="1"/>
  <c r="H785" i="1"/>
  <c r="Q515" i="1"/>
  <c r="R514" i="1"/>
  <c r="S514" i="1" s="1"/>
  <c r="S513" i="1"/>
  <c r="O785" i="1" l="1"/>
  <c r="N785" i="1"/>
  <c r="H786" i="1"/>
  <c r="R515" i="1"/>
  <c r="S515" i="1" s="1"/>
  <c r="Q516" i="1"/>
  <c r="O786" i="1" l="1"/>
  <c r="N786" i="1"/>
  <c r="H787" i="1"/>
  <c r="B22" i="1" s="1"/>
  <c r="A15" i="1" s="1"/>
  <c r="Q517" i="1"/>
  <c r="R516" i="1"/>
  <c r="O787" i="1" l="1"/>
  <c r="N787" i="1"/>
  <c r="Q518" i="1"/>
  <c r="R517" i="1"/>
  <c r="S517" i="1" s="1"/>
  <c r="S516" i="1"/>
  <c r="A13" i="1" l="1"/>
  <c r="B27" i="1"/>
  <c r="B28" i="1"/>
  <c r="A14" i="1" s="1"/>
  <c r="R518" i="1"/>
  <c r="Q519" i="1"/>
  <c r="Q520" i="1" l="1"/>
  <c r="R519" i="1"/>
  <c r="S519" i="1" s="1"/>
  <c r="S518" i="1"/>
  <c r="R520" i="1" l="1"/>
  <c r="Q521" i="1"/>
  <c r="Q522" i="1" l="1"/>
  <c r="R521" i="1"/>
  <c r="S521" i="1" s="1"/>
  <c r="S520" i="1"/>
  <c r="R522" i="1" l="1"/>
  <c r="Q523" i="1"/>
  <c r="Q524" i="1" l="1"/>
  <c r="R523" i="1"/>
  <c r="S523" i="1" s="1"/>
  <c r="S522" i="1"/>
  <c r="R524" i="1" l="1"/>
  <c r="Q525" i="1"/>
  <c r="Q526" i="1" l="1"/>
  <c r="R525" i="1"/>
  <c r="S525" i="1" s="1"/>
  <c r="S524" i="1"/>
  <c r="R526" i="1" l="1"/>
  <c r="S526" i="1" s="1"/>
  <c r="Q527" i="1"/>
  <c r="Q528" i="1" l="1"/>
  <c r="R527" i="1"/>
  <c r="Q529" i="1" l="1"/>
  <c r="R528" i="1"/>
  <c r="S528" i="1" s="1"/>
  <c r="S527" i="1"/>
  <c r="R529" i="1" l="1"/>
  <c r="Q530" i="1"/>
  <c r="Q531" i="1" l="1"/>
  <c r="R530" i="1"/>
  <c r="S530" i="1" s="1"/>
  <c r="S529" i="1"/>
  <c r="R531" i="1" l="1"/>
  <c r="Q532" i="1"/>
  <c r="Q533" i="1" l="1"/>
  <c r="R532" i="1"/>
  <c r="S532" i="1" s="1"/>
  <c r="S531" i="1"/>
  <c r="R533" i="1" l="1"/>
  <c r="Q534" i="1"/>
  <c r="Q535" i="1" l="1"/>
  <c r="R534" i="1"/>
  <c r="S534" i="1" s="1"/>
  <c r="S533" i="1"/>
  <c r="R535" i="1" l="1"/>
  <c r="S535" i="1" s="1"/>
  <c r="Q536" i="1"/>
  <c r="Q537" i="1" l="1"/>
  <c r="R536" i="1"/>
  <c r="Q538" i="1" l="1"/>
  <c r="R537" i="1"/>
  <c r="S537" i="1" s="1"/>
  <c r="S536" i="1"/>
  <c r="R538" i="1" l="1"/>
  <c r="Q539" i="1"/>
  <c r="Q540" i="1" l="1"/>
  <c r="R539" i="1"/>
  <c r="S539" i="1" s="1"/>
  <c r="S538" i="1"/>
  <c r="R540" i="1" l="1"/>
  <c r="Q541" i="1"/>
  <c r="Q542" i="1" l="1"/>
  <c r="R541" i="1"/>
  <c r="S541" i="1" s="1"/>
  <c r="S540" i="1"/>
  <c r="R542" i="1" l="1"/>
  <c r="Q543" i="1"/>
  <c r="Q544" i="1" l="1"/>
  <c r="R543" i="1"/>
  <c r="S543" i="1" s="1"/>
  <c r="S542" i="1"/>
  <c r="R544" i="1" l="1"/>
  <c r="Q545" i="1"/>
  <c r="Q546" i="1" l="1"/>
  <c r="R545" i="1"/>
  <c r="S545" i="1" s="1"/>
  <c r="S544" i="1"/>
  <c r="R546" i="1" l="1"/>
  <c r="Q547" i="1"/>
  <c r="Q548" i="1" l="1"/>
  <c r="R547" i="1"/>
  <c r="S547" i="1" s="1"/>
  <c r="S546" i="1"/>
  <c r="R548" i="1" l="1"/>
  <c r="Q549" i="1"/>
  <c r="Q550" i="1" l="1"/>
  <c r="R549" i="1"/>
  <c r="S549" i="1" s="1"/>
  <c r="S548" i="1"/>
  <c r="R550" i="1" l="1"/>
  <c r="S550" i="1" s="1"/>
  <c r="Q551" i="1"/>
  <c r="Q552" i="1" l="1"/>
  <c r="R551" i="1"/>
  <c r="Q553" i="1" l="1"/>
  <c r="R552" i="1"/>
  <c r="S552" i="1" s="1"/>
  <c r="S551" i="1"/>
  <c r="R553" i="1" l="1"/>
  <c r="Q554" i="1"/>
  <c r="Q555" i="1" l="1"/>
  <c r="R554" i="1"/>
  <c r="S554" i="1" s="1"/>
  <c r="S553" i="1"/>
  <c r="R555" i="1" l="1"/>
  <c r="Q556" i="1"/>
  <c r="Q557" i="1" l="1"/>
  <c r="R556" i="1"/>
  <c r="S556" i="1" s="1"/>
  <c r="S555" i="1"/>
  <c r="R557" i="1" l="1"/>
  <c r="Q558" i="1"/>
  <c r="Q559" i="1" l="1"/>
  <c r="R558" i="1"/>
  <c r="S558" i="1" s="1"/>
  <c r="S557" i="1"/>
  <c r="R559" i="1" l="1"/>
  <c r="Q560" i="1"/>
  <c r="Q561" i="1" l="1"/>
  <c r="R560" i="1"/>
  <c r="S560" i="1" s="1"/>
  <c r="S559" i="1"/>
  <c r="R561" i="1" l="1"/>
  <c r="Q562" i="1"/>
  <c r="Q563" i="1" l="1"/>
  <c r="R562" i="1"/>
  <c r="S562" i="1" s="1"/>
  <c r="S561" i="1"/>
  <c r="R563" i="1" l="1"/>
  <c r="Q564" i="1"/>
  <c r="Q565" i="1" l="1"/>
  <c r="R564" i="1"/>
  <c r="S564" i="1" s="1"/>
  <c r="S563" i="1"/>
  <c r="R565" i="1" l="1"/>
  <c r="Q566" i="1"/>
  <c r="Q567" i="1" l="1"/>
  <c r="R566" i="1"/>
  <c r="S566" i="1" s="1"/>
  <c r="S565" i="1"/>
  <c r="R567" i="1" l="1"/>
  <c r="Q568" i="1"/>
  <c r="Q569" i="1" l="1"/>
  <c r="R568" i="1"/>
  <c r="S568" i="1" s="1"/>
  <c r="S567" i="1"/>
  <c r="R569" i="1" l="1"/>
  <c r="Q570" i="1"/>
  <c r="Q571" i="1" l="1"/>
  <c r="R570" i="1"/>
  <c r="S570" i="1" s="1"/>
  <c r="S569" i="1"/>
  <c r="R571" i="1" l="1"/>
  <c r="Q572" i="1"/>
  <c r="R572" i="1" l="1"/>
  <c r="S572" i="1" s="1"/>
  <c r="S571" i="1"/>
  <c r="Q573" i="1"/>
  <c r="R573" i="1" l="1"/>
  <c r="Q574" i="1"/>
  <c r="Q575" i="1" l="1"/>
  <c r="R574" i="1"/>
  <c r="S574" i="1" s="1"/>
  <c r="S573" i="1"/>
  <c r="R575" i="1" l="1"/>
  <c r="Q576" i="1"/>
  <c r="Q577" i="1" l="1"/>
  <c r="R576" i="1"/>
  <c r="S576" i="1" s="1"/>
  <c r="S575" i="1"/>
  <c r="R577" i="1" l="1"/>
  <c r="Q578" i="1"/>
  <c r="Q579" i="1" l="1"/>
  <c r="R578" i="1"/>
  <c r="S578" i="1" s="1"/>
  <c r="S577" i="1"/>
  <c r="R579" i="1" l="1"/>
  <c r="Q580" i="1"/>
  <c r="Q581" i="1" l="1"/>
  <c r="R580" i="1"/>
  <c r="S580" i="1" s="1"/>
  <c r="S579" i="1"/>
  <c r="R581" i="1" l="1"/>
  <c r="Q582" i="1"/>
  <c r="Q583" i="1" l="1"/>
  <c r="R582" i="1"/>
  <c r="S582" i="1" s="1"/>
  <c r="S581" i="1"/>
  <c r="R583" i="1" l="1"/>
  <c r="S583" i="1" s="1"/>
  <c r="Q584" i="1"/>
  <c r="Q585" i="1" l="1"/>
  <c r="R584" i="1"/>
  <c r="Q586" i="1" l="1"/>
  <c r="R585" i="1"/>
  <c r="S585" i="1" s="1"/>
  <c r="S584" i="1"/>
  <c r="R586" i="1" l="1"/>
  <c r="S586" i="1" s="1"/>
  <c r="Q587" i="1"/>
  <c r="Q588" i="1" l="1"/>
  <c r="R587" i="1"/>
  <c r="Q589" i="1" l="1"/>
  <c r="R588" i="1"/>
  <c r="S588" i="1" s="1"/>
  <c r="S587" i="1"/>
  <c r="R589" i="1" l="1"/>
  <c r="Q590" i="1"/>
  <c r="Q591" i="1" l="1"/>
  <c r="R590" i="1"/>
  <c r="S590" i="1" s="1"/>
  <c r="S589" i="1"/>
  <c r="R591" i="1" l="1"/>
  <c r="Q592" i="1"/>
  <c r="Q593" i="1" l="1"/>
  <c r="R592" i="1"/>
  <c r="S592" i="1" s="1"/>
  <c r="S591" i="1"/>
  <c r="R593" i="1" l="1"/>
  <c r="Q594" i="1"/>
  <c r="Q595" i="1" l="1"/>
  <c r="R594" i="1"/>
  <c r="S594" i="1" s="1"/>
  <c r="S593" i="1"/>
  <c r="R595" i="1" l="1"/>
  <c r="Q596" i="1"/>
  <c r="Q597" i="1" l="1"/>
  <c r="R596" i="1"/>
  <c r="S596" i="1" s="1"/>
  <c r="S595" i="1"/>
  <c r="R597" i="1" l="1"/>
  <c r="Q598" i="1"/>
  <c r="Q599" i="1" l="1"/>
  <c r="R598" i="1"/>
  <c r="S598" i="1" s="1"/>
  <c r="S597" i="1"/>
  <c r="R599" i="1" l="1"/>
  <c r="Q600" i="1"/>
  <c r="Q601" i="1" l="1"/>
  <c r="R600" i="1"/>
  <c r="S600" i="1" s="1"/>
  <c r="S599" i="1"/>
  <c r="R601" i="1" l="1"/>
  <c r="Q602" i="1"/>
  <c r="Q603" i="1" l="1"/>
  <c r="R602" i="1"/>
  <c r="S602" i="1" s="1"/>
  <c r="S601" i="1"/>
  <c r="R603" i="1" l="1"/>
  <c r="S603" i="1" s="1"/>
  <c r="Q604" i="1"/>
  <c r="Q605" i="1" l="1"/>
  <c r="R604" i="1"/>
  <c r="Q606" i="1" l="1"/>
  <c r="R605" i="1"/>
  <c r="S605" i="1" s="1"/>
  <c r="S604" i="1"/>
  <c r="R606" i="1" l="1"/>
  <c r="Q607" i="1"/>
  <c r="Q608" i="1" l="1"/>
  <c r="R607" i="1"/>
  <c r="S607" i="1" s="1"/>
  <c r="S606" i="1"/>
  <c r="R608" i="1" l="1"/>
  <c r="Q609" i="1"/>
  <c r="Q610" i="1" l="1"/>
  <c r="R609" i="1"/>
  <c r="S609" i="1" s="1"/>
  <c r="S608" i="1"/>
  <c r="R610" i="1" l="1"/>
  <c r="Q611" i="1"/>
  <c r="Q612" i="1" l="1"/>
  <c r="R611" i="1"/>
  <c r="S611" i="1" s="1"/>
  <c r="S610" i="1"/>
  <c r="R612" i="1" l="1"/>
  <c r="S612" i="1" s="1"/>
  <c r="Q613" i="1"/>
  <c r="Q614" i="1" l="1"/>
  <c r="R613" i="1"/>
  <c r="Q615" i="1" l="1"/>
  <c r="R614" i="1"/>
  <c r="S614" i="1" s="1"/>
  <c r="S613" i="1"/>
  <c r="R615" i="1" l="1"/>
  <c r="Q616" i="1"/>
  <c r="Q617" i="1" l="1"/>
  <c r="R616" i="1"/>
  <c r="S616" i="1" s="1"/>
  <c r="S615" i="1"/>
  <c r="R617" i="1" l="1"/>
  <c r="Q618" i="1"/>
  <c r="Q619" i="1" l="1"/>
  <c r="R618" i="1"/>
  <c r="S618" i="1" s="1"/>
  <c r="S617" i="1"/>
  <c r="R619" i="1" l="1"/>
  <c r="Q620" i="1"/>
  <c r="Q621" i="1" l="1"/>
  <c r="R620" i="1"/>
  <c r="S620" i="1" s="1"/>
  <c r="S619" i="1"/>
  <c r="R621" i="1" l="1"/>
  <c r="Q622" i="1"/>
  <c r="Q623" i="1" l="1"/>
  <c r="R622" i="1"/>
  <c r="S622" i="1" s="1"/>
  <c r="S621" i="1"/>
  <c r="R623" i="1" l="1"/>
  <c r="Q624" i="1"/>
  <c r="Q625" i="1" l="1"/>
  <c r="R624" i="1"/>
  <c r="S624" i="1" s="1"/>
  <c r="S623" i="1"/>
  <c r="R625" i="1" l="1"/>
  <c r="Q626" i="1"/>
  <c r="Q627" i="1" l="1"/>
  <c r="R626" i="1"/>
  <c r="S626" i="1" s="1"/>
  <c r="S625" i="1"/>
  <c r="R627" i="1" l="1"/>
  <c r="Q628" i="1"/>
  <c r="Q629" i="1" l="1"/>
  <c r="R628" i="1"/>
  <c r="S628" i="1" s="1"/>
  <c r="S627" i="1"/>
  <c r="R629" i="1" l="1"/>
  <c r="Q630" i="1"/>
  <c r="Q631" i="1" l="1"/>
  <c r="R630" i="1"/>
  <c r="S630" i="1" s="1"/>
  <c r="S629" i="1"/>
  <c r="R631" i="1" l="1"/>
  <c r="Q632" i="1"/>
  <c r="Q633" i="1" l="1"/>
  <c r="R632" i="1"/>
  <c r="S632" i="1" s="1"/>
  <c r="S631" i="1"/>
  <c r="R633" i="1" l="1"/>
  <c r="Q634" i="1"/>
  <c r="Q635" i="1" l="1"/>
  <c r="R634" i="1"/>
  <c r="S634" i="1" s="1"/>
  <c r="S633" i="1"/>
  <c r="R635" i="1" l="1"/>
  <c r="Q636" i="1"/>
  <c r="Q637" i="1" l="1"/>
  <c r="R636" i="1"/>
  <c r="S636" i="1" s="1"/>
  <c r="S635" i="1"/>
  <c r="R637" i="1" l="1"/>
  <c r="Q638" i="1"/>
  <c r="Q639" i="1" l="1"/>
  <c r="R638" i="1"/>
  <c r="S638" i="1" s="1"/>
  <c r="S637" i="1"/>
  <c r="R639" i="1" l="1"/>
  <c r="Q640" i="1"/>
  <c r="Q641" i="1" l="1"/>
  <c r="R640" i="1"/>
  <c r="S640" i="1" s="1"/>
  <c r="S639" i="1"/>
  <c r="R641" i="1" l="1"/>
  <c r="Q642" i="1"/>
  <c r="Q643" i="1" l="1"/>
  <c r="R642" i="1"/>
  <c r="S642" i="1" s="1"/>
  <c r="S641" i="1"/>
  <c r="R643" i="1" l="1"/>
  <c r="Q644" i="1"/>
  <c r="Q645" i="1" l="1"/>
  <c r="R644" i="1"/>
  <c r="S644" i="1" s="1"/>
  <c r="S643" i="1"/>
  <c r="R645" i="1" l="1"/>
  <c r="Q646" i="1"/>
  <c r="Q647" i="1" l="1"/>
  <c r="R646" i="1"/>
  <c r="S646" i="1" s="1"/>
  <c r="S645" i="1"/>
  <c r="R647" i="1" l="1"/>
  <c r="Q648" i="1"/>
  <c r="Q649" i="1" l="1"/>
  <c r="R648" i="1"/>
  <c r="S648" i="1" s="1"/>
  <c r="S647" i="1"/>
  <c r="R649" i="1" l="1"/>
  <c r="Q650" i="1"/>
  <c r="Q651" i="1" l="1"/>
  <c r="R650" i="1"/>
  <c r="S650" i="1" s="1"/>
  <c r="S649" i="1"/>
  <c r="R651" i="1" l="1"/>
  <c r="Q652" i="1"/>
  <c r="Q653" i="1" l="1"/>
  <c r="R652" i="1"/>
  <c r="S652" i="1" s="1"/>
  <c r="S651" i="1"/>
  <c r="R653" i="1" l="1"/>
  <c r="S653" i="1" s="1"/>
  <c r="Q654" i="1"/>
  <c r="R654" i="1" l="1"/>
  <c r="S654" i="1" s="1"/>
  <c r="Q655" i="1"/>
  <c r="R655" i="1" l="1"/>
  <c r="Q656" i="1"/>
  <c r="Q657" i="1" l="1"/>
  <c r="R656" i="1"/>
  <c r="S656" i="1" s="1"/>
  <c r="S655" i="1"/>
  <c r="R657" i="1" l="1"/>
  <c r="Q658" i="1"/>
  <c r="Q659" i="1" l="1"/>
  <c r="R658" i="1"/>
  <c r="S658" i="1" s="1"/>
  <c r="S657" i="1"/>
  <c r="R659" i="1" l="1"/>
  <c r="Q660" i="1"/>
  <c r="Q661" i="1" l="1"/>
  <c r="R660" i="1"/>
  <c r="S660" i="1" s="1"/>
  <c r="S659" i="1"/>
  <c r="R661" i="1" l="1"/>
  <c r="Q662" i="1"/>
  <c r="Q663" i="1" l="1"/>
  <c r="R662" i="1"/>
  <c r="S662" i="1" s="1"/>
  <c r="S661" i="1"/>
  <c r="R663" i="1" l="1"/>
  <c r="Q664" i="1"/>
  <c r="Q665" i="1" l="1"/>
  <c r="R664" i="1"/>
  <c r="S664" i="1" s="1"/>
  <c r="S663" i="1"/>
  <c r="R665" i="1" l="1"/>
  <c r="Q666" i="1"/>
  <c r="Q667" i="1" l="1"/>
  <c r="R666" i="1"/>
  <c r="S666" i="1" s="1"/>
  <c r="S665" i="1"/>
  <c r="R667" i="1" l="1"/>
  <c r="Q668" i="1"/>
  <c r="Q669" i="1" l="1"/>
  <c r="R668" i="1"/>
  <c r="S668" i="1" s="1"/>
  <c r="S667" i="1"/>
  <c r="R669" i="1" l="1"/>
  <c r="Q670" i="1"/>
  <c r="Q671" i="1" l="1"/>
  <c r="R670" i="1"/>
  <c r="S670" i="1" s="1"/>
  <c r="S669" i="1"/>
  <c r="R671" i="1" l="1"/>
  <c r="Q672" i="1"/>
  <c r="Q673" i="1" l="1"/>
  <c r="R672" i="1"/>
  <c r="S672" i="1" s="1"/>
  <c r="S671" i="1"/>
  <c r="R673" i="1" l="1"/>
  <c r="Q674" i="1"/>
  <c r="Q675" i="1" l="1"/>
  <c r="R674" i="1"/>
  <c r="S674" i="1" s="1"/>
  <c r="S673" i="1"/>
  <c r="R675" i="1" l="1"/>
  <c r="Q676" i="1"/>
  <c r="Q677" i="1" l="1"/>
  <c r="R676" i="1"/>
  <c r="S676" i="1" s="1"/>
  <c r="S675" i="1"/>
  <c r="R677" i="1" l="1"/>
  <c r="Q678" i="1"/>
  <c r="Q679" i="1" l="1"/>
  <c r="R678" i="1"/>
  <c r="S678" i="1" s="1"/>
  <c r="S677" i="1"/>
  <c r="R679" i="1" l="1"/>
  <c r="Q680" i="1"/>
  <c r="Q681" i="1" l="1"/>
  <c r="R680" i="1"/>
  <c r="S680" i="1" s="1"/>
  <c r="S679" i="1"/>
  <c r="R681" i="1" l="1"/>
  <c r="Q682" i="1"/>
  <c r="Q683" i="1" l="1"/>
  <c r="R682" i="1"/>
  <c r="S682" i="1" s="1"/>
  <c r="S681" i="1"/>
  <c r="R683" i="1" l="1"/>
  <c r="Q684" i="1"/>
  <c r="Q685" i="1" l="1"/>
  <c r="R684" i="1"/>
  <c r="S684" i="1" s="1"/>
  <c r="S683" i="1"/>
  <c r="R685" i="1" l="1"/>
  <c r="Q686" i="1"/>
  <c r="Q687" i="1" l="1"/>
  <c r="R686" i="1"/>
  <c r="S686" i="1" s="1"/>
  <c r="S685" i="1"/>
  <c r="R687" i="1" l="1"/>
  <c r="Q688" i="1"/>
  <c r="Q689" i="1" l="1"/>
  <c r="R688" i="1"/>
  <c r="S688" i="1" s="1"/>
  <c r="S687" i="1"/>
  <c r="R689" i="1" l="1"/>
  <c r="S689" i="1" s="1"/>
  <c r="Q690" i="1"/>
  <c r="Q691" i="1" l="1"/>
  <c r="R690" i="1"/>
  <c r="Q692" i="1" l="1"/>
  <c r="R691" i="1"/>
  <c r="S691" i="1" s="1"/>
  <c r="S690" i="1"/>
  <c r="R692" i="1" l="1"/>
  <c r="S692" i="1" s="1"/>
  <c r="Q693" i="1"/>
  <c r="Q694" i="1" l="1"/>
  <c r="R693" i="1"/>
  <c r="Q695" i="1" l="1"/>
  <c r="R694" i="1"/>
  <c r="S694" i="1" s="1"/>
  <c r="S693" i="1"/>
  <c r="R695" i="1" l="1"/>
  <c r="Q696" i="1"/>
  <c r="Q697" i="1" l="1"/>
  <c r="R696" i="1"/>
  <c r="S696" i="1" s="1"/>
  <c r="S695" i="1"/>
  <c r="R697" i="1" l="1"/>
  <c r="Q698" i="1"/>
  <c r="Q699" i="1" l="1"/>
  <c r="R698" i="1"/>
  <c r="S698" i="1" s="1"/>
  <c r="S697" i="1"/>
  <c r="R699" i="1" l="1"/>
  <c r="Q700" i="1"/>
  <c r="Q701" i="1" l="1"/>
  <c r="R700" i="1"/>
  <c r="S700" i="1" s="1"/>
  <c r="S699" i="1"/>
  <c r="R701" i="1" l="1"/>
  <c r="Q702" i="1"/>
  <c r="Q703" i="1" l="1"/>
  <c r="R702" i="1"/>
  <c r="S702" i="1" s="1"/>
  <c r="S701" i="1"/>
  <c r="R703" i="1" l="1"/>
  <c r="Q704" i="1"/>
  <c r="Q705" i="1" l="1"/>
  <c r="R704" i="1"/>
  <c r="S704" i="1" s="1"/>
  <c r="S703" i="1"/>
  <c r="R705" i="1" l="1"/>
  <c r="Q706" i="1"/>
  <c r="Q707" i="1" l="1"/>
  <c r="R706" i="1"/>
  <c r="S706" i="1" s="1"/>
  <c r="S705" i="1"/>
  <c r="R707" i="1" l="1"/>
  <c r="S707" i="1" s="1"/>
  <c r="Q708" i="1"/>
  <c r="Q709" i="1" l="1"/>
  <c r="R708" i="1"/>
  <c r="Q710" i="1" l="1"/>
  <c r="R709" i="1"/>
  <c r="S709" i="1" s="1"/>
  <c r="S708" i="1"/>
  <c r="R710" i="1" l="1"/>
  <c r="Q711" i="1"/>
  <c r="Q712" i="1" l="1"/>
  <c r="R711" i="1"/>
  <c r="S711" i="1" s="1"/>
  <c r="S710" i="1"/>
  <c r="R712" i="1" l="1"/>
  <c r="S712" i="1" s="1"/>
  <c r="Q713" i="1"/>
  <c r="Q714" i="1" l="1"/>
  <c r="R713" i="1"/>
  <c r="Q715" i="1" l="1"/>
  <c r="R714" i="1"/>
  <c r="S714" i="1" s="1"/>
  <c r="S713" i="1"/>
  <c r="R715" i="1" l="1"/>
  <c r="S715" i="1" s="1"/>
  <c r="Q716" i="1"/>
  <c r="R716" i="1" l="1"/>
  <c r="S716" i="1" s="1"/>
  <c r="Q717" i="1"/>
  <c r="R717" i="1" l="1"/>
  <c r="Q718" i="1"/>
  <c r="R718" i="1" l="1"/>
  <c r="S718" i="1" s="1"/>
  <c r="S717" i="1"/>
  <c r="Q719" i="1"/>
  <c r="R719" i="1" l="1"/>
  <c r="Q720" i="1"/>
  <c r="R720" i="1" l="1"/>
  <c r="S720" i="1" s="1"/>
  <c r="S719" i="1"/>
  <c r="Q721" i="1"/>
  <c r="R721" i="1" l="1"/>
  <c r="S721" i="1" s="1"/>
  <c r="Q722" i="1"/>
  <c r="Q723" i="1" l="1"/>
  <c r="R722" i="1"/>
  <c r="Q724" i="1" l="1"/>
  <c r="R723" i="1"/>
  <c r="S723" i="1" s="1"/>
  <c r="S722" i="1"/>
  <c r="R724" i="1" l="1"/>
  <c r="S724" i="1" s="1"/>
  <c r="Q725" i="1"/>
  <c r="Q726" i="1" l="1"/>
  <c r="R725" i="1"/>
  <c r="Q727" i="1" l="1"/>
  <c r="R726" i="1"/>
  <c r="S726" i="1" s="1"/>
  <c r="S725" i="1"/>
  <c r="R727" i="1" l="1"/>
  <c r="S727" i="1" s="1"/>
  <c r="Q728" i="1"/>
  <c r="Q729" i="1" l="1"/>
  <c r="R728" i="1"/>
  <c r="Q730" i="1" l="1"/>
  <c r="R729" i="1"/>
  <c r="S729" i="1" s="1"/>
  <c r="S728" i="1"/>
  <c r="R730" i="1" l="1"/>
  <c r="S730" i="1" s="1"/>
  <c r="Q731" i="1"/>
  <c r="Q732" i="1" l="1"/>
  <c r="R731" i="1"/>
  <c r="Q733" i="1" l="1"/>
  <c r="R732" i="1"/>
  <c r="S732" i="1" s="1"/>
  <c r="S731" i="1"/>
  <c r="R733" i="1" l="1"/>
  <c r="S733" i="1" s="1"/>
  <c r="Q734" i="1"/>
  <c r="Q735" i="1" l="1"/>
  <c r="R734" i="1"/>
  <c r="Q736" i="1" l="1"/>
  <c r="R735" i="1"/>
  <c r="S735" i="1" s="1"/>
  <c r="S734" i="1"/>
  <c r="R736" i="1" l="1"/>
  <c r="S736" i="1" s="1"/>
  <c r="Q737" i="1"/>
  <c r="Q738" i="1" l="1"/>
  <c r="R737" i="1"/>
  <c r="Q739" i="1" l="1"/>
  <c r="R738" i="1"/>
  <c r="S738" i="1" s="1"/>
  <c r="S737" i="1"/>
  <c r="R739" i="1" l="1"/>
  <c r="Q740" i="1"/>
  <c r="Q741" i="1" l="1"/>
  <c r="R740" i="1"/>
  <c r="S740" i="1" s="1"/>
  <c r="S739" i="1"/>
  <c r="R741" i="1" l="1"/>
  <c r="Q742" i="1"/>
  <c r="Q743" i="1" l="1"/>
  <c r="R742" i="1"/>
  <c r="S742" i="1" s="1"/>
  <c r="S741" i="1"/>
  <c r="R743" i="1" l="1"/>
  <c r="S743" i="1" s="1"/>
  <c r="Q744" i="1"/>
  <c r="Q745" i="1" l="1"/>
  <c r="R744" i="1"/>
  <c r="Q746" i="1" l="1"/>
  <c r="R745" i="1"/>
  <c r="S745" i="1" s="1"/>
  <c r="S744" i="1"/>
  <c r="R746" i="1" l="1"/>
  <c r="Q747" i="1"/>
  <c r="Q748" i="1" l="1"/>
  <c r="R747" i="1"/>
  <c r="S747" i="1" s="1"/>
  <c r="S746" i="1"/>
  <c r="R748" i="1" l="1"/>
  <c r="Q749" i="1"/>
  <c r="Q750" i="1" l="1"/>
  <c r="R749" i="1"/>
  <c r="S749" i="1" s="1"/>
  <c r="S748" i="1"/>
  <c r="R750" i="1" l="1"/>
  <c r="Q751" i="1"/>
  <c r="Q752" i="1" l="1"/>
  <c r="R751" i="1"/>
  <c r="S751" i="1" s="1"/>
  <c r="S750" i="1"/>
  <c r="R752" i="1" l="1"/>
  <c r="S752" i="1" s="1"/>
  <c r="Q753" i="1"/>
  <c r="Q754" i="1" l="1"/>
  <c r="R753" i="1"/>
  <c r="Q755" i="1" l="1"/>
  <c r="R754" i="1"/>
  <c r="S754" i="1" s="1"/>
  <c r="S753" i="1"/>
  <c r="R755" i="1" l="1"/>
  <c r="S755" i="1" s="1"/>
  <c r="Q756" i="1"/>
  <c r="Q757" i="1" l="1"/>
  <c r="R756" i="1"/>
  <c r="Q758" i="1" l="1"/>
  <c r="R757" i="1"/>
  <c r="S757" i="1" s="1"/>
  <c r="S756" i="1"/>
  <c r="R758" i="1" l="1"/>
  <c r="S758" i="1" s="1"/>
  <c r="Q759" i="1"/>
  <c r="Q760" i="1" l="1"/>
  <c r="R759" i="1"/>
  <c r="Q761" i="1" l="1"/>
  <c r="R760" i="1"/>
  <c r="S760" i="1" s="1"/>
  <c r="S759" i="1"/>
  <c r="R761" i="1" l="1"/>
  <c r="S761" i="1" s="1"/>
  <c r="Q762" i="1"/>
  <c r="Q763" i="1" l="1"/>
  <c r="R762" i="1"/>
  <c r="Q764" i="1" l="1"/>
  <c r="R763" i="1"/>
  <c r="S763" i="1" s="1"/>
  <c r="S762" i="1"/>
  <c r="R764" i="1" l="1"/>
  <c r="S764" i="1" s="1"/>
  <c r="Q765" i="1"/>
  <c r="Q766" i="1" l="1"/>
  <c r="R765" i="1"/>
  <c r="Q767" i="1" l="1"/>
  <c r="R766" i="1"/>
  <c r="S766" i="1" s="1"/>
  <c r="S765" i="1"/>
  <c r="R767" i="1" l="1"/>
  <c r="Q768" i="1"/>
  <c r="Q769" i="1" l="1"/>
  <c r="R768" i="1"/>
  <c r="S768" i="1" s="1"/>
  <c r="S767" i="1"/>
  <c r="R769" i="1" l="1"/>
  <c r="S769" i="1" s="1"/>
  <c r="Q770" i="1"/>
  <c r="Q771" i="1" l="1"/>
  <c r="R770" i="1"/>
  <c r="Q772" i="1" l="1"/>
  <c r="R771" i="1"/>
  <c r="S771" i="1" s="1"/>
  <c r="S770" i="1"/>
  <c r="R772" i="1" l="1"/>
  <c r="Q773" i="1"/>
  <c r="Q774" i="1" l="1"/>
  <c r="R773" i="1"/>
  <c r="S773" i="1" s="1"/>
  <c r="S772" i="1"/>
  <c r="R774" i="1" l="1"/>
  <c r="Q775" i="1"/>
  <c r="Q776" i="1" l="1"/>
  <c r="R775" i="1"/>
  <c r="S775" i="1" s="1"/>
  <c r="S774" i="1"/>
  <c r="R776" i="1" l="1"/>
  <c r="Q777" i="1"/>
  <c r="Q778" i="1" l="1"/>
  <c r="R777" i="1"/>
  <c r="S777" i="1" s="1"/>
  <c r="S776" i="1"/>
  <c r="R778" i="1" l="1"/>
  <c r="S778" i="1" s="1"/>
  <c r="Q779" i="1"/>
  <c r="Q780" i="1" l="1"/>
  <c r="R779" i="1"/>
  <c r="Q781" i="1" l="1"/>
  <c r="R780" i="1"/>
  <c r="S780" i="1" s="1"/>
  <c r="S779" i="1"/>
  <c r="R781" i="1" l="1"/>
  <c r="Q782" i="1"/>
  <c r="Q783" i="1" l="1"/>
  <c r="R782" i="1"/>
  <c r="S782" i="1" s="1"/>
  <c r="S781" i="1"/>
  <c r="R783" i="1" l="1"/>
  <c r="Q784" i="1"/>
  <c r="Q785" i="1" l="1"/>
  <c r="R784" i="1"/>
  <c r="S784" i="1" s="1"/>
  <c r="S783" i="1"/>
  <c r="R785" i="1" l="1"/>
  <c r="S785" i="1" s="1"/>
  <c r="Q786" i="1"/>
  <c r="Q787" i="1" l="1"/>
  <c r="R786" i="1"/>
  <c r="R787" i="1" l="1"/>
  <c r="S787" i="1" s="1"/>
  <c r="B30" i="1" s="1"/>
  <c r="S786" i="1"/>
</calcChain>
</file>

<file path=xl/sharedStrings.xml><?xml version="1.0" encoding="utf-8"?>
<sst xmlns="http://schemas.openxmlformats.org/spreadsheetml/2006/main" count="3209" uniqueCount="888">
  <si>
    <t>Vulcan Materials Equity Research Model</t>
  </si>
  <si>
    <t>Sheet 1: Share Price Analysis</t>
  </si>
  <si>
    <t>Analysis period: 2023-03-06 to 2026-03-04</t>
  </si>
  <si>
    <t>Benchmarks: SPY (market), XLB (sector) | Source priority used: refinitiv_lseg</t>
  </si>
  <si>
    <t>Metric</t>
  </si>
  <si>
    <t>VMC</t>
  </si>
  <si>
    <t>SPY</t>
  </si>
  <si>
    <t>XLB</t>
  </si>
  <si>
    <t>Assumptions</t>
  </si>
  <si>
    <t>Risk-Free Rate (Annual)</t>
  </si>
  <si>
    <t>Risk-Free Rate (Daily)</t>
  </si>
  <si>
    <t>Trading Days</t>
  </si>
  <si>
    <t>End Date</t>
  </si>
  <si>
    <t>Annualized Return</t>
  </si>
  <si>
    <t>Annualized Volatility</t>
  </si>
  <si>
    <t>Beta vs SPY</t>
  </si>
  <si>
    <t>Beta vs XLB</t>
  </si>
  <si>
    <t>Sharpe Ratio</t>
  </si>
  <si>
    <t>Sortino Ratio</t>
  </si>
  <si>
    <t>Max Drawdown</t>
  </si>
  <si>
    <t>Equity Research Commentary</t>
  </si>
  <si>
    <t>Price Data and Excel Formula Calculations</t>
  </si>
  <si>
    <t>Date</t>
  </si>
  <si>
    <t>VMC Adj Close</t>
  </si>
  <si>
    <t>SPY Adj Close</t>
  </si>
  <si>
    <t>XLB Adj Close</t>
  </si>
  <si>
    <t>VMC Daily Return</t>
  </si>
  <si>
    <t>SPY Daily Return</t>
  </si>
  <si>
    <t>XLB Daily Return</t>
  </si>
  <si>
    <t>VMC Cumulative Return</t>
  </si>
  <si>
    <t>SPY Cumulative Return</t>
  </si>
  <si>
    <t>XLB Cumulative Return</t>
  </si>
  <si>
    <t>VMC Normalized</t>
  </si>
  <si>
    <t>SPY Normalized</t>
  </si>
  <si>
    <t>XLB Normalized</t>
  </si>
  <si>
    <t>Relative vs SPY</t>
  </si>
  <si>
    <t>Relative vs XLB</t>
  </si>
  <si>
    <t>VMC EMA 200D</t>
  </si>
  <si>
    <t>VMC Wealth Index</t>
  </si>
  <si>
    <t>VMC Running Peak</t>
  </si>
  <si>
    <t>VMC Drawdown</t>
  </si>
  <si>
    <t>Rolling Volatility 60D</t>
  </si>
  <si>
    <t>Downside Return</t>
  </si>
  <si>
    <t>Active Return vs SPY</t>
  </si>
  <si>
    <t>VMC Price Link</t>
  </si>
  <si>
    <t>Sheet 2: Financial Analysis</t>
  </si>
  <si>
    <t>Five-year annual analysis with Excel-formula trend, ratio, and peer-comparison blocks</t>
  </si>
  <si>
    <t>Peers: MLM, CRH, EXP, KNF, USLM, CX | SUM unavailable in accessible feeds</t>
  </si>
  <si>
    <t>Headline Metrics</t>
  </si>
  <si>
    <t>Revenue CAGR</t>
  </si>
  <si>
    <t>Latest EBITDA Margin</t>
  </si>
  <si>
    <t>Latest ROE</t>
  </si>
  <si>
    <t>Latest Debt / Equity</t>
  </si>
  <si>
    <t>Latest Current Ratio</t>
  </si>
  <si>
    <t>Composite Peer Rank</t>
  </si>
  <si>
    <t>Assumptions / Sources</t>
  </si>
  <si>
    <t>Tax Rate Assumption</t>
  </si>
  <si>
    <t>Primary Annual Source</t>
  </si>
  <si>
    <t>refinitiv_lseg</t>
  </si>
  <si>
    <t>Peer Replacement Note</t>
  </si>
  <si>
    <t>VMC Raw Financial Data (USDm)</t>
  </si>
  <si>
    <t>Line Item</t>
  </si>
  <si>
    <t>Revenue</t>
  </si>
  <si>
    <t>Gross Profit</t>
  </si>
  <si>
    <t>EBITDA</t>
  </si>
  <si>
    <t>Operating Income (EBIT)</t>
  </si>
  <si>
    <t>Net Income</t>
  </si>
  <si>
    <t>Total Assets</t>
  </si>
  <si>
    <t>Total Liabilities</t>
  </si>
  <si>
    <t>Total Equity</t>
  </si>
  <si>
    <t>Total Debt</t>
  </si>
  <si>
    <t>Cash &amp; Equivalents</t>
  </si>
  <si>
    <t>Current Assets</t>
  </si>
  <si>
    <t>Current Liabilities</t>
  </si>
  <si>
    <t>Inventory</t>
  </si>
  <si>
    <t>Interest Expense</t>
  </si>
  <si>
    <t>Operating Cash Flow</t>
  </si>
  <si>
    <t>Free Cash Flow</t>
  </si>
  <si>
    <t>Horizontal Analysis (YoY Growth)</t>
  </si>
  <si>
    <t>2022 YoY</t>
  </si>
  <si>
    <t>2023 YoY</t>
  </si>
  <si>
    <t>2024 YoY</t>
  </si>
  <si>
    <t>2025 YoY</t>
  </si>
  <si>
    <t>Vertical Analysis</t>
  </si>
  <si>
    <t>Gross Profit % Revenue</t>
  </si>
  <si>
    <t>EBITDA % Revenue</t>
  </si>
  <si>
    <t>EBIT % Revenue</t>
  </si>
  <si>
    <t>Net Income % Revenue</t>
  </si>
  <si>
    <t>Total Liabilities % Assets</t>
  </si>
  <si>
    <t>Total Equity % Assets</t>
  </si>
  <si>
    <t>Total Debt % Assets</t>
  </si>
  <si>
    <t>Ratio Analysis</t>
  </si>
  <si>
    <t>Ratio</t>
  </si>
  <si>
    <t>Gross Margin</t>
  </si>
  <si>
    <t>EBITDA Margin</t>
  </si>
  <si>
    <t>EBIT Margin</t>
  </si>
  <si>
    <t>Net Margin</t>
  </si>
  <si>
    <t>ROA</t>
  </si>
  <si>
    <t>ROE</t>
  </si>
  <si>
    <t>ROIC</t>
  </si>
  <si>
    <t>Current Ratio</t>
  </si>
  <si>
    <t>Quick Ratio</t>
  </si>
  <si>
    <t>Debt / Equity</t>
  </si>
  <si>
    <t>Debt / Assets</t>
  </si>
  <si>
    <t>Net Debt / EBITDA</t>
  </si>
  <si>
    <t>Interest Coverage</t>
  </si>
  <si>
    <t>Asset Turnover</t>
  </si>
  <si>
    <t>Revenue Growth</t>
  </si>
  <si>
    <t>EBITDA Growth</t>
  </si>
  <si>
    <t>EBIT Growth</t>
  </si>
  <si>
    <t>Net Income Growth</t>
  </si>
  <si>
    <t>Peer Raw Inputs (Latest FY, USDm)</t>
  </si>
  <si>
    <t>Ticker</t>
  </si>
  <si>
    <t>Company Name</t>
  </si>
  <si>
    <t>EBIT</t>
  </si>
  <si>
    <t>Cash</t>
  </si>
  <si>
    <t>Vulcan Materials Co</t>
  </si>
  <si>
    <t>MLM</t>
  </si>
  <si>
    <t>Martin Marietta Materials Inc</t>
  </si>
  <si>
    <t>CRH</t>
  </si>
  <si>
    <t>CRH PLC</t>
  </si>
  <si>
    <t>EXP</t>
  </si>
  <si>
    <t>Eagle Materials Inc</t>
  </si>
  <si>
    <t>KNF</t>
  </si>
  <si>
    <t>Knife River Corp</t>
  </si>
  <si>
    <t>USLM</t>
  </si>
  <si>
    <t>United States Lime &amp; Minerals Inc</t>
  </si>
  <si>
    <t>CX</t>
  </si>
  <si>
    <t>Cemex SAB de CV</t>
  </si>
  <si>
    <t>Peer 5Y History for CAGR Inputs (USDm)</t>
  </si>
  <si>
    <t>Rev Y1</t>
  </si>
  <si>
    <t>Rev Y5</t>
  </si>
  <si>
    <t>EBITDA Y1</t>
  </si>
  <si>
    <t>EBITDA Y5</t>
  </si>
  <si>
    <t>NI Y1</t>
  </si>
  <si>
    <t>NI Y5</t>
  </si>
  <si>
    <t>Peer Comparison and Ranking</t>
  </si>
  <si>
    <t>Rank EBITDA</t>
  </si>
  <si>
    <t>Rank ROE</t>
  </si>
  <si>
    <t>Rank Debt/Equity</t>
  </si>
  <si>
    <t>Composite Rank</t>
  </si>
  <si>
    <t>Peer Median</t>
  </si>
  <si>
    <t>Trend Chart Links</t>
  </si>
  <si>
    <t>Series</t>
  </si>
  <si>
    <t>Sheet 3: Credit Analysis</t>
  </si>
  <si>
    <t>Methodology: score leverage, coverage, cash conversion, and capital structure against investment-grade building materials thresholds.</t>
  </si>
  <si>
    <t>Credit Summary Metrics</t>
  </si>
  <si>
    <t>Value</t>
  </si>
  <si>
    <t>Interpretation</t>
  </si>
  <si>
    <t>Debt / EBITDA</t>
  </si>
  <si>
    <t>Leverage measure</t>
  </si>
  <si>
    <t>Net leverage measure</t>
  </si>
  <si>
    <t>EBITDA / Interest</t>
  </si>
  <si>
    <t>Coverage measure</t>
  </si>
  <si>
    <t>EBIT / Interest</t>
  </si>
  <si>
    <t>CFO / Debt</t>
  </si>
  <si>
    <t>Cash conversion versus debt load</t>
  </si>
  <si>
    <t>FCF / Debt</t>
  </si>
  <si>
    <t>Free cash flow support for deleveraging</t>
  </si>
  <si>
    <t>Debt / Capital</t>
  </si>
  <si>
    <t>Capital structure weight of debt</t>
  </si>
  <si>
    <t>Operating resilience</t>
  </si>
  <si>
    <t>Scenario Stress Test</t>
  </si>
  <si>
    <t>Scenario</t>
  </si>
  <si>
    <t>EBITDA (USDm)</t>
  </si>
  <si>
    <t>CFO (USDm)</t>
  </si>
  <si>
    <t>Base</t>
  </si>
  <si>
    <t>Downside</t>
  </si>
  <si>
    <t>Severe downside</t>
  </si>
  <si>
    <t>Credit View</t>
  </si>
  <si>
    <t>Latest reported Debt / EBITDA is 1.92x and Net Debt / EBITDA is 1.84x.</t>
  </si>
  <si>
    <t>The base-case credit profile remains consistent with investment-grade building materials leverage, supported by positive free cash flow generation.</t>
  </si>
  <si>
    <t>Public debt-maturity detail was not available in the API build, so maturity ladder analysis is limited to a qualitative liquidity review.</t>
  </si>
  <si>
    <t>Sheet 4: ESG Analysis</t>
  </si>
  <si>
    <t>Public ESG data is uneven across peers, so the model combines company disclosures with governance-risk fields and qualitative materiality scoring.</t>
  </si>
  <si>
    <t>Material ESG Issues and Valuation Relevance</t>
  </si>
  <si>
    <t>Pillar</t>
  </si>
  <si>
    <t>Issue</t>
  </si>
  <si>
    <t>Public Metric / Observation</t>
  </si>
  <si>
    <t>Peer Comparison</t>
  </si>
  <si>
    <t>Materiality (1-5)</t>
  </si>
  <si>
    <t>Valuation Relevance</t>
  </si>
  <si>
    <t>Environmental</t>
  </si>
  <si>
    <t>Carbon intensity and energy use</t>
  </si>
  <si>
    <t>1M+ cubic yards of CO2-injected concrete projects referenced on Vulcan environmental stewardship disclosures</t>
  </si>
  <si>
    <t>Public peer comparability is limited in free APIs</t>
  </si>
  <si>
    <t>High</t>
  </si>
  <si>
    <t>Permitting, land rehabilitation, dust and blasting controls</t>
  </si>
  <si>
    <t>Quarry permitting remains a core operating constraint</t>
  </si>
  <si>
    <t>Sector-wide issue across aggregates operators</t>
  </si>
  <si>
    <t>Social</t>
  </si>
  <si>
    <t>Worker safety</t>
  </si>
  <si>
    <t>92% of operational sites recorded zero lost-time injuries per company safety disclosures</t>
  </si>
  <si>
    <t>Safety remains a key differentiator in labor-intensive heavy materials</t>
  </si>
  <si>
    <t>Medium</t>
  </si>
  <si>
    <t>Governance</t>
  </si>
  <si>
    <t>Board / audit oversight</t>
  </si>
  <si>
    <t>Yahoo Finance governance risk fields show overall risk 6.0, board risk 7.0, audit risk 7.0</t>
  </si>
  <si>
    <t>Below peer average governance risk is favorable</t>
  </si>
  <si>
    <t>Governance / Ownership Peer Snapshot</t>
  </si>
  <si>
    <t>Employees</t>
  </si>
  <si>
    <t>Overall Governance Risk</t>
  </si>
  <si>
    <t>Board Risk</t>
  </si>
  <si>
    <t>Audit Risk</t>
  </si>
  <si>
    <t>Compensation Risk</t>
  </si>
  <si>
    <t>Shareholder Rights Risk</t>
  </si>
  <si>
    <t>Insider Ownership</t>
  </si>
  <si>
    <t>Institutional Ownership</t>
  </si>
  <si>
    <t>Payout Ratio</t>
  </si>
  <si>
    <t>Peer Avg Governance Risk</t>
  </si>
  <si>
    <t>Vulcan Materials Company (Holdi</t>
  </si>
  <si>
    <t>Martin Marietta Materials, Inc.</t>
  </si>
  <si>
    <t>Knife Riv Holding Co.</t>
  </si>
  <si>
    <t xml:space="preserve">United States Lime &amp; Minerals, </t>
  </si>
  <si>
    <t>Cemex, S.A.B. de C.V. Sponsored</t>
  </si>
  <si>
    <t>Source Notes</t>
  </si>
  <si>
    <t>Environmental stewardship and safety observations sourced from Vulcan Materials public sustainability / CSR pages.</t>
  </si>
  <si>
    <t>Governance risk and ownership fields sourced from Yahoo Finance public company metadata.</t>
  </si>
  <si>
    <t>Blank environmental peer metrics reflect inconsistent public-data comparability rather than implied immateriality.</t>
  </si>
  <si>
    <t>Sheet 5: Industry &amp; Macroeconomic Analysis</t>
  </si>
  <si>
    <t>Industry focus: aggregates / construction materials with demand tied to infrastructure, public works, residential, and non-residential construction activity.</t>
  </si>
  <si>
    <t>Correlation / Sensitivity Analysis</t>
  </si>
  <si>
    <t>Macro Variable</t>
  </si>
  <si>
    <t>Correlation with VMC Monthly Return</t>
  </si>
  <si>
    <t>Construction Spending Growth</t>
  </si>
  <si>
    <t>Housing Starts Growth</t>
  </si>
  <si>
    <t>Inflation YoY</t>
  </si>
  <si>
    <t>Fed Funds Rate</t>
  </si>
  <si>
    <t>Real GDP YoY</t>
  </si>
  <si>
    <t>Competitive Landscape Snapshot</t>
  </si>
  <si>
    <t>Revenue (USDm)</t>
  </si>
  <si>
    <t>Overall Rank</t>
  </si>
  <si>
    <t>Macro Data (Recent 36 Periods)</t>
  </si>
  <si>
    <t>CPI</t>
  </si>
  <si>
    <t>Total Construction Spending</t>
  </si>
  <si>
    <t>Housing Starts</t>
  </si>
  <si>
    <t>Real GDP</t>
  </si>
  <si>
    <t>Industry &amp; Macro Commentary</t>
  </si>
  <si>
    <t>VMC's monthly return correlation was strongest with housing starts growth in the selected macro set.</t>
  </si>
  <si>
    <t>Construction spending and housing starts remain the clearest public-data proxies for aggregates demand.</t>
  </si>
  <si>
    <t>Higher policy rates typically pressure residential demand, while federal and state infrastructure spend can offset part of the cyclical drag.</t>
  </si>
  <si>
    <t>Bull case: infrastructure and public works offset weaker private construction.</t>
  </si>
  <si>
    <t>Bear case: elevated rates and housing weakness pressure volumes and pricing.</t>
  </si>
  <si>
    <t>Sheet 6: Multiple Valuation</t>
  </si>
  <si>
    <t>Peer group rationale: North American aggregates and construction-materials operators with publicly accessible financial histories.</t>
  </si>
  <si>
    <t>Current Peer Trading Multiples</t>
  </si>
  <si>
    <t>P/E</t>
  </si>
  <si>
    <t>EV / EBITDA</t>
  </si>
  <si>
    <t>EV / Sales</t>
  </si>
  <si>
    <t>P/B</t>
  </si>
  <si>
    <t>VMC Current Trading Multiples</t>
  </si>
  <si>
    <t>Method</t>
  </si>
  <si>
    <t>Current Price</t>
  </si>
  <si>
    <t>Refinitiv close / yfinance fallback</t>
  </si>
  <si>
    <t>Current P/E</t>
  </si>
  <si>
    <t>Price / diluted EPS</t>
  </si>
  <si>
    <t>Current EV / EBITDA</t>
  </si>
  <si>
    <t>EV over EBITDA</t>
  </si>
  <si>
    <t>Current EV / EBIT</t>
  </si>
  <si>
    <t>EV over EBIT</t>
  </si>
  <si>
    <t>Current EV / Sales</t>
  </si>
  <si>
    <t>EV over sales</t>
  </si>
  <si>
    <t>Current P/B</t>
  </si>
  <si>
    <t>Price / book value per share</t>
  </si>
  <si>
    <t>Historical VMC Multiples</t>
  </si>
  <si>
    <t>index</t>
  </si>
  <si>
    <t>Fiscal Year</t>
  </si>
  <si>
    <t>Year-End Price</t>
  </si>
  <si>
    <t>EV / EBIT</t>
  </si>
  <si>
    <t>Implied VMC Value Range</t>
  </si>
  <si>
    <t>Implied Price</t>
  </si>
  <si>
    <t>Approach</t>
  </si>
  <si>
    <t>P/E Median</t>
  </si>
  <si>
    <t>Peer median P/E * VMC EPS</t>
  </si>
  <si>
    <t>EV / EBITDA Median</t>
  </si>
  <si>
    <t>Peer median EV / EBITDA</t>
  </si>
  <si>
    <t>EV / Sales Median</t>
  </si>
  <si>
    <t>Peer median EV / Sales</t>
  </si>
  <si>
    <t>P/B Median</t>
  </si>
  <si>
    <t>Peer median P/B * VMC BVPS</t>
  </si>
  <si>
    <t>Valuation Commentary</t>
  </si>
  <si>
    <t>The multiple valuation block uses peer medians for P/E, EV / EBITDA, EV / Sales, and P/B.</t>
  </si>
  <si>
    <t>Premium / discount interpretation should be read alongside VMC's margins, leverage, and returns profile, not on headline multiples alone.</t>
  </si>
  <si>
    <t>Sheet 7: Dividend Discount Model</t>
  </si>
  <si>
    <t>Multi-stage DDM with CAPM-based required return and an alternative required-return cross-check.</t>
  </si>
  <si>
    <t>Dividend History</t>
  </si>
  <si>
    <t>Year</t>
  </si>
  <si>
    <t>Dividend Per Share</t>
  </si>
  <si>
    <t>DDM Assumptions</t>
  </si>
  <si>
    <t>Assumption</t>
  </si>
  <si>
    <t>Latest Annual Dividend</t>
  </si>
  <si>
    <t>Historical Dividend CAGR</t>
  </si>
  <si>
    <t>Risk-Free Rate</t>
  </si>
  <si>
    <t>Equity Risk Premium</t>
  </si>
  <si>
    <t>Beta</t>
  </si>
  <si>
    <t>CAPM Cost of Equity</t>
  </si>
  <si>
    <t>Alternative Required Return</t>
  </si>
  <si>
    <t>Vulcan Materials (VMC)</t>
  </si>
  <si>
    <t>VMC.N</t>
  </si>
  <si>
    <t>Benchmark</t>
  </si>
  <si>
    <t>S&amp;P500 (SPY)</t>
  </si>
  <si>
    <t>Sector ETF</t>
  </si>
  <si>
    <t>General Information</t>
  </si>
  <si>
    <t>Analysis Company</t>
  </si>
  <si>
    <t>Industry / Sector</t>
  </si>
  <si>
    <t>Start Date</t>
  </si>
  <si>
    <t>Construction Materials</t>
  </si>
  <si>
    <t xml:space="preserve">XLB - Materials </t>
  </si>
  <si>
    <t>Total Return</t>
  </si>
  <si>
    <t xml:space="preserve">SUM unavailable; USLM and CX used as public substitutes </t>
  </si>
  <si>
    <t>Income Statement - Standardized (Currency: Standardized)</t>
  </si>
  <si>
    <t>Field Name</t>
  </si>
  <si>
    <t>31-12-2025</t>
  </si>
  <si>
    <t>31-12-2024</t>
  </si>
  <si>
    <t>31-12-2023</t>
  </si>
  <si>
    <t>31-12-2022</t>
  </si>
  <si>
    <t>31-12-2021</t>
  </si>
  <si>
    <t>Revenues</t>
  </si>
  <si>
    <t>Revenue from Goods &amp; Services</t>
  </si>
  <si>
    <t>Sales of Goods &amp; Services - Net - Unclassified</t>
  </si>
  <si>
    <t>Revenue from Business Activities - Total</t>
  </si>
  <si>
    <t>Operating Expenses</t>
  </si>
  <si>
    <t>Cost of Operating Revenue</t>
  </si>
  <si>
    <t>Cost of Revenues - Total</t>
  </si>
  <si>
    <t>Gross Profit - Industrials/Property - Total</t>
  </si>
  <si>
    <t>Selling, General &amp; Administrative Expenses - Total</t>
  </si>
  <si>
    <t>Other Operating Expense/(Income) - Net</t>
  </si>
  <si>
    <t>Other Operating Expense</t>
  </si>
  <si>
    <t>Non-Recurring Adjustments - Operating - Decrease/(Increase)</t>
  </si>
  <si>
    <t>Supplementary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</si>
  <si>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</si>
  <si>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</si>
  <si>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</si>
  <si>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</si>
  <si>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</si>
  <si>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</si>
  <si>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</si>
  <si>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</si>
  <si>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Interest Expense on Capital Financing - Gross</t>
  </si>
  <si>
    <t>Interest Capitalized</t>
  </si>
  <si>
    <t>Sale of Tangible &amp; Intangible Fixed Assets - Gain/(Loss)</t>
  </si>
  <si>
    <t>Other Non-Operating Income/(Expense) - Total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</si>
  <si>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</si>
  <si>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</si>
  <si>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</si>
  <si>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</si>
  <si>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</si>
  <si>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Restructuring Charges</t>
  </si>
  <si>
    <t>Sale &amp; Acquisition of Group Companies - Gain/(Loss)</t>
  </si>
  <si>
    <t>COVID-19 Non-Recurring Income/(Expense) - Total</t>
  </si>
  <si>
    <t>COVID-19 Non-Recurring Income/(Expense) - Other</t>
  </si>
  <si>
    <t>Non-Recurring Income/(Expense) - Other - Total</t>
  </si>
  <si>
    <t>Pre-Tax Income</t>
  </si>
  <si>
    <t>Income before Taxes</t>
  </si>
  <si>
    <t>Taxes</t>
  </si>
  <si>
    <t>Income Taxes</t>
  </si>
  <si>
    <t>Income Taxes for the Year - Current</t>
  </si>
  <si>
    <t>Income Taxes - Domestic - Current</t>
  </si>
  <si>
    <t>Income Taxes - Foreign - Current</t>
  </si>
  <si>
    <t>Income Taxes - Deferred</t>
  </si>
  <si>
    <t>Income Taxes - Domestic - Deferred</t>
  </si>
  <si>
    <t>Income Taxes - Foreign - Deferred</t>
  </si>
  <si>
    <t>Net Income After Tax</t>
  </si>
  <si>
    <t>Net Income after Tax</t>
  </si>
  <si>
    <t>After Tax Income/Expense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</si>
  <si>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</si>
  <si>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</si>
  <si>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</si>
  <si>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before Tax - Total - Income/(Expense)</t>
  </si>
  <si>
    <t>Discontinued Operations before Tax - Income/(Expense)</t>
  </si>
  <si>
    <t>Discontinued Operations - Tax Impacts</t>
  </si>
  <si>
    <t>Net Income before Minority Interest</t>
  </si>
  <si>
    <t>Minority Interest</t>
  </si>
  <si>
    <t>Net Income after Minority Interest</t>
  </si>
  <si>
    <t>Income Available to Common Shares</t>
  </si>
  <si>
    <t>Other Comprehensive Income</t>
  </si>
  <si>
    <t>Other Comprehensive Income - Starting Line</t>
  </si>
  <si>
    <t>Other Comprehensive Income - Hedging Gain/(Loss)</t>
  </si>
  <si>
    <t>Other Comprehensive Income - Pension Related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</si>
  <si>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</si>
  <si>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</si>
  <si>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</si>
  <si>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</si>
  <si>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</si>
  <si>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</si>
  <si>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</si>
  <si>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</si>
  <si>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</si>
  <si>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</si>
  <si>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</si>
  <si>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</si>
  <si>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</si>
  <si>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</si>
  <si>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</si>
  <si>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</si>
  <si>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</si>
  <si>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</si>
  <si>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</si>
  <si>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</si>
  <si>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</si>
  <si>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</si>
  <si>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</si>
  <si>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</si>
  <si>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</si>
  <si>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</si>
  <si>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</si>
  <si>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</si>
  <si>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</si>
  <si>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</si>
  <si>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</si>
  <si>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</si>
  <si>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</si>
  <si>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</si>
  <si>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</si>
  <si>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</si>
  <si>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</si>
  <si>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</si>
  <si>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</si>
  <si>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</si>
  <si>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</si>
  <si>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</si>
  <si>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</si>
  <si>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</si>
  <si>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</si>
  <si>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</si>
  <si>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</si>
  <si>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</si>
  <si>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</si>
  <si>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</si>
  <si>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</si>
  <si>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Labor &amp; Related Expenses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</si>
  <si>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</si>
  <si>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</si>
  <si>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</si>
  <si>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</si>
  <si>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</si>
  <si>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</si>
  <si>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</si>
  <si>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</si>
  <si>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Non-GAAP</t>
  </si>
  <si>
    <t>Non-GAAP Adjusted EBITDA - Company Reported</t>
  </si>
  <si>
    <t>Non-GAAP EPS Diluted - Company Reported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</si>
  <si>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</si>
  <si>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</si>
  <si>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</si>
  <si>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</si>
  <si>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</si>
  <si>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</si>
  <si>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Lease Expenses</t>
  </si>
  <si>
    <t>Lease Expense -Total - Supplemental</t>
  </si>
  <si>
    <t>Operating /Rental Expense - Supplemental</t>
  </si>
  <si>
    <t>Depreciation of Financial Lease ROU Assets - Supplemental</t>
  </si>
  <si>
    <t>Variable Operating Lease Expenses - US GAAP - Supplemental</t>
  </si>
  <si>
    <t>Interest Expense on Financial Lease Liabilities - Supple</t>
  </si>
  <si>
    <t>Short-Term Lease Cost - Supplemental</t>
  </si>
  <si>
    <t>Sublease Income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</si>
  <si>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</si>
  <si>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</si>
  <si>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</si>
  <si>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</si>
  <si>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Selling, General &amp; Administrative Expenses excluding Research &amp; Development Expenses</t>
  </si>
  <si>
    <t>Employees - Full-Time/Full-Time Equivalents - Current Date</t>
  </si>
  <si>
    <t>Employees - Full-Time/Full-Time Equivalents - Period End</t>
  </si>
  <si>
    <t>Operating Lease Payments - Due in Year 6 &amp; Beyond</t>
  </si>
  <si>
    <t>Operating Lease Payments - Due in 4-5 Years</t>
  </si>
  <si>
    <t>Operating Lease Payments - Due in 2-3 Years</t>
  </si>
  <si>
    <t>Operating Lease Payments - Interest Cost/Imputed Interest</t>
  </si>
  <si>
    <t>Operating Lease Payments - Remaining Maturities</t>
  </si>
  <si>
    <t>Operating Lease Payments - Due in Year 5</t>
  </si>
  <si>
    <t>Operating Lease Payments - Due in Year 4</t>
  </si>
  <si>
    <t>Operating Lease Payments - Due in Year 3</t>
  </si>
  <si>
    <t>Operating Lease Payments - Due in Year 2</t>
  </si>
  <si>
    <t>Operating Lease Payments - Due in Year 1</t>
  </si>
  <si>
    <t>Operating Lease Payments - Total</t>
  </si>
  <si>
    <t>Operating Lease Maturity</t>
  </si>
  <si>
    <t>Common Shareholders - Number</t>
  </si>
  <si>
    <t>Shareholders</t>
  </si>
  <si>
    <t>Total Indefinite-lived Intangible Assets - Net (excl Goodwill) - Supplemental</t>
  </si>
  <si>
    <t>Book Value excluding Other Equity</t>
  </si>
  <si>
    <t>Working Capital excluding Other Current Assets &amp; Liabilities</t>
  </si>
  <si>
    <t>Working Capital - Non-Cash</t>
  </si>
  <si>
    <t>Working Capital</t>
  </si>
  <si>
    <t>Unearned Revenue - Total</t>
  </si>
  <si>
    <t>Total Fixed Assets - Net</t>
  </si>
  <si>
    <t>Total Long Term Capital</t>
  </si>
  <si>
    <t>Total Capital</t>
  </si>
  <si>
    <t>Total Book Capital</t>
  </si>
  <si>
    <t>Tangible Book Value</t>
  </si>
  <si>
    <t>Tangible Total Equity</t>
  </si>
  <si>
    <t>Shareholders Equity - Common</t>
  </si>
  <si>
    <t>Provisions - Total</t>
  </si>
  <si>
    <t>Net Operating Assets</t>
  </si>
  <si>
    <t>Net Book Capital</t>
  </si>
  <si>
    <t>Investments - Permanent</t>
  </si>
  <si>
    <t>Debt - including Preferred Equity &amp; Minority Interest - Total</t>
  </si>
  <si>
    <t>Cash &amp; Short Term Investments - Total</t>
  </si>
  <si>
    <t>Cash &amp; Cash Equivalents - Total</t>
  </si>
  <si>
    <t>Asset Accruals</t>
  </si>
  <si>
    <t>Accruals - Short-Term</t>
  </si>
  <si>
    <t>Minority Interest - Total</t>
  </si>
  <si>
    <t>Weighted Average Discount Rate - Finance Lease</t>
  </si>
  <si>
    <t>Weighted Average Discount Rate - Operating Lease - US GAAP</t>
  </si>
  <si>
    <t>Wgt Avg Remaining Lease Term (Years) - Finance Lease</t>
  </si>
  <si>
    <t>Wgt Avg Remaining Lease Term (Years)-Operating Lease-US GAAP</t>
  </si>
  <si>
    <t>Weighted Average Leases</t>
  </si>
  <si>
    <t>Capital Lease Maturities - Due in Year 6 &amp; Beyond</t>
  </si>
  <si>
    <t>Capital Lease Maturities - Due in 4-5 Years</t>
  </si>
  <si>
    <t>Capital Lease Maturities - Due in 2-3 Years</t>
  </si>
  <si>
    <t>Capital Lease Maturities - Interest Costs</t>
  </si>
  <si>
    <t>Capital Lease Maturities - Remaining Maturities</t>
  </si>
  <si>
    <t>Capital Lease Maturities - Due in Year 5</t>
  </si>
  <si>
    <t>Capital Lease Maturities - Due in Year 4</t>
  </si>
  <si>
    <t>Capital Lease Maturities - Due in Year 3</t>
  </si>
  <si>
    <t>Capital Lease Maturities - Due in Year 2</t>
  </si>
  <si>
    <t>Capital Lease Maturities - Due within 1 Year</t>
  </si>
  <si>
    <t>Capital Lease Maturities - Total</t>
  </si>
  <si>
    <t>Capital Lease Maturity</t>
  </si>
  <si>
    <t>Debt - Long-Term - Maturities - Year 6 &amp; Beyond</t>
  </si>
  <si>
    <t>Debt - Long-Term - Maturities - 2-3 Years</t>
  </si>
  <si>
    <t>Debt - Long-Term - Maturities - Remaining</t>
  </si>
  <si>
    <t>Debt - Long-Term - Maturities - Year 3</t>
  </si>
  <si>
    <t>Debt - Long-Term - Maturities - within 1 Year</t>
  </si>
  <si>
    <t>Debt - Long-Term - Maturities - Total</t>
  </si>
  <si>
    <t>Debt Maturity</t>
  </si>
  <si>
    <t>Revolving Line of Credit - Total Principal Amount</t>
  </si>
  <si>
    <t>Revolving Line of Credit - Unutilized/Unused Amount</t>
  </si>
  <si>
    <t>Revolving Line of Credit - Outstanding - Supplemental</t>
  </si>
  <si>
    <t>Debt - Total</t>
  </si>
  <si>
    <t>Net Debt</t>
  </si>
  <si>
    <t>Debt Related</t>
  </si>
  <si>
    <t>Liabilities Held for Sale/Discontinued Operations - Long-term &amp; Short-Term</t>
  </si>
  <si>
    <t>Accrued Expenses</t>
  </si>
  <si>
    <t>Trade Account Payables - Total</t>
  </si>
  <si>
    <t>Payables &amp; Accrued Expenses</t>
  </si>
  <si>
    <t>Other Assets - Total</t>
  </si>
  <si>
    <t>Assets Held for Sale/Discontinued Operations - Long-Term &amp; Short-Term</t>
  </si>
  <si>
    <t>Accounts &amp; Notes Receivable - Trade - Gross - Total</t>
  </si>
  <si>
    <t>Loans &amp; Receivables - Total</t>
  </si>
  <si>
    <t>Investments - Total</t>
  </si>
  <si>
    <t>Long-Term &amp; Short-Term</t>
  </si>
  <si>
    <t>Debt including Finance and Operating Lease Liabilities</t>
  </si>
  <si>
    <t>Finance and Operating Lease Liabilities - Total</t>
  </si>
  <si>
    <t>Operating Lease Liabilities - Long-Term - Supplemental</t>
  </si>
  <si>
    <t>Operating Lease Liabilities - Current Portion/Short-Term - Supplemental</t>
  </si>
  <si>
    <t>Total Operating Lease Liabilities</t>
  </si>
  <si>
    <t>Right of Use Liabilities</t>
  </si>
  <si>
    <t>Property, Plant &amp; Equipment - excluding Right of Use Tangible Assets &amp; Capital Leases - Gross</t>
  </si>
  <si>
    <t>Property, Plant &amp; Equipment - excluding Right of Use Tangible Assets &amp; Capital Leases - Net</t>
  </si>
  <si>
    <t>Right of Use Tangible Assets - Capital/Finance Lease - Gross - Supplemental</t>
  </si>
  <si>
    <t>Right of Use Tangible Assets - Operating Lease - Gross - Supplemental</t>
  </si>
  <si>
    <t>Right of Use Tangible Assets - Total - Gross - Supplemental</t>
  </si>
  <si>
    <t>Right of Use Tangible Assets - Operating Lease - Net - Supplemental</t>
  </si>
  <si>
    <t>Right of Use Tangible Assets - Total - Net - Supplemental</t>
  </si>
  <si>
    <t>Right of Use Tangible Assets</t>
  </si>
  <si>
    <t>Asset Allocation Factor - Issue Specific</t>
  </si>
  <si>
    <t>Share/Per Share - Other</t>
  </si>
  <si>
    <t>Common Shares - Treasury - Issue Specific</t>
  </si>
  <si>
    <t>Common Shares - Outstanding - Issue Specific</t>
  </si>
  <si>
    <t>Common Shares - Issued - Issue Specific</t>
  </si>
  <si>
    <t>Common Shares - Authorized - Issue Specific</t>
  </si>
  <si>
    <t>Common Shares - Treasury - Total</t>
  </si>
  <si>
    <t>Common Shares - Outstanding - Total</t>
  </si>
  <si>
    <t>Common Shares - Issued - Total</t>
  </si>
  <si>
    <t>Share/Per Share - Common</t>
  </si>
  <si>
    <t>Total Liabilities &amp; Equity</t>
  </si>
  <si>
    <t>Total Liabilities &amp; Shareholders' Equity</t>
  </si>
  <si>
    <t>Total Shareholders' Equity - including Minority Interest &amp; Hybrid Debt</t>
  </si>
  <si>
    <t>Total Shareholders' Equity</t>
  </si>
  <si>
    <t>Minority Interest - Equity</t>
  </si>
  <si>
    <t>Common Equity - Total</t>
  </si>
  <si>
    <t>Comprehensive Income - Pension Liabilities</t>
  </si>
  <si>
    <t>Hedging Reserves</t>
  </si>
  <si>
    <t>Comprehensive Income - Accumulated - Total</t>
  </si>
  <si>
    <t>Retained Earnings - Total</t>
  </si>
  <si>
    <t>Equity - Non-Contributed - Reserves &amp; Retained Earnings</t>
  </si>
  <si>
    <t>Common Stock - Additional Paid in Capital including Option Reserve</t>
  </si>
  <si>
    <t>Common Stock - Issued &amp; Paid</t>
  </si>
  <si>
    <t>Common Equity - Contributed</t>
  </si>
  <si>
    <t>Common Equity Attributable to Parent Shareholders</t>
  </si>
  <si>
    <t>Shareholders' Equity - Attributable to Parent Shareholders - Total</t>
  </si>
  <si>
    <t>Shareholders' Equity</t>
  </si>
  <si>
    <t>Total Non-Current Liabilities</t>
  </si>
  <si>
    <t>Other Non-Current Liabilities</t>
  </si>
  <si>
    <t>Deferred Revenue - Long-Term</t>
  </si>
  <si>
    <t>Asset Retirement Obligation - Long-Term</t>
  </si>
  <si>
    <t>Post Employment Benefits - Pension &amp; Other - Long-Term</t>
  </si>
  <si>
    <t>Provisions - Long-Term</t>
  </si>
  <si>
    <t>Other Non-Current Liabilities - Total</t>
  </si>
  <si>
    <t>Operating Lease Liabilities - Long-Term</t>
  </si>
  <si>
    <t>Deferred Tax - Liability - Long-Term</t>
  </si>
  <si>
    <t>Deferred Tax &amp; Investment Tax Credits - Long-Term</t>
  </si>
  <si>
    <t>Capitalized Lease Obligations - Long-Term</t>
  </si>
  <si>
    <t>Debt - Non-Convertible - Long-Term</t>
  </si>
  <si>
    <t>Long-Term Debt excluding Capitalized Leases</t>
  </si>
  <si>
    <t>Debt - Long-Term - Total</t>
  </si>
  <si>
    <t>Non-Current Liabilities</t>
  </si>
  <si>
    <t>Total Current Liabilities</t>
  </si>
  <si>
    <t>Other Current Liabilities</t>
  </si>
  <si>
    <t>Other Current Liabilities - Total</t>
  </si>
  <si>
    <t>Operating Lease Liabilities - Current Portion/Short-Term</t>
  </si>
  <si>
    <t>Liabilities Held for Sale/Discontinued Operations - Short-Term</t>
  </si>
  <si>
    <t>Capitalized Leases - Current Portion</t>
  </si>
  <si>
    <t>Current Portion of Long-Term Debt excluding Capitalized Leases</t>
  </si>
  <si>
    <t>Current Portion of Long-Term Debt including Capitalized Leases</t>
  </si>
  <si>
    <t>Short-Term Debt &amp; Notes Payable</t>
  </si>
  <si>
    <t>Short-Term Debt &amp; Current Portion of Long-Term Debt</t>
  </si>
  <si>
    <t>Accrued Expenses - Short-Term</t>
  </si>
  <si>
    <t>Trade Accounts &amp; Trade Notes Payable - Short-Term</t>
  </si>
  <si>
    <t>Trade Accounts Payable &amp; Accruals - Short-Term</t>
  </si>
  <si>
    <t>Total Non-Current Assets</t>
  </si>
  <si>
    <t>Intangible Assets - Other - Net</t>
  </si>
  <si>
    <t>Licenses, Franchises, Copyrights, Property Rights, Prototypes, Contract Based, Models &amp; Designs - Net</t>
  </si>
  <si>
    <t>Intangible Assets - excluding Goodwill - Net - Total</t>
  </si>
  <si>
    <t>Goodwill/Cost in Excess of Assets Purchased - Net</t>
  </si>
  <si>
    <t>Intangible Assets - Total - Net</t>
  </si>
  <si>
    <t>Other Non-Current Assets</t>
  </si>
  <si>
    <t>Other Non-Current Assets - Total</t>
  </si>
  <si>
    <t>Property, Plant &amp; Equipment - Other - Accumulated Depreciation &amp; Impairment</t>
  </si>
  <si>
    <t>Right of Use Tangible Assets - Operating Lease - Accumulated Depreciation</t>
  </si>
  <si>
    <t>Right of Use Tangible Assets - Total/Unspecified - Accumulated Depreciation</t>
  </si>
  <si>
    <t>Property, Plant &amp; Equipment - excluding Assets Leased Out - Accumulated Depreciation &amp; Impairment - Total</t>
  </si>
  <si>
    <t>Property, Plant &amp; Equipment - Accumulated Depreciation &amp; Impairment - Total</t>
  </si>
  <si>
    <t>Property, Plant &amp; Equipment - Other - Gross</t>
  </si>
  <si>
    <t>Right of Use Tangible Assets - Capital/Finance Lease - Gross</t>
  </si>
  <si>
    <t>Right of Use Tangible Assets - Operating Lease - Gross</t>
  </si>
  <si>
    <t>Right of Use Tangible Assets - Total - Gross</t>
  </si>
  <si>
    <t>Construction in Progress - Gross</t>
  </si>
  <si>
    <t>Plant, Machinery &amp; Equipment - Gross</t>
  </si>
  <si>
    <t>Buildings - Gross</t>
  </si>
  <si>
    <t>Land/Improvements - Gross</t>
  </si>
  <si>
    <t>Land &amp; Buildings - Gross</t>
  </si>
  <si>
    <t>Property, Plant &amp; Equipment - excluding Assets Leased Out - Gross</t>
  </si>
  <si>
    <t>Property, Plant &amp; Equipment - Gross - Total</t>
  </si>
  <si>
    <t>Property, Plant &amp; Equipment - Other - Net</t>
  </si>
  <si>
    <t>Right of Use Tangible Assets - Capital/Finance Lease - Net</t>
  </si>
  <si>
    <t>Right of Use Tangible Assets - Operating Lease - Net</t>
  </si>
  <si>
    <t>Right of Use Tangible Assets - Total - Net</t>
  </si>
  <si>
    <t>Construction in Progress - Net</t>
  </si>
  <si>
    <t>Plant, Machinery &amp; Equipment - Net</t>
  </si>
  <si>
    <t>Buildings - Net</t>
  </si>
  <si>
    <t>Land/Improvements - Net</t>
  </si>
  <si>
    <t>Land &amp; Buildings - Net</t>
  </si>
  <si>
    <t>Property, Plant &amp; Equipment - excluding Assets Leased Out - Net - Total</t>
  </si>
  <si>
    <t>Property, Plant &amp; Equipment - Net - Total</t>
  </si>
  <si>
    <t>Investments - Available for Sale/Held to Maturity - Long-Term</t>
  </si>
  <si>
    <t>Investments - Long-Term</t>
  </si>
  <si>
    <t>Non-Current Assets</t>
  </si>
  <si>
    <t>Total Current Assets</t>
  </si>
  <si>
    <t>Other Current Assets</t>
  </si>
  <si>
    <t>Restricted Accounts - Short-Term</t>
  </si>
  <si>
    <t>Other Current Assets - Total</t>
  </si>
  <si>
    <t>Assets Held for Sale/Discontinued Operations - Short-Term</t>
  </si>
  <si>
    <t>Inventories - Other - Total</t>
  </si>
  <si>
    <t>Inventories - Finished Goods</t>
  </si>
  <si>
    <t>Inventories - Work in Progress</t>
  </si>
  <si>
    <t>Inventories - Raw Materials</t>
  </si>
  <si>
    <t>Inventories - Total</t>
  </si>
  <si>
    <t>Receivables - Other - Total</t>
  </si>
  <si>
    <t>Provision - Trade Accounts &amp; Trade Notes Receivable</t>
  </si>
  <si>
    <t>Trade Accounts &amp; Trade Notes Receivable - Gross</t>
  </si>
  <si>
    <t>Trade Accounts &amp; Trade Notes Receivable - Net</t>
  </si>
  <si>
    <t>Loans &amp; Receivables - Net - Short-Term</t>
  </si>
  <si>
    <t>Cash &amp; Cash Equivalents</t>
  </si>
  <si>
    <t>Cash &amp; Short-Term Investments</t>
  </si>
  <si>
    <t>Balance Sheet - Standardized (Currency: Standardized)</t>
  </si>
  <si>
    <t>Cash Flow - Standardized (Currency: Standardized)</t>
  </si>
  <si>
    <t>Operating Cash Flow - Indirect</t>
  </si>
  <si>
    <t>Profit/(Loss) - Starting Line - Cash Flow</t>
  </si>
  <si>
    <t>Non-cash Items &amp; Reconciliation Adjustments - Cash Flow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</si>
  <si>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</si>
  <si>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</si>
  <si>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</si>
  <si>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Impairment - Property, Plant &amp; Equipment including Intangible Assets - Cash Flow - to Reconcile</t>
  </si>
  <si>
    <t>Deferred Income Taxes &amp; Income Tax Credits - Cash Flow - to Reconcile</t>
  </si>
  <si>
    <t>Assets Sale - Gain/(Loss) - Cash Flow - to Reconcile</t>
  </si>
  <si>
    <t>Share Based Payments - Cash Flow - to Reconcile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</si>
  <si>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</si>
  <si>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</si>
  <si>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</si>
  <si>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</si>
  <si>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Prepaid Expenses - Decrease/(Increase) - Cash Flow</t>
  </si>
  <si>
    <t>Other Assets - Decrease/(Increase) - Cash Flow</t>
  </si>
  <si>
    <t>Accrued Expenses - Increase/(Decrease) - Cash Flow</t>
  </si>
  <si>
    <t>Accounts Payable and Accrued Expenses - Increase/(Decrease) - Cash Flow</t>
  </si>
  <si>
    <t>Other Liabilities - Increase/(Decrease) -Total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</si>
  <si>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</si>
  <si>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</si>
  <si>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</si>
  <si>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</si>
  <si>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</si>
  <si>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</si>
  <si>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</si>
  <si>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</si>
  <si>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</si>
  <si>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</si>
  <si>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</si>
  <si>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</si>
  <si>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</si>
  <si>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</si>
  <si>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</si>
  <si>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</si>
  <si>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</si>
  <si>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</si>
  <si>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Repurchased/Retired - Cash Flow</t>
  </si>
  <si>
    <t>Debt - Long-Term &amp; Short-Term - Issuance/(Retirement) - Total - Cash Flow</t>
  </si>
  <si>
    <t>Debt - Issued/(Reduced) - Short-Term - Total - Cash Flow</t>
  </si>
  <si>
    <t>Debt - Issued - Short-Term - Cash Flow</t>
  </si>
  <si>
    <t>Debt - Reduced - Short-Term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</si>
  <si>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</si>
  <si>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</si>
  <si>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</si>
  <si>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</si>
  <si>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</si>
  <si>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Other Financing Cash Flow - Increase/(Decrease)</t>
  </si>
  <si>
    <t>Tax Payments or Benefits relating to Stock-based Compensation/Buyback/Withheld shares</t>
  </si>
  <si>
    <t>Net Cash Flow from Financing Activities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</si>
  <si>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</si>
  <si>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</si>
  <si>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</si>
  <si>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</si>
  <si>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</si>
  <si>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</si>
  <si>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</si>
  <si>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</si>
  <si>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</si>
  <si>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</si>
  <si>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</si>
  <si>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</si>
  <si>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</si>
  <si>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</si>
  <si>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Dividends Provided/Paid - Common</t>
  </si>
  <si>
    <t>FINANCIAL DATA</t>
  </si>
  <si>
    <t>Peer Ticket</t>
  </si>
  <si>
    <t>MLM, KNF, CRH, CX, EXP</t>
  </si>
  <si>
    <t>Selling, General &amp; Administrative Expenses - Unclassified</t>
  </si>
  <si>
    <t>Labor &amp; Related Expenses including Stock-Based Compensation in Selling, General &amp; Administrative Expenses</t>
  </si>
  <si>
    <t>Non-Interest Financial Income/(Expense) - Total</t>
  </si>
  <si>
    <t>Accretion - Site Closure &amp; Reclamation Expenses</t>
  </si>
  <si>
    <t>Discontinued Operations - Net - Income/(Expense)</t>
  </si>
  <si>
    <t>Other Comprehensive Income - Foreign Currency</t>
  </si>
  <si>
    <t>Variable Lease Expense - Unclassified - Supplemental</t>
  </si>
  <si>
    <t>Mining/Exploration Specific Assets - Gross</t>
  </si>
  <si>
    <t>Assets Held for Sale/Discontinued Operations - Long-Term</t>
  </si>
  <si>
    <t>Brands, Patents, Trademarks, Marketing &amp; Artistic Intangibles - Net</t>
  </si>
  <si>
    <t>Preferred Shareholders Equity</t>
  </si>
  <si>
    <t>Preferred Stock - Non-Redeemable</t>
  </si>
  <si>
    <t>Foreign Currency Translation Adjustment - Accumulated</t>
  </si>
  <si>
    <t>Right of Use Tangible Assets - Capital/Finance Lease - Net - Supplemental</t>
  </si>
  <si>
    <t>Debt - Long-Term - Maturities - Year 2</t>
  </si>
  <si>
    <t>Debt - Long-Term - Maturities - Year 4</t>
  </si>
  <si>
    <t>Debt - Long-Term - Maturities - Year 5</t>
  </si>
  <si>
    <t>Debt - Long-Term - Maturities - 4-5 Years</t>
  </si>
  <si>
    <t>Investment Securities - Sold/Matured - Unclassified - Cash Flow</t>
  </si>
  <si>
    <t>Investment Securities - Unclassified - Sold/(Purchased) - Net - Total - Cash Flow</t>
  </si>
  <si>
    <t>Investments excluding Loans - Decrease/(Increase) - Cash Flow</t>
  </si>
  <si>
    <t>Other Assets &amp; Liabilities - Increase/(Decrease) - Net - Cash Flow</t>
  </si>
  <si>
    <t>Accounts Payable - Increase/(Decrease) - Cash Flow</t>
  </si>
  <si>
    <t>Fair Value Adjustments - Financial Investments</t>
  </si>
  <si>
    <t>Valuation of Inventory - Gain/(Loss)</t>
  </si>
  <si>
    <t>Prepaid Expenses - Short-Term</t>
  </si>
  <si>
    <t>Deferred Income - Short-Term</t>
  </si>
  <si>
    <t>Common Stock - Treasury/Repurchased</t>
  </si>
  <si>
    <t>Contract Assets - Short-Term - Unbilled Revenue in Excess of Advance Consideration &amp; Progress Billings</t>
  </si>
  <si>
    <t>Contract Liabilities - Short-Term - Advance Consideration &amp; Progress Billings in Excess of Unbilled Revenue</t>
  </si>
  <si>
    <t>Order Backlog</t>
  </si>
  <si>
    <t>Options Exercised - Cash Flow</t>
  </si>
  <si>
    <t>Equity Income/(Loss) in Net Earnings - Cash Flow - to Reconcile</t>
  </si>
  <si>
    <t>Income Tax - Receivables - Short-Term</t>
  </si>
  <si>
    <t>Investments in Associates, Joint Ventures and Unconsolidated Subsidiaries</t>
  </si>
  <si>
    <t>Income Taxes - Payable - Short-Term</t>
  </si>
  <si>
    <t>Minority Interest - Non-Equity</t>
  </si>
  <si>
    <t>Common Shares - Issued - Issue Specific - DR</t>
  </si>
  <si>
    <t>Common Shares - Outstanding - Issue Specific - DR</t>
  </si>
  <si>
    <t>Common Shares - Treasury - Issue Specific - DR</t>
  </si>
  <si>
    <t>Share/Per Share - Preferred</t>
  </si>
  <si>
    <t>Preferred Shares - Authorized - Issue Specific</t>
  </si>
  <si>
    <t>Preferred Shares - Issued - Issue Specific</t>
  </si>
  <si>
    <t>Preferred Shares - Outstanding - Issue Specific</t>
  </si>
  <si>
    <t>Preferred Shares - Treasury - Issue Specific</t>
  </si>
  <si>
    <t>Income Taxes - Payable - Long-Term &amp; Short-Term</t>
  </si>
  <si>
    <t>Foreign Exchange Effects - Cash Flow</t>
  </si>
  <si>
    <t>Foreign Exchange Effects</t>
  </si>
  <si>
    <t>Debt - Reduced - Long-Term &amp; Short-Term - Cash Flow</t>
  </si>
  <si>
    <t>Debt - Issued - Long-Term &amp; Short-Term - Cash Flow</t>
  </si>
  <si>
    <t>Debt - Issued/(Reduced) - Long-Term &amp; Short-Term - Cash Flow</t>
  </si>
  <si>
    <t>Minority Interests &amp; Joint Ventures - Net - Cash Flow</t>
  </si>
  <si>
    <t>Derivative Financial Instruments - Hedging - Sold/(Purchased) -Total - Cash Flow</t>
  </si>
  <si>
    <t>Operating Lease Liabilities - Increase/(Decrease) - Cash Flow</t>
  </si>
  <si>
    <t>x</t>
  </si>
  <si>
    <t>Variable Financial Lease Expenses - Supplemental</t>
  </si>
  <si>
    <t>DPS - Common - Net - Issue - DR - By Announcement Date</t>
  </si>
  <si>
    <t>DPS - Common - Gross - Issue - DR - By Announcement Date</t>
  </si>
  <si>
    <t>Comprehensive Earnings Per Share - Diluted - Issue Specific - DR</t>
  </si>
  <si>
    <t>EPS - Diluted - excluding Extraordinary Items - Normalized - Issue Specific - DR</t>
  </si>
  <si>
    <t>EPS - Diluted - excluding Extraordinary Items Applicable to Common - Issue Specific - DR</t>
  </si>
  <si>
    <t>EPS - Diluted - including Extraordinary Items Applicable to Common - Issue Specific - DR</t>
  </si>
  <si>
    <t>Shares used to calculate Diluted EPS - Issue Specific - DR</t>
  </si>
  <si>
    <t>Comprehensive Earnings Per Share - Basic - Issue Specific - DR</t>
  </si>
  <si>
    <t>EPS - Basic - excluding Extraordinary Items - Normalized - Issue Specific - DR</t>
  </si>
  <si>
    <t>EPS - Basic - excluding Extraordinary Items Applicable to Common - Issue Specific - DR</t>
  </si>
  <si>
    <t>EPS - Basic - including Extraordinary Items Applicable to Common - Issue Specific - DR</t>
  </si>
  <si>
    <t>Shares used to calculate Basic EPS - Issue Specific - DR</t>
  </si>
  <si>
    <t>Equity in Earnings/(Loss) of Affiliates (after Taxes)</t>
  </si>
  <si>
    <t>Amortization of Intangibles in Selling, General &amp; Administrative Expenses</t>
  </si>
  <si>
    <t>Ground leases/Rental Expenses in Cost of Revenues</t>
  </si>
  <si>
    <t>Material Expenses</t>
  </si>
  <si>
    <t>Cost of Revenues - Unclassified</t>
  </si>
  <si>
    <t>DPS - Common - Net - Issue - CPO - By Announcement Date</t>
  </si>
  <si>
    <t>DPS - Common - Gross - Issue - CPO - By Announcement Date</t>
  </si>
  <si>
    <t>EPS - Diluted - excluding Extraordinary Items - Normalized - Issue Specific - CPO</t>
  </si>
  <si>
    <t>EPS - Diluted - excluding Extraordinary Items Applicable to Common - Issue Specific - CPO</t>
  </si>
  <si>
    <t>EPS - Diluted - including Extraordinary Items Applicable to Common - Issue Specific - CPO</t>
  </si>
  <si>
    <t>Shares used to calculate Diluted EPS - Issue Specific - CPO</t>
  </si>
  <si>
    <t>EPS - Basic - excluding Extraordinary Items - Normalized - Issue Specific - CPO</t>
  </si>
  <si>
    <t>EPS - Basic - excluding Extraordinary Items Applicable to Common - Issue Specific - CPO</t>
  </si>
  <si>
    <t>EPS - Basic - including Extraordinary Items Applicable to Common - Issue Specific - CPO</t>
  </si>
  <si>
    <t>Shares used to calculate Basic EPS - Issue Specific - CPO</t>
  </si>
  <si>
    <t>Equity Earnings/(Loss) - before Taxes including Non-Recurring</t>
  </si>
  <si>
    <t>Non-Interest Financial Income/(Expense) - Other - Net</t>
  </si>
  <si>
    <t>Foreign Exchange Gain/(Loss) - Non-Business</t>
  </si>
  <si>
    <t>Other Operating Income - Total</t>
  </si>
  <si>
    <t>Short-Term Investments - Total</t>
  </si>
  <si>
    <t>Financial Assets - Short-Term</t>
  </si>
  <si>
    <t>Financial Assets - Long-Term</t>
  </si>
  <si>
    <t>Receivables &amp; Loans - Long-Term</t>
  </si>
  <si>
    <t>Loans - Long-Term</t>
  </si>
  <si>
    <t>Deferred Tax - Asset - Long-Term</t>
  </si>
  <si>
    <t>Provisions - Short-Term</t>
  </si>
  <si>
    <t>Comprehensive Income - Other - Total</t>
  </si>
  <si>
    <t>Common Shares - Issued - Issue Specific - CPO</t>
  </si>
  <si>
    <t>Common Shares - Outstanding - Issue Specific - CPO</t>
  </si>
  <si>
    <t>Common Shares - Treasury - Issue Specific - CPO</t>
  </si>
  <si>
    <t>31-03-2025</t>
  </si>
  <si>
    <t>Intangible Assets - Gross - Total</t>
  </si>
  <si>
    <t>Goodwill/Cost in Excess of Assets Purchased - Gross</t>
  </si>
  <si>
    <t>Intangible Assets - excluding Goodwill - Gross</t>
  </si>
  <si>
    <t>Brands, Patents, Trademarks, Marketing &amp; Artistic Intangibles - Gross</t>
  </si>
  <si>
    <t>Licenses, Franchises, Copyrights, Property Rights, Prototypes, Contract Based, Models &amp; Designs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</si>
  <si>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</si>
  <si>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</si>
  <si>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</si>
  <si>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</si>
  <si>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Brands, Patents, Trademarks, Marketing &amp; Artistic Intangibles - Accumulated Amortization &amp; Impairment</t>
  </si>
  <si>
    <t>Licenses, Franchises, Copy/Property Rights, Prototypes, Contract Based, Models &amp; Designs - Accumulated Amortization &amp; Impairment</t>
  </si>
  <si>
    <t>Intangible Assets - Other - Accumulated Amortization &amp; Impairment</t>
  </si>
  <si>
    <t>Dividends/Distributions Payable</t>
  </si>
  <si>
    <t>Preferred Stock - Convertible - Non-Redeemable</t>
  </si>
  <si>
    <t>Dividends Payable</t>
  </si>
  <si>
    <t>Taxes Payable - Increase/(Decrease) - Cash Flow</t>
  </si>
  <si>
    <t>Interest &amp; Dividends - Received - Cash Flow - Supplemental</t>
  </si>
  <si>
    <t>Stock - Common - Issued/Sold - Cash Flow</t>
  </si>
  <si>
    <t>Intangible Assets - Purchased/Acquired - Cash Flow</t>
  </si>
  <si>
    <t>Intangible Assets - Purchased/(Sold) - Net - Total - Cash Flow</t>
  </si>
  <si>
    <t>Interest &amp; Dividends - Received - Total - Cash Flow</t>
  </si>
  <si>
    <t>Interest Paid - Cash</t>
  </si>
  <si>
    <t>Income Taxes - Paid/(Reimbursed) - Cash Flow</t>
  </si>
  <si>
    <t>Financial Assets - Unrealized Gain/(Loss) - Cash Flow - to Reconcile</t>
  </si>
  <si>
    <t>Financial Income/(Expense) - Cash Flow - to Reconcile</t>
  </si>
  <si>
    <t>Income Tax Expense - Cash Flow - to Reconcile</t>
  </si>
  <si>
    <t>Discontinued Operations - Gain/(Loss) - Net of Tax - Cash Flow - to Reconcile</t>
  </si>
  <si>
    <t>Balance Sheet - Standardized (Currency: Standardized) - MLM Ticket</t>
  </si>
  <si>
    <t>Balance Sheet - Standardized (Currency: Standardized) - KNF Ticket</t>
  </si>
  <si>
    <t>Balance Sheet - Standardized (Currency: Standardized) - CRH Ticket</t>
  </si>
  <si>
    <t>Balance Sheet - Standardized (Currency: Standardized) - CX Ticket</t>
  </si>
  <si>
    <t>Balance Sheet - Standardized (Currency: Standardized) - EXP Ticket</t>
  </si>
  <si>
    <t>This file consist of</t>
  </si>
  <si>
    <t xml:space="preserve">Financial Statement </t>
  </si>
  <si>
    <t xml:space="preserve">5 years </t>
  </si>
  <si>
    <t xml:space="preserve">Vulcan - VMC </t>
  </si>
  <si>
    <t>Peer ticket</t>
  </si>
  <si>
    <t>8 Quarters</t>
  </si>
  <si>
    <t>5 Years of Vulcan Statement</t>
  </si>
  <si>
    <t>MLM TICKET</t>
  </si>
  <si>
    <t>KNF Ticket</t>
  </si>
  <si>
    <t>CX Ticket</t>
  </si>
  <si>
    <t>EXP Ticket</t>
  </si>
  <si>
    <t>30-09-2025</t>
  </si>
  <si>
    <t>30-06-2025</t>
  </si>
  <si>
    <t>30-09-2024</t>
  </si>
  <si>
    <t>30-06-2024</t>
  </si>
  <si>
    <t>31-03-2024</t>
  </si>
  <si>
    <t>Right of Use Tangible Assets - Capital/Finance Lease - Accumulated Depreciation</t>
  </si>
  <si>
    <t>Right of Use Tangible Assets - Total - Accumulated Depreciation - Supplemental</t>
  </si>
  <si>
    <t>Right of Use Tangible Assets - Operating Lease - Accumulated Depreciation - Supplemental</t>
  </si>
  <si>
    <t>Right of Use Tangible Assets - Capital/Finance Lease - Accumulated Depreciation - Supplemental</t>
  </si>
  <si>
    <t>Property, Plant &amp; Equipment - excluding Right of Use Tangible Assets &amp; Capital Leases - Accumulated Depreciation</t>
  </si>
  <si>
    <t>Provision for Income Tax Expense- Unclassified</t>
  </si>
  <si>
    <t>8 Quarters of Financial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</si>
</sst>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\x"/>
    <numFmt numFmtId="165" formatCode="#,##0.0"/>
    <numFmt numFmtId="166" formatCode="yyyy\-mm\-dd"/>
    <numFmt numFmtId="167" formatCode="\$#,##0.00"/>
    <numFmt numFmtId="168" formatCode="\$#,##0.0"/>
    <numFmt numFmtId="169" formatCode="[&gt;=100]##,##0.0\%;[&lt;=-100]\-##,##0.0\%;##,##0.0\%"/>
  </numFmts>
  <fonts count="19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sz val="11"/>
      <color rgb="FF000000"/>
      <name val="Calibri"/>
      <family val="2"/>
    </font>
    <font>
      <b/>
      <sz val="10"/>
      <color rgb="FFF5475B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5475B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D9E8F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4D79B"/>
        <bgColor rgb="FF000000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/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1"/>
      </left>
      <right/>
      <top/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  <border>
      <left style="thin">
        <color rgb="FFD5D8DB"/>
      </left>
      <right style="thin">
        <color rgb="FFD5D8DB"/>
      </right>
      <top/>
      <bottom style="thin">
        <color rgb="FFD5D8DB"/>
      </bottom>
      <diagonal/>
    </border>
    <border>
      <left/>
      <right style="thin">
        <color rgb="FFD5D8DB"/>
      </right>
      <top style="thin">
        <color rgb="FFD5D8DB"/>
      </top>
      <bottom style="thin">
        <color rgb="FFD5D8DB"/>
      </bottom>
      <diagonal/>
    </border>
    <border>
      <left/>
      <right style="thin">
        <color rgb="FF334BFF"/>
      </right>
      <top style="thin">
        <color rgb="FF334BFF"/>
      </top>
      <bottom style="thin">
        <color rgb="FF334BFF"/>
      </bottom>
      <diagonal/>
    </border>
    <border>
      <left/>
      <right style="thin">
        <color rgb="FFD5D8DB"/>
      </right>
      <top/>
      <bottom style="thin">
        <color rgb="FFD5D8DB"/>
      </bottom>
      <diagonal/>
    </border>
  </borders>
  <cellStyleXfs count="2">
    <xf numFmtId="0" fontId="0" fillId="0" borderId="0"/>
    <xf numFmtId="0" fontId="11" fillId="0" borderId="0" applyNumberFormat="0" applyBorder="0" applyAlignment="0"/>
  </cellStyleXfs>
  <cellXfs count="20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 applyAlignment="1">
      <alignment wrapText="1"/>
    </xf>
    <xf numFmtId="0" fontId="4" fillId="3" borderId="1" xfId="0" applyFont="1" applyFill="1" applyBorder="1"/>
    <xf numFmtId="0" fontId="2" fillId="0" borderId="1" xfId="0" applyFont="1" applyBorder="1"/>
    <xf numFmtId="10" fontId="0" fillId="0" borderId="1" xfId="0" applyNumberFormat="1" applyBorder="1"/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0" fontId="0" fillId="4" borderId="1" xfId="0" applyFill="1" applyBorder="1"/>
    <xf numFmtId="0" fontId="1" fillId="5" borderId="2" xfId="0" applyFont="1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0" fillId="5" borderId="7" xfId="0" applyFill="1" applyBorder="1" applyAlignment="1">
      <alignment vertical="center"/>
    </xf>
    <xf numFmtId="0" fontId="0" fillId="5" borderId="13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2" fillId="5" borderId="8" xfId="0" applyFont="1" applyFill="1" applyBorder="1" applyAlignment="1">
      <alignment vertical="center"/>
    </xf>
    <xf numFmtId="10" fontId="0" fillId="5" borderId="14" xfId="0" applyNumberForma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10" fontId="0" fillId="5" borderId="2" xfId="0" applyNumberFormat="1" applyFill="1" applyBorder="1" applyAlignment="1">
      <alignment vertical="center"/>
    </xf>
    <xf numFmtId="10" fontId="0" fillId="5" borderId="9" xfId="0" applyNumberFormat="1" applyFill="1" applyBorder="1" applyAlignment="1">
      <alignment vertical="center"/>
    </xf>
    <xf numFmtId="164" fontId="0" fillId="5" borderId="2" xfId="0" applyNumberFormat="1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2" fillId="5" borderId="11" xfId="0" applyFont="1" applyFill="1" applyBorder="1" applyAlignment="1">
      <alignment vertical="center"/>
    </xf>
    <xf numFmtId="0" fontId="0" fillId="5" borderId="4" xfId="0" applyFill="1" applyBorder="1" applyAlignment="1">
      <alignment vertical="center"/>
    </xf>
    <xf numFmtId="10" fontId="0" fillId="5" borderId="3" xfId="0" applyNumberFormat="1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5" borderId="12" xfId="0" applyFill="1" applyBorder="1" applyAlignment="1">
      <alignment vertical="center"/>
    </xf>
    <xf numFmtId="0" fontId="2" fillId="7" borderId="22" xfId="0" applyFont="1" applyFill="1" applyBorder="1" applyAlignment="1">
      <alignment vertical="center"/>
    </xf>
    <xf numFmtId="0" fontId="0" fillId="7" borderId="22" xfId="0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5" borderId="21" xfId="0" applyFill="1" applyBorder="1" applyAlignment="1">
      <alignment vertical="center"/>
    </xf>
    <xf numFmtId="166" fontId="0" fillId="5" borderId="5" xfId="0" applyNumberFormat="1" applyFill="1" applyBorder="1" applyAlignment="1">
      <alignment vertical="center"/>
    </xf>
    <xf numFmtId="167" fontId="0" fillId="5" borderId="5" xfId="0" applyNumberFormat="1" applyFill="1" applyBorder="1" applyAlignment="1">
      <alignment vertical="center"/>
    </xf>
    <xf numFmtId="0" fontId="0" fillId="5" borderId="5" xfId="0" applyFill="1" applyBorder="1" applyAlignment="1">
      <alignment vertical="center"/>
    </xf>
    <xf numFmtId="10" fontId="0" fillId="5" borderId="5" xfId="0" applyNumberFormat="1" applyFill="1" applyBorder="1" applyAlignment="1">
      <alignment vertical="center"/>
    </xf>
    <xf numFmtId="165" fontId="0" fillId="5" borderId="5" xfId="0" applyNumberFormat="1" applyFill="1" applyBorder="1" applyAlignment="1">
      <alignment vertical="center"/>
    </xf>
    <xf numFmtId="10" fontId="0" fillId="5" borderId="18" xfId="0" applyNumberFormat="1" applyFill="1" applyBorder="1" applyAlignment="1">
      <alignment vertical="center"/>
    </xf>
    <xf numFmtId="165" fontId="0" fillId="5" borderId="19" xfId="0" applyNumberFormat="1" applyFill="1" applyBorder="1" applyAlignment="1">
      <alignment vertical="center"/>
    </xf>
    <xf numFmtId="0" fontId="4" fillId="5" borderId="23" xfId="0" applyFont="1" applyFill="1" applyBorder="1" applyAlignment="1">
      <alignment vertical="center"/>
    </xf>
    <xf numFmtId="167" fontId="0" fillId="5" borderId="20" xfId="0" applyNumberFormat="1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5" borderId="24" xfId="0" applyFill="1" applyBorder="1" applyAlignment="1">
      <alignment vertical="center"/>
    </xf>
    <xf numFmtId="0" fontId="0" fillId="5" borderId="25" xfId="0" applyFill="1" applyBorder="1" applyAlignment="1">
      <alignment vertical="center"/>
    </xf>
    <xf numFmtId="0" fontId="2" fillId="5" borderId="0" xfId="0" applyFont="1" applyFill="1" applyAlignment="1">
      <alignment vertical="center"/>
    </xf>
    <xf numFmtId="0" fontId="0" fillId="5" borderId="0" xfId="0" applyFill="1" applyAlignment="1">
      <alignment vertical="center" wrapText="1"/>
    </xf>
    <xf numFmtId="10" fontId="0" fillId="5" borderId="4" xfId="0" applyNumberFormat="1" applyFill="1" applyBorder="1" applyAlignment="1">
      <alignment vertical="center"/>
    </xf>
    <xf numFmtId="0" fontId="0" fillId="5" borderId="30" xfId="0" applyFill="1" applyBorder="1" applyAlignment="1">
      <alignment vertical="center"/>
    </xf>
    <xf numFmtId="0" fontId="0" fillId="5" borderId="31" xfId="0" applyFill="1" applyBorder="1" applyAlignment="1">
      <alignment vertical="center"/>
    </xf>
    <xf numFmtId="0" fontId="2" fillId="5" borderId="32" xfId="0" applyFont="1" applyFill="1" applyBorder="1" applyAlignment="1">
      <alignment vertical="center"/>
    </xf>
    <xf numFmtId="10" fontId="0" fillId="5" borderId="7" xfId="0" applyNumberFormat="1" applyFill="1" applyBorder="1" applyAlignment="1">
      <alignment vertical="center"/>
    </xf>
    <xf numFmtId="10" fontId="0" fillId="5" borderId="27" xfId="0" applyNumberFormat="1" applyFill="1" applyBorder="1" applyAlignment="1">
      <alignment vertical="center"/>
    </xf>
    <xf numFmtId="165" fontId="0" fillId="5" borderId="27" xfId="0" applyNumberFormat="1" applyFill="1" applyBorder="1" applyAlignment="1">
      <alignment vertical="center"/>
    </xf>
    <xf numFmtId="14" fontId="0" fillId="5" borderId="27" xfId="0" applyNumberFormat="1" applyFill="1" applyBorder="1" applyAlignment="1">
      <alignment vertical="center"/>
    </xf>
    <xf numFmtId="0" fontId="2" fillId="5" borderId="26" xfId="0" applyFont="1" applyFill="1" applyBorder="1" applyAlignment="1">
      <alignment vertical="center"/>
    </xf>
    <xf numFmtId="0" fontId="2" fillId="5" borderId="28" xfId="0" applyFont="1" applyFill="1" applyBorder="1" applyAlignment="1">
      <alignment vertical="center"/>
    </xf>
    <xf numFmtId="0" fontId="0" fillId="5" borderId="33" xfId="0" applyFill="1" applyBorder="1" applyAlignment="1">
      <alignment vertical="center" wrapText="1"/>
    </xf>
    <xf numFmtId="0" fontId="2" fillId="5" borderId="33" xfId="0" applyFont="1" applyFill="1" applyBorder="1" applyAlignment="1">
      <alignment vertical="center"/>
    </xf>
    <xf numFmtId="14" fontId="0" fillId="5" borderId="29" xfId="0" applyNumberFormat="1" applyFill="1" applyBorder="1" applyAlignment="1">
      <alignment vertical="center"/>
    </xf>
    <xf numFmtId="0" fontId="2" fillId="6" borderId="17" xfId="0" applyFont="1" applyFill="1" applyBorder="1" applyAlignment="1">
      <alignment vertical="center"/>
    </xf>
    <xf numFmtId="0" fontId="0" fillId="6" borderId="15" xfId="0" applyFill="1" applyBorder="1" applyAlignment="1">
      <alignment vertical="center"/>
    </xf>
    <xf numFmtId="0" fontId="2" fillId="6" borderId="15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0" fontId="0" fillId="5" borderId="32" xfId="0" applyFill="1" applyBorder="1" applyAlignment="1">
      <alignment vertical="center"/>
    </xf>
    <xf numFmtId="0" fontId="6" fillId="6" borderId="22" xfId="0" applyFont="1" applyFill="1" applyBorder="1" applyAlignment="1">
      <alignment vertical="center"/>
    </xf>
    <xf numFmtId="0" fontId="6" fillId="6" borderId="19" xfId="0" applyFont="1" applyFill="1" applyBorder="1" applyAlignment="1">
      <alignment vertical="center"/>
    </xf>
    <xf numFmtId="0" fontId="2" fillId="5" borderId="35" xfId="0" applyFont="1" applyFill="1" applyBorder="1" applyAlignment="1">
      <alignment vertical="center"/>
    </xf>
    <xf numFmtId="164" fontId="0" fillId="5" borderId="7" xfId="0" applyNumberFormat="1" applyFill="1" applyBorder="1" applyAlignment="1">
      <alignment vertical="center"/>
    </xf>
    <xf numFmtId="0" fontId="0" fillId="5" borderId="39" xfId="0" applyFill="1" applyBorder="1" applyAlignment="1">
      <alignment vertical="center"/>
    </xf>
    <xf numFmtId="0" fontId="7" fillId="8" borderId="40" xfId="0" applyFont="1" applyFill="1" applyBorder="1" applyAlignment="1">
      <alignment wrapText="1"/>
    </xf>
    <xf numFmtId="0" fontId="7" fillId="8" borderId="40" xfId="0" applyFont="1" applyFill="1" applyBorder="1"/>
    <xf numFmtId="0" fontId="7" fillId="8" borderId="40" xfId="0" applyFont="1" applyFill="1" applyBorder="1" applyAlignment="1">
      <alignment horizontal="left" vertical="center" wrapText="1"/>
    </xf>
    <xf numFmtId="0" fontId="8" fillId="9" borderId="41" xfId="0" applyFont="1" applyFill="1" applyBorder="1" applyAlignment="1">
      <alignment horizontal="left" vertical="center" wrapText="1"/>
    </xf>
    <xf numFmtId="0" fontId="0" fillId="9" borderId="41" xfId="0" applyFill="1" applyBorder="1" applyAlignment="1">
      <alignment wrapText="1"/>
    </xf>
    <xf numFmtId="0" fontId="9" fillId="0" borderId="41" xfId="0" applyFont="1" applyBorder="1" applyAlignment="1">
      <alignment vertical="center" wrapText="1"/>
    </xf>
    <xf numFmtId="165" fontId="9" fillId="0" borderId="41" xfId="0" applyNumberFormat="1" applyFont="1" applyBorder="1" applyAlignment="1">
      <alignment horizontal="right" vertical="center" wrapText="1"/>
    </xf>
    <xf numFmtId="0" fontId="9" fillId="0" borderId="41" xfId="0" applyFont="1" applyBorder="1" applyAlignment="1">
      <alignment horizontal="left" vertical="center" wrapText="1" indent="2"/>
    </xf>
    <xf numFmtId="0" fontId="8" fillId="0" borderId="41" xfId="0" applyFont="1" applyBorder="1" applyAlignment="1">
      <alignment vertical="center" wrapText="1"/>
    </xf>
    <xf numFmtId="165" fontId="8" fillId="0" borderId="41" xfId="0" applyNumberFormat="1" applyFont="1" applyBorder="1" applyAlignment="1">
      <alignment horizontal="right" vertical="center" wrapText="1"/>
    </xf>
    <xf numFmtId="4" fontId="9" fillId="0" borderId="41" xfId="0" applyNumberFormat="1" applyFont="1" applyBorder="1" applyAlignment="1">
      <alignment horizontal="right" vertical="center" wrapText="1"/>
    </xf>
    <xf numFmtId="4" fontId="10" fillId="0" borderId="41" xfId="0" applyNumberFormat="1" applyFont="1" applyBorder="1" applyAlignment="1">
      <alignment horizontal="right" vertical="center" wrapText="1"/>
    </xf>
    <xf numFmtId="3" fontId="9" fillId="0" borderId="41" xfId="0" applyNumberFormat="1" applyFont="1" applyBorder="1" applyAlignment="1">
      <alignment horizontal="right" vertical="center" wrapText="1"/>
    </xf>
    <xf numFmtId="165" fontId="10" fillId="0" borderId="41" xfId="0" applyNumberFormat="1" applyFont="1" applyBorder="1" applyAlignment="1">
      <alignment horizontal="right" vertical="center" wrapText="1"/>
    </xf>
    <xf numFmtId="0" fontId="9" fillId="0" borderId="41" xfId="0" applyFont="1" applyBorder="1" applyAlignment="1">
      <alignment horizontal="left" vertical="center" wrapText="1" indent="4"/>
    </xf>
    <xf numFmtId="0" fontId="9" fillId="0" borderId="41" xfId="0" applyFont="1" applyBorder="1" applyAlignment="1">
      <alignment horizontal="left" vertical="center" wrapText="1" indent="6"/>
    </xf>
    <xf numFmtId="165" fontId="12" fillId="0" borderId="41" xfId="0" applyNumberFormat="1" applyFont="1" applyBorder="1" applyAlignment="1">
      <alignment horizontal="right" vertical="center" wrapText="1"/>
    </xf>
    <xf numFmtId="4" fontId="12" fillId="0" borderId="41" xfId="0" applyNumberFormat="1" applyFont="1" applyBorder="1" applyAlignment="1">
      <alignment horizontal="right" vertical="center" wrapText="1"/>
    </xf>
    <xf numFmtId="3" fontId="10" fillId="0" borderId="41" xfId="0" applyNumberFormat="1" applyFont="1" applyBorder="1" applyAlignment="1">
      <alignment horizontal="right" vertical="center" wrapText="1"/>
    </xf>
    <xf numFmtId="0" fontId="0" fillId="5" borderId="38" xfId="0" applyFill="1" applyBorder="1" applyAlignment="1">
      <alignment horizontal="left" vertical="center"/>
    </xf>
    <xf numFmtId="0" fontId="0" fillId="5" borderId="13" xfId="0" applyFill="1" applyBorder="1" applyAlignment="1">
      <alignment horizontal="left" vertical="center"/>
    </xf>
    <xf numFmtId="0" fontId="0" fillId="5" borderId="34" xfId="0" applyFill="1" applyBorder="1" applyAlignment="1">
      <alignment horizontal="left" vertical="center"/>
    </xf>
    <xf numFmtId="0" fontId="0" fillId="5" borderId="36" xfId="0" applyFill="1" applyBorder="1" applyAlignment="1">
      <alignment horizontal="left" vertical="center"/>
    </xf>
    <xf numFmtId="0" fontId="0" fillId="5" borderId="31" xfId="0" applyFill="1" applyBorder="1" applyAlignment="1">
      <alignment horizontal="left" vertical="center"/>
    </xf>
    <xf numFmtId="0" fontId="0" fillId="5" borderId="37" xfId="0" applyFill="1" applyBorder="1" applyAlignment="1">
      <alignment horizontal="left" vertical="center"/>
    </xf>
    <xf numFmtId="0" fontId="0" fillId="5" borderId="26" xfId="0" applyFill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5" borderId="27" xfId="0" applyFill="1" applyBorder="1" applyAlignment="1">
      <alignment horizontal="left" vertical="center"/>
    </xf>
    <xf numFmtId="0" fontId="0" fillId="5" borderId="28" xfId="0" applyFill="1" applyBorder="1" applyAlignment="1">
      <alignment horizontal="left" vertical="center"/>
    </xf>
    <xf numFmtId="0" fontId="0" fillId="5" borderId="33" xfId="0" applyFill="1" applyBorder="1" applyAlignment="1">
      <alignment horizontal="left" vertical="center"/>
    </xf>
    <xf numFmtId="0" fontId="0" fillId="5" borderId="29" xfId="0" applyFill="1" applyBorder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6" borderId="27" xfId="0" applyFont="1" applyFill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11" fillId="0" borderId="0" xfId="1" applyAlignment="1"/>
    <xf numFmtId="0" fontId="11" fillId="0" borderId="0" xfId="1" applyFill="1" applyAlignment="1"/>
    <xf numFmtId="0" fontId="7" fillId="8" borderId="40" xfId="0" applyFont="1" applyFill="1" applyBorder="1" applyAlignment="1"/>
    <xf numFmtId="0" fontId="7" fillId="8" borderId="40" xfId="0" applyFont="1" applyFill="1" applyBorder="1" applyAlignment="1">
      <alignment horizontal="left" vertical="center"/>
    </xf>
    <xf numFmtId="0" fontId="0" fillId="0" borderId="0" xfId="0" applyAlignment="1"/>
    <xf numFmtId="0" fontId="13" fillId="0" borderId="0" xfId="1" applyFont="1" applyAlignment="1"/>
    <xf numFmtId="0" fontId="8" fillId="9" borderId="41" xfId="0" applyFont="1" applyFill="1" applyBorder="1" applyAlignment="1">
      <alignment horizontal="left" vertical="center"/>
    </xf>
    <xf numFmtId="0" fontId="0" fillId="9" borderId="41" xfId="0" applyFill="1" applyBorder="1" applyAlignment="1"/>
    <xf numFmtId="0" fontId="9" fillId="0" borderId="41" xfId="0" applyFont="1" applyBorder="1" applyAlignment="1">
      <alignment vertical="center"/>
    </xf>
    <xf numFmtId="165" fontId="9" fillId="0" borderId="41" xfId="0" applyNumberFormat="1" applyFont="1" applyBorder="1" applyAlignment="1">
      <alignment horizontal="right" vertical="center"/>
    </xf>
    <xf numFmtId="4" fontId="9" fillId="0" borderId="41" xfId="0" applyNumberFormat="1" applyFont="1" applyBorder="1" applyAlignment="1">
      <alignment horizontal="right" vertical="center"/>
    </xf>
    <xf numFmtId="0" fontId="13" fillId="10" borderId="0" xfId="1" applyFont="1" applyFill="1" applyAlignment="1"/>
    <xf numFmtId="0" fontId="13" fillId="0" borderId="0" xfId="1" applyFont="1" applyFill="1" applyAlignment="1"/>
    <xf numFmtId="0" fontId="2" fillId="10" borderId="0" xfId="0" applyFont="1" applyFill="1" applyAlignment="1"/>
    <xf numFmtId="0" fontId="0" fillId="10" borderId="0" xfId="0" applyFill="1" applyAlignment="1"/>
    <xf numFmtId="0" fontId="14" fillId="11" borderId="0" xfId="0" applyFont="1" applyFill="1" applyAlignment="1"/>
    <xf numFmtId="0" fontId="7" fillId="8" borderId="40" xfId="1" applyFont="1" applyFill="1" applyBorder="1" applyAlignment="1"/>
    <xf numFmtId="0" fontId="7" fillId="0" borderId="0" xfId="1" applyFont="1" applyFill="1" applyBorder="1" applyAlignment="1"/>
    <xf numFmtId="0" fontId="7" fillId="8" borderId="40" xfId="1" applyFont="1" applyFill="1" applyBorder="1" applyAlignment="1">
      <alignment horizontal="left" vertical="center"/>
    </xf>
    <xf numFmtId="0" fontId="7" fillId="0" borderId="0" xfId="1" applyFont="1" applyFill="1" applyBorder="1" applyAlignment="1">
      <alignment horizontal="left" vertical="center"/>
    </xf>
    <xf numFmtId="0" fontId="8" fillId="9" borderId="41" xfId="1" applyFont="1" applyFill="1" applyBorder="1" applyAlignment="1">
      <alignment horizontal="left" vertical="center"/>
    </xf>
    <xf numFmtId="0" fontId="11" fillId="9" borderId="41" xfId="1" applyFill="1" applyBorder="1" applyAlignment="1"/>
    <xf numFmtId="0" fontId="9" fillId="0" borderId="41" xfId="1" applyFont="1" applyBorder="1" applyAlignment="1">
      <alignment vertical="center"/>
    </xf>
    <xf numFmtId="165" fontId="9" fillId="0" borderId="41" xfId="1" applyNumberFormat="1" applyFont="1" applyBorder="1" applyAlignment="1">
      <alignment horizontal="right" vertical="center"/>
    </xf>
    <xf numFmtId="0" fontId="9" fillId="0" borderId="41" xfId="1" applyFont="1" applyBorder="1" applyAlignment="1">
      <alignment horizontal="left" vertical="center"/>
    </xf>
    <xf numFmtId="3" fontId="9" fillId="0" borderId="41" xfId="0" applyNumberFormat="1" applyFont="1" applyBorder="1" applyAlignment="1">
      <alignment horizontal="right" vertical="center"/>
    </xf>
    <xf numFmtId="4" fontId="9" fillId="0" borderId="41" xfId="1" applyNumberFormat="1" applyFont="1" applyBorder="1" applyAlignment="1">
      <alignment horizontal="right" vertical="center"/>
    </xf>
    <xf numFmtId="0" fontId="8" fillId="0" borderId="41" xfId="0" applyFont="1" applyBorder="1" applyAlignment="1">
      <alignment vertical="center"/>
    </xf>
    <xf numFmtId="165" fontId="8" fillId="0" borderId="41" xfId="0" applyNumberFormat="1" applyFont="1" applyBorder="1" applyAlignment="1">
      <alignment horizontal="right" vertical="center"/>
    </xf>
    <xf numFmtId="3" fontId="9" fillId="0" borderId="41" xfId="1" applyNumberFormat="1" applyFont="1" applyBorder="1" applyAlignment="1">
      <alignment horizontal="right" vertical="center"/>
    </xf>
    <xf numFmtId="165" fontId="10" fillId="0" borderId="41" xfId="0" applyNumberFormat="1" applyFont="1" applyBorder="1" applyAlignment="1">
      <alignment horizontal="right" vertical="center"/>
    </xf>
    <xf numFmtId="3" fontId="8" fillId="0" borderId="41" xfId="0" applyNumberFormat="1" applyFont="1" applyBorder="1" applyAlignment="1">
      <alignment horizontal="right" vertical="center"/>
    </xf>
    <xf numFmtId="0" fontId="8" fillId="0" borderId="41" xfId="1" applyFont="1" applyBorder="1" applyAlignment="1">
      <alignment vertical="center"/>
    </xf>
    <xf numFmtId="165" fontId="8" fillId="0" borderId="41" xfId="1" applyNumberFormat="1" applyFont="1" applyBorder="1" applyAlignment="1">
      <alignment horizontal="right" vertical="center"/>
    </xf>
    <xf numFmtId="165" fontId="10" fillId="0" borderId="41" xfId="1" applyNumberFormat="1" applyFont="1" applyBorder="1" applyAlignment="1">
      <alignment horizontal="right" vertical="center"/>
    </xf>
    <xf numFmtId="3" fontId="8" fillId="0" borderId="41" xfId="1" applyNumberFormat="1" applyFont="1" applyBorder="1" applyAlignment="1">
      <alignment horizontal="right" vertical="center"/>
    </xf>
    <xf numFmtId="4" fontId="10" fillId="0" borderId="41" xfId="0" applyNumberFormat="1" applyFont="1" applyBorder="1" applyAlignment="1">
      <alignment horizontal="right" vertical="center"/>
    </xf>
    <xf numFmtId="3" fontId="10" fillId="0" borderId="41" xfId="0" applyNumberFormat="1" applyFont="1" applyBorder="1" applyAlignment="1">
      <alignment horizontal="right" vertical="center"/>
    </xf>
    <xf numFmtId="4" fontId="10" fillId="0" borderId="41" xfId="1" applyNumberFormat="1" applyFont="1" applyBorder="1" applyAlignment="1">
      <alignment horizontal="right" vertical="center"/>
    </xf>
    <xf numFmtId="169" fontId="9" fillId="0" borderId="41" xfId="0" applyNumberFormat="1" applyFont="1" applyBorder="1" applyAlignment="1">
      <alignment horizontal="right" vertical="center"/>
    </xf>
    <xf numFmtId="169" fontId="9" fillId="0" borderId="41" xfId="1" applyNumberFormat="1" applyFont="1" applyBorder="1" applyAlignment="1">
      <alignment horizontal="right" vertical="center"/>
    </xf>
    <xf numFmtId="169" fontId="9" fillId="0" borderId="0" xfId="1" applyNumberFormat="1" applyFont="1" applyFill="1" applyBorder="1" applyAlignment="1">
      <alignment horizontal="right" vertical="center"/>
    </xf>
    <xf numFmtId="0" fontId="11" fillId="0" borderId="0" xfId="1" applyFill="1" applyBorder="1" applyAlignment="1"/>
    <xf numFmtId="4" fontId="9" fillId="0" borderId="0" xfId="1" applyNumberFormat="1" applyFont="1" applyFill="1" applyBorder="1" applyAlignment="1">
      <alignment horizontal="right" vertical="center"/>
    </xf>
    <xf numFmtId="165" fontId="9" fillId="0" borderId="0" xfId="1" applyNumberFormat="1" applyFont="1" applyFill="1" applyBorder="1" applyAlignment="1">
      <alignment horizontal="right" vertical="center"/>
    </xf>
    <xf numFmtId="3" fontId="9" fillId="0" borderId="0" xfId="1" applyNumberFormat="1" applyFont="1" applyFill="1" applyBorder="1" applyAlignment="1">
      <alignment horizontal="right" vertical="center"/>
    </xf>
    <xf numFmtId="165" fontId="8" fillId="0" borderId="0" xfId="1" applyNumberFormat="1" applyFont="1" applyFill="1" applyBorder="1" applyAlignment="1">
      <alignment horizontal="right" vertical="center"/>
    </xf>
    <xf numFmtId="4" fontId="10" fillId="0" borderId="0" xfId="1" applyNumberFormat="1" applyFont="1" applyFill="1" applyBorder="1" applyAlignment="1">
      <alignment horizontal="right" vertical="center"/>
    </xf>
    <xf numFmtId="165" fontId="10" fillId="0" borderId="0" xfId="1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left" vertical="center"/>
    </xf>
    <xf numFmtId="0" fontId="0" fillId="0" borderId="0" xfId="0" applyFill="1" applyBorder="1" applyAlignment="1"/>
    <xf numFmtId="165" fontId="9" fillId="0" borderId="0" xfId="0" applyNumberFormat="1" applyFont="1" applyFill="1" applyBorder="1" applyAlignment="1">
      <alignment horizontal="right" vertical="center"/>
    </xf>
    <xf numFmtId="4" fontId="9" fillId="0" borderId="0" xfId="0" applyNumberFormat="1" applyFont="1" applyFill="1" applyBorder="1" applyAlignment="1">
      <alignment horizontal="right" vertical="center"/>
    </xf>
    <xf numFmtId="3" fontId="9" fillId="0" borderId="0" xfId="0" applyNumberFormat="1" applyFont="1" applyFill="1" applyBorder="1" applyAlignment="1">
      <alignment horizontal="right" vertical="center"/>
    </xf>
    <xf numFmtId="165" fontId="10" fillId="0" borderId="0" xfId="0" applyNumberFormat="1" applyFont="1" applyFill="1" applyBorder="1" applyAlignment="1">
      <alignment horizontal="right" vertical="center"/>
    </xf>
    <xf numFmtId="4" fontId="10" fillId="0" borderId="0" xfId="0" applyNumberFormat="1" applyFont="1" applyFill="1" applyBorder="1" applyAlignment="1">
      <alignment horizontal="right" vertical="center"/>
    </xf>
    <xf numFmtId="165" fontId="8" fillId="0" borderId="0" xfId="0" applyNumberFormat="1" applyFont="1" applyFill="1" applyBorder="1" applyAlignment="1">
      <alignment horizontal="right" vertical="center"/>
    </xf>
    <xf numFmtId="165" fontId="12" fillId="0" borderId="41" xfId="0" applyNumberFormat="1" applyFont="1" applyBorder="1" applyAlignment="1">
      <alignment horizontal="right" vertical="center"/>
    </xf>
    <xf numFmtId="165" fontId="12" fillId="0" borderId="0" xfId="0" applyNumberFormat="1" applyFont="1" applyFill="1" applyBorder="1" applyAlignment="1">
      <alignment horizontal="right" vertical="center"/>
    </xf>
    <xf numFmtId="4" fontId="12" fillId="0" borderId="41" xfId="0" applyNumberFormat="1" applyFont="1" applyBorder="1" applyAlignment="1">
      <alignment horizontal="right" vertical="center"/>
    </xf>
    <xf numFmtId="4" fontId="12" fillId="0" borderId="0" xfId="0" applyNumberFormat="1" applyFont="1" applyFill="1" applyBorder="1" applyAlignment="1">
      <alignment horizontal="right" vertical="center"/>
    </xf>
    <xf numFmtId="3" fontId="8" fillId="0" borderId="0" xfId="1" applyNumberFormat="1" applyFont="1" applyFill="1" applyBorder="1" applyAlignment="1">
      <alignment horizontal="right" vertical="center"/>
    </xf>
    <xf numFmtId="0" fontId="15" fillId="8" borderId="40" xfId="0" applyFont="1" applyFill="1" applyBorder="1" applyAlignment="1">
      <alignment wrapText="1"/>
    </xf>
    <xf numFmtId="0" fontId="16" fillId="9" borderId="41" xfId="0" applyFont="1" applyFill="1" applyBorder="1" applyAlignment="1">
      <alignment horizontal="left" vertical="center" wrapText="1"/>
    </xf>
    <xf numFmtId="0" fontId="14" fillId="9" borderId="43" xfId="0" applyFont="1" applyFill="1" applyBorder="1" applyAlignment="1">
      <alignment wrapText="1"/>
    </xf>
    <xf numFmtId="0" fontId="17" fillId="0" borderId="42" xfId="0" applyFont="1" applyBorder="1" applyAlignment="1">
      <alignment vertical="center" wrapText="1"/>
    </xf>
    <xf numFmtId="165" fontId="17" fillId="0" borderId="45" xfId="0" applyNumberFormat="1" applyFont="1" applyBorder="1" applyAlignment="1">
      <alignment horizontal="right" vertical="center" wrapText="1"/>
    </xf>
    <xf numFmtId="0" fontId="17" fillId="0" borderId="42" xfId="0" applyFont="1" applyBorder="1" applyAlignment="1">
      <alignment horizontal="left" vertical="center" wrapText="1" indent="2"/>
    </xf>
    <xf numFmtId="0" fontId="17" fillId="0" borderId="42" xfId="0" applyFont="1" applyBorder="1" applyAlignment="1">
      <alignment horizontal="left" vertical="center" wrapText="1" indent="4"/>
    </xf>
    <xf numFmtId="4" fontId="17" fillId="0" borderId="45" xfId="0" applyNumberFormat="1" applyFont="1" applyBorder="1" applyAlignment="1">
      <alignment horizontal="right" vertical="center" wrapText="1"/>
    </xf>
    <xf numFmtId="3" fontId="17" fillId="0" borderId="45" xfId="0" applyNumberFormat="1" applyFont="1" applyBorder="1" applyAlignment="1">
      <alignment horizontal="right" vertical="center" wrapText="1"/>
    </xf>
    <xf numFmtId="0" fontId="16" fillId="0" borderId="42" xfId="0" applyFont="1" applyBorder="1" applyAlignment="1">
      <alignment vertical="center" wrapText="1"/>
    </xf>
    <xf numFmtId="165" fontId="16" fillId="0" borderId="45" xfId="0" applyNumberFormat="1" applyFont="1" applyBorder="1" applyAlignment="1">
      <alignment horizontal="right" vertical="center" wrapText="1"/>
    </xf>
    <xf numFmtId="0" fontId="16" fillId="9" borderId="42" xfId="0" applyFont="1" applyFill="1" applyBorder="1" applyAlignment="1">
      <alignment horizontal="left" vertical="center" wrapText="1"/>
    </xf>
    <xf numFmtId="0" fontId="14" fillId="9" borderId="45" xfId="0" applyFont="1" applyFill="1" applyBorder="1" applyAlignment="1">
      <alignment wrapText="1"/>
    </xf>
    <xf numFmtId="0" fontId="17" fillId="0" borderId="42" xfId="0" applyFont="1" applyBorder="1" applyAlignment="1">
      <alignment horizontal="left" vertical="center" wrapText="1" indent="6"/>
    </xf>
    <xf numFmtId="0" fontId="17" fillId="0" borderId="42" xfId="0" applyFont="1" applyBorder="1" applyAlignment="1">
      <alignment horizontal="left" vertical="center" wrapText="1" indent="8"/>
    </xf>
    <xf numFmtId="3" fontId="16" fillId="0" borderId="45" xfId="0" applyNumberFormat="1" applyFont="1" applyBorder="1" applyAlignment="1">
      <alignment horizontal="right" vertical="center" wrapText="1"/>
    </xf>
    <xf numFmtId="165" fontId="18" fillId="0" borderId="45" xfId="0" applyNumberFormat="1" applyFont="1" applyBorder="1" applyAlignment="1">
      <alignment horizontal="right" vertical="center" wrapText="1"/>
    </xf>
    <xf numFmtId="4" fontId="18" fillId="0" borderId="45" xfId="0" applyNumberFormat="1" applyFont="1" applyBorder="1" applyAlignment="1">
      <alignment horizontal="right" vertical="center" wrapText="1"/>
    </xf>
    <xf numFmtId="169" fontId="17" fillId="0" borderId="45" xfId="0" applyNumberFormat="1" applyFont="1" applyBorder="1" applyAlignment="1">
      <alignment horizontal="right" vertical="center" wrapText="1"/>
    </xf>
    <xf numFmtId="165" fontId="17" fillId="0" borderId="45" xfId="0" applyNumberFormat="1" applyFont="1" applyFill="1" applyBorder="1" applyAlignment="1">
      <alignment horizontal="right" vertical="center" wrapText="1"/>
    </xf>
    <xf numFmtId="4" fontId="17" fillId="0" borderId="45" xfId="0" applyNumberFormat="1" applyFont="1" applyFill="1" applyBorder="1" applyAlignment="1">
      <alignment horizontal="right" vertical="center" wrapText="1"/>
    </xf>
    <xf numFmtId="3" fontId="17" fillId="0" borderId="45" xfId="0" applyNumberFormat="1" applyFont="1" applyFill="1" applyBorder="1" applyAlignment="1">
      <alignment horizontal="right" vertical="center" wrapText="1"/>
    </xf>
    <xf numFmtId="165" fontId="16" fillId="0" borderId="45" xfId="0" applyNumberFormat="1" applyFont="1" applyFill="1" applyBorder="1" applyAlignment="1">
      <alignment horizontal="right" vertical="center" wrapText="1"/>
    </xf>
    <xf numFmtId="0" fontId="14" fillId="0" borderId="45" xfId="0" applyFont="1" applyFill="1" applyBorder="1" applyAlignment="1">
      <alignment wrapText="1"/>
    </xf>
    <xf numFmtId="3" fontId="16" fillId="0" borderId="45" xfId="0" applyNumberFormat="1" applyFont="1" applyFill="1" applyBorder="1" applyAlignment="1">
      <alignment horizontal="right" vertical="center" wrapText="1"/>
    </xf>
    <xf numFmtId="165" fontId="18" fillId="0" borderId="45" xfId="0" applyNumberFormat="1" applyFont="1" applyFill="1" applyBorder="1" applyAlignment="1">
      <alignment horizontal="right" vertical="center" wrapText="1"/>
    </xf>
    <xf numFmtId="4" fontId="18" fillId="0" borderId="45" xfId="0" applyNumberFormat="1" applyFont="1" applyFill="1" applyBorder="1" applyAlignment="1">
      <alignment horizontal="right" vertical="center" wrapText="1"/>
    </xf>
    <xf numFmtId="169" fontId="17" fillId="0" borderId="45" xfId="0" applyNumberFormat="1" applyFont="1" applyFill="1" applyBorder="1" applyAlignment="1">
      <alignment horizontal="right" vertical="center" wrapText="1"/>
    </xf>
    <xf numFmtId="0" fontId="0" fillId="0" borderId="0" xfId="0" applyFill="1" applyAlignment="1"/>
    <xf numFmtId="0" fontId="15" fillId="0" borderId="0" xfId="0" applyNumberFormat="1" applyFont="1" applyFill="1" applyBorder="1" applyAlignment="1">
      <alignment horizontal="left" vertical="center" wrapText="1"/>
    </xf>
    <xf numFmtId="14" fontId="15" fillId="8" borderId="44" xfId="0" applyNumberFormat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5E9D9ACE-BFCE-C145-BDC1-A6F12256456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VMC Price with 200-Day EMA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'Share Price Analysis'!$W$35</c:f>
              <c:strCache>
                <c:ptCount val="1"/>
                <c:pt idx="0">
                  <c:v>VMC Price Link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'Share Price Analysis'!$A$36:$A$787</c:f>
              <c:numCache>
                <c:formatCode>yyyy\-mm\-dd</c:formatCode>
                <c:ptCount val="752"/>
                <c:pt idx="0">
                  <c:v>44991</c:v>
                </c:pt>
                <c:pt idx="1">
                  <c:v>44992</c:v>
                </c:pt>
                <c:pt idx="2">
                  <c:v>44993</c:v>
                </c:pt>
                <c:pt idx="3">
                  <c:v>44994</c:v>
                </c:pt>
                <c:pt idx="4">
                  <c:v>44995</c:v>
                </c:pt>
                <c:pt idx="5">
                  <c:v>44998</c:v>
                </c:pt>
                <c:pt idx="6">
                  <c:v>44999</c:v>
                </c:pt>
                <c:pt idx="7">
                  <c:v>45000</c:v>
                </c:pt>
                <c:pt idx="8">
                  <c:v>45001</c:v>
                </c:pt>
                <c:pt idx="9">
                  <c:v>45002</c:v>
                </c:pt>
                <c:pt idx="10">
                  <c:v>45005</c:v>
                </c:pt>
                <c:pt idx="11">
                  <c:v>45006</c:v>
                </c:pt>
                <c:pt idx="12">
                  <c:v>45007</c:v>
                </c:pt>
                <c:pt idx="13">
                  <c:v>45008</c:v>
                </c:pt>
                <c:pt idx="14">
                  <c:v>45009</c:v>
                </c:pt>
                <c:pt idx="15">
                  <c:v>45012</c:v>
                </c:pt>
                <c:pt idx="16">
                  <c:v>45013</c:v>
                </c:pt>
                <c:pt idx="17">
                  <c:v>45014</c:v>
                </c:pt>
                <c:pt idx="18">
                  <c:v>45015</c:v>
                </c:pt>
                <c:pt idx="19">
                  <c:v>45016</c:v>
                </c:pt>
                <c:pt idx="20">
                  <c:v>45019</c:v>
                </c:pt>
                <c:pt idx="21">
                  <c:v>45020</c:v>
                </c:pt>
                <c:pt idx="22">
                  <c:v>45021</c:v>
                </c:pt>
                <c:pt idx="23">
                  <c:v>45022</c:v>
                </c:pt>
                <c:pt idx="24">
                  <c:v>45026</c:v>
                </c:pt>
                <c:pt idx="25">
                  <c:v>45027</c:v>
                </c:pt>
                <c:pt idx="26">
                  <c:v>45028</c:v>
                </c:pt>
                <c:pt idx="27">
                  <c:v>45029</c:v>
                </c:pt>
                <c:pt idx="28">
                  <c:v>45030</c:v>
                </c:pt>
                <c:pt idx="29">
                  <c:v>45033</c:v>
                </c:pt>
                <c:pt idx="30">
                  <c:v>45034</c:v>
                </c:pt>
                <c:pt idx="31">
                  <c:v>45035</c:v>
                </c:pt>
                <c:pt idx="32">
                  <c:v>45036</c:v>
                </c:pt>
                <c:pt idx="33">
                  <c:v>45037</c:v>
                </c:pt>
                <c:pt idx="34">
                  <c:v>45040</c:v>
                </c:pt>
                <c:pt idx="35">
                  <c:v>45041</c:v>
                </c:pt>
                <c:pt idx="36">
                  <c:v>45042</c:v>
                </c:pt>
                <c:pt idx="37">
                  <c:v>45043</c:v>
                </c:pt>
                <c:pt idx="38">
                  <c:v>45044</c:v>
                </c:pt>
                <c:pt idx="39">
                  <c:v>45047</c:v>
                </c:pt>
                <c:pt idx="40">
                  <c:v>45048</c:v>
                </c:pt>
                <c:pt idx="41">
                  <c:v>45049</c:v>
                </c:pt>
                <c:pt idx="42">
                  <c:v>45050</c:v>
                </c:pt>
                <c:pt idx="43">
                  <c:v>45051</c:v>
                </c:pt>
                <c:pt idx="44">
                  <c:v>45054</c:v>
                </c:pt>
                <c:pt idx="45">
                  <c:v>45055</c:v>
                </c:pt>
                <c:pt idx="46">
                  <c:v>45056</c:v>
                </c:pt>
                <c:pt idx="47">
                  <c:v>45057</c:v>
                </c:pt>
                <c:pt idx="48">
                  <c:v>45058</c:v>
                </c:pt>
                <c:pt idx="49">
                  <c:v>45061</c:v>
                </c:pt>
                <c:pt idx="50">
                  <c:v>45062</c:v>
                </c:pt>
                <c:pt idx="51">
                  <c:v>45063</c:v>
                </c:pt>
                <c:pt idx="52">
                  <c:v>45064</c:v>
                </c:pt>
                <c:pt idx="53">
                  <c:v>45065</c:v>
                </c:pt>
                <c:pt idx="54">
                  <c:v>45068</c:v>
                </c:pt>
                <c:pt idx="55">
                  <c:v>45069</c:v>
                </c:pt>
                <c:pt idx="56">
                  <c:v>45070</c:v>
                </c:pt>
                <c:pt idx="57">
                  <c:v>45071</c:v>
                </c:pt>
                <c:pt idx="58">
                  <c:v>45072</c:v>
                </c:pt>
                <c:pt idx="59">
                  <c:v>45076</c:v>
                </c:pt>
                <c:pt idx="60">
                  <c:v>45077</c:v>
                </c:pt>
                <c:pt idx="61">
                  <c:v>45078</c:v>
                </c:pt>
                <c:pt idx="62">
                  <c:v>45079</c:v>
                </c:pt>
                <c:pt idx="63">
                  <c:v>45082</c:v>
                </c:pt>
                <c:pt idx="64">
                  <c:v>45083</c:v>
                </c:pt>
                <c:pt idx="65">
                  <c:v>45084</c:v>
                </c:pt>
                <c:pt idx="66">
                  <c:v>45085</c:v>
                </c:pt>
                <c:pt idx="67">
                  <c:v>45086</c:v>
                </c:pt>
                <c:pt idx="68">
                  <c:v>45089</c:v>
                </c:pt>
                <c:pt idx="69">
                  <c:v>45090</c:v>
                </c:pt>
                <c:pt idx="70">
                  <c:v>45091</c:v>
                </c:pt>
                <c:pt idx="71">
                  <c:v>45092</c:v>
                </c:pt>
                <c:pt idx="72">
                  <c:v>45093</c:v>
                </c:pt>
                <c:pt idx="73">
                  <c:v>45097</c:v>
                </c:pt>
                <c:pt idx="74">
                  <c:v>45098</c:v>
                </c:pt>
                <c:pt idx="75">
                  <c:v>45099</c:v>
                </c:pt>
                <c:pt idx="76">
                  <c:v>45100</c:v>
                </c:pt>
                <c:pt idx="77">
                  <c:v>45103</c:v>
                </c:pt>
                <c:pt idx="78">
                  <c:v>45104</c:v>
                </c:pt>
                <c:pt idx="79">
                  <c:v>45105</c:v>
                </c:pt>
                <c:pt idx="80">
                  <c:v>45106</c:v>
                </c:pt>
                <c:pt idx="81">
                  <c:v>45107</c:v>
                </c:pt>
                <c:pt idx="82">
                  <c:v>45110</c:v>
                </c:pt>
                <c:pt idx="83">
                  <c:v>45112</c:v>
                </c:pt>
                <c:pt idx="84">
                  <c:v>45113</c:v>
                </c:pt>
                <c:pt idx="85">
                  <c:v>45114</c:v>
                </c:pt>
                <c:pt idx="86">
                  <c:v>45117</c:v>
                </c:pt>
                <c:pt idx="87">
                  <c:v>45118</c:v>
                </c:pt>
                <c:pt idx="88">
                  <c:v>45119</c:v>
                </c:pt>
                <c:pt idx="89">
                  <c:v>45120</c:v>
                </c:pt>
                <c:pt idx="90">
                  <c:v>45121</c:v>
                </c:pt>
                <c:pt idx="91">
                  <c:v>45124</c:v>
                </c:pt>
                <c:pt idx="92">
                  <c:v>45125</c:v>
                </c:pt>
                <c:pt idx="93">
                  <c:v>45126</c:v>
                </c:pt>
                <c:pt idx="94">
                  <c:v>45127</c:v>
                </c:pt>
                <c:pt idx="95">
                  <c:v>45128</c:v>
                </c:pt>
                <c:pt idx="96">
                  <c:v>45131</c:v>
                </c:pt>
                <c:pt idx="97">
                  <c:v>45132</c:v>
                </c:pt>
                <c:pt idx="98">
                  <c:v>45133</c:v>
                </c:pt>
                <c:pt idx="99">
                  <c:v>45134</c:v>
                </c:pt>
                <c:pt idx="100">
                  <c:v>45135</c:v>
                </c:pt>
                <c:pt idx="101">
                  <c:v>45138</c:v>
                </c:pt>
                <c:pt idx="102">
                  <c:v>45139</c:v>
                </c:pt>
                <c:pt idx="103">
                  <c:v>45140</c:v>
                </c:pt>
                <c:pt idx="104">
                  <c:v>45141</c:v>
                </c:pt>
                <c:pt idx="105">
                  <c:v>45142</c:v>
                </c:pt>
                <c:pt idx="106">
                  <c:v>45145</c:v>
                </c:pt>
                <c:pt idx="107">
                  <c:v>45146</c:v>
                </c:pt>
                <c:pt idx="108">
                  <c:v>45147</c:v>
                </c:pt>
                <c:pt idx="109">
                  <c:v>45148</c:v>
                </c:pt>
                <c:pt idx="110">
                  <c:v>45149</c:v>
                </c:pt>
                <c:pt idx="111">
                  <c:v>45152</c:v>
                </c:pt>
                <c:pt idx="112">
                  <c:v>45153</c:v>
                </c:pt>
                <c:pt idx="113">
                  <c:v>45154</c:v>
                </c:pt>
                <c:pt idx="114">
                  <c:v>45155</c:v>
                </c:pt>
                <c:pt idx="115">
                  <c:v>45156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45166</c:v>
                </c:pt>
                <c:pt idx="122">
                  <c:v>45167</c:v>
                </c:pt>
                <c:pt idx="123">
                  <c:v>45168</c:v>
                </c:pt>
                <c:pt idx="124">
                  <c:v>45169</c:v>
                </c:pt>
                <c:pt idx="125">
                  <c:v>45170</c:v>
                </c:pt>
                <c:pt idx="126">
                  <c:v>45174</c:v>
                </c:pt>
                <c:pt idx="127">
                  <c:v>45175</c:v>
                </c:pt>
                <c:pt idx="128">
                  <c:v>45176</c:v>
                </c:pt>
                <c:pt idx="129">
                  <c:v>45177</c:v>
                </c:pt>
                <c:pt idx="130">
                  <c:v>45180</c:v>
                </c:pt>
                <c:pt idx="131">
                  <c:v>45181</c:v>
                </c:pt>
                <c:pt idx="132">
                  <c:v>45182</c:v>
                </c:pt>
                <c:pt idx="133">
                  <c:v>45183</c:v>
                </c:pt>
                <c:pt idx="134">
                  <c:v>45184</c:v>
                </c:pt>
                <c:pt idx="135">
                  <c:v>45187</c:v>
                </c:pt>
                <c:pt idx="136">
                  <c:v>45188</c:v>
                </c:pt>
                <c:pt idx="137">
                  <c:v>45189</c:v>
                </c:pt>
                <c:pt idx="138">
                  <c:v>45190</c:v>
                </c:pt>
                <c:pt idx="139">
                  <c:v>45191</c:v>
                </c:pt>
                <c:pt idx="140">
                  <c:v>45194</c:v>
                </c:pt>
                <c:pt idx="141">
                  <c:v>45195</c:v>
                </c:pt>
                <c:pt idx="142">
                  <c:v>45196</c:v>
                </c:pt>
                <c:pt idx="143">
                  <c:v>45197</c:v>
                </c:pt>
                <c:pt idx="144">
                  <c:v>45198</c:v>
                </c:pt>
                <c:pt idx="145">
                  <c:v>45201</c:v>
                </c:pt>
                <c:pt idx="146">
                  <c:v>45202</c:v>
                </c:pt>
                <c:pt idx="147">
                  <c:v>45203</c:v>
                </c:pt>
                <c:pt idx="148">
                  <c:v>45204</c:v>
                </c:pt>
                <c:pt idx="149">
                  <c:v>45205</c:v>
                </c:pt>
                <c:pt idx="150">
                  <c:v>45208</c:v>
                </c:pt>
                <c:pt idx="151">
                  <c:v>45209</c:v>
                </c:pt>
                <c:pt idx="152">
                  <c:v>45210</c:v>
                </c:pt>
                <c:pt idx="153">
                  <c:v>45211</c:v>
                </c:pt>
                <c:pt idx="154">
                  <c:v>45212</c:v>
                </c:pt>
                <c:pt idx="155">
                  <c:v>45215</c:v>
                </c:pt>
                <c:pt idx="156">
                  <c:v>45216</c:v>
                </c:pt>
                <c:pt idx="157">
                  <c:v>45217</c:v>
                </c:pt>
                <c:pt idx="158">
                  <c:v>45218</c:v>
                </c:pt>
                <c:pt idx="159">
                  <c:v>45219</c:v>
                </c:pt>
                <c:pt idx="160">
                  <c:v>45222</c:v>
                </c:pt>
                <c:pt idx="161">
                  <c:v>45223</c:v>
                </c:pt>
                <c:pt idx="162">
                  <c:v>45224</c:v>
                </c:pt>
                <c:pt idx="163">
                  <c:v>45225</c:v>
                </c:pt>
                <c:pt idx="164">
                  <c:v>45226</c:v>
                </c:pt>
                <c:pt idx="165">
                  <c:v>45229</c:v>
                </c:pt>
                <c:pt idx="166">
                  <c:v>45230</c:v>
                </c:pt>
                <c:pt idx="167">
                  <c:v>45231</c:v>
                </c:pt>
                <c:pt idx="168">
                  <c:v>45232</c:v>
                </c:pt>
                <c:pt idx="169">
                  <c:v>45233</c:v>
                </c:pt>
                <c:pt idx="170">
                  <c:v>45236</c:v>
                </c:pt>
                <c:pt idx="171">
                  <c:v>45237</c:v>
                </c:pt>
                <c:pt idx="172">
                  <c:v>45238</c:v>
                </c:pt>
                <c:pt idx="173">
                  <c:v>45239</c:v>
                </c:pt>
                <c:pt idx="174">
                  <c:v>45240</c:v>
                </c:pt>
                <c:pt idx="175">
                  <c:v>45243</c:v>
                </c:pt>
                <c:pt idx="176">
                  <c:v>45244</c:v>
                </c:pt>
                <c:pt idx="177">
                  <c:v>45245</c:v>
                </c:pt>
                <c:pt idx="178">
                  <c:v>45246</c:v>
                </c:pt>
                <c:pt idx="179">
                  <c:v>45247</c:v>
                </c:pt>
                <c:pt idx="180">
                  <c:v>45250</c:v>
                </c:pt>
                <c:pt idx="181">
                  <c:v>45251</c:v>
                </c:pt>
                <c:pt idx="182">
                  <c:v>45252</c:v>
                </c:pt>
                <c:pt idx="183">
                  <c:v>45254</c:v>
                </c:pt>
                <c:pt idx="184">
                  <c:v>45257</c:v>
                </c:pt>
                <c:pt idx="185">
                  <c:v>45258</c:v>
                </c:pt>
                <c:pt idx="186">
                  <c:v>45259</c:v>
                </c:pt>
                <c:pt idx="187">
                  <c:v>45260</c:v>
                </c:pt>
                <c:pt idx="188">
                  <c:v>45261</c:v>
                </c:pt>
                <c:pt idx="189">
                  <c:v>45264</c:v>
                </c:pt>
                <c:pt idx="190">
                  <c:v>45265</c:v>
                </c:pt>
                <c:pt idx="191">
                  <c:v>45266</c:v>
                </c:pt>
                <c:pt idx="192">
                  <c:v>45267</c:v>
                </c:pt>
                <c:pt idx="193">
                  <c:v>45268</c:v>
                </c:pt>
                <c:pt idx="194">
                  <c:v>45271</c:v>
                </c:pt>
                <c:pt idx="195">
                  <c:v>45272</c:v>
                </c:pt>
                <c:pt idx="196">
                  <c:v>45273</c:v>
                </c:pt>
                <c:pt idx="197">
                  <c:v>45274</c:v>
                </c:pt>
                <c:pt idx="198">
                  <c:v>45275</c:v>
                </c:pt>
                <c:pt idx="199">
                  <c:v>45278</c:v>
                </c:pt>
                <c:pt idx="200">
                  <c:v>45279</c:v>
                </c:pt>
                <c:pt idx="201">
                  <c:v>45280</c:v>
                </c:pt>
                <c:pt idx="202">
                  <c:v>45281</c:v>
                </c:pt>
                <c:pt idx="203">
                  <c:v>45282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45307</c:v>
                </c:pt>
                <c:pt idx="218">
                  <c:v>45308</c:v>
                </c:pt>
                <c:pt idx="219">
                  <c:v>45309</c:v>
                </c:pt>
                <c:pt idx="220">
                  <c:v>45310</c:v>
                </c:pt>
                <c:pt idx="221">
                  <c:v>45313</c:v>
                </c:pt>
                <c:pt idx="222">
                  <c:v>45314</c:v>
                </c:pt>
                <c:pt idx="223">
                  <c:v>45315</c:v>
                </c:pt>
                <c:pt idx="224">
                  <c:v>45316</c:v>
                </c:pt>
                <c:pt idx="225">
                  <c:v>45317</c:v>
                </c:pt>
                <c:pt idx="226">
                  <c:v>45320</c:v>
                </c:pt>
                <c:pt idx="227">
                  <c:v>45321</c:v>
                </c:pt>
                <c:pt idx="228">
                  <c:v>45322</c:v>
                </c:pt>
                <c:pt idx="229">
                  <c:v>45323</c:v>
                </c:pt>
                <c:pt idx="230">
                  <c:v>45324</c:v>
                </c:pt>
                <c:pt idx="231">
                  <c:v>45327</c:v>
                </c:pt>
                <c:pt idx="232">
                  <c:v>45328</c:v>
                </c:pt>
                <c:pt idx="233">
                  <c:v>45329</c:v>
                </c:pt>
                <c:pt idx="234">
                  <c:v>45330</c:v>
                </c:pt>
                <c:pt idx="235">
                  <c:v>45331</c:v>
                </c:pt>
                <c:pt idx="236">
                  <c:v>45334</c:v>
                </c:pt>
                <c:pt idx="237">
                  <c:v>45335</c:v>
                </c:pt>
                <c:pt idx="238">
                  <c:v>45336</c:v>
                </c:pt>
                <c:pt idx="239">
                  <c:v>45337</c:v>
                </c:pt>
                <c:pt idx="240">
                  <c:v>45338</c:v>
                </c:pt>
                <c:pt idx="241">
                  <c:v>45342</c:v>
                </c:pt>
                <c:pt idx="242">
                  <c:v>45343</c:v>
                </c:pt>
                <c:pt idx="243">
                  <c:v>45344</c:v>
                </c:pt>
                <c:pt idx="244">
                  <c:v>45345</c:v>
                </c:pt>
                <c:pt idx="245">
                  <c:v>45348</c:v>
                </c:pt>
                <c:pt idx="246">
                  <c:v>45349</c:v>
                </c:pt>
                <c:pt idx="247">
                  <c:v>45350</c:v>
                </c:pt>
                <c:pt idx="248">
                  <c:v>45351</c:v>
                </c:pt>
                <c:pt idx="249">
                  <c:v>45352</c:v>
                </c:pt>
                <c:pt idx="250">
                  <c:v>45355</c:v>
                </c:pt>
                <c:pt idx="251">
                  <c:v>45356</c:v>
                </c:pt>
                <c:pt idx="252">
                  <c:v>45357</c:v>
                </c:pt>
                <c:pt idx="253">
                  <c:v>45358</c:v>
                </c:pt>
                <c:pt idx="254">
                  <c:v>45359</c:v>
                </c:pt>
                <c:pt idx="255">
                  <c:v>45362</c:v>
                </c:pt>
                <c:pt idx="256">
                  <c:v>45363</c:v>
                </c:pt>
                <c:pt idx="257">
                  <c:v>45364</c:v>
                </c:pt>
                <c:pt idx="258">
                  <c:v>45365</c:v>
                </c:pt>
                <c:pt idx="259">
                  <c:v>45366</c:v>
                </c:pt>
                <c:pt idx="260">
                  <c:v>45369</c:v>
                </c:pt>
                <c:pt idx="261">
                  <c:v>45370</c:v>
                </c:pt>
                <c:pt idx="262">
                  <c:v>45371</c:v>
                </c:pt>
                <c:pt idx="263">
                  <c:v>45372</c:v>
                </c:pt>
                <c:pt idx="264">
                  <c:v>45373</c:v>
                </c:pt>
                <c:pt idx="265">
                  <c:v>45376</c:v>
                </c:pt>
                <c:pt idx="266">
                  <c:v>45377</c:v>
                </c:pt>
                <c:pt idx="267">
                  <c:v>45378</c:v>
                </c:pt>
                <c:pt idx="268">
                  <c:v>45379</c:v>
                </c:pt>
                <c:pt idx="269">
                  <c:v>45383</c:v>
                </c:pt>
                <c:pt idx="270">
                  <c:v>45384</c:v>
                </c:pt>
                <c:pt idx="271">
                  <c:v>45385</c:v>
                </c:pt>
                <c:pt idx="272">
                  <c:v>45386</c:v>
                </c:pt>
                <c:pt idx="273">
                  <c:v>45387</c:v>
                </c:pt>
                <c:pt idx="274">
                  <c:v>45390</c:v>
                </c:pt>
                <c:pt idx="275">
                  <c:v>45391</c:v>
                </c:pt>
                <c:pt idx="276">
                  <c:v>45392</c:v>
                </c:pt>
                <c:pt idx="277">
                  <c:v>45393</c:v>
                </c:pt>
                <c:pt idx="278">
                  <c:v>45394</c:v>
                </c:pt>
                <c:pt idx="279">
                  <c:v>45397</c:v>
                </c:pt>
                <c:pt idx="280">
                  <c:v>45398</c:v>
                </c:pt>
                <c:pt idx="281">
                  <c:v>45399</c:v>
                </c:pt>
                <c:pt idx="282">
                  <c:v>45400</c:v>
                </c:pt>
                <c:pt idx="283">
                  <c:v>45401</c:v>
                </c:pt>
                <c:pt idx="284">
                  <c:v>45404</c:v>
                </c:pt>
                <c:pt idx="285">
                  <c:v>45405</c:v>
                </c:pt>
                <c:pt idx="286">
                  <c:v>45406</c:v>
                </c:pt>
                <c:pt idx="287">
                  <c:v>45407</c:v>
                </c:pt>
                <c:pt idx="288">
                  <c:v>45408</c:v>
                </c:pt>
                <c:pt idx="289">
                  <c:v>45411</c:v>
                </c:pt>
                <c:pt idx="290">
                  <c:v>45412</c:v>
                </c:pt>
                <c:pt idx="291">
                  <c:v>45413</c:v>
                </c:pt>
                <c:pt idx="292">
                  <c:v>45414</c:v>
                </c:pt>
                <c:pt idx="293">
                  <c:v>45415</c:v>
                </c:pt>
                <c:pt idx="294">
                  <c:v>45418</c:v>
                </c:pt>
                <c:pt idx="295">
                  <c:v>45419</c:v>
                </c:pt>
                <c:pt idx="296">
                  <c:v>45420</c:v>
                </c:pt>
                <c:pt idx="297">
                  <c:v>45421</c:v>
                </c:pt>
                <c:pt idx="298">
                  <c:v>45422</c:v>
                </c:pt>
                <c:pt idx="299">
                  <c:v>45425</c:v>
                </c:pt>
                <c:pt idx="300">
                  <c:v>45426</c:v>
                </c:pt>
                <c:pt idx="301">
                  <c:v>45427</c:v>
                </c:pt>
                <c:pt idx="302">
                  <c:v>45428</c:v>
                </c:pt>
                <c:pt idx="303">
                  <c:v>45429</c:v>
                </c:pt>
                <c:pt idx="304">
                  <c:v>45432</c:v>
                </c:pt>
                <c:pt idx="305">
                  <c:v>45433</c:v>
                </c:pt>
                <c:pt idx="306">
                  <c:v>45434</c:v>
                </c:pt>
                <c:pt idx="307">
                  <c:v>45435</c:v>
                </c:pt>
                <c:pt idx="308">
                  <c:v>45436</c:v>
                </c:pt>
                <c:pt idx="309">
                  <c:v>45440</c:v>
                </c:pt>
                <c:pt idx="310">
                  <c:v>45441</c:v>
                </c:pt>
                <c:pt idx="311">
                  <c:v>45442</c:v>
                </c:pt>
                <c:pt idx="312">
                  <c:v>45443</c:v>
                </c:pt>
                <c:pt idx="313">
                  <c:v>45446</c:v>
                </c:pt>
                <c:pt idx="314">
                  <c:v>45447</c:v>
                </c:pt>
                <c:pt idx="315">
                  <c:v>45448</c:v>
                </c:pt>
                <c:pt idx="316">
                  <c:v>45449</c:v>
                </c:pt>
                <c:pt idx="317">
                  <c:v>45450</c:v>
                </c:pt>
                <c:pt idx="318">
                  <c:v>45453</c:v>
                </c:pt>
                <c:pt idx="319">
                  <c:v>45454</c:v>
                </c:pt>
                <c:pt idx="320">
                  <c:v>45455</c:v>
                </c:pt>
                <c:pt idx="321">
                  <c:v>45456</c:v>
                </c:pt>
                <c:pt idx="322">
                  <c:v>45457</c:v>
                </c:pt>
                <c:pt idx="323">
                  <c:v>45460</c:v>
                </c:pt>
                <c:pt idx="324">
                  <c:v>45461</c:v>
                </c:pt>
                <c:pt idx="325">
                  <c:v>45463</c:v>
                </c:pt>
                <c:pt idx="326">
                  <c:v>45464</c:v>
                </c:pt>
                <c:pt idx="327">
                  <c:v>45467</c:v>
                </c:pt>
                <c:pt idx="328">
                  <c:v>45468</c:v>
                </c:pt>
                <c:pt idx="329">
                  <c:v>45469</c:v>
                </c:pt>
                <c:pt idx="330">
                  <c:v>45470</c:v>
                </c:pt>
                <c:pt idx="331">
                  <c:v>45471</c:v>
                </c:pt>
                <c:pt idx="332">
                  <c:v>45474</c:v>
                </c:pt>
                <c:pt idx="333">
                  <c:v>45475</c:v>
                </c:pt>
                <c:pt idx="334">
                  <c:v>45476</c:v>
                </c:pt>
                <c:pt idx="335">
                  <c:v>45478</c:v>
                </c:pt>
                <c:pt idx="336">
                  <c:v>45481</c:v>
                </c:pt>
                <c:pt idx="337">
                  <c:v>45482</c:v>
                </c:pt>
                <c:pt idx="338">
                  <c:v>45483</c:v>
                </c:pt>
                <c:pt idx="339">
                  <c:v>45484</c:v>
                </c:pt>
                <c:pt idx="340">
                  <c:v>45485</c:v>
                </c:pt>
                <c:pt idx="341">
                  <c:v>45488</c:v>
                </c:pt>
                <c:pt idx="342">
                  <c:v>45489</c:v>
                </c:pt>
                <c:pt idx="343">
                  <c:v>45490</c:v>
                </c:pt>
                <c:pt idx="344">
                  <c:v>45491</c:v>
                </c:pt>
                <c:pt idx="345">
                  <c:v>45492</c:v>
                </c:pt>
                <c:pt idx="346">
                  <c:v>45495</c:v>
                </c:pt>
                <c:pt idx="347">
                  <c:v>45496</c:v>
                </c:pt>
                <c:pt idx="348">
                  <c:v>45497</c:v>
                </c:pt>
                <c:pt idx="349">
                  <c:v>45498</c:v>
                </c:pt>
                <c:pt idx="350">
                  <c:v>45499</c:v>
                </c:pt>
                <c:pt idx="351">
                  <c:v>45502</c:v>
                </c:pt>
                <c:pt idx="352">
                  <c:v>45503</c:v>
                </c:pt>
                <c:pt idx="353">
                  <c:v>45504</c:v>
                </c:pt>
                <c:pt idx="354">
                  <c:v>45505</c:v>
                </c:pt>
                <c:pt idx="355">
                  <c:v>45506</c:v>
                </c:pt>
                <c:pt idx="356">
                  <c:v>45509</c:v>
                </c:pt>
                <c:pt idx="357">
                  <c:v>45510</c:v>
                </c:pt>
                <c:pt idx="358">
                  <c:v>45511</c:v>
                </c:pt>
                <c:pt idx="359">
                  <c:v>45512</c:v>
                </c:pt>
                <c:pt idx="360">
                  <c:v>45513</c:v>
                </c:pt>
                <c:pt idx="361">
                  <c:v>45516</c:v>
                </c:pt>
                <c:pt idx="362">
                  <c:v>45517</c:v>
                </c:pt>
                <c:pt idx="363">
                  <c:v>45518</c:v>
                </c:pt>
                <c:pt idx="364">
                  <c:v>45519</c:v>
                </c:pt>
                <c:pt idx="365">
                  <c:v>45520</c:v>
                </c:pt>
                <c:pt idx="366">
                  <c:v>45523</c:v>
                </c:pt>
                <c:pt idx="367">
                  <c:v>45524</c:v>
                </c:pt>
                <c:pt idx="368">
                  <c:v>45525</c:v>
                </c:pt>
                <c:pt idx="369">
                  <c:v>45526</c:v>
                </c:pt>
                <c:pt idx="370">
                  <c:v>45527</c:v>
                </c:pt>
                <c:pt idx="371">
                  <c:v>45530</c:v>
                </c:pt>
                <c:pt idx="372">
                  <c:v>45531</c:v>
                </c:pt>
                <c:pt idx="373">
                  <c:v>45532</c:v>
                </c:pt>
                <c:pt idx="374">
                  <c:v>45533</c:v>
                </c:pt>
                <c:pt idx="375">
                  <c:v>45534</c:v>
                </c:pt>
                <c:pt idx="376">
                  <c:v>45538</c:v>
                </c:pt>
                <c:pt idx="377">
                  <c:v>45539</c:v>
                </c:pt>
                <c:pt idx="378">
                  <c:v>45540</c:v>
                </c:pt>
                <c:pt idx="379">
                  <c:v>45541</c:v>
                </c:pt>
                <c:pt idx="380">
                  <c:v>45544</c:v>
                </c:pt>
                <c:pt idx="381">
                  <c:v>45545</c:v>
                </c:pt>
                <c:pt idx="382">
                  <c:v>45546</c:v>
                </c:pt>
                <c:pt idx="383">
                  <c:v>45547</c:v>
                </c:pt>
                <c:pt idx="384">
                  <c:v>45548</c:v>
                </c:pt>
                <c:pt idx="385">
                  <c:v>45551</c:v>
                </c:pt>
                <c:pt idx="386">
                  <c:v>45552</c:v>
                </c:pt>
                <c:pt idx="387">
                  <c:v>45553</c:v>
                </c:pt>
                <c:pt idx="388">
                  <c:v>45554</c:v>
                </c:pt>
                <c:pt idx="389">
                  <c:v>45555</c:v>
                </c:pt>
                <c:pt idx="390">
                  <c:v>45558</c:v>
                </c:pt>
                <c:pt idx="391">
                  <c:v>45559</c:v>
                </c:pt>
                <c:pt idx="392">
                  <c:v>45560</c:v>
                </c:pt>
                <c:pt idx="393">
                  <c:v>45561</c:v>
                </c:pt>
                <c:pt idx="394">
                  <c:v>45562</c:v>
                </c:pt>
                <c:pt idx="395">
                  <c:v>45565</c:v>
                </c:pt>
                <c:pt idx="396">
                  <c:v>45566</c:v>
                </c:pt>
                <c:pt idx="397">
                  <c:v>45567</c:v>
                </c:pt>
                <c:pt idx="398">
                  <c:v>45568</c:v>
                </c:pt>
                <c:pt idx="399">
                  <c:v>45569</c:v>
                </c:pt>
                <c:pt idx="400">
                  <c:v>45572</c:v>
                </c:pt>
                <c:pt idx="401">
                  <c:v>45573</c:v>
                </c:pt>
                <c:pt idx="402">
                  <c:v>45574</c:v>
                </c:pt>
                <c:pt idx="403">
                  <c:v>45575</c:v>
                </c:pt>
                <c:pt idx="404">
                  <c:v>45576</c:v>
                </c:pt>
                <c:pt idx="405">
                  <c:v>45579</c:v>
                </c:pt>
                <c:pt idx="406">
                  <c:v>45580</c:v>
                </c:pt>
                <c:pt idx="407">
                  <c:v>45581</c:v>
                </c:pt>
                <c:pt idx="408">
                  <c:v>45582</c:v>
                </c:pt>
                <c:pt idx="409">
                  <c:v>45583</c:v>
                </c:pt>
                <c:pt idx="410">
                  <c:v>45586</c:v>
                </c:pt>
                <c:pt idx="411">
                  <c:v>45587</c:v>
                </c:pt>
                <c:pt idx="412">
                  <c:v>45588</c:v>
                </c:pt>
                <c:pt idx="413">
                  <c:v>45589</c:v>
                </c:pt>
                <c:pt idx="414">
                  <c:v>45590</c:v>
                </c:pt>
                <c:pt idx="415">
                  <c:v>45593</c:v>
                </c:pt>
                <c:pt idx="416">
                  <c:v>45594</c:v>
                </c:pt>
                <c:pt idx="417">
                  <c:v>45595</c:v>
                </c:pt>
                <c:pt idx="418">
                  <c:v>45596</c:v>
                </c:pt>
                <c:pt idx="419">
                  <c:v>45597</c:v>
                </c:pt>
                <c:pt idx="420">
                  <c:v>45600</c:v>
                </c:pt>
                <c:pt idx="421">
                  <c:v>45601</c:v>
                </c:pt>
                <c:pt idx="422">
                  <c:v>45602</c:v>
                </c:pt>
                <c:pt idx="423">
                  <c:v>45603</c:v>
                </c:pt>
                <c:pt idx="424">
                  <c:v>45604</c:v>
                </c:pt>
                <c:pt idx="425">
                  <c:v>45607</c:v>
                </c:pt>
                <c:pt idx="426">
                  <c:v>45608</c:v>
                </c:pt>
                <c:pt idx="427">
                  <c:v>45609</c:v>
                </c:pt>
                <c:pt idx="428">
                  <c:v>45610</c:v>
                </c:pt>
                <c:pt idx="429">
                  <c:v>45611</c:v>
                </c:pt>
                <c:pt idx="430">
                  <c:v>45614</c:v>
                </c:pt>
                <c:pt idx="431">
                  <c:v>45615</c:v>
                </c:pt>
                <c:pt idx="432">
                  <c:v>45616</c:v>
                </c:pt>
                <c:pt idx="433">
                  <c:v>45617</c:v>
                </c:pt>
                <c:pt idx="434">
                  <c:v>45618</c:v>
                </c:pt>
                <c:pt idx="435">
                  <c:v>45621</c:v>
                </c:pt>
                <c:pt idx="436">
                  <c:v>45622</c:v>
                </c:pt>
                <c:pt idx="437">
                  <c:v>45623</c:v>
                </c:pt>
                <c:pt idx="438">
                  <c:v>45625</c:v>
                </c:pt>
                <c:pt idx="439">
                  <c:v>45628</c:v>
                </c:pt>
                <c:pt idx="440">
                  <c:v>45629</c:v>
                </c:pt>
                <c:pt idx="441">
                  <c:v>45630</c:v>
                </c:pt>
                <c:pt idx="442">
                  <c:v>45631</c:v>
                </c:pt>
                <c:pt idx="443">
                  <c:v>45632</c:v>
                </c:pt>
                <c:pt idx="444">
                  <c:v>45635</c:v>
                </c:pt>
                <c:pt idx="445">
                  <c:v>45636</c:v>
                </c:pt>
                <c:pt idx="446">
                  <c:v>45637</c:v>
                </c:pt>
                <c:pt idx="447">
                  <c:v>45638</c:v>
                </c:pt>
                <c:pt idx="448">
                  <c:v>45639</c:v>
                </c:pt>
                <c:pt idx="449">
                  <c:v>45642</c:v>
                </c:pt>
                <c:pt idx="450">
                  <c:v>45643</c:v>
                </c:pt>
                <c:pt idx="451">
                  <c:v>45644</c:v>
                </c:pt>
                <c:pt idx="452">
                  <c:v>45645</c:v>
                </c:pt>
                <c:pt idx="453">
                  <c:v>45646</c:v>
                </c:pt>
                <c:pt idx="454">
                  <c:v>45649</c:v>
                </c:pt>
                <c:pt idx="455">
                  <c:v>45650</c:v>
                </c:pt>
                <c:pt idx="456">
                  <c:v>45652</c:v>
                </c:pt>
                <c:pt idx="457">
                  <c:v>45653</c:v>
                </c:pt>
                <c:pt idx="458">
                  <c:v>45656</c:v>
                </c:pt>
                <c:pt idx="459">
                  <c:v>45657</c:v>
                </c:pt>
                <c:pt idx="460">
                  <c:v>45659</c:v>
                </c:pt>
                <c:pt idx="461">
                  <c:v>45660</c:v>
                </c:pt>
                <c:pt idx="462">
                  <c:v>45663</c:v>
                </c:pt>
                <c:pt idx="463">
                  <c:v>45664</c:v>
                </c:pt>
                <c:pt idx="464">
                  <c:v>45665</c:v>
                </c:pt>
                <c:pt idx="465">
                  <c:v>45667</c:v>
                </c:pt>
                <c:pt idx="466">
                  <c:v>45670</c:v>
                </c:pt>
                <c:pt idx="467">
                  <c:v>45671</c:v>
                </c:pt>
                <c:pt idx="468">
                  <c:v>45672</c:v>
                </c:pt>
                <c:pt idx="469">
                  <c:v>45673</c:v>
                </c:pt>
                <c:pt idx="470">
                  <c:v>45674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45684</c:v>
                </c:pt>
                <c:pt idx="476">
                  <c:v>45685</c:v>
                </c:pt>
                <c:pt idx="477">
                  <c:v>45686</c:v>
                </c:pt>
                <c:pt idx="478">
                  <c:v>45687</c:v>
                </c:pt>
                <c:pt idx="479">
                  <c:v>45688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45706</c:v>
                </c:pt>
                <c:pt idx="491">
                  <c:v>45707</c:v>
                </c:pt>
                <c:pt idx="492">
                  <c:v>45708</c:v>
                </c:pt>
                <c:pt idx="493">
                  <c:v>45709</c:v>
                </c:pt>
                <c:pt idx="494">
                  <c:v>45712</c:v>
                </c:pt>
                <c:pt idx="495">
                  <c:v>45713</c:v>
                </c:pt>
                <c:pt idx="496">
                  <c:v>45714</c:v>
                </c:pt>
                <c:pt idx="497">
                  <c:v>45715</c:v>
                </c:pt>
                <c:pt idx="498">
                  <c:v>45716</c:v>
                </c:pt>
                <c:pt idx="499">
                  <c:v>45719</c:v>
                </c:pt>
                <c:pt idx="500">
                  <c:v>45720</c:v>
                </c:pt>
                <c:pt idx="501">
                  <c:v>45721</c:v>
                </c:pt>
                <c:pt idx="502">
                  <c:v>45722</c:v>
                </c:pt>
                <c:pt idx="503">
                  <c:v>45723</c:v>
                </c:pt>
                <c:pt idx="504">
                  <c:v>45726</c:v>
                </c:pt>
                <c:pt idx="505">
                  <c:v>45727</c:v>
                </c:pt>
                <c:pt idx="506">
                  <c:v>45728</c:v>
                </c:pt>
                <c:pt idx="507">
                  <c:v>45729</c:v>
                </c:pt>
                <c:pt idx="508">
                  <c:v>45730</c:v>
                </c:pt>
                <c:pt idx="509">
                  <c:v>45733</c:v>
                </c:pt>
                <c:pt idx="510">
                  <c:v>45734</c:v>
                </c:pt>
                <c:pt idx="511">
                  <c:v>45735</c:v>
                </c:pt>
                <c:pt idx="512">
                  <c:v>45736</c:v>
                </c:pt>
                <c:pt idx="513">
                  <c:v>45737</c:v>
                </c:pt>
                <c:pt idx="514">
                  <c:v>45740</c:v>
                </c:pt>
                <c:pt idx="515">
                  <c:v>45741</c:v>
                </c:pt>
                <c:pt idx="516">
                  <c:v>45742</c:v>
                </c:pt>
                <c:pt idx="517">
                  <c:v>45743</c:v>
                </c:pt>
                <c:pt idx="518">
                  <c:v>45744</c:v>
                </c:pt>
                <c:pt idx="519">
                  <c:v>45747</c:v>
                </c:pt>
                <c:pt idx="520">
                  <c:v>45748</c:v>
                </c:pt>
                <c:pt idx="521">
                  <c:v>45749</c:v>
                </c:pt>
                <c:pt idx="522">
                  <c:v>45750</c:v>
                </c:pt>
                <c:pt idx="523">
                  <c:v>45751</c:v>
                </c:pt>
                <c:pt idx="524">
                  <c:v>45754</c:v>
                </c:pt>
                <c:pt idx="525">
                  <c:v>45755</c:v>
                </c:pt>
                <c:pt idx="526">
                  <c:v>45756</c:v>
                </c:pt>
                <c:pt idx="527">
                  <c:v>45757</c:v>
                </c:pt>
                <c:pt idx="528">
                  <c:v>45758</c:v>
                </c:pt>
                <c:pt idx="529">
                  <c:v>45761</c:v>
                </c:pt>
                <c:pt idx="530">
                  <c:v>45762</c:v>
                </c:pt>
                <c:pt idx="531">
                  <c:v>45763</c:v>
                </c:pt>
                <c:pt idx="532">
                  <c:v>45764</c:v>
                </c:pt>
                <c:pt idx="533">
                  <c:v>45768</c:v>
                </c:pt>
                <c:pt idx="534">
                  <c:v>45769</c:v>
                </c:pt>
                <c:pt idx="535">
                  <c:v>45770</c:v>
                </c:pt>
                <c:pt idx="536">
                  <c:v>45771</c:v>
                </c:pt>
                <c:pt idx="537">
                  <c:v>45772</c:v>
                </c:pt>
                <c:pt idx="538">
                  <c:v>45775</c:v>
                </c:pt>
                <c:pt idx="539">
                  <c:v>45776</c:v>
                </c:pt>
                <c:pt idx="540">
                  <c:v>45777</c:v>
                </c:pt>
                <c:pt idx="541">
                  <c:v>45778</c:v>
                </c:pt>
                <c:pt idx="542">
                  <c:v>45779</c:v>
                </c:pt>
                <c:pt idx="543">
                  <c:v>45782</c:v>
                </c:pt>
                <c:pt idx="544">
                  <c:v>45783</c:v>
                </c:pt>
                <c:pt idx="545">
                  <c:v>45784</c:v>
                </c:pt>
                <c:pt idx="546">
                  <c:v>45785</c:v>
                </c:pt>
                <c:pt idx="547">
                  <c:v>45786</c:v>
                </c:pt>
                <c:pt idx="548">
                  <c:v>45789</c:v>
                </c:pt>
                <c:pt idx="549">
                  <c:v>45790</c:v>
                </c:pt>
                <c:pt idx="550">
                  <c:v>45791</c:v>
                </c:pt>
                <c:pt idx="551">
                  <c:v>45792</c:v>
                </c:pt>
                <c:pt idx="552">
                  <c:v>45793</c:v>
                </c:pt>
                <c:pt idx="553">
                  <c:v>45796</c:v>
                </c:pt>
                <c:pt idx="554">
                  <c:v>45797</c:v>
                </c:pt>
                <c:pt idx="555">
                  <c:v>45798</c:v>
                </c:pt>
                <c:pt idx="556">
                  <c:v>45799</c:v>
                </c:pt>
                <c:pt idx="557">
                  <c:v>45800</c:v>
                </c:pt>
                <c:pt idx="558">
                  <c:v>45804</c:v>
                </c:pt>
                <c:pt idx="559">
                  <c:v>45805</c:v>
                </c:pt>
                <c:pt idx="560">
                  <c:v>45806</c:v>
                </c:pt>
                <c:pt idx="561">
                  <c:v>45807</c:v>
                </c:pt>
                <c:pt idx="562">
                  <c:v>45810</c:v>
                </c:pt>
                <c:pt idx="563">
                  <c:v>45811</c:v>
                </c:pt>
                <c:pt idx="564">
                  <c:v>45812</c:v>
                </c:pt>
                <c:pt idx="565">
                  <c:v>45813</c:v>
                </c:pt>
                <c:pt idx="566">
                  <c:v>45814</c:v>
                </c:pt>
                <c:pt idx="567">
                  <c:v>45817</c:v>
                </c:pt>
                <c:pt idx="568">
                  <c:v>45818</c:v>
                </c:pt>
                <c:pt idx="569">
                  <c:v>45819</c:v>
                </c:pt>
                <c:pt idx="570">
                  <c:v>45820</c:v>
                </c:pt>
                <c:pt idx="571">
                  <c:v>45821</c:v>
                </c:pt>
                <c:pt idx="572">
                  <c:v>45824</c:v>
                </c:pt>
                <c:pt idx="573">
                  <c:v>45825</c:v>
                </c:pt>
                <c:pt idx="574">
                  <c:v>45826</c:v>
                </c:pt>
                <c:pt idx="575">
                  <c:v>45828</c:v>
                </c:pt>
                <c:pt idx="576">
                  <c:v>45831</c:v>
                </c:pt>
                <c:pt idx="577">
                  <c:v>45832</c:v>
                </c:pt>
                <c:pt idx="578">
                  <c:v>45833</c:v>
                </c:pt>
                <c:pt idx="579">
                  <c:v>45834</c:v>
                </c:pt>
                <c:pt idx="580">
                  <c:v>45835</c:v>
                </c:pt>
                <c:pt idx="581">
                  <c:v>45838</c:v>
                </c:pt>
                <c:pt idx="582">
                  <c:v>45839</c:v>
                </c:pt>
                <c:pt idx="583">
                  <c:v>45840</c:v>
                </c:pt>
                <c:pt idx="584">
                  <c:v>45841</c:v>
                </c:pt>
                <c:pt idx="585">
                  <c:v>45845</c:v>
                </c:pt>
                <c:pt idx="586">
                  <c:v>45846</c:v>
                </c:pt>
                <c:pt idx="587">
                  <c:v>45847</c:v>
                </c:pt>
                <c:pt idx="588">
                  <c:v>45848</c:v>
                </c:pt>
                <c:pt idx="589">
                  <c:v>45849</c:v>
                </c:pt>
                <c:pt idx="590">
                  <c:v>45852</c:v>
                </c:pt>
                <c:pt idx="591">
                  <c:v>45853</c:v>
                </c:pt>
                <c:pt idx="592">
                  <c:v>45854</c:v>
                </c:pt>
                <c:pt idx="593">
                  <c:v>45855</c:v>
                </c:pt>
                <c:pt idx="594">
                  <c:v>45856</c:v>
                </c:pt>
                <c:pt idx="595">
                  <c:v>45859</c:v>
                </c:pt>
                <c:pt idx="596">
                  <c:v>45860</c:v>
                </c:pt>
                <c:pt idx="597">
                  <c:v>45861</c:v>
                </c:pt>
                <c:pt idx="598">
                  <c:v>45862</c:v>
                </c:pt>
                <c:pt idx="599">
                  <c:v>45863</c:v>
                </c:pt>
                <c:pt idx="600">
                  <c:v>45866</c:v>
                </c:pt>
                <c:pt idx="601">
                  <c:v>45867</c:v>
                </c:pt>
                <c:pt idx="602">
                  <c:v>45868</c:v>
                </c:pt>
                <c:pt idx="603">
                  <c:v>45869</c:v>
                </c:pt>
                <c:pt idx="604">
                  <c:v>45870</c:v>
                </c:pt>
                <c:pt idx="605">
                  <c:v>45873</c:v>
                </c:pt>
                <c:pt idx="606">
                  <c:v>45874</c:v>
                </c:pt>
                <c:pt idx="607">
                  <c:v>45875</c:v>
                </c:pt>
                <c:pt idx="608">
                  <c:v>45876</c:v>
                </c:pt>
                <c:pt idx="609">
                  <c:v>45877</c:v>
                </c:pt>
                <c:pt idx="610">
                  <c:v>45880</c:v>
                </c:pt>
                <c:pt idx="611">
                  <c:v>45881</c:v>
                </c:pt>
                <c:pt idx="612">
                  <c:v>45882</c:v>
                </c:pt>
                <c:pt idx="613">
                  <c:v>45883</c:v>
                </c:pt>
                <c:pt idx="614">
                  <c:v>45884</c:v>
                </c:pt>
                <c:pt idx="615">
                  <c:v>45887</c:v>
                </c:pt>
                <c:pt idx="616">
                  <c:v>45888</c:v>
                </c:pt>
                <c:pt idx="617">
                  <c:v>45889</c:v>
                </c:pt>
                <c:pt idx="618">
                  <c:v>45890</c:v>
                </c:pt>
                <c:pt idx="619">
                  <c:v>45891</c:v>
                </c:pt>
                <c:pt idx="620">
                  <c:v>45894</c:v>
                </c:pt>
                <c:pt idx="621">
                  <c:v>45895</c:v>
                </c:pt>
                <c:pt idx="622">
                  <c:v>45896</c:v>
                </c:pt>
                <c:pt idx="623">
                  <c:v>45897</c:v>
                </c:pt>
                <c:pt idx="624">
                  <c:v>45898</c:v>
                </c:pt>
                <c:pt idx="625">
                  <c:v>45902</c:v>
                </c:pt>
                <c:pt idx="626">
                  <c:v>45903</c:v>
                </c:pt>
                <c:pt idx="627">
                  <c:v>45904</c:v>
                </c:pt>
                <c:pt idx="628">
                  <c:v>45905</c:v>
                </c:pt>
                <c:pt idx="629">
                  <c:v>45908</c:v>
                </c:pt>
                <c:pt idx="630">
                  <c:v>45909</c:v>
                </c:pt>
                <c:pt idx="631">
                  <c:v>45910</c:v>
                </c:pt>
                <c:pt idx="632">
                  <c:v>45911</c:v>
                </c:pt>
                <c:pt idx="633">
                  <c:v>45912</c:v>
                </c:pt>
                <c:pt idx="634">
                  <c:v>45915</c:v>
                </c:pt>
                <c:pt idx="635">
                  <c:v>45916</c:v>
                </c:pt>
                <c:pt idx="636">
                  <c:v>45917</c:v>
                </c:pt>
                <c:pt idx="637">
                  <c:v>45918</c:v>
                </c:pt>
                <c:pt idx="638">
                  <c:v>45919</c:v>
                </c:pt>
                <c:pt idx="639">
                  <c:v>45922</c:v>
                </c:pt>
                <c:pt idx="640">
                  <c:v>45923</c:v>
                </c:pt>
                <c:pt idx="641">
                  <c:v>45924</c:v>
                </c:pt>
                <c:pt idx="642">
                  <c:v>45925</c:v>
                </c:pt>
                <c:pt idx="643">
                  <c:v>45926</c:v>
                </c:pt>
                <c:pt idx="644">
                  <c:v>45929</c:v>
                </c:pt>
                <c:pt idx="645">
                  <c:v>45930</c:v>
                </c:pt>
                <c:pt idx="646">
                  <c:v>45931</c:v>
                </c:pt>
                <c:pt idx="647">
                  <c:v>45932</c:v>
                </c:pt>
                <c:pt idx="648">
                  <c:v>45933</c:v>
                </c:pt>
                <c:pt idx="649">
                  <c:v>45936</c:v>
                </c:pt>
                <c:pt idx="650">
                  <c:v>45937</c:v>
                </c:pt>
                <c:pt idx="651">
                  <c:v>45938</c:v>
                </c:pt>
                <c:pt idx="652">
                  <c:v>45939</c:v>
                </c:pt>
                <c:pt idx="653">
                  <c:v>45940</c:v>
                </c:pt>
                <c:pt idx="654">
                  <c:v>45943</c:v>
                </c:pt>
                <c:pt idx="655">
                  <c:v>45944</c:v>
                </c:pt>
                <c:pt idx="656">
                  <c:v>45945</c:v>
                </c:pt>
                <c:pt idx="657">
                  <c:v>45946</c:v>
                </c:pt>
                <c:pt idx="658">
                  <c:v>45947</c:v>
                </c:pt>
                <c:pt idx="659">
                  <c:v>45950</c:v>
                </c:pt>
                <c:pt idx="660">
                  <c:v>45951</c:v>
                </c:pt>
                <c:pt idx="661">
                  <c:v>45952</c:v>
                </c:pt>
                <c:pt idx="662">
                  <c:v>45953</c:v>
                </c:pt>
                <c:pt idx="663">
                  <c:v>45954</c:v>
                </c:pt>
                <c:pt idx="664">
                  <c:v>45957</c:v>
                </c:pt>
                <c:pt idx="665">
                  <c:v>45958</c:v>
                </c:pt>
                <c:pt idx="666">
                  <c:v>45959</c:v>
                </c:pt>
                <c:pt idx="667">
                  <c:v>45960</c:v>
                </c:pt>
                <c:pt idx="668">
                  <c:v>45961</c:v>
                </c:pt>
                <c:pt idx="669">
                  <c:v>45964</c:v>
                </c:pt>
                <c:pt idx="670">
                  <c:v>45965</c:v>
                </c:pt>
                <c:pt idx="671">
                  <c:v>45966</c:v>
                </c:pt>
                <c:pt idx="672">
                  <c:v>45967</c:v>
                </c:pt>
                <c:pt idx="673">
                  <c:v>45968</c:v>
                </c:pt>
                <c:pt idx="674">
                  <c:v>45971</c:v>
                </c:pt>
                <c:pt idx="675">
                  <c:v>45972</c:v>
                </c:pt>
                <c:pt idx="676">
                  <c:v>45973</c:v>
                </c:pt>
                <c:pt idx="677">
                  <c:v>45974</c:v>
                </c:pt>
                <c:pt idx="678">
                  <c:v>45975</c:v>
                </c:pt>
                <c:pt idx="679">
                  <c:v>45978</c:v>
                </c:pt>
                <c:pt idx="680">
                  <c:v>45979</c:v>
                </c:pt>
                <c:pt idx="681">
                  <c:v>45980</c:v>
                </c:pt>
                <c:pt idx="682">
                  <c:v>45981</c:v>
                </c:pt>
                <c:pt idx="683">
                  <c:v>45982</c:v>
                </c:pt>
                <c:pt idx="684">
                  <c:v>45985</c:v>
                </c:pt>
                <c:pt idx="685">
                  <c:v>45986</c:v>
                </c:pt>
                <c:pt idx="686">
                  <c:v>45987</c:v>
                </c:pt>
                <c:pt idx="687">
                  <c:v>45989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45999</c:v>
                </c:pt>
                <c:pt idx="694">
                  <c:v>46000</c:v>
                </c:pt>
                <c:pt idx="695">
                  <c:v>46001</c:v>
                </c:pt>
                <c:pt idx="696">
                  <c:v>46002</c:v>
                </c:pt>
                <c:pt idx="697">
                  <c:v>46003</c:v>
                </c:pt>
                <c:pt idx="698">
                  <c:v>46006</c:v>
                </c:pt>
                <c:pt idx="699">
                  <c:v>46007</c:v>
                </c:pt>
                <c:pt idx="700">
                  <c:v>46008</c:v>
                </c:pt>
                <c:pt idx="701">
                  <c:v>46009</c:v>
                </c:pt>
                <c:pt idx="702">
                  <c:v>46010</c:v>
                </c:pt>
                <c:pt idx="703">
                  <c:v>46013</c:v>
                </c:pt>
                <c:pt idx="704">
                  <c:v>46014</c:v>
                </c:pt>
                <c:pt idx="705">
                  <c:v>46015</c:v>
                </c:pt>
                <c:pt idx="706">
                  <c:v>46017</c:v>
                </c:pt>
                <c:pt idx="707">
                  <c:v>46020</c:v>
                </c:pt>
                <c:pt idx="708">
                  <c:v>46021</c:v>
                </c:pt>
                <c:pt idx="709">
                  <c:v>46022</c:v>
                </c:pt>
                <c:pt idx="710">
                  <c:v>46024</c:v>
                </c:pt>
                <c:pt idx="711">
                  <c:v>46027</c:v>
                </c:pt>
                <c:pt idx="712">
                  <c:v>46028</c:v>
                </c:pt>
                <c:pt idx="713">
                  <c:v>46029</c:v>
                </c:pt>
                <c:pt idx="714">
                  <c:v>46030</c:v>
                </c:pt>
                <c:pt idx="715">
                  <c:v>46031</c:v>
                </c:pt>
                <c:pt idx="716">
                  <c:v>46034</c:v>
                </c:pt>
                <c:pt idx="717">
                  <c:v>46035</c:v>
                </c:pt>
                <c:pt idx="718">
                  <c:v>46036</c:v>
                </c:pt>
                <c:pt idx="719">
                  <c:v>46037</c:v>
                </c:pt>
                <c:pt idx="720">
                  <c:v>46038</c:v>
                </c:pt>
                <c:pt idx="721">
                  <c:v>46042</c:v>
                </c:pt>
                <c:pt idx="722">
                  <c:v>46043</c:v>
                </c:pt>
                <c:pt idx="723">
                  <c:v>46044</c:v>
                </c:pt>
                <c:pt idx="724">
                  <c:v>46045</c:v>
                </c:pt>
                <c:pt idx="725">
                  <c:v>46048</c:v>
                </c:pt>
                <c:pt idx="726">
                  <c:v>46049</c:v>
                </c:pt>
                <c:pt idx="727">
                  <c:v>46050</c:v>
                </c:pt>
                <c:pt idx="728">
                  <c:v>46051</c:v>
                </c:pt>
                <c:pt idx="729">
                  <c:v>46052</c:v>
                </c:pt>
                <c:pt idx="730">
                  <c:v>46055</c:v>
                </c:pt>
                <c:pt idx="731">
                  <c:v>46056</c:v>
                </c:pt>
                <c:pt idx="732">
                  <c:v>46057</c:v>
                </c:pt>
                <c:pt idx="733">
                  <c:v>46058</c:v>
                </c:pt>
                <c:pt idx="734">
                  <c:v>46059</c:v>
                </c:pt>
                <c:pt idx="735">
                  <c:v>46062</c:v>
                </c:pt>
                <c:pt idx="736">
                  <c:v>46063</c:v>
                </c:pt>
                <c:pt idx="737">
                  <c:v>46064</c:v>
                </c:pt>
                <c:pt idx="738">
                  <c:v>46065</c:v>
                </c:pt>
                <c:pt idx="739">
                  <c:v>46066</c:v>
                </c:pt>
                <c:pt idx="740">
                  <c:v>46070</c:v>
                </c:pt>
                <c:pt idx="741">
                  <c:v>46071</c:v>
                </c:pt>
                <c:pt idx="742">
                  <c:v>46072</c:v>
                </c:pt>
                <c:pt idx="743">
                  <c:v>46073</c:v>
                </c:pt>
                <c:pt idx="744">
                  <c:v>46076</c:v>
                </c:pt>
                <c:pt idx="745">
                  <c:v>46077</c:v>
                </c:pt>
                <c:pt idx="746">
                  <c:v>46078</c:v>
                </c:pt>
                <c:pt idx="747">
                  <c:v>46079</c:v>
                </c:pt>
                <c:pt idx="748">
                  <c:v>46080</c:v>
                </c:pt>
                <c:pt idx="749">
                  <c:v>46083</c:v>
                </c:pt>
                <c:pt idx="750">
                  <c:v>46084</c:v>
                </c:pt>
                <c:pt idx="751">
                  <c:v>46085</c:v>
                </c:pt>
              </c:numCache>
            </c:numRef>
          </c:cat>
          <c:val>
            <c:numRef>
              <c:f>'Share Price Analysis'!$W$36:$W$787</c:f>
              <c:numCache>
                <c:formatCode>\$#,##0.00</c:formatCode>
                <c:ptCount val="752"/>
                <c:pt idx="0">
                  <c:v>179.79</c:v>
                </c:pt>
                <c:pt idx="1">
                  <c:v>177.23</c:v>
                </c:pt>
                <c:pt idx="2">
                  <c:v>178.92</c:v>
                </c:pt>
                <c:pt idx="3">
                  <c:v>174.07</c:v>
                </c:pt>
                <c:pt idx="4">
                  <c:v>169.29</c:v>
                </c:pt>
                <c:pt idx="5">
                  <c:v>165.98</c:v>
                </c:pt>
                <c:pt idx="6">
                  <c:v>167.51</c:v>
                </c:pt>
                <c:pt idx="7">
                  <c:v>162.81</c:v>
                </c:pt>
                <c:pt idx="8">
                  <c:v>166.21</c:v>
                </c:pt>
                <c:pt idx="9">
                  <c:v>161.02000000000001</c:v>
                </c:pt>
                <c:pt idx="10">
                  <c:v>163.27000000000001</c:v>
                </c:pt>
                <c:pt idx="11">
                  <c:v>166.14</c:v>
                </c:pt>
                <c:pt idx="12">
                  <c:v>163.71</c:v>
                </c:pt>
                <c:pt idx="13">
                  <c:v>164.5</c:v>
                </c:pt>
                <c:pt idx="14">
                  <c:v>166.2</c:v>
                </c:pt>
                <c:pt idx="15">
                  <c:v>165.8</c:v>
                </c:pt>
                <c:pt idx="16">
                  <c:v>168.04</c:v>
                </c:pt>
                <c:pt idx="17">
                  <c:v>169.99</c:v>
                </c:pt>
                <c:pt idx="18">
                  <c:v>170.14</c:v>
                </c:pt>
                <c:pt idx="19">
                  <c:v>171.56</c:v>
                </c:pt>
                <c:pt idx="20">
                  <c:v>172.93</c:v>
                </c:pt>
                <c:pt idx="21">
                  <c:v>168.86</c:v>
                </c:pt>
                <c:pt idx="22">
                  <c:v>164.06</c:v>
                </c:pt>
                <c:pt idx="23">
                  <c:v>164.93</c:v>
                </c:pt>
                <c:pt idx="24">
                  <c:v>166.01</c:v>
                </c:pt>
                <c:pt idx="25">
                  <c:v>166.57</c:v>
                </c:pt>
                <c:pt idx="26">
                  <c:v>167.32</c:v>
                </c:pt>
                <c:pt idx="27">
                  <c:v>169.46</c:v>
                </c:pt>
                <c:pt idx="28">
                  <c:v>169.08</c:v>
                </c:pt>
                <c:pt idx="29">
                  <c:v>171.88</c:v>
                </c:pt>
                <c:pt idx="30">
                  <c:v>172.36</c:v>
                </c:pt>
                <c:pt idx="31">
                  <c:v>173.54</c:v>
                </c:pt>
                <c:pt idx="32">
                  <c:v>172.44</c:v>
                </c:pt>
                <c:pt idx="33">
                  <c:v>171.14</c:v>
                </c:pt>
                <c:pt idx="34">
                  <c:v>171.41</c:v>
                </c:pt>
                <c:pt idx="35">
                  <c:v>169.67</c:v>
                </c:pt>
                <c:pt idx="36">
                  <c:v>166.65</c:v>
                </c:pt>
                <c:pt idx="37">
                  <c:v>172.98</c:v>
                </c:pt>
                <c:pt idx="38">
                  <c:v>175.12</c:v>
                </c:pt>
                <c:pt idx="39">
                  <c:v>177.51</c:v>
                </c:pt>
                <c:pt idx="40">
                  <c:v>179.27</c:v>
                </c:pt>
                <c:pt idx="41">
                  <c:v>178.62</c:v>
                </c:pt>
                <c:pt idx="42">
                  <c:v>190.23</c:v>
                </c:pt>
                <c:pt idx="43">
                  <c:v>193.57</c:v>
                </c:pt>
                <c:pt idx="44">
                  <c:v>192.83</c:v>
                </c:pt>
                <c:pt idx="45">
                  <c:v>193.11</c:v>
                </c:pt>
                <c:pt idx="46">
                  <c:v>196.09</c:v>
                </c:pt>
                <c:pt idx="47">
                  <c:v>194.83</c:v>
                </c:pt>
                <c:pt idx="48">
                  <c:v>195.38</c:v>
                </c:pt>
                <c:pt idx="49">
                  <c:v>196.17</c:v>
                </c:pt>
                <c:pt idx="50">
                  <c:v>195.01</c:v>
                </c:pt>
                <c:pt idx="51">
                  <c:v>196.51</c:v>
                </c:pt>
                <c:pt idx="52">
                  <c:v>196.41</c:v>
                </c:pt>
                <c:pt idx="53">
                  <c:v>197.22</c:v>
                </c:pt>
                <c:pt idx="54">
                  <c:v>197.26</c:v>
                </c:pt>
                <c:pt idx="55">
                  <c:v>195.2</c:v>
                </c:pt>
                <c:pt idx="56">
                  <c:v>194.1</c:v>
                </c:pt>
                <c:pt idx="57">
                  <c:v>195.1</c:v>
                </c:pt>
                <c:pt idx="58">
                  <c:v>196</c:v>
                </c:pt>
                <c:pt idx="59">
                  <c:v>196.05</c:v>
                </c:pt>
                <c:pt idx="60">
                  <c:v>195.5</c:v>
                </c:pt>
                <c:pt idx="61">
                  <c:v>198.8</c:v>
                </c:pt>
                <c:pt idx="62">
                  <c:v>202.73</c:v>
                </c:pt>
                <c:pt idx="63">
                  <c:v>202.24</c:v>
                </c:pt>
                <c:pt idx="64">
                  <c:v>203.12</c:v>
                </c:pt>
                <c:pt idx="65">
                  <c:v>204.99</c:v>
                </c:pt>
                <c:pt idx="66">
                  <c:v>206.18</c:v>
                </c:pt>
                <c:pt idx="67">
                  <c:v>206.64</c:v>
                </c:pt>
                <c:pt idx="68">
                  <c:v>205.89</c:v>
                </c:pt>
                <c:pt idx="69">
                  <c:v>207.7</c:v>
                </c:pt>
                <c:pt idx="70">
                  <c:v>207.39</c:v>
                </c:pt>
                <c:pt idx="71">
                  <c:v>208.94</c:v>
                </c:pt>
                <c:pt idx="72">
                  <c:v>207.31</c:v>
                </c:pt>
                <c:pt idx="73">
                  <c:v>208.68</c:v>
                </c:pt>
                <c:pt idx="74">
                  <c:v>210.57</c:v>
                </c:pt>
                <c:pt idx="75">
                  <c:v>213.45</c:v>
                </c:pt>
                <c:pt idx="76">
                  <c:v>214.43</c:v>
                </c:pt>
                <c:pt idx="77">
                  <c:v>214.77</c:v>
                </c:pt>
                <c:pt idx="78">
                  <c:v>220.42</c:v>
                </c:pt>
                <c:pt idx="79">
                  <c:v>220.86</c:v>
                </c:pt>
                <c:pt idx="80">
                  <c:v>224.84</c:v>
                </c:pt>
                <c:pt idx="81">
                  <c:v>225.44</c:v>
                </c:pt>
                <c:pt idx="82">
                  <c:v>223.34</c:v>
                </c:pt>
                <c:pt idx="83">
                  <c:v>220.63</c:v>
                </c:pt>
                <c:pt idx="84">
                  <c:v>217.99</c:v>
                </c:pt>
                <c:pt idx="85">
                  <c:v>217.38</c:v>
                </c:pt>
                <c:pt idx="86">
                  <c:v>219.39</c:v>
                </c:pt>
                <c:pt idx="87">
                  <c:v>223.61</c:v>
                </c:pt>
                <c:pt idx="88">
                  <c:v>220.28</c:v>
                </c:pt>
                <c:pt idx="89">
                  <c:v>223.36</c:v>
                </c:pt>
                <c:pt idx="90">
                  <c:v>224.75</c:v>
                </c:pt>
                <c:pt idx="91">
                  <c:v>223.71</c:v>
                </c:pt>
                <c:pt idx="92">
                  <c:v>223.9</c:v>
                </c:pt>
                <c:pt idx="93">
                  <c:v>221.34</c:v>
                </c:pt>
                <c:pt idx="94">
                  <c:v>221.63</c:v>
                </c:pt>
                <c:pt idx="95">
                  <c:v>222.3</c:v>
                </c:pt>
                <c:pt idx="96">
                  <c:v>222.6</c:v>
                </c:pt>
                <c:pt idx="97">
                  <c:v>222.25</c:v>
                </c:pt>
                <c:pt idx="98">
                  <c:v>223.46</c:v>
                </c:pt>
                <c:pt idx="99">
                  <c:v>218.29</c:v>
                </c:pt>
                <c:pt idx="100">
                  <c:v>220.19</c:v>
                </c:pt>
                <c:pt idx="101">
                  <c:v>220.5</c:v>
                </c:pt>
                <c:pt idx="102">
                  <c:v>223.97</c:v>
                </c:pt>
                <c:pt idx="103">
                  <c:v>223.08</c:v>
                </c:pt>
                <c:pt idx="104">
                  <c:v>226.19</c:v>
                </c:pt>
                <c:pt idx="105">
                  <c:v>226</c:v>
                </c:pt>
                <c:pt idx="106">
                  <c:v>228.72</c:v>
                </c:pt>
                <c:pt idx="107">
                  <c:v>226.84</c:v>
                </c:pt>
                <c:pt idx="108">
                  <c:v>223.38</c:v>
                </c:pt>
                <c:pt idx="109">
                  <c:v>224.31</c:v>
                </c:pt>
                <c:pt idx="110">
                  <c:v>223.92</c:v>
                </c:pt>
                <c:pt idx="111">
                  <c:v>225.13</c:v>
                </c:pt>
                <c:pt idx="112">
                  <c:v>224.14</c:v>
                </c:pt>
                <c:pt idx="113">
                  <c:v>222.5</c:v>
                </c:pt>
                <c:pt idx="114">
                  <c:v>213.33</c:v>
                </c:pt>
                <c:pt idx="115">
                  <c:v>211.8</c:v>
                </c:pt>
                <c:pt idx="116">
                  <c:v>212.57</c:v>
                </c:pt>
                <c:pt idx="117">
                  <c:v>214.58</c:v>
                </c:pt>
                <c:pt idx="118">
                  <c:v>217.06</c:v>
                </c:pt>
                <c:pt idx="119">
                  <c:v>214.98</c:v>
                </c:pt>
                <c:pt idx="120">
                  <c:v>214.83</c:v>
                </c:pt>
                <c:pt idx="121">
                  <c:v>215.11</c:v>
                </c:pt>
                <c:pt idx="122">
                  <c:v>218.59</c:v>
                </c:pt>
                <c:pt idx="123">
                  <c:v>218.24</c:v>
                </c:pt>
                <c:pt idx="124">
                  <c:v>218.25</c:v>
                </c:pt>
                <c:pt idx="125">
                  <c:v>222.92</c:v>
                </c:pt>
                <c:pt idx="126">
                  <c:v>216.24</c:v>
                </c:pt>
                <c:pt idx="127">
                  <c:v>215.2</c:v>
                </c:pt>
                <c:pt idx="128">
                  <c:v>215.56</c:v>
                </c:pt>
                <c:pt idx="129">
                  <c:v>216.25</c:v>
                </c:pt>
                <c:pt idx="130">
                  <c:v>216.59</c:v>
                </c:pt>
                <c:pt idx="131">
                  <c:v>214.77</c:v>
                </c:pt>
                <c:pt idx="132">
                  <c:v>213.74</c:v>
                </c:pt>
                <c:pt idx="133">
                  <c:v>214.97</c:v>
                </c:pt>
                <c:pt idx="134">
                  <c:v>210.59</c:v>
                </c:pt>
                <c:pt idx="135">
                  <c:v>211.69</c:v>
                </c:pt>
                <c:pt idx="136">
                  <c:v>209.88</c:v>
                </c:pt>
                <c:pt idx="137">
                  <c:v>209.55</c:v>
                </c:pt>
                <c:pt idx="138">
                  <c:v>202.35</c:v>
                </c:pt>
                <c:pt idx="139">
                  <c:v>200.62</c:v>
                </c:pt>
                <c:pt idx="140">
                  <c:v>202.04</c:v>
                </c:pt>
                <c:pt idx="141">
                  <c:v>201.35</c:v>
                </c:pt>
                <c:pt idx="142">
                  <c:v>203.6</c:v>
                </c:pt>
                <c:pt idx="143">
                  <c:v>205.03</c:v>
                </c:pt>
                <c:pt idx="144">
                  <c:v>202.02</c:v>
                </c:pt>
                <c:pt idx="145">
                  <c:v>200.93</c:v>
                </c:pt>
                <c:pt idx="146">
                  <c:v>199.99</c:v>
                </c:pt>
                <c:pt idx="147">
                  <c:v>205.03</c:v>
                </c:pt>
                <c:pt idx="148">
                  <c:v>206.95</c:v>
                </c:pt>
                <c:pt idx="149">
                  <c:v>212.4</c:v>
                </c:pt>
                <c:pt idx="150">
                  <c:v>210.25</c:v>
                </c:pt>
                <c:pt idx="151">
                  <c:v>211</c:v>
                </c:pt>
                <c:pt idx="152">
                  <c:v>214.76</c:v>
                </c:pt>
                <c:pt idx="153">
                  <c:v>210.63</c:v>
                </c:pt>
                <c:pt idx="154">
                  <c:v>209.29</c:v>
                </c:pt>
                <c:pt idx="155">
                  <c:v>213.04</c:v>
                </c:pt>
                <c:pt idx="156">
                  <c:v>214.79</c:v>
                </c:pt>
                <c:pt idx="157">
                  <c:v>203.74</c:v>
                </c:pt>
                <c:pt idx="158">
                  <c:v>202.69</c:v>
                </c:pt>
                <c:pt idx="159">
                  <c:v>201.55</c:v>
                </c:pt>
                <c:pt idx="160">
                  <c:v>202.5</c:v>
                </c:pt>
                <c:pt idx="161">
                  <c:v>205.15</c:v>
                </c:pt>
                <c:pt idx="162">
                  <c:v>203.37</c:v>
                </c:pt>
                <c:pt idx="163">
                  <c:v>193.97</c:v>
                </c:pt>
                <c:pt idx="164">
                  <c:v>193.69</c:v>
                </c:pt>
                <c:pt idx="165">
                  <c:v>195.99</c:v>
                </c:pt>
                <c:pt idx="166">
                  <c:v>196.49</c:v>
                </c:pt>
                <c:pt idx="167">
                  <c:v>203.8</c:v>
                </c:pt>
                <c:pt idx="168">
                  <c:v>206.82</c:v>
                </c:pt>
                <c:pt idx="169">
                  <c:v>207.78</c:v>
                </c:pt>
                <c:pt idx="170">
                  <c:v>207.14</c:v>
                </c:pt>
                <c:pt idx="171">
                  <c:v>207.21</c:v>
                </c:pt>
                <c:pt idx="172">
                  <c:v>208.43</c:v>
                </c:pt>
                <c:pt idx="173">
                  <c:v>209.23</c:v>
                </c:pt>
                <c:pt idx="174">
                  <c:v>211.66</c:v>
                </c:pt>
                <c:pt idx="175">
                  <c:v>210.49</c:v>
                </c:pt>
                <c:pt idx="176">
                  <c:v>216.54</c:v>
                </c:pt>
                <c:pt idx="177">
                  <c:v>210.87</c:v>
                </c:pt>
                <c:pt idx="178">
                  <c:v>212.27</c:v>
                </c:pt>
                <c:pt idx="179">
                  <c:v>212.35</c:v>
                </c:pt>
                <c:pt idx="180">
                  <c:v>210.38</c:v>
                </c:pt>
                <c:pt idx="181">
                  <c:v>209.84</c:v>
                </c:pt>
                <c:pt idx="182">
                  <c:v>211.9</c:v>
                </c:pt>
                <c:pt idx="183">
                  <c:v>211.68</c:v>
                </c:pt>
                <c:pt idx="184">
                  <c:v>212.85</c:v>
                </c:pt>
                <c:pt idx="185">
                  <c:v>211.16</c:v>
                </c:pt>
                <c:pt idx="186">
                  <c:v>212.68</c:v>
                </c:pt>
                <c:pt idx="187">
                  <c:v>213.56</c:v>
                </c:pt>
                <c:pt idx="188">
                  <c:v>215.63</c:v>
                </c:pt>
                <c:pt idx="189">
                  <c:v>214.8</c:v>
                </c:pt>
                <c:pt idx="190">
                  <c:v>212.02</c:v>
                </c:pt>
                <c:pt idx="191">
                  <c:v>211.93</c:v>
                </c:pt>
                <c:pt idx="192">
                  <c:v>214.17</c:v>
                </c:pt>
                <c:pt idx="193">
                  <c:v>216.03</c:v>
                </c:pt>
                <c:pt idx="194">
                  <c:v>218.86</c:v>
                </c:pt>
                <c:pt idx="195">
                  <c:v>220.9</c:v>
                </c:pt>
                <c:pt idx="196">
                  <c:v>223.67</c:v>
                </c:pt>
                <c:pt idx="197">
                  <c:v>224.76</c:v>
                </c:pt>
                <c:pt idx="198">
                  <c:v>224.35</c:v>
                </c:pt>
                <c:pt idx="199">
                  <c:v>222.7</c:v>
                </c:pt>
                <c:pt idx="200">
                  <c:v>224.69</c:v>
                </c:pt>
                <c:pt idx="201">
                  <c:v>221.18</c:v>
                </c:pt>
                <c:pt idx="202">
                  <c:v>223.28</c:v>
                </c:pt>
                <c:pt idx="203">
                  <c:v>224.93</c:v>
                </c:pt>
                <c:pt idx="204">
                  <c:v>225.65</c:v>
                </c:pt>
                <c:pt idx="205">
                  <c:v>225.82</c:v>
                </c:pt>
                <c:pt idx="206">
                  <c:v>225.44</c:v>
                </c:pt>
                <c:pt idx="207">
                  <c:v>227.01</c:v>
                </c:pt>
                <c:pt idx="208">
                  <c:v>223.6</c:v>
                </c:pt>
                <c:pt idx="209">
                  <c:v>219.33</c:v>
                </c:pt>
                <c:pt idx="210">
                  <c:v>220.68</c:v>
                </c:pt>
                <c:pt idx="211">
                  <c:v>221.62</c:v>
                </c:pt>
                <c:pt idx="212">
                  <c:v>224</c:v>
                </c:pt>
                <c:pt idx="213">
                  <c:v>223.42</c:v>
                </c:pt>
                <c:pt idx="214">
                  <c:v>226.11</c:v>
                </c:pt>
                <c:pt idx="215">
                  <c:v>224.36</c:v>
                </c:pt>
                <c:pt idx="216">
                  <c:v>223.96</c:v>
                </c:pt>
                <c:pt idx="217">
                  <c:v>222.38</c:v>
                </c:pt>
                <c:pt idx="218">
                  <c:v>221.26</c:v>
                </c:pt>
                <c:pt idx="219">
                  <c:v>225.12</c:v>
                </c:pt>
                <c:pt idx="220">
                  <c:v>226.08</c:v>
                </c:pt>
                <c:pt idx="221">
                  <c:v>227.28</c:v>
                </c:pt>
                <c:pt idx="222">
                  <c:v>222.8</c:v>
                </c:pt>
                <c:pt idx="223">
                  <c:v>219.8</c:v>
                </c:pt>
                <c:pt idx="224">
                  <c:v>223.41</c:v>
                </c:pt>
                <c:pt idx="225">
                  <c:v>222.36</c:v>
                </c:pt>
                <c:pt idx="226">
                  <c:v>229.37</c:v>
                </c:pt>
                <c:pt idx="227">
                  <c:v>231.05</c:v>
                </c:pt>
                <c:pt idx="228">
                  <c:v>226.01</c:v>
                </c:pt>
                <c:pt idx="229">
                  <c:v>230.36</c:v>
                </c:pt>
                <c:pt idx="230">
                  <c:v>234.44</c:v>
                </c:pt>
                <c:pt idx="231">
                  <c:v>229.65</c:v>
                </c:pt>
                <c:pt idx="232">
                  <c:v>231.58</c:v>
                </c:pt>
                <c:pt idx="233">
                  <c:v>236.52</c:v>
                </c:pt>
                <c:pt idx="234">
                  <c:v>238.44</c:v>
                </c:pt>
                <c:pt idx="235">
                  <c:v>240</c:v>
                </c:pt>
                <c:pt idx="236">
                  <c:v>240.13</c:v>
                </c:pt>
                <c:pt idx="237">
                  <c:v>237.12</c:v>
                </c:pt>
                <c:pt idx="238">
                  <c:v>241.1</c:v>
                </c:pt>
                <c:pt idx="239">
                  <c:v>242.46</c:v>
                </c:pt>
                <c:pt idx="240">
                  <c:v>255.15</c:v>
                </c:pt>
                <c:pt idx="241">
                  <c:v>251.38</c:v>
                </c:pt>
                <c:pt idx="242">
                  <c:v>253.43</c:v>
                </c:pt>
                <c:pt idx="243">
                  <c:v>256.94</c:v>
                </c:pt>
                <c:pt idx="244">
                  <c:v>257.23</c:v>
                </c:pt>
                <c:pt idx="245">
                  <c:v>261.08</c:v>
                </c:pt>
                <c:pt idx="246">
                  <c:v>263.56</c:v>
                </c:pt>
                <c:pt idx="247">
                  <c:v>262.3</c:v>
                </c:pt>
                <c:pt idx="248">
                  <c:v>265.85000000000002</c:v>
                </c:pt>
                <c:pt idx="249">
                  <c:v>267.43</c:v>
                </c:pt>
                <c:pt idx="250">
                  <c:v>267.85000000000002</c:v>
                </c:pt>
                <c:pt idx="251">
                  <c:v>264.98</c:v>
                </c:pt>
                <c:pt idx="252">
                  <c:v>267.33999999999997</c:v>
                </c:pt>
                <c:pt idx="253">
                  <c:v>271.17</c:v>
                </c:pt>
                <c:pt idx="254">
                  <c:v>266.7</c:v>
                </c:pt>
                <c:pt idx="255">
                  <c:v>264.95</c:v>
                </c:pt>
                <c:pt idx="256">
                  <c:v>269.58</c:v>
                </c:pt>
                <c:pt idx="257">
                  <c:v>269.32</c:v>
                </c:pt>
                <c:pt idx="258">
                  <c:v>270.73</c:v>
                </c:pt>
                <c:pt idx="259">
                  <c:v>266.86</c:v>
                </c:pt>
                <c:pt idx="260">
                  <c:v>269.42</c:v>
                </c:pt>
                <c:pt idx="261">
                  <c:v>269.01</c:v>
                </c:pt>
                <c:pt idx="262">
                  <c:v>271.74</c:v>
                </c:pt>
                <c:pt idx="263">
                  <c:v>275.58999999999997</c:v>
                </c:pt>
                <c:pt idx="264">
                  <c:v>274.36</c:v>
                </c:pt>
                <c:pt idx="265">
                  <c:v>272.62</c:v>
                </c:pt>
                <c:pt idx="266">
                  <c:v>273.87</c:v>
                </c:pt>
                <c:pt idx="267">
                  <c:v>272.79000000000002</c:v>
                </c:pt>
                <c:pt idx="268">
                  <c:v>272.92</c:v>
                </c:pt>
                <c:pt idx="269">
                  <c:v>269.69</c:v>
                </c:pt>
                <c:pt idx="270">
                  <c:v>266.25</c:v>
                </c:pt>
                <c:pt idx="271">
                  <c:v>268.77</c:v>
                </c:pt>
                <c:pt idx="272">
                  <c:v>265.89</c:v>
                </c:pt>
                <c:pt idx="273">
                  <c:v>270.14999999999998</c:v>
                </c:pt>
                <c:pt idx="274">
                  <c:v>269.72000000000003</c:v>
                </c:pt>
                <c:pt idx="275">
                  <c:v>265.62</c:v>
                </c:pt>
                <c:pt idx="276">
                  <c:v>264.56</c:v>
                </c:pt>
                <c:pt idx="277">
                  <c:v>265.5</c:v>
                </c:pt>
                <c:pt idx="278">
                  <c:v>262.77999999999997</c:v>
                </c:pt>
                <c:pt idx="279">
                  <c:v>260.47000000000003</c:v>
                </c:pt>
                <c:pt idx="280">
                  <c:v>258.54000000000002</c:v>
                </c:pt>
                <c:pt idx="281">
                  <c:v>258.26</c:v>
                </c:pt>
                <c:pt idx="282">
                  <c:v>255.07</c:v>
                </c:pt>
                <c:pt idx="283">
                  <c:v>252.06</c:v>
                </c:pt>
                <c:pt idx="284">
                  <c:v>254.48</c:v>
                </c:pt>
                <c:pt idx="285">
                  <c:v>259.33999999999997</c:v>
                </c:pt>
                <c:pt idx="286">
                  <c:v>256.39999999999998</c:v>
                </c:pt>
                <c:pt idx="287">
                  <c:v>258.54000000000002</c:v>
                </c:pt>
                <c:pt idx="288">
                  <c:v>261.24</c:v>
                </c:pt>
                <c:pt idx="289">
                  <c:v>261.45</c:v>
                </c:pt>
                <c:pt idx="290">
                  <c:v>257.63</c:v>
                </c:pt>
                <c:pt idx="291">
                  <c:v>259.73</c:v>
                </c:pt>
                <c:pt idx="292">
                  <c:v>264.41000000000003</c:v>
                </c:pt>
                <c:pt idx="293">
                  <c:v>264.44</c:v>
                </c:pt>
                <c:pt idx="294">
                  <c:v>266.61</c:v>
                </c:pt>
                <c:pt idx="295">
                  <c:v>268.35000000000002</c:v>
                </c:pt>
                <c:pt idx="296">
                  <c:v>267.93</c:v>
                </c:pt>
                <c:pt idx="297">
                  <c:v>270.69</c:v>
                </c:pt>
                <c:pt idx="298">
                  <c:v>272.07</c:v>
                </c:pt>
                <c:pt idx="299">
                  <c:v>270.08999999999997</c:v>
                </c:pt>
                <c:pt idx="300">
                  <c:v>267.75</c:v>
                </c:pt>
                <c:pt idx="301">
                  <c:v>270.5</c:v>
                </c:pt>
                <c:pt idx="302">
                  <c:v>260</c:v>
                </c:pt>
                <c:pt idx="303">
                  <c:v>259.10000000000002</c:v>
                </c:pt>
                <c:pt idx="304">
                  <c:v>260.20999999999998</c:v>
                </c:pt>
                <c:pt idx="305">
                  <c:v>262.18</c:v>
                </c:pt>
                <c:pt idx="306">
                  <c:v>260.87</c:v>
                </c:pt>
                <c:pt idx="307">
                  <c:v>257.20999999999998</c:v>
                </c:pt>
                <c:pt idx="308">
                  <c:v>259.25</c:v>
                </c:pt>
                <c:pt idx="309">
                  <c:v>253.98</c:v>
                </c:pt>
                <c:pt idx="310">
                  <c:v>251.91</c:v>
                </c:pt>
                <c:pt idx="311">
                  <c:v>254.08</c:v>
                </c:pt>
                <c:pt idx="312">
                  <c:v>255.77</c:v>
                </c:pt>
                <c:pt idx="313">
                  <c:v>252.19</c:v>
                </c:pt>
                <c:pt idx="314">
                  <c:v>250.46</c:v>
                </c:pt>
                <c:pt idx="315">
                  <c:v>251.18</c:v>
                </c:pt>
                <c:pt idx="316">
                  <c:v>248.58</c:v>
                </c:pt>
                <c:pt idx="317">
                  <c:v>247.59</c:v>
                </c:pt>
                <c:pt idx="318">
                  <c:v>247.81</c:v>
                </c:pt>
                <c:pt idx="319">
                  <c:v>244.64</c:v>
                </c:pt>
                <c:pt idx="320">
                  <c:v>249.12</c:v>
                </c:pt>
                <c:pt idx="321">
                  <c:v>253.95</c:v>
                </c:pt>
                <c:pt idx="322">
                  <c:v>252.64</c:v>
                </c:pt>
                <c:pt idx="323">
                  <c:v>256.35000000000002</c:v>
                </c:pt>
                <c:pt idx="324">
                  <c:v>255.61</c:v>
                </c:pt>
                <c:pt idx="325">
                  <c:v>246.46</c:v>
                </c:pt>
                <c:pt idx="326">
                  <c:v>247.81</c:v>
                </c:pt>
                <c:pt idx="327">
                  <c:v>247.58</c:v>
                </c:pt>
                <c:pt idx="328">
                  <c:v>246.15</c:v>
                </c:pt>
                <c:pt idx="329">
                  <c:v>245.88</c:v>
                </c:pt>
                <c:pt idx="330">
                  <c:v>247.76</c:v>
                </c:pt>
                <c:pt idx="331">
                  <c:v>248.68</c:v>
                </c:pt>
                <c:pt idx="332">
                  <c:v>243.72</c:v>
                </c:pt>
                <c:pt idx="333">
                  <c:v>245.07</c:v>
                </c:pt>
                <c:pt idx="334">
                  <c:v>243.92</c:v>
                </c:pt>
                <c:pt idx="335">
                  <c:v>244.21</c:v>
                </c:pt>
                <c:pt idx="336">
                  <c:v>241.97</c:v>
                </c:pt>
                <c:pt idx="337">
                  <c:v>242.25</c:v>
                </c:pt>
                <c:pt idx="338">
                  <c:v>247.72</c:v>
                </c:pt>
                <c:pt idx="339">
                  <c:v>254.69</c:v>
                </c:pt>
                <c:pt idx="340">
                  <c:v>252.51</c:v>
                </c:pt>
                <c:pt idx="341">
                  <c:v>253.9</c:v>
                </c:pt>
                <c:pt idx="342">
                  <c:v>262.81</c:v>
                </c:pt>
                <c:pt idx="343">
                  <c:v>255.8</c:v>
                </c:pt>
                <c:pt idx="344">
                  <c:v>256.08999999999997</c:v>
                </c:pt>
                <c:pt idx="345">
                  <c:v>256.14</c:v>
                </c:pt>
                <c:pt idx="346">
                  <c:v>260.61</c:v>
                </c:pt>
                <c:pt idx="347">
                  <c:v>260.14999999999998</c:v>
                </c:pt>
                <c:pt idx="348">
                  <c:v>250.51</c:v>
                </c:pt>
                <c:pt idx="349">
                  <c:v>253.77</c:v>
                </c:pt>
                <c:pt idx="350">
                  <c:v>261.70999999999998</c:v>
                </c:pt>
                <c:pt idx="351">
                  <c:v>264.52999999999997</c:v>
                </c:pt>
                <c:pt idx="352">
                  <c:v>270</c:v>
                </c:pt>
                <c:pt idx="353">
                  <c:v>274.51</c:v>
                </c:pt>
                <c:pt idx="354">
                  <c:v>271.13</c:v>
                </c:pt>
                <c:pt idx="355">
                  <c:v>266.33999999999997</c:v>
                </c:pt>
                <c:pt idx="356">
                  <c:v>257.43</c:v>
                </c:pt>
                <c:pt idx="357">
                  <c:v>246.14</c:v>
                </c:pt>
                <c:pt idx="358">
                  <c:v>241.22</c:v>
                </c:pt>
                <c:pt idx="359">
                  <c:v>246.33</c:v>
                </c:pt>
                <c:pt idx="360">
                  <c:v>244.34</c:v>
                </c:pt>
                <c:pt idx="361">
                  <c:v>241.9</c:v>
                </c:pt>
                <c:pt idx="362">
                  <c:v>243.84</c:v>
                </c:pt>
                <c:pt idx="363">
                  <c:v>242.5</c:v>
                </c:pt>
                <c:pt idx="364">
                  <c:v>246.57</c:v>
                </c:pt>
                <c:pt idx="365">
                  <c:v>244.43</c:v>
                </c:pt>
                <c:pt idx="366">
                  <c:v>244.29</c:v>
                </c:pt>
                <c:pt idx="367">
                  <c:v>245.6</c:v>
                </c:pt>
                <c:pt idx="368">
                  <c:v>247.84</c:v>
                </c:pt>
                <c:pt idx="369">
                  <c:v>247.98</c:v>
                </c:pt>
                <c:pt idx="370">
                  <c:v>254.89</c:v>
                </c:pt>
                <c:pt idx="371">
                  <c:v>250.68</c:v>
                </c:pt>
                <c:pt idx="372">
                  <c:v>240.41</c:v>
                </c:pt>
                <c:pt idx="373">
                  <c:v>235.77</c:v>
                </c:pt>
                <c:pt idx="374">
                  <c:v>241.28</c:v>
                </c:pt>
                <c:pt idx="375">
                  <c:v>245.21</c:v>
                </c:pt>
                <c:pt idx="376">
                  <c:v>239.02</c:v>
                </c:pt>
                <c:pt idx="377">
                  <c:v>234.83</c:v>
                </c:pt>
                <c:pt idx="378">
                  <c:v>232.16</c:v>
                </c:pt>
                <c:pt idx="379">
                  <c:v>231.97</c:v>
                </c:pt>
                <c:pt idx="380">
                  <c:v>231.83</c:v>
                </c:pt>
                <c:pt idx="381">
                  <c:v>232.95</c:v>
                </c:pt>
                <c:pt idx="382">
                  <c:v>232.95</c:v>
                </c:pt>
                <c:pt idx="383">
                  <c:v>236.27</c:v>
                </c:pt>
                <c:pt idx="384">
                  <c:v>237.47</c:v>
                </c:pt>
                <c:pt idx="385">
                  <c:v>242.87</c:v>
                </c:pt>
                <c:pt idx="386">
                  <c:v>245.12</c:v>
                </c:pt>
                <c:pt idx="387">
                  <c:v>244.4</c:v>
                </c:pt>
                <c:pt idx="388">
                  <c:v>253.67</c:v>
                </c:pt>
                <c:pt idx="389">
                  <c:v>252.05</c:v>
                </c:pt>
                <c:pt idx="390">
                  <c:v>252.33</c:v>
                </c:pt>
                <c:pt idx="391">
                  <c:v>249.87</c:v>
                </c:pt>
                <c:pt idx="392">
                  <c:v>249.63</c:v>
                </c:pt>
                <c:pt idx="393">
                  <c:v>250.58</c:v>
                </c:pt>
                <c:pt idx="394">
                  <c:v>250.24</c:v>
                </c:pt>
                <c:pt idx="395">
                  <c:v>250.43</c:v>
                </c:pt>
                <c:pt idx="396">
                  <c:v>247.49</c:v>
                </c:pt>
                <c:pt idx="397">
                  <c:v>240.46</c:v>
                </c:pt>
                <c:pt idx="398">
                  <c:v>241.1</c:v>
                </c:pt>
                <c:pt idx="399">
                  <c:v>241.43</c:v>
                </c:pt>
                <c:pt idx="400">
                  <c:v>238.03</c:v>
                </c:pt>
                <c:pt idx="401">
                  <c:v>238.19</c:v>
                </c:pt>
                <c:pt idx="402">
                  <c:v>241.64</c:v>
                </c:pt>
                <c:pt idx="403">
                  <c:v>243.9</c:v>
                </c:pt>
                <c:pt idx="404">
                  <c:v>247.51</c:v>
                </c:pt>
                <c:pt idx="405">
                  <c:v>248.7</c:v>
                </c:pt>
                <c:pt idx="406">
                  <c:v>252.79</c:v>
                </c:pt>
                <c:pt idx="407">
                  <c:v>256.48</c:v>
                </c:pt>
                <c:pt idx="408">
                  <c:v>258.64</c:v>
                </c:pt>
                <c:pt idx="409">
                  <c:v>261.72000000000003</c:v>
                </c:pt>
                <c:pt idx="410">
                  <c:v>259.94</c:v>
                </c:pt>
                <c:pt idx="411">
                  <c:v>253.72</c:v>
                </c:pt>
                <c:pt idx="412">
                  <c:v>253.57</c:v>
                </c:pt>
                <c:pt idx="413">
                  <c:v>256.14</c:v>
                </c:pt>
                <c:pt idx="414">
                  <c:v>256.54000000000002</c:v>
                </c:pt>
                <c:pt idx="415">
                  <c:v>258.5</c:v>
                </c:pt>
                <c:pt idx="416">
                  <c:v>259.55</c:v>
                </c:pt>
                <c:pt idx="417">
                  <c:v>276.23</c:v>
                </c:pt>
                <c:pt idx="418">
                  <c:v>273.93</c:v>
                </c:pt>
                <c:pt idx="419">
                  <c:v>270.39</c:v>
                </c:pt>
                <c:pt idx="420">
                  <c:v>268.86</c:v>
                </c:pt>
                <c:pt idx="421">
                  <c:v>272.67</c:v>
                </c:pt>
                <c:pt idx="422">
                  <c:v>290.45</c:v>
                </c:pt>
                <c:pt idx="423">
                  <c:v>290.58999999999997</c:v>
                </c:pt>
                <c:pt idx="424">
                  <c:v>292.31</c:v>
                </c:pt>
                <c:pt idx="425">
                  <c:v>292.04000000000002</c:v>
                </c:pt>
                <c:pt idx="426">
                  <c:v>288.38</c:v>
                </c:pt>
                <c:pt idx="427">
                  <c:v>287.70999999999998</c:v>
                </c:pt>
                <c:pt idx="428">
                  <c:v>282.68</c:v>
                </c:pt>
                <c:pt idx="429">
                  <c:v>279.27999999999997</c:v>
                </c:pt>
                <c:pt idx="430">
                  <c:v>278.74</c:v>
                </c:pt>
                <c:pt idx="431">
                  <c:v>278.01</c:v>
                </c:pt>
                <c:pt idx="432">
                  <c:v>277.81</c:v>
                </c:pt>
                <c:pt idx="433">
                  <c:v>281.18</c:v>
                </c:pt>
                <c:pt idx="434">
                  <c:v>284.61</c:v>
                </c:pt>
                <c:pt idx="435">
                  <c:v>290.37</c:v>
                </c:pt>
                <c:pt idx="436">
                  <c:v>288.39999999999998</c:v>
                </c:pt>
                <c:pt idx="437">
                  <c:v>286.39</c:v>
                </c:pt>
                <c:pt idx="438">
                  <c:v>288.13</c:v>
                </c:pt>
                <c:pt idx="439">
                  <c:v>287.05</c:v>
                </c:pt>
                <c:pt idx="440">
                  <c:v>286.5</c:v>
                </c:pt>
                <c:pt idx="441">
                  <c:v>285.64999999999998</c:v>
                </c:pt>
                <c:pt idx="442">
                  <c:v>287.63</c:v>
                </c:pt>
                <c:pt idx="443">
                  <c:v>286.86</c:v>
                </c:pt>
                <c:pt idx="444">
                  <c:v>281.23</c:v>
                </c:pt>
                <c:pt idx="445">
                  <c:v>276.31</c:v>
                </c:pt>
                <c:pt idx="446">
                  <c:v>279.56</c:v>
                </c:pt>
                <c:pt idx="447">
                  <c:v>278.11</c:v>
                </c:pt>
                <c:pt idx="448">
                  <c:v>275.77</c:v>
                </c:pt>
                <c:pt idx="449">
                  <c:v>277</c:v>
                </c:pt>
                <c:pt idx="450">
                  <c:v>272.64999999999998</c:v>
                </c:pt>
                <c:pt idx="451">
                  <c:v>264.89</c:v>
                </c:pt>
                <c:pt idx="452">
                  <c:v>260.92</c:v>
                </c:pt>
                <c:pt idx="453">
                  <c:v>263.13</c:v>
                </c:pt>
                <c:pt idx="454">
                  <c:v>262.87</c:v>
                </c:pt>
                <c:pt idx="455">
                  <c:v>264.31</c:v>
                </c:pt>
                <c:pt idx="456">
                  <c:v>264.55</c:v>
                </c:pt>
                <c:pt idx="457">
                  <c:v>262.36</c:v>
                </c:pt>
                <c:pt idx="458">
                  <c:v>258.16000000000003</c:v>
                </c:pt>
                <c:pt idx="459">
                  <c:v>257.23</c:v>
                </c:pt>
                <c:pt idx="460">
                  <c:v>255.57</c:v>
                </c:pt>
                <c:pt idx="461">
                  <c:v>257.13</c:v>
                </c:pt>
                <c:pt idx="462">
                  <c:v>257.38</c:v>
                </c:pt>
                <c:pt idx="463">
                  <c:v>251.98</c:v>
                </c:pt>
                <c:pt idx="464">
                  <c:v>255.28</c:v>
                </c:pt>
                <c:pt idx="465">
                  <c:v>251.69</c:v>
                </c:pt>
                <c:pt idx="466">
                  <c:v>256.02999999999997</c:v>
                </c:pt>
                <c:pt idx="467">
                  <c:v>260.07</c:v>
                </c:pt>
                <c:pt idx="468">
                  <c:v>268.19</c:v>
                </c:pt>
                <c:pt idx="469">
                  <c:v>269.17</c:v>
                </c:pt>
                <c:pt idx="470">
                  <c:v>270.10000000000002</c:v>
                </c:pt>
                <c:pt idx="471">
                  <c:v>275.52999999999997</c:v>
                </c:pt>
                <c:pt idx="472">
                  <c:v>274.38</c:v>
                </c:pt>
                <c:pt idx="473">
                  <c:v>274.83</c:v>
                </c:pt>
                <c:pt idx="474">
                  <c:v>277.54000000000002</c:v>
                </c:pt>
                <c:pt idx="475">
                  <c:v>274.99</c:v>
                </c:pt>
                <c:pt idx="476">
                  <c:v>275.10000000000002</c:v>
                </c:pt>
                <c:pt idx="477">
                  <c:v>272.2</c:v>
                </c:pt>
                <c:pt idx="478">
                  <c:v>276.36</c:v>
                </c:pt>
                <c:pt idx="479">
                  <c:v>274.14999999999998</c:v>
                </c:pt>
                <c:pt idx="480">
                  <c:v>271.16000000000003</c:v>
                </c:pt>
                <c:pt idx="481">
                  <c:v>272.07</c:v>
                </c:pt>
                <c:pt idx="482">
                  <c:v>274.33</c:v>
                </c:pt>
                <c:pt idx="483">
                  <c:v>277.20999999999998</c:v>
                </c:pt>
                <c:pt idx="484">
                  <c:v>272.92</c:v>
                </c:pt>
                <c:pt idx="485">
                  <c:v>268.56</c:v>
                </c:pt>
                <c:pt idx="486">
                  <c:v>267.77</c:v>
                </c:pt>
                <c:pt idx="487">
                  <c:v>263.81</c:v>
                </c:pt>
                <c:pt idx="488">
                  <c:v>269.33</c:v>
                </c:pt>
                <c:pt idx="489">
                  <c:v>270.45999999999998</c:v>
                </c:pt>
                <c:pt idx="490">
                  <c:v>272.76</c:v>
                </c:pt>
                <c:pt idx="491">
                  <c:v>264.97000000000003</c:v>
                </c:pt>
                <c:pt idx="492">
                  <c:v>258.58999999999997</c:v>
                </c:pt>
                <c:pt idx="493">
                  <c:v>252.86</c:v>
                </c:pt>
                <c:pt idx="494">
                  <c:v>251.56</c:v>
                </c:pt>
                <c:pt idx="495">
                  <c:v>249.79</c:v>
                </c:pt>
                <c:pt idx="496">
                  <c:v>250.53</c:v>
                </c:pt>
                <c:pt idx="497">
                  <c:v>245.12</c:v>
                </c:pt>
                <c:pt idx="498">
                  <c:v>247.31</c:v>
                </c:pt>
                <c:pt idx="499">
                  <c:v>239.77</c:v>
                </c:pt>
                <c:pt idx="500">
                  <c:v>234.86</c:v>
                </c:pt>
                <c:pt idx="501">
                  <c:v>240.35</c:v>
                </c:pt>
                <c:pt idx="502">
                  <c:v>235.17</c:v>
                </c:pt>
                <c:pt idx="503">
                  <c:v>220.9</c:v>
                </c:pt>
                <c:pt idx="504">
                  <c:v>221.34</c:v>
                </c:pt>
                <c:pt idx="505">
                  <c:v>224.71</c:v>
                </c:pt>
                <c:pt idx="506">
                  <c:v>227.17</c:v>
                </c:pt>
                <c:pt idx="507">
                  <c:v>225.04</c:v>
                </c:pt>
                <c:pt idx="508">
                  <c:v>231.32</c:v>
                </c:pt>
                <c:pt idx="509">
                  <c:v>235.08</c:v>
                </c:pt>
                <c:pt idx="510">
                  <c:v>236.5</c:v>
                </c:pt>
                <c:pt idx="511">
                  <c:v>241.11</c:v>
                </c:pt>
                <c:pt idx="512">
                  <c:v>238.72</c:v>
                </c:pt>
                <c:pt idx="513">
                  <c:v>234.08</c:v>
                </c:pt>
                <c:pt idx="514">
                  <c:v>240.81</c:v>
                </c:pt>
                <c:pt idx="515">
                  <c:v>240.98</c:v>
                </c:pt>
                <c:pt idx="516">
                  <c:v>237.06</c:v>
                </c:pt>
                <c:pt idx="517">
                  <c:v>237.54</c:v>
                </c:pt>
                <c:pt idx="518">
                  <c:v>232.94</c:v>
                </c:pt>
                <c:pt idx="519">
                  <c:v>233.3</c:v>
                </c:pt>
                <c:pt idx="520">
                  <c:v>237.27</c:v>
                </c:pt>
                <c:pt idx="521">
                  <c:v>240.1</c:v>
                </c:pt>
                <c:pt idx="522">
                  <c:v>237.18</c:v>
                </c:pt>
                <c:pt idx="523">
                  <c:v>230.74</c:v>
                </c:pt>
                <c:pt idx="524">
                  <c:v>228.53</c:v>
                </c:pt>
                <c:pt idx="525">
                  <c:v>226.49</c:v>
                </c:pt>
                <c:pt idx="526">
                  <c:v>239.53</c:v>
                </c:pt>
                <c:pt idx="527">
                  <c:v>235.58</c:v>
                </c:pt>
                <c:pt idx="528">
                  <c:v>242.3</c:v>
                </c:pt>
                <c:pt idx="529">
                  <c:v>243.48</c:v>
                </c:pt>
                <c:pt idx="530">
                  <c:v>244.53</c:v>
                </c:pt>
                <c:pt idx="531">
                  <c:v>240.55</c:v>
                </c:pt>
                <c:pt idx="532">
                  <c:v>241.93</c:v>
                </c:pt>
                <c:pt idx="533">
                  <c:v>234.17</c:v>
                </c:pt>
                <c:pt idx="534">
                  <c:v>240.57</c:v>
                </c:pt>
                <c:pt idx="535">
                  <c:v>244.54</c:v>
                </c:pt>
                <c:pt idx="536">
                  <c:v>249.51</c:v>
                </c:pt>
                <c:pt idx="537">
                  <c:v>247.04</c:v>
                </c:pt>
                <c:pt idx="538">
                  <c:v>245.39</c:v>
                </c:pt>
                <c:pt idx="539">
                  <c:v>245.35</c:v>
                </c:pt>
                <c:pt idx="540">
                  <c:v>262.33</c:v>
                </c:pt>
                <c:pt idx="541">
                  <c:v>263.63</c:v>
                </c:pt>
                <c:pt idx="542">
                  <c:v>267.05</c:v>
                </c:pt>
                <c:pt idx="543">
                  <c:v>270.04000000000002</c:v>
                </c:pt>
                <c:pt idx="544">
                  <c:v>267.24</c:v>
                </c:pt>
                <c:pt idx="545">
                  <c:v>265.83999999999997</c:v>
                </c:pt>
                <c:pt idx="546">
                  <c:v>268.42</c:v>
                </c:pt>
                <c:pt idx="547">
                  <c:v>269.63</c:v>
                </c:pt>
                <c:pt idx="548">
                  <c:v>272.36</c:v>
                </c:pt>
                <c:pt idx="549">
                  <c:v>268.58999999999997</c:v>
                </c:pt>
                <c:pt idx="550">
                  <c:v>266.32</c:v>
                </c:pt>
                <c:pt idx="551">
                  <c:v>271.07</c:v>
                </c:pt>
                <c:pt idx="552">
                  <c:v>275.51</c:v>
                </c:pt>
                <c:pt idx="553">
                  <c:v>276.01</c:v>
                </c:pt>
                <c:pt idx="554">
                  <c:v>273.33</c:v>
                </c:pt>
                <c:pt idx="555">
                  <c:v>270.54000000000002</c:v>
                </c:pt>
                <c:pt idx="556">
                  <c:v>271.68</c:v>
                </c:pt>
                <c:pt idx="557">
                  <c:v>268.19</c:v>
                </c:pt>
                <c:pt idx="558">
                  <c:v>270.16000000000003</c:v>
                </c:pt>
                <c:pt idx="559">
                  <c:v>262.52999999999997</c:v>
                </c:pt>
                <c:pt idx="560">
                  <c:v>265.31</c:v>
                </c:pt>
                <c:pt idx="561">
                  <c:v>265.07</c:v>
                </c:pt>
                <c:pt idx="562">
                  <c:v>263.38</c:v>
                </c:pt>
                <c:pt idx="563">
                  <c:v>264.94</c:v>
                </c:pt>
                <c:pt idx="564">
                  <c:v>266.08</c:v>
                </c:pt>
                <c:pt idx="565">
                  <c:v>265.67</c:v>
                </c:pt>
                <c:pt idx="566">
                  <c:v>264.81</c:v>
                </c:pt>
                <c:pt idx="567">
                  <c:v>266</c:v>
                </c:pt>
                <c:pt idx="568">
                  <c:v>265.10000000000002</c:v>
                </c:pt>
                <c:pt idx="569">
                  <c:v>261.12</c:v>
                </c:pt>
                <c:pt idx="570">
                  <c:v>265.52999999999997</c:v>
                </c:pt>
                <c:pt idx="571">
                  <c:v>260.77</c:v>
                </c:pt>
                <c:pt idx="572">
                  <c:v>261.18</c:v>
                </c:pt>
                <c:pt idx="573">
                  <c:v>259.04000000000002</c:v>
                </c:pt>
                <c:pt idx="574">
                  <c:v>258.14</c:v>
                </c:pt>
                <c:pt idx="575">
                  <c:v>255.94</c:v>
                </c:pt>
                <c:pt idx="576">
                  <c:v>261.04000000000002</c:v>
                </c:pt>
                <c:pt idx="577">
                  <c:v>264.48</c:v>
                </c:pt>
                <c:pt idx="578">
                  <c:v>254.64</c:v>
                </c:pt>
                <c:pt idx="579">
                  <c:v>256.95999999999998</c:v>
                </c:pt>
                <c:pt idx="580">
                  <c:v>262.18</c:v>
                </c:pt>
                <c:pt idx="581">
                  <c:v>260.82</c:v>
                </c:pt>
                <c:pt idx="582">
                  <c:v>264.67</c:v>
                </c:pt>
                <c:pt idx="583">
                  <c:v>265.70999999999998</c:v>
                </c:pt>
                <c:pt idx="584">
                  <c:v>266.24</c:v>
                </c:pt>
                <c:pt idx="585">
                  <c:v>267</c:v>
                </c:pt>
                <c:pt idx="586">
                  <c:v>266.45</c:v>
                </c:pt>
                <c:pt idx="587">
                  <c:v>269.95</c:v>
                </c:pt>
                <c:pt idx="588">
                  <c:v>270.73</c:v>
                </c:pt>
                <c:pt idx="589">
                  <c:v>269</c:v>
                </c:pt>
                <c:pt idx="590">
                  <c:v>269.93</c:v>
                </c:pt>
                <c:pt idx="591">
                  <c:v>261.56</c:v>
                </c:pt>
                <c:pt idx="592">
                  <c:v>260.62</c:v>
                </c:pt>
                <c:pt idx="593">
                  <c:v>263.01</c:v>
                </c:pt>
                <c:pt idx="594">
                  <c:v>266.60000000000002</c:v>
                </c:pt>
                <c:pt idx="595">
                  <c:v>265.01</c:v>
                </c:pt>
                <c:pt idx="596">
                  <c:v>267.77999999999997</c:v>
                </c:pt>
                <c:pt idx="597">
                  <c:v>269.11</c:v>
                </c:pt>
                <c:pt idx="598">
                  <c:v>271.42</c:v>
                </c:pt>
                <c:pt idx="599">
                  <c:v>274.83</c:v>
                </c:pt>
                <c:pt idx="600">
                  <c:v>270.11</c:v>
                </c:pt>
                <c:pt idx="601">
                  <c:v>273.92</c:v>
                </c:pt>
                <c:pt idx="602">
                  <c:v>272.77</c:v>
                </c:pt>
                <c:pt idx="603">
                  <c:v>274.67</c:v>
                </c:pt>
                <c:pt idx="604">
                  <c:v>274.94</c:v>
                </c:pt>
                <c:pt idx="605">
                  <c:v>281.85000000000002</c:v>
                </c:pt>
                <c:pt idx="606">
                  <c:v>283.17</c:v>
                </c:pt>
                <c:pt idx="607">
                  <c:v>281.58999999999997</c:v>
                </c:pt>
                <c:pt idx="608">
                  <c:v>282.10000000000002</c:v>
                </c:pt>
                <c:pt idx="609">
                  <c:v>286.52</c:v>
                </c:pt>
                <c:pt idx="610">
                  <c:v>285.24</c:v>
                </c:pt>
                <c:pt idx="611">
                  <c:v>291.89</c:v>
                </c:pt>
                <c:pt idx="612">
                  <c:v>295.64</c:v>
                </c:pt>
                <c:pt idx="613">
                  <c:v>293.10000000000002</c:v>
                </c:pt>
                <c:pt idx="614">
                  <c:v>291.62</c:v>
                </c:pt>
                <c:pt idx="615">
                  <c:v>289.88</c:v>
                </c:pt>
                <c:pt idx="616">
                  <c:v>292.83999999999997</c:v>
                </c:pt>
                <c:pt idx="617">
                  <c:v>286.27999999999997</c:v>
                </c:pt>
                <c:pt idx="618">
                  <c:v>288.27999999999997</c:v>
                </c:pt>
                <c:pt idx="619">
                  <c:v>292.39999999999998</c:v>
                </c:pt>
                <c:pt idx="620">
                  <c:v>290.3</c:v>
                </c:pt>
                <c:pt idx="621">
                  <c:v>291.2</c:v>
                </c:pt>
                <c:pt idx="622">
                  <c:v>291.14999999999998</c:v>
                </c:pt>
                <c:pt idx="623">
                  <c:v>291.16000000000003</c:v>
                </c:pt>
                <c:pt idx="624">
                  <c:v>291.16000000000003</c:v>
                </c:pt>
                <c:pt idx="625">
                  <c:v>292.49</c:v>
                </c:pt>
                <c:pt idx="626">
                  <c:v>288.05</c:v>
                </c:pt>
                <c:pt idx="627">
                  <c:v>292.33</c:v>
                </c:pt>
                <c:pt idx="628">
                  <c:v>294.81</c:v>
                </c:pt>
                <c:pt idx="629">
                  <c:v>298.91000000000003</c:v>
                </c:pt>
                <c:pt idx="630">
                  <c:v>292.44</c:v>
                </c:pt>
                <c:pt idx="631">
                  <c:v>294.43</c:v>
                </c:pt>
                <c:pt idx="632">
                  <c:v>301.64999999999998</c:v>
                </c:pt>
                <c:pt idx="633">
                  <c:v>294.94</c:v>
                </c:pt>
                <c:pt idx="634">
                  <c:v>294.02999999999997</c:v>
                </c:pt>
                <c:pt idx="635">
                  <c:v>291.95999999999998</c:v>
                </c:pt>
                <c:pt idx="636">
                  <c:v>292.25</c:v>
                </c:pt>
                <c:pt idx="637">
                  <c:v>298.58</c:v>
                </c:pt>
                <c:pt idx="638">
                  <c:v>297.79000000000002</c:v>
                </c:pt>
                <c:pt idx="639">
                  <c:v>298.89</c:v>
                </c:pt>
                <c:pt idx="640">
                  <c:v>297.58999999999997</c:v>
                </c:pt>
                <c:pt idx="641">
                  <c:v>293.81</c:v>
                </c:pt>
                <c:pt idx="642">
                  <c:v>294.76</c:v>
                </c:pt>
                <c:pt idx="643">
                  <c:v>299.29000000000002</c:v>
                </c:pt>
                <c:pt idx="644">
                  <c:v>303.02</c:v>
                </c:pt>
                <c:pt idx="645">
                  <c:v>307.62</c:v>
                </c:pt>
                <c:pt idx="646">
                  <c:v>301.64</c:v>
                </c:pt>
                <c:pt idx="647">
                  <c:v>303.37</c:v>
                </c:pt>
                <c:pt idx="648">
                  <c:v>304.7</c:v>
                </c:pt>
                <c:pt idx="649">
                  <c:v>304.67</c:v>
                </c:pt>
                <c:pt idx="650">
                  <c:v>300.89999999999998</c:v>
                </c:pt>
                <c:pt idx="651">
                  <c:v>304.43</c:v>
                </c:pt>
                <c:pt idx="652">
                  <c:v>302.89999999999998</c:v>
                </c:pt>
                <c:pt idx="653">
                  <c:v>301.43</c:v>
                </c:pt>
                <c:pt idx="654">
                  <c:v>302.75</c:v>
                </c:pt>
                <c:pt idx="655">
                  <c:v>309.07</c:v>
                </c:pt>
                <c:pt idx="656">
                  <c:v>303.10000000000002</c:v>
                </c:pt>
                <c:pt idx="657">
                  <c:v>296.23</c:v>
                </c:pt>
                <c:pt idx="658">
                  <c:v>295.35000000000002</c:v>
                </c:pt>
                <c:pt idx="659">
                  <c:v>295.47000000000003</c:v>
                </c:pt>
                <c:pt idx="660">
                  <c:v>297.57</c:v>
                </c:pt>
                <c:pt idx="661">
                  <c:v>293.67</c:v>
                </c:pt>
                <c:pt idx="662">
                  <c:v>292.06</c:v>
                </c:pt>
                <c:pt idx="663">
                  <c:v>292.74</c:v>
                </c:pt>
                <c:pt idx="664">
                  <c:v>292.01</c:v>
                </c:pt>
                <c:pt idx="665">
                  <c:v>292.58999999999997</c:v>
                </c:pt>
                <c:pt idx="666">
                  <c:v>294.97000000000003</c:v>
                </c:pt>
                <c:pt idx="667">
                  <c:v>290</c:v>
                </c:pt>
                <c:pt idx="668">
                  <c:v>289.5</c:v>
                </c:pt>
                <c:pt idx="669">
                  <c:v>288.55</c:v>
                </c:pt>
                <c:pt idx="670">
                  <c:v>292.26</c:v>
                </c:pt>
                <c:pt idx="671">
                  <c:v>285.10000000000002</c:v>
                </c:pt>
                <c:pt idx="672">
                  <c:v>286.3</c:v>
                </c:pt>
                <c:pt idx="673">
                  <c:v>287.3</c:v>
                </c:pt>
                <c:pt idx="674">
                  <c:v>292.83999999999997</c:v>
                </c:pt>
                <c:pt idx="675">
                  <c:v>295.10000000000002</c:v>
                </c:pt>
                <c:pt idx="676">
                  <c:v>295.08999999999997</c:v>
                </c:pt>
                <c:pt idx="677">
                  <c:v>284.08999999999997</c:v>
                </c:pt>
                <c:pt idx="678">
                  <c:v>280.58</c:v>
                </c:pt>
                <c:pt idx="679">
                  <c:v>280.08</c:v>
                </c:pt>
                <c:pt idx="680">
                  <c:v>281.87</c:v>
                </c:pt>
                <c:pt idx="681">
                  <c:v>284.23</c:v>
                </c:pt>
                <c:pt idx="682">
                  <c:v>285.97000000000003</c:v>
                </c:pt>
                <c:pt idx="683">
                  <c:v>287.83</c:v>
                </c:pt>
                <c:pt idx="684">
                  <c:v>287.19</c:v>
                </c:pt>
                <c:pt idx="685">
                  <c:v>292.72000000000003</c:v>
                </c:pt>
                <c:pt idx="686">
                  <c:v>295.08</c:v>
                </c:pt>
                <c:pt idx="687">
                  <c:v>297.24</c:v>
                </c:pt>
                <c:pt idx="688">
                  <c:v>291.85000000000002</c:v>
                </c:pt>
                <c:pt idx="689">
                  <c:v>289.83999999999997</c:v>
                </c:pt>
                <c:pt idx="690">
                  <c:v>292.58999999999997</c:v>
                </c:pt>
                <c:pt idx="691">
                  <c:v>293.64999999999998</c:v>
                </c:pt>
                <c:pt idx="692">
                  <c:v>294.87</c:v>
                </c:pt>
                <c:pt idx="693">
                  <c:v>295.77999999999997</c:v>
                </c:pt>
                <c:pt idx="694">
                  <c:v>291.04000000000002</c:v>
                </c:pt>
                <c:pt idx="695">
                  <c:v>296.77</c:v>
                </c:pt>
                <c:pt idx="696">
                  <c:v>299.27</c:v>
                </c:pt>
                <c:pt idx="697">
                  <c:v>295.94</c:v>
                </c:pt>
                <c:pt idx="698">
                  <c:v>296.68</c:v>
                </c:pt>
                <c:pt idx="699">
                  <c:v>292.01</c:v>
                </c:pt>
                <c:pt idx="700">
                  <c:v>285.41000000000003</c:v>
                </c:pt>
                <c:pt idx="701">
                  <c:v>288.33999999999997</c:v>
                </c:pt>
                <c:pt idx="702">
                  <c:v>291.87</c:v>
                </c:pt>
                <c:pt idx="703">
                  <c:v>291.88</c:v>
                </c:pt>
                <c:pt idx="704">
                  <c:v>292.83999999999997</c:v>
                </c:pt>
                <c:pt idx="705">
                  <c:v>293.64</c:v>
                </c:pt>
                <c:pt idx="706">
                  <c:v>294.2</c:v>
                </c:pt>
                <c:pt idx="707">
                  <c:v>292.02</c:v>
                </c:pt>
                <c:pt idx="708">
                  <c:v>288.88</c:v>
                </c:pt>
                <c:pt idx="709">
                  <c:v>285.22000000000003</c:v>
                </c:pt>
                <c:pt idx="710">
                  <c:v>292.64999999999998</c:v>
                </c:pt>
                <c:pt idx="711">
                  <c:v>296.67</c:v>
                </c:pt>
                <c:pt idx="712">
                  <c:v>299.85000000000002</c:v>
                </c:pt>
                <c:pt idx="713">
                  <c:v>292.12</c:v>
                </c:pt>
                <c:pt idx="714">
                  <c:v>299.13</c:v>
                </c:pt>
                <c:pt idx="715">
                  <c:v>311.62</c:v>
                </c:pt>
                <c:pt idx="716">
                  <c:v>309.62</c:v>
                </c:pt>
                <c:pt idx="717">
                  <c:v>311.04000000000002</c:v>
                </c:pt>
                <c:pt idx="718">
                  <c:v>298.48</c:v>
                </c:pt>
                <c:pt idx="719">
                  <c:v>301.70999999999998</c:v>
                </c:pt>
                <c:pt idx="720">
                  <c:v>305.97000000000003</c:v>
                </c:pt>
                <c:pt idx="721">
                  <c:v>296.14999999999998</c:v>
                </c:pt>
                <c:pt idx="722">
                  <c:v>299.01</c:v>
                </c:pt>
                <c:pt idx="723">
                  <c:v>303.27</c:v>
                </c:pt>
                <c:pt idx="724">
                  <c:v>300.07</c:v>
                </c:pt>
                <c:pt idx="725">
                  <c:v>300.39999999999998</c:v>
                </c:pt>
                <c:pt idx="726">
                  <c:v>298.67</c:v>
                </c:pt>
                <c:pt idx="727">
                  <c:v>299.73</c:v>
                </c:pt>
                <c:pt idx="728">
                  <c:v>299.47000000000003</c:v>
                </c:pt>
                <c:pt idx="729">
                  <c:v>300.54000000000002</c:v>
                </c:pt>
                <c:pt idx="730">
                  <c:v>305.92</c:v>
                </c:pt>
                <c:pt idx="731">
                  <c:v>311.01</c:v>
                </c:pt>
                <c:pt idx="732">
                  <c:v>311.49</c:v>
                </c:pt>
                <c:pt idx="733">
                  <c:v>310.76</c:v>
                </c:pt>
                <c:pt idx="734">
                  <c:v>323.72000000000003</c:v>
                </c:pt>
                <c:pt idx="735">
                  <c:v>327.32</c:v>
                </c:pt>
                <c:pt idx="736">
                  <c:v>330.37</c:v>
                </c:pt>
                <c:pt idx="737">
                  <c:v>319.77999999999997</c:v>
                </c:pt>
                <c:pt idx="738">
                  <c:v>321.92</c:v>
                </c:pt>
                <c:pt idx="739">
                  <c:v>327.64999999999998</c:v>
                </c:pt>
                <c:pt idx="740">
                  <c:v>302.22000000000003</c:v>
                </c:pt>
                <c:pt idx="741">
                  <c:v>299.36</c:v>
                </c:pt>
                <c:pt idx="742">
                  <c:v>302.85000000000002</c:v>
                </c:pt>
                <c:pt idx="743">
                  <c:v>305.29000000000002</c:v>
                </c:pt>
                <c:pt idx="744">
                  <c:v>310.79000000000002</c:v>
                </c:pt>
                <c:pt idx="745">
                  <c:v>317.89</c:v>
                </c:pt>
                <c:pt idx="746">
                  <c:v>305.52999999999997</c:v>
                </c:pt>
                <c:pt idx="747">
                  <c:v>308.99</c:v>
                </c:pt>
                <c:pt idx="748">
                  <c:v>310</c:v>
                </c:pt>
                <c:pt idx="749">
                  <c:v>306.2</c:v>
                </c:pt>
                <c:pt idx="750">
                  <c:v>300</c:v>
                </c:pt>
                <c:pt idx="751">
                  <c:v>295.98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62-5D47-A644-43C254363711}"/>
            </c:ext>
          </c:extLst>
        </c:ser>
        <c:ser>
          <c:idx val="1"/>
          <c:order val="1"/>
          <c:tx>
            <c:strRef>
              <c:f>'Share Price Analysis'!$P$35</c:f>
              <c:strCache>
                <c:ptCount val="1"/>
                <c:pt idx="0">
                  <c:v>VMC EMA 200D</c:v>
                </c:pt>
              </c:strCache>
            </c:strRef>
          </c:tx>
          <c:spPr>
            <a:ln w="19050">
              <a:solidFill>
                <a:srgbClr val="FF7F0E"/>
              </a:solidFill>
            </a:ln>
          </c:spPr>
          <c:marker>
            <c:symbol val="none"/>
          </c:marker>
          <c:cat>
            <c:numRef>
              <c:f>'Share Price Analysis'!$A$36:$A$787</c:f>
              <c:numCache>
                <c:formatCode>yyyy\-mm\-dd</c:formatCode>
                <c:ptCount val="752"/>
                <c:pt idx="0">
                  <c:v>44991</c:v>
                </c:pt>
                <c:pt idx="1">
                  <c:v>44992</c:v>
                </c:pt>
                <c:pt idx="2">
                  <c:v>44993</c:v>
                </c:pt>
                <c:pt idx="3">
                  <c:v>44994</c:v>
                </c:pt>
                <c:pt idx="4">
                  <c:v>44995</c:v>
                </c:pt>
                <c:pt idx="5">
                  <c:v>44998</c:v>
                </c:pt>
                <c:pt idx="6">
                  <c:v>44999</c:v>
                </c:pt>
                <c:pt idx="7">
                  <c:v>45000</c:v>
                </c:pt>
                <c:pt idx="8">
                  <c:v>45001</c:v>
                </c:pt>
                <c:pt idx="9">
                  <c:v>45002</c:v>
                </c:pt>
                <c:pt idx="10">
                  <c:v>45005</c:v>
                </c:pt>
                <c:pt idx="11">
                  <c:v>45006</c:v>
                </c:pt>
                <c:pt idx="12">
                  <c:v>45007</c:v>
                </c:pt>
                <c:pt idx="13">
                  <c:v>45008</c:v>
                </c:pt>
                <c:pt idx="14">
                  <c:v>45009</c:v>
                </c:pt>
                <c:pt idx="15">
                  <c:v>45012</c:v>
                </c:pt>
                <c:pt idx="16">
                  <c:v>45013</c:v>
                </c:pt>
                <c:pt idx="17">
                  <c:v>45014</c:v>
                </c:pt>
                <c:pt idx="18">
                  <c:v>45015</c:v>
                </c:pt>
                <c:pt idx="19">
                  <c:v>45016</c:v>
                </c:pt>
                <c:pt idx="20">
                  <c:v>45019</c:v>
                </c:pt>
                <c:pt idx="21">
                  <c:v>45020</c:v>
                </c:pt>
                <c:pt idx="22">
                  <c:v>45021</c:v>
                </c:pt>
                <c:pt idx="23">
                  <c:v>45022</c:v>
                </c:pt>
                <c:pt idx="24">
                  <c:v>45026</c:v>
                </c:pt>
                <c:pt idx="25">
                  <c:v>45027</c:v>
                </c:pt>
                <c:pt idx="26">
                  <c:v>45028</c:v>
                </c:pt>
                <c:pt idx="27">
                  <c:v>45029</c:v>
                </c:pt>
                <c:pt idx="28">
                  <c:v>45030</c:v>
                </c:pt>
                <c:pt idx="29">
                  <c:v>45033</c:v>
                </c:pt>
                <c:pt idx="30">
                  <c:v>45034</c:v>
                </c:pt>
                <c:pt idx="31">
                  <c:v>45035</c:v>
                </c:pt>
                <c:pt idx="32">
                  <c:v>45036</c:v>
                </c:pt>
                <c:pt idx="33">
                  <c:v>45037</c:v>
                </c:pt>
                <c:pt idx="34">
                  <c:v>45040</c:v>
                </c:pt>
                <c:pt idx="35">
                  <c:v>45041</c:v>
                </c:pt>
                <c:pt idx="36">
                  <c:v>45042</c:v>
                </c:pt>
                <c:pt idx="37">
                  <c:v>45043</c:v>
                </c:pt>
                <c:pt idx="38">
                  <c:v>45044</c:v>
                </c:pt>
                <c:pt idx="39">
                  <c:v>45047</c:v>
                </c:pt>
                <c:pt idx="40">
                  <c:v>45048</c:v>
                </c:pt>
                <c:pt idx="41">
                  <c:v>45049</c:v>
                </c:pt>
                <c:pt idx="42">
                  <c:v>45050</c:v>
                </c:pt>
                <c:pt idx="43">
                  <c:v>45051</c:v>
                </c:pt>
                <c:pt idx="44">
                  <c:v>45054</c:v>
                </c:pt>
                <c:pt idx="45">
                  <c:v>45055</c:v>
                </c:pt>
                <c:pt idx="46">
                  <c:v>45056</c:v>
                </c:pt>
                <c:pt idx="47">
                  <c:v>45057</c:v>
                </c:pt>
                <c:pt idx="48">
                  <c:v>45058</c:v>
                </c:pt>
                <c:pt idx="49">
                  <c:v>45061</c:v>
                </c:pt>
                <c:pt idx="50">
                  <c:v>45062</c:v>
                </c:pt>
                <c:pt idx="51">
                  <c:v>45063</c:v>
                </c:pt>
                <c:pt idx="52">
                  <c:v>45064</c:v>
                </c:pt>
                <c:pt idx="53">
                  <c:v>45065</c:v>
                </c:pt>
                <c:pt idx="54">
                  <c:v>45068</c:v>
                </c:pt>
                <c:pt idx="55">
                  <c:v>45069</c:v>
                </c:pt>
                <c:pt idx="56">
                  <c:v>45070</c:v>
                </c:pt>
                <c:pt idx="57">
                  <c:v>45071</c:v>
                </c:pt>
                <c:pt idx="58">
                  <c:v>45072</c:v>
                </c:pt>
                <c:pt idx="59">
                  <c:v>45076</c:v>
                </c:pt>
                <c:pt idx="60">
                  <c:v>45077</c:v>
                </c:pt>
                <c:pt idx="61">
                  <c:v>45078</c:v>
                </c:pt>
                <c:pt idx="62">
                  <c:v>45079</c:v>
                </c:pt>
                <c:pt idx="63">
                  <c:v>45082</c:v>
                </c:pt>
                <c:pt idx="64">
                  <c:v>45083</c:v>
                </c:pt>
                <c:pt idx="65">
                  <c:v>45084</c:v>
                </c:pt>
                <c:pt idx="66">
                  <c:v>45085</c:v>
                </c:pt>
                <c:pt idx="67">
                  <c:v>45086</c:v>
                </c:pt>
                <c:pt idx="68">
                  <c:v>45089</c:v>
                </c:pt>
                <c:pt idx="69">
                  <c:v>45090</c:v>
                </c:pt>
                <c:pt idx="70">
                  <c:v>45091</c:v>
                </c:pt>
                <c:pt idx="71">
                  <c:v>45092</c:v>
                </c:pt>
                <c:pt idx="72">
                  <c:v>45093</c:v>
                </c:pt>
                <c:pt idx="73">
                  <c:v>45097</c:v>
                </c:pt>
                <c:pt idx="74">
                  <c:v>45098</c:v>
                </c:pt>
                <c:pt idx="75">
                  <c:v>45099</c:v>
                </c:pt>
                <c:pt idx="76">
                  <c:v>45100</c:v>
                </c:pt>
                <c:pt idx="77">
                  <c:v>45103</c:v>
                </c:pt>
                <c:pt idx="78">
                  <c:v>45104</c:v>
                </c:pt>
                <c:pt idx="79">
                  <c:v>45105</c:v>
                </c:pt>
                <c:pt idx="80">
                  <c:v>45106</c:v>
                </c:pt>
                <c:pt idx="81">
                  <c:v>45107</c:v>
                </c:pt>
                <c:pt idx="82">
                  <c:v>45110</c:v>
                </c:pt>
                <c:pt idx="83">
                  <c:v>45112</c:v>
                </c:pt>
                <c:pt idx="84">
                  <c:v>45113</c:v>
                </c:pt>
                <c:pt idx="85">
                  <c:v>45114</c:v>
                </c:pt>
                <c:pt idx="86">
                  <c:v>45117</c:v>
                </c:pt>
                <c:pt idx="87">
                  <c:v>45118</c:v>
                </c:pt>
                <c:pt idx="88">
                  <c:v>45119</c:v>
                </c:pt>
                <c:pt idx="89">
                  <c:v>45120</c:v>
                </c:pt>
                <c:pt idx="90">
                  <c:v>45121</c:v>
                </c:pt>
                <c:pt idx="91">
                  <c:v>45124</c:v>
                </c:pt>
                <c:pt idx="92">
                  <c:v>45125</c:v>
                </c:pt>
                <c:pt idx="93">
                  <c:v>45126</c:v>
                </c:pt>
                <c:pt idx="94">
                  <c:v>45127</c:v>
                </c:pt>
                <c:pt idx="95">
                  <c:v>45128</c:v>
                </c:pt>
                <c:pt idx="96">
                  <c:v>45131</c:v>
                </c:pt>
                <c:pt idx="97">
                  <c:v>45132</c:v>
                </c:pt>
                <c:pt idx="98">
                  <c:v>45133</c:v>
                </c:pt>
                <c:pt idx="99">
                  <c:v>45134</c:v>
                </c:pt>
                <c:pt idx="100">
                  <c:v>45135</c:v>
                </c:pt>
                <c:pt idx="101">
                  <c:v>45138</c:v>
                </c:pt>
                <c:pt idx="102">
                  <c:v>45139</c:v>
                </c:pt>
                <c:pt idx="103">
                  <c:v>45140</c:v>
                </c:pt>
                <c:pt idx="104">
                  <c:v>45141</c:v>
                </c:pt>
                <c:pt idx="105">
                  <c:v>45142</c:v>
                </c:pt>
                <c:pt idx="106">
                  <c:v>45145</c:v>
                </c:pt>
                <c:pt idx="107">
                  <c:v>45146</c:v>
                </c:pt>
                <c:pt idx="108">
                  <c:v>45147</c:v>
                </c:pt>
                <c:pt idx="109">
                  <c:v>45148</c:v>
                </c:pt>
                <c:pt idx="110">
                  <c:v>45149</c:v>
                </c:pt>
                <c:pt idx="111">
                  <c:v>45152</c:v>
                </c:pt>
                <c:pt idx="112">
                  <c:v>45153</c:v>
                </c:pt>
                <c:pt idx="113">
                  <c:v>45154</c:v>
                </c:pt>
                <c:pt idx="114">
                  <c:v>45155</c:v>
                </c:pt>
                <c:pt idx="115">
                  <c:v>45156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45166</c:v>
                </c:pt>
                <c:pt idx="122">
                  <c:v>45167</c:v>
                </c:pt>
                <c:pt idx="123">
                  <c:v>45168</c:v>
                </c:pt>
                <c:pt idx="124">
                  <c:v>45169</c:v>
                </c:pt>
                <c:pt idx="125">
                  <c:v>45170</c:v>
                </c:pt>
                <c:pt idx="126">
                  <c:v>45174</c:v>
                </c:pt>
                <c:pt idx="127">
                  <c:v>45175</c:v>
                </c:pt>
                <c:pt idx="128">
                  <c:v>45176</c:v>
                </c:pt>
                <c:pt idx="129">
                  <c:v>45177</c:v>
                </c:pt>
                <c:pt idx="130">
                  <c:v>45180</c:v>
                </c:pt>
                <c:pt idx="131">
                  <c:v>45181</c:v>
                </c:pt>
                <c:pt idx="132">
                  <c:v>45182</c:v>
                </c:pt>
                <c:pt idx="133">
                  <c:v>45183</c:v>
                </c:pt>
                <c:pt idx="134">
                  <c:v>45184</c:v>
                </c:pt>
                <c:pt idx="135">
                  <c:v>45187</c:v>
                </c:pt>
                <c:pt idx="136">
                  <c:v>45188</c:v>
                </c:pt>
                <c:pt idx="137">
                  <c:v>45189</c:v>
                </c:pt>
                <c:pt idx="138">
                  <c:v>45190</c:v>
                </c:pt>
                <c:pt idx="139">
                  <c:v>45191</c:v>
                </c:pt>
                <c:pt idx="140">
                  <c:v>45194</c:v>
                </c:pt>
                <c:pt idx="141">
                  <c:v>45195</c:v>
                </c:pt>
                <c:pt idx="142">
                  <c:v>45196</c:v>
                </c:pt>
                <c:pt idx="143">
                  <c:v>45197</c:v>
                </c:pt>
                <c:pt idx="144">
                  <c:v>45198</c:v>
                </c:pt>
                <c:pt idx="145">
                  <c:v>45201</c:v>
                </c:pt>
                <c:pt idx="146">
                  <c:v>45202</c:v>
                </c:pt>
                <c:pt idx="147">
                  <c:v>45203</c:v>
                </c:pt>
                <c:pt idx="148">
                  <c:v>45204</c:v>
                </c:pt>
                <c:pt idx="149">
                  <c:v>45205</c:v>
                </c:pt>
                <c:pt idx="150">
                  <c:v>45208</c:v>
                </c:pt>
                <c:pt idx="151">
                  <c:v>45209</c:v>
                </c:pt>
                <c:pt idx="152">
                  <c:v>45210</c:v>
                </c:pt>
                <c:pt idx="153">
                  <c:v>45211</c:v>
                </c:pt>
                <c:pt idx="154">
                  <c:v>45212</c:v>
                </c:pt>
                <c:pt idx="155">
                  <c:v>45215</c:v>
                </c:pt>
                <c:pt idx="156">
                  <c:v>45216</c:v>
                </c:pt>
                <c:pt idx="157">
                  <c:v>45217</c:v>
                </c:pt>
                <c:pt idx="158">
                  <c:v>45218</c:v>
                </c:pt>
                <c:pt idx="159">
                  <c:v>45219</c:v>
                </c:pt>
                <c:pt idx="160">
                  <c:v>45222</c:v>
                </c:pt>
                <c:pt idx="161">
                  <c:v>45223</c:v>
                </c:pt>
                <c:pt idx="162">
                  <c:v>45224</c:v>
                </c:pt>
                <c:pt idx="163">
                  <c:v>45225</c:v>
                </c:pt>
                <c:pt idx="164">
                  <c:v>45226</c:v>
                </c:pt>
                <c:pt idx="165">
                  <c:v>45229</c:v>
                </c:pt>
                <c:pt idx="166">
                  <c:v>45230</c:v>
                </c:pt>
                <c:pt idx="167">
                  <c:v>45231</c:v>
                </c:pt>
                <c:pt idx="168">
                  <c:v>45232</c:v>
                </c:pt>
                <c:pt idx="169">
                  <c:v>45233</c:v>
                </c:pt>
                <c:pt idx="170">
                  <c:v>45236</c:v>
                </c:pt>
                <c:pt idx="171">
                  <c:v>45237</c:v>
                </c:pt>
                <c:pt idx="172">
                  <c:v>45238</c:v>
                </c:pt>
                <c:pt idx="173">
                  <c:v>45239</c:v>
                </c:pt>
                <c:pt idx="174">
                  <c:v>45240</c:v>
                </c:pt>
                <c:pt idx="175">
                  <c:v>45243</c:v>
                </c:pt>
                <c:pt idx="176">
                  <c:v>45244</c:v>
                </c:pt>
                <c:pt idx="177">
                  <c:v>45245</c:v>
                </c:pt>
                <c:pt idx="178">
                  <c:v>45246</c:v>
                </c:pt>
                <c:pt idx="179">
                  <c:v>45247</c:v>
                </c:pt>
                <c:pt idx="180">
                  <c:v>45250</c:v>
                </c:pt>
                <c:pt idx="181">
                  <c:v>45251</c:v>
                </c:pt>
                <c:pt idx="182">
                  <c:v>45252</c:v>
                </c:pt>
                <c:pt idx="183">
                  <c:v>45254</c:v>
                </c:pt>
                <c:pt idx="184">
                  <c:v>45257</c:v>
                </c:pt>
                <c:pt idx="185">
                  <c:v>45258</c:v>
                </c:pt>
                <c:pt idx="186">
                  <c:v>45259</c:v>
                </c:pt>
                <c:pt idx="187">
                  <c:v>45260</c:v>
                </c:pt>
                <c:pt idx="188">
                  <c:v>45261</c:v>
                </c:pt>
                <c:pt idx="189">
                  <c:v>45264</c:v>
                </c:pt>
                <c:pt idx="190">
                  <c:v>45265</c:v>
                </c:pt>
                <c:pt idx="191">
                  <c:v>45266</c:v>
                </c:pt>
                <c:pt idx="192">
                  <c:v>45267</c:v>
                </c:pt>
                <c:pt idx="193">
                  <c:v>45268</c:v>
                </c:pt>
                <c:pt idx="194">
                  <c:v>45271</c:v>
                </c:pt>
                <c:pt idx="195">
                  <c:v>45272</c:v>
                </c:pt>
                <c:pt idx="196">
                  <c:v>45273</c:v>
                </c:pt>
                <c:pt idx="197">
                  <c:v>45274</c:v>
                </c:pt>
                <c:pt idx="198">
                  <c:v>45275</c:v>
                </c:pt>
                <c:pt idx="199">
                  <c:v>45278</c:v>
                </c:pt>
                <c:pt idx="200">
                  <c:v>45279</c:v>
                </c:pt>
                <c:pt idx="201">
                  <c:v>45280</c:v>
                </c:pt>
                <c:pt idx="202">
                  <c:v>45281</c:v>
                </c:pt>
                <c:pt idx="203">
                  <c:v>45282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45307</c:v>
                </c:pt>
                <c:pt idx="218">
                  <c:v>45308</c:v>
                </c:pt>
                <c:pt idx="219">
                  <c:v>45309</c:v>
                </c:pt>
                <c:pt idx="220">
                  <c:v>45310</c:v>
                </c:pt>
                <c:pt idx="221">
                  <c:v>45313</c:v>
                </c:pt>
                <c:pt idx="222">
                  <c:v>45314</c:v>
                </c:pt>
                <c:pt idx="223">
                  <c:v>45315</c:v>
                </c:pt>
                <c:pt idx="224">
                  <c:v>45316</c:v>
                </c:pt>
                <c:pt idx="225">
                  <c:v>45317</c:v>
                </c:pt>
                <c:pt idx="226">
                  <c:v>45320</c:v>
                </c:pt>
                <c:pt idx="227">
                  <c:v>45321</c:v>
                </c:pt>
                <c:pt idx="228">
                  <c:v>45322</c:v>
                </c:pt>
                <c:pt idx="229">
                  <c:v>45323</c:v>
                </c:pt>
                <c:pt idx="230">
                  <c:v>45324</c:v>
                </c:pt>
                <c:pt idx="231">
                  <c:v>45327</c:v>
                </c:pt>
                <c:pt idx="232">
                  <c:v>45328</c:v>
                </c:pt>
                <c:pt idx="233">
                  <c:v>45329</c:v>
                </c:pt>
                <c:pt idx="234">
                  <c:v>45330</c:v>
                </c:pt>
                <c:pt idx="235">
                  <c:v>45331</c:v>
                </c:pt>
                <c:pt idx="236">
                  <c:v>45334</c:v>
                </c:pt>
                <c:pt idx="237">
                  <c:v>45335</c:v>
                </c:pt>
                <c:pt idx="238">
                  <c:v>45336</c:v>
                </c:pt>
                <c:pt idx="239">
                  <c:v>45337</c:v>
                </c:pt>
                <c:pt idx="240">
                  <c:v>45338</c:v>
                </c:pt>
                <c:pt idx="241">
                  <c:v>45342</c:v>
                </c:pt>
                <c:pt idx="242">
                  <c:v>45343</c:v>
                </c:pt>
                <c:pt idx="243">
                  <c:v>45344</c:v>
                </c:pt>
                <c:pt idx="244">
                  <c:v>45345</c:v>
                </c:pt>
                <c:pt idx="245">
                  <c:v>45348</c:v>
                </c:pt>
                <c:pt idx="246">
                  <c:v>45349</c:v>
                </c:pt>
                <c:pt idx="247">
                  <c:v>45350</c:v>
                </c:pt>
                <c:pt idx="248">
                  <c:v>45351</c:v>
                </c:pt>
                <c:pt idx="249">
                  <c:v>45352</c:v>
                </c:pt>
                <c:pt idx="250">
                  <c:v>45355</c:v>
                </c:pt>
                <c:pt idx="251">
                  <c:v>45356</c:v>
                </c:pt>
                <c:pt idx="252">
                  <c:v>45357</c:v>
                </c:pt>
                <c:pt idx="253">
                  <c:v>45358</c:v>
                </c:pt>
                <c:pt idx="254">
                  <c:v>45359</c:v>
                </c:pt>
                <c:pt idx="255">
                  <c:v>45362</c:v>
                </c:pt>
                <c:pt idx="256">
                  <c:v>45363</c:v>
                </c:pt>
                <c:pt idx="257">
                  <c:v>45364</c:v>
                </c:pt>
                <c:pt idx="258">
                  <c:v>45365</c:v>
                </c:pt>
                <c:pt idx="259">
                  <c:v>45366</c:v>
                </c:pt>
                <c:pt idx="260">
                  <c:v>45369</c:v>
                </c:pt>
                <c:pt idx="261">
                  <c:v>45370</c:v>
                </c:pt>
                <c:pt idx="262">
                  <c:v>45371</c:v>
                </c:pt>
                <c:pt idx="263">
                  <c:v>45372</c:v>
                </c:pt>
                <c:pt idx="264">
                  <c:v>45373</c:v>
                </c:pt>
                <c:pt idx="265">
                  <c:v>45376</c:v>
                </c:pt>
                <c:pt idx="266">
                  <c:v>45377</c:v>
                </c:pt>
                <c:pt idx="267">
                  <c:v>45378</c:v>
                </c:pt>
                <c:pt idx="268">
                  <c:v>45379</c:v>
                </c:pt>
                <c:pt idx="269">
                  <c:v>45383</c:v>
                </c:pt>
                <c:pt idx="270">
                  <c:v>45384</c:v>
                </c:pt>
                <c:pt idx="271">
                  <c:v>45385</c:v>
                </c:pt>
                <c:pt idx="272">
                  <c:v>45386</c:v>
                </c:pt>
                <c:pt idx="273">
                  <c:v>45387</c:v>
                </c:pt>
                <c:pt idx="274">
                  <c:v>45390</c:v>
                </c:pt>
                <c:pt idx="275">
                  <c:v>45391</c:v>
                </c:pt>
                <c:pt idx="276">
                  <c:v>45392</c:v>
                </c:pt>
                <c:pt idx="277">
                  <c:v>45393</c:v>
                </c:pt>
                <c:pt idx="278">
                  <c:v>45394</c:v>
                </c:pt>
                <c:pt idx="279">
                  <c:v>45397</c:v>
                </c:pt>
                <c:pt idx="280">
                  <c:v>45398</c:v>
                </c:pt>
                <c:pt idx="281">
                  <c:v>45399</c:v>
                </c:pt>
                <c:pt idx="282">
                  <c:v>45400</c:v>
                </c:pt>
                <c:pt idx="283">
                  <c:v>45401</c:v>
                </c:pt>
                <c:pt idx="284">
                  <c:v>45404</c:v>
                </c:pt>
                <c:pt idx="285">
                  <c:v>45405</c:v>
                </c:pt>
                <c:pt idx="286">
                  <c:v>45406</c:v>
                </c:pt>
                <c:pt idx="287">
                  <c:v>45407</c:v>
                </c:pt>
                <c:pt idx="288">
                  <c:v>45408</c:v>
                </c:pt>
                <c:pt idx="289">
                  <c:v>45411</c:v>
                </c:pt>
                <c:pt idx="290">
                  <c:v>45412</c:v>
                </c:pt>
                <c:pt idx="291">
                  <c:v>45413</c:v>
                </c:pt>
                <c:pt idx="292">
                  <c:v>45414</c:v>
                </c:pt>
                <c:pt idx="293">
                  <c:v>45415</c:v>
                </c:pt>
                <c:pt idx="294">
                  <c:v>45418</c:v>
                </c:pt>
                <c:pt idx="295">
                  <c:v>45419</c:v>
                </c:pt>
                <c:pt idx="296">
                  <c:v>45420</c:v>
                </c:pt>
                <c:pt idx="297">
                  <c:v>45421</c:v>
                </c:pt>
                <c:pt idx="298">
                  <c:v>45422</c:v>
                </c:pt>
                <c:pt idx="299">
                  <c:v>45425</c:v>
                </c:pt>
                <c:pt idx="300">
                  <c:v>45426</c:v>
                </c:pt>
                <c:pt idx="301">
                  <c:v>45427</c:v>
                </c:pt>
                <c:pt idx="302">
                  <c:v>45428</c:v>
                </c:pt>
                <c:pt idx="303">
                  <c:v>45429</c:v>
                </c:pt>
                <c:pt idx="304">
                  <c:v>45432</c:v>
                </c:pt>
                <c:pt idx="305">
                  <c:v>45433</c:v>
                </c:pt>
                <c:pt idx="306">
                  <c:v>45434</c:v>
                </c:pt>
                <c:pt idx="307">
                  <c:v>45435</c:v>
                </c:pt>
                <c:pt idx="308">
                  <c:v>45436</c:v>
                </c:pt>
                <c:pt idx="309">
                  <c:v>45440</c:v>
                </c:pt>
                <c:pt idx="310">
                  <c:v>45441</c:v>
                </c:pt>
                <c:pt idx="311">
                  <c:v>45442</c:v>
                </c:pt>
                <c:pt idx="312">
                  <c:v>45443</c:v>
                </c:pt>
                <c:pt idx="313">
                  <c:v>45446</c:v>
                </c:pt>
                <c:pt idx="314">
                  <c:v>45447</c:v>
                </c:pt>
                <c:pt idx="315">
                  <c:v>45448</c:v>
                </c:pt>
                <c:pt idx="316">
                  <c:v>45449</c:v>
                </c:pt>
                <c:pt idx="317">
                  <c:v>45450</c:v>
                </c:pt>
                <c:pt idx="318">
                  <c:v>45453</c:v>
                </c:pt>
                <c:pt idx="319">
                  <c:v>45454</c:v>
                </c:pt>
                <c:pt idx="320">
                  <c:v>45455</c:v>
                </c:pt>
                <c:pt idx="321">
                  <c:v>45456</c:v>
                </c:pt>
                <c:pt idx="322">
                  <c:v>45457</c:v>
                </c:pt>
                <c:pt idx="323">
                  <c:v>45460</c:v>
                </c:pt>
                <c:pt idx="324">
                  <c:v>45461</c:v>
                </c:pt>
                <c:pt idx="325">
                  <c:v>45463</c:v>
                </c:pt>
                <c:pt idx="326">
                  <c:v>45464</c:v>
                </c:pt>
                <c:pt idx="327">
                  <c:v>45467</c:v>
                </c:pt>
                <c:pt idx="328">
                  <c:v>45468</c:v>
                </c:pt>
                <c:pt idx="329">
                  <c:v>45469</c:v>
                </c:pt>
                <c:pt idx="330">
                  <c:v>45470</c:v>
                </c:pt>
                <c:pt idx="331">
                  <c:v>45471</c:v>
                </c:pt>
                <c:pt idx="332">
                  <c:v>45474</c:v>
                </c:pt>
                <c:pt idx="333">
                  <c:v>45475</c:v>
                </c:pt>
                <c:pt idx="334">
                  <c:v>45476</c:v>
                </c:pt>
                <c:pt idx="335">
                  <c:v>45478</c:v>
                </c:pt>
                <c:pt idx="336">
                  <c:v>45481</c:v>
                </c:pt>
                <c:pt idx="337">
                  <c:v>45482</c:v>
                </c:pt>
                <c:pt idx="338">
                  <c:v>45483</c:v>
                </c:pt>
                <c:pt idx="339">
                  <c:v>45484</c:v>
                </c:pt>
                <c:pt idx="340">
                  <c:v>45485</c:v>
                </c:pt>
                <c:pt idx="341">
                  <c:v>45488</c:v>
                </c:pt>
                <c:pt idx="342">
                  <c:v>45489</c:v>
                </c:pt>
                <c:pt idx="343">
                  <c:v>45490</c:v>
                </c:pt>
                <c:pt idx="344">
                  <c:v>45491</c:v>
                </c:pt>
                <c:pt idx="345">
                  <c:v>45492</c:v>
                </c:pt>
                <c:pt idx="346">
                  <c:v>45495</c:v>
                </c:pt>
                <c:pt idx="347">
                  <c:v>45496</c:v>
                </c:pt>
                <c:pt idx="348">
                  <c:v>45497</c:v>
                </c:pt>
                <c:pt idx="349">
                  <c:v>45498</c:v>
                </c:pt>
                <c:pt idx="350">
                  <c:v>45499</c:v>
                </c:pt>
                <c:pt idx="351">
                  <c:v>45502</c:v>
                </c:pt>
                <c:pt idx="352">
                  <c:v>45503</c:v>
                </c:pt>
                <c:pt idx="353">
                  <c:v>45504</c:v>
                </c:pt>
                <c:pt idx="354">
                  <c:v>45505</c:v>
                </c:pt>
                <c:pt idx="355">
                  <c:v>45506</c:v>
                </c:pt>
                <c:pt idx="356">
                  <c:v>45509</c:v>
                </c:pt>
                <c:pt idx="357">
                  <c:v>45510</c:v>
                </c:pt>
                <c:pt idx="358">
                  <c:v>45511</c:v>
                </c:pt>
                <c:pt idx="359">
                  <c:v>45512</c:v>
                </c:pt>
                <c:pt idx="360">
                  <c:v>45513</c:v>
                </c:pt>
                <c:pt idx="361">
                  <c:v>45516</c:v>
                </c:pt>
                <c:pt idx="362">
                  <c:v>45517</c:v>
                </c:pt>
                <c:pt idx="363">
                  <c:v>45518</c:v>
                </c:pt>
                <c:pt idx="364">
                  <c:v>45519</c:v>
                </c:pt>
                <c:pt idx="365">
                  <c:v>45520</c:v>
                </c:pt>
                <c:pt idx="366">
                  <c:v>45523</c:v>
                </c:pt>
                <c:pt idx="367">
                  <c:v>45524</c:v>
                </c:pt>
                <c:pt idx="368">
                  <c:v>45525</c:v>
                </c:pt>
                <c:pt idx="369">
                  <c:v>45526</c:v>
                </c:pt>
                <c:pt idx="370">
                  <c:v>45527</c:v>
                </c:pt>
                <c:pt idx="371">
                  <c:v>45530</c:v>
                </c:pt>
                <c:pt idx="372">
                  <c:v>45531</c:v>
                </c:pt>
                <c:pt idx="373">
                  <c:v>45532</c:v>
                </c:pt>
                <c:pt idx="374">
                  <c:v>45533</c:v>
                </c:pt>
                <c:pt idx="375">
                  <c:v>45534</c:v>
                </c:pt>
                <c:pt idx="376">
                  <c:v>45538</c:v>
                </c:pt>
                <c:pt idx="377">
                  <c:v>45539</c:v>
                </c:pt>
                <c:pt idx="378">
                  <c:v>45540</c:v>
                </c:pt>
                <c:pt idx="379">
                  <c:v>45541</c:v>
                </c:pt>
                <c:pt idx="380">
                  <c:v>45544</c:v>
                </c:pt>
                <c:pt idx="381">
                  <c:v>45545</c:v>
                </c:pt>
                <c:pt idx="382">
                  <c:v>45546</c:v>
                </c:pt>
                <c:pt idx="383">
                  <c:v>45547</c:v>
                </c:pt>
                <c:pt idx="384">
                  <c:v>45548</c:v>
                </c:pt>
                <c:pt idx="385">
                  <c:v>45551</c:v>
                </c:pt>
                <c:pt idx="386">
                  <c:v>45552</c:v>
                </c:pt>
                <c:pt idx="387">
                  <c:v>45553</c:v>
                </c:pt>
                <c:pt idx="388">
                  <c:v>45554</c:v>
                </c:pt>
                <c:pt idx="389">
                  <c:v>45555</c:v>
                </c:pt>
                <c:pt idx="390">
                  <c:v>45558</c:v>
                </c:pt>
                <c:pt idx="391">
                  <c:v>45559</c:v>
                </c:pt>
                <c:pt idx="392">
                  <c:v>45560</c:v>
                </c:pt>
                <c:pt idx="393">
                  <c:v>45561</c:v>
                </c:pt>
                <c:pt idx="394">
                  <c:v>45562</c:v>
                </c:pt>
                <c:pt idx="395">
                  <c:v>45565</c:v>
                </c:pt>
                <c:pt idx="396">
                  <c:v>45566</c:v>
                </c:pt>
                <c:pt idx="397">
                  <c:v>45567</c:v>
                </c:pt>
                <c:pt idx="398">
                  <c:v>45568</c:v>
                </c:pt>
                <c:pt idx="399">
                  <c:v>45569</c:v>
                </c:pt>
                <c:pt idx="400">
                  <c:v>45572</c:v>
                </c:pt>
                <c:pt idx="401">
                  <c:v>45573</c:v>
                </c:pt>
                <c:pt idx="402">
                  <c:v>45574</c:v>
                </c:pt>
                <c:pt idx="403">
                  <c:v>45575</c:v>
                </c:pt>
                <c:pt idx="404">
                  <c:v>45576</c:v>
                </c:pt>
                <c:pt idx="405">
                  <c:v>45579</c:v>
                </c:pt>
                <c:pt idx="406">
                  <c:v>45580</c:v>
                </c:pt>
                <c:pt idx="407">
                  <c:v>45581</c:v>
                </c:pt>
                <c:pt idx="408">
                  <c:v>45582</c:v>
                </c:pt>
                <c:pt idx="409">
                  <c:v>45583</c:v>
                </c:pt>
                <c:pt idx="410">
                  <c:v>45586</c:v>
                </c:pt>
                <c:pt idx="411">
                  <c:v>45587</c:v>
                </c:pt>
                <c:pt idx="412">
                  <c:v>45588</c:v>
                </c:pt>
                <c:pt idx="413">
                  <c:v>45589</c:v>
                </c:pt>
                <c:pt idx="414">
                  <c:v>45590</c:v>
                </c:pt>
                <c:pt idx="415">
                  <c:v>45593</c:v>
                </c:pt>
                <c:pt idx="416">
                  <c:v>45594</c:v>
                </c:pt>
                <c:pt idx="417">
                  <c:v>45595</c:v>
                </c:pt>
                <c:pt idx="418">
                  <c:v>45596</c:v>
                </c:pt>
                <c:pt idx="419">
                  <c:v>45597</c:v>
                </c:pt>
                <c:pt idx="420">
                  <c:v>45600</c:v>
                </c:pt>
                <c:pt idx="421">
                  <c:v>45601</c:v>
                </c:pt>
                <c:pt idx="422">
                  <c:v>45602</c:v>
                </c:pt>
                <c:pt idx="423">
                  <c:v>45603</c:v>
                </c:pt>
                <c:pt idx="424">
                  <c:v>45604</c:v>
                </c:pt>
                <c:pt idx="425">
                  <c:v>45607</c:v>
                </c:pt>
                <c:pt idx="426">
                  <c:v>45608</c:v>
                </c:pt>
                <c:pt idx="427">
                  <c:v>45609</c:v>
                </c:pt>
                <c:pt idx="428">
                  <c:v>45610</c:v>
                </c:pt>
                <c:pt idx="429">
                  <c:v>45611</c:v>
                </c:pt>
                <c:pt idx="430">
                  <c:v>45614</c:v>
                </c:pt>
                <c:pt idx="431">
                  <c:v>45615</c:v>
                </c:pt>
                <c:pt idx="432">
                  <c:v>45616</c:v>
                </c:pt>
                <c:pt idx="433">
                  <c:v>45617</c:v>
                </c:pt>
                <c:pt idx="434">
                  <c:v>45618</c:v>
                </c:pt>
                <c:pt idx="435">
                  <c:v>45621</c:v>
                </c:pt>
                <c:pt idx="436">
                  <c:v>45622</c:v>
                </c:pt>
                <c:pt idx="437">
                  <c:v>45623</c:v>
                </c:pt>
                <c:pt idx="438">
                  <c:v>45625</c:v>
                </c:pt>
                <c:pt idx="439">
                  <c:v>45628</c:v>
                </c:pt>
                <c:pt idx="440">
                  <c:v>45629</c:v>
                </c:pt>
                <c:pt idx="441">
                  <c:v>45630</c:v>
                </c:pt>
                <c:pt idx="442">
                  <c:v>45631</c:v>
                </c:pt>
                <c:pt idx="443">
                  <c:v>45632</c:v>
                </c:pt>
                <c:pt idx="444">
                  <c:v>45635</c:v>
                </c:pt>
                <c:pt idx="445">
                  <c:v>45636</c:v>
                </c:pt>
                <c:pt idx="446">
                  <c:v>45637</c:v>
                </c:pt>
                <c:pt idx="447">
                  <c:v>45638</c:v>
                </c:pt>
                <c:pt idx="448">
                  <c:v>45639</c:v>
                </c:pt>
                <c:pt idx="449">
                  <c:v>45642</c:v>
                </c:pt>
                <c:pt idx="450">
                  <c:v>45643</c:v>
                </c:pt>
                <c:pt idx="451">
                  <c:v>45644</c:v>
                </c:pt>
                <c:pt idx="452">
                  <c:v>45645</c:v>
                </c:pt>
                <c:pt idx="453">
                  <c:v>45646</c:v>
                </c:pt>
                <c:pt idx="454">
                  <c:v>45649</c:v>
                </c:pt>
                <c:pt idx="455">
                  <c:v>45650</c:v>
                </c:pt>
                <c:pt idx="456">
                  <c:v>45652</c:v>
                </c:pt>
                <c:pt idx="457">
                  <c:v>45653</c:v>
                </c:pt>
                <c:pt idx="458">
                  <c:v>45656</c:v>
                </c:pt>
                <c:pt idx="459">
                  <c:v>45657</c:v>
                </c:pt>
                <c:pt idx="460">
                  <c:v>45659</c:v>
                </c:pt>
                <c:pt idx="461">
                  <c:v>45660</c:v>
                </c:pt>
                <c:pt idx="462">
                  <c:v>45663</c:v>
                </c:pt>
                <c:pt idx="463">
                  <c:v>45664</c:v>
                </c:pt>
                <c:pt idx="464">
                  <c:v>45665</c:v>
                </c:pt>
                <c:pt idx="465">
                  <c:v>45667</c:v>
                </c:pt>
                <c:pt idx="466">
                  <c:v>45670</c:v>
                </c:pt>
                <c:pt idx="467">
                  <c:v>45671</c:v>
                </c:pt>
                <c:pt idx="468">
                  <c:v>45672</c:v>
                </c:pt>
                <c:pt idx="469">
                  <c:v>45673</c:v>
                </c:pt>
                <c:pt idx="470">
                  <c:v>45674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45684</c:v>
                </c:pt>
                <c:pt idx="476">
                  <c:v>45685</c:v>
                </c:pt>
                <c:pt idx="477">
                  <c:v>45686</c:v>
                </c:pt>
                <c:pt idx="478">
                  <c:v>45687</c:v>
                </c:pt>
                <c:pt idx="479">
                  <c:v>45688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45706</c:v>
                </c:pt>
                <c:pt idx="491">
                  <c:v>45707</c:v>
                </c:pt>
                <c:pt idx="492">
                  <c:v>45708</c:v>
                </c:pt>
                <c:pt idx="493">
                  <c:v>45709</c:v>
                </c:pt>
                <c:pt idx="494">
                  <c:v>45712</c:v>
                </c:pt>
                <c:pt idx="495">
                  <c:v>45713</c:v>
                </c:pt>
                <c:pt idx="496">
                  <c:v>45714</c:v>
                </c:pt>
                <c:pt idx="497">
                  <c:v>45715</c:v>
                </c:pt>
                <c:pt idx="498">
                  <c:v>45716</c:v>
                </c:pt>
                <c:pt idx="499">
                  <c:v>45719</c:v>
                </c:pt>
                <c:pt idx="500">
                  <c:v>45720</c:v>
                </c:pt>
                <c:pt idx="501">
                  <c:v>45721</c:v>
                </c:pt>
                <c:pt idx="502">
                  <c:v>45722</c:v>
                </c:pt>
                <c:pt idx="503">
                  <c:v>45723</c:v>
                </c:pt>
                <c:pt idx="504">
                  <c:v>45726</c:v>
                </c:pt>
                <c:pt idx="505">
                  <c:v>45727</c:v>
                </c:pt>
                <c:pt idx="506">
                  <c:v>45728</c:v>
                </c:pt>
                <c:pt idx="507">
                  <c:v>45729</c:v>
                </c:pt>
                <c:pt idx="508">
                  <c:v>45730</c:v>
                </c:pt>
                <c:pt idx="509">
                  <c:v>45733</c:v>
                </c:pt>
                <c:pt idx="510">
                  <c:v>45734</c:v>
                </c:pt>
                <c:pt idx="511">
                  <c:v>45735</c:v>
                </c:pt>
                <c:pt idx="512">
                  <c:v>45736</c:v>
                </c:pt>
                <c:pt idx="513">
                  <c:v>45737</c:v>
                </c:pt>
                <c:pt idx="514">
                  <c:v>45740</c:v>
                </c:pt>
                <c:pt idx="515">
                  <c:v>45741</c:v>
                </c:pt>
                <c:pt idx="516">
                  <c:v>45742</c:v>
                </c:pt>
                <c:pt idx="517">
                  <c:v>45743</c:v>
                </c:pt>
                <c:pt idx="518">
                  <c:v>45744</c:v>
                </c:pt>
                <c:pt idx="519">
                  <c:v>45747</c:v>
                </c:pt>
                <c:pt idx="520">
                  <c:v>45748</c:v>
                </c:pt>
                <c:pt idx="521">
                  <c:v>45749</c:v>
                </c:pt>
                <c:pt idx="522">
                  <c:v>45750</c:v>
                </c:pt>
                <c:pt idx="523">
                  <c:v>45751</c:v>
                </c:pt>
                <c:pt idx="524">
                  <c:v>45754</c:v>
                </c:pt>
                <c:pt idx="525">
                  <c:v>45755</c:v>
                </c:pt>
                <c:pt idx="526">
                  <c:v>45756</c:v>
                </c:pt>
                <c:pt idx="527">
                  <c:v>45757</c:v>
                </c:pt>
                <c:pt idx="528">
                  <c:v>45758</c:v>
                </c:pt>
                <c:pt idx="529">
                  <c:v>45761</c:v>
                </c:pt>
                <c:pt idx="530">
                  <c:v>45762</c:v>
                </c:pt>
                <c:pt idx="531">
                  <c:v>45763</c:v>
                </c:pt>
                <c:pt idx="532">
                  <c:v>45764</c:v>
                </c:pt>
                <c:pt idx="533">
                  <c:v>45768</c:v>
                </c:pt>
                <c:pt idx="534">
                  <c:v>45769</c:v>
                </c:pt>
                <c:pt idx="535">
                  <c:v>45770</c:v>
                </c:pt>
                <c:pt idx="536">
                  <c:v>45771</c:v>
                </c:pt>
                <c:pt idx="537">
                  <c:v>45772</c:v>
                </c:pt>
                <c:pt idx="538">
                  <c:v>45775</c:v>
                </c:pt>
                <c:pt idx="539">
                  <c:v>45776</c:v>
                </c:pt>
                <c:pt idx="540">
                  <c:v>45777</c:v>
                </c:pt>
                <c:pt idx="541">
                  <c:v>45778</c:v>
                </c:pt>
                <c:pt idx="542">
                  <c:v>45779</c:v>
                </c:pt>
                <c:pt idx="543">
                  <c:v>45782</c:v>
                </c:pt>
                <c:pt idx="544">
                  <c:v>45783</c:v>
                </c:pt>
                <c:pt idx="545">
                  <c:v>45784</c:v>
                </c:pt>
                <c:pt idx="546">
                  <c:v>45785</c:v>
                </c:pt>
                <c:pt idx="547">
                  <c:v>45786</c:v>
                </c:pt>
                <c:pt idx="548">
                  <c:v>45789</c:v>
                </c:pt>
                <c:pt idx="549">
                  <c:v>45790</c:v>
                </c:pt>
                <c:pt idx="550">
                  <c:v>45791</c:v>
                </c:pt>
                <c:pt idx="551">
                  <c:v>45792</c:v>
                </c:pt>
                <c:pt idx="552">
                  <c:v>45793</c:v>
                </c:pt>
                <c:pt idx="553">
                  <c:v>45796</c:v>
                </c:pt>
                <c:pt idx="554">
                  <c:v>45797</c:v>
                </c:pt>
                <c:pt idx="555">
                  <c:v>45798</c:v>
                </c:pt>
                <c:pt idx="556">
                  <c:v>45799</c:v>
                </c:pt>
                <c:pt idx="557">
                  <c:v>45800</c:v>
                </c:pt>
                <c:pt idx="558">
                  <c:v>45804</c:v>
                </c:pt>
                <c:pt idx="559">
                  <c:v>45805</c:v>
                </c:pt>
                <c:pt idx="560">
                  <c:v>45806</c:v>
                </c:pt>
                <c:pt idx="561">
                  <c:v>45807</c:v>
                </c:pt>
                <c:pt idx="562">
                  <c:v>45810</c:v>
                </c:pt>
                <c:pt idx="563">
                  <c:v>45811</c:v>
                </c:pt>
                <c:pt idx="564">
                  <c:v>45812</c:v>
                </c:pt>
                <c:pt idx="565">
                  <c:v>45813</c:v>
                </c:pt>
                <c:pt idx="566">
                  <c:v>45814</c:v>
                </c:pt>
                <c:pt idx="567">
                  <c:v>45817</c:v>
                </c:pt>
                <c:pt idx="568">
                  <c:v>45818</c:v>
                </c:pt>
                <c:pt idx="569">
                  <c:v>45819</c:v>
                </c:pt>
                <c:pt idx="570">
                  <c:v>45820</c:v>
                </c:pt>
                <c:pt idx="571">
                  <c:v>45821</c:v>
                </c:pt>
                <c:pt idx="572">
                  <c:v>45824</c:v>
                </c:pt>
                <c:pt idx="573">
                  <c:v>45825</c:v>
                </c:pt>
                <c:pt idx="574">
                  <c:v>45826</c:v>
                </c:pt>
                <c:pt idx="575">
                  <c:v>45828</c:v>
                </c:pt>
                <c:pt idx="576">
                  <c:v>45831</c:v>
                </c:pt>
                <c:pt idx="577">
                  <c:v>45832</c:v>
                </c:pt>
                <c:pt idx="578">
                  <c:v>45833</c:v>
                </c:pt>
                <c:pt idx="579">
                  <c:v>45834</c:v>
                </c:pt>
                <c:pt idx="580">
                  <c:v>45835</c:v>
                </c:pt>
                <c:pt idx="581">
                  <c:v>45838</c:v>
                </c:pt>
                <c:pt idx="582">
                  <c:v>45839</c:v>
                </c:pt>
                <c:pt idx="583">
                  <c:v>45840</c:v>
                </c:pt>
                <c:pt idx="584">
                  <c:v>45841</c:v>
                </c:pt>
                <c:pt idx="585">
                  <c:v>45845</c:v>
                </c:pt>
                <c:pt idx="586">
                  <c:v>45846</c:v>
                </c:pt>
                <c:pt idx="587">
                  <c:v>45847</c:v>
                </c:pt>
                <c:pt idx="588">
                  <c:v>45848</c:v>
                </c:pt>
                <c:pt idx="589">
                  <c:v>45849</c:v>
                </c:pt>
                <c:pt idx="590">
                  <c:v>45852</c:v>
                </c:pt>
                <c:pt idx="591">
                  <c:v>45853</c:v>
                </c:pt>
                <c:pt idx="592">
                  <c:v>45854</c:v>
                </c:pt>
                <c:pt idx="593">
                  <c:v>45855</c:v>
                </c:pt>
                <c:pt idx="594">
                  <c:v>45856</c:v>
                </c:pt>
                <c:pt idx="595">
                  <c:v>45859</c:v>
                </c:pt>
                <c:pt idx="596">
                  <c:v>45860</c:v>
                </c:pt>
                <c:pt idx="597">
                  <c:v>45861</c:v>
                </c:pt>
                <c:pt idx="598">
                  <c:v>45862</c:v>
                </c:pt>
                <c:pt idx="599">
                  <c:v>45863</c:v>
                </c:pt>
                <c:pt idx="600">
                  <c:v>45866</c:v>
                </c:pt>
                <c:pt idx="601">
                  <c:v>45867</c:v>
                </c:pt>
                <c:pt idx="602">
                  <c:v>45868</c:v>
                </c:pt>
                <c:pt idx="603">
                  <c:v>45869</c:v>
                </c:pt>
                <c:pt idx="604">
                  <c:v>45870</c:v>
                </c:pt>
                <c:pt idx="605">
                  <c:v>45873</c:v>
                </c:pt>
                <c:pt idx="606">
                  <c:v>45874</c:v>
                </c:pt>
                <c:pt idx="607">
                  <c:v>45875</c:v>
                </c:pt>
                <c:pt idx="608">
                  <c:v>45876</c:v>
                </c:pt>
                <c:pt idx="609">
                  <c:v>45877</c:v>
                </c:pt>
                <c:pt idx="610">
                  <c:v>45880</c:v>
                </c:pt>
                <c:pt idx="611">
                  <c:v>45881</c:v>
                </c:pt>
                <c:pt idx="612">
                  <c:v>45882</c:v>
                </c:pt>
                <c:pt idx="613">
                  <c:v>45883</c:v>
                </c:pt>
                <c:pt idx="614">
                  <c:v>45884</c:v>
                </c:pt>
                <c:pt idx="615">
                  <c:v>45887</c:v>
                </c:pt>
                <c:pt idx="616">
                  <c:v>45888</c:v>
                </c:pt>
                <c:pt idx="617">
                  <c:v>45889</c:v>
                </c:pt>
                <c:pt idx="618">
                  <c:v>45890</c:v>
                </c:pt>
                <c:pt idx="619">
                  <c:v>45891</c:v>
                </c:pt>
                <c:pt idx="620">
                  <c:v>45894</c:v>
                </c:pt>
                <c:pt idx="621">
                  <c:v>45895</c:v>
                </c:pt>
                <c:pt idx="622">
                  <c:v>45896</c:v>
                </c:pt>
                <c:pt idx="623">
                  <c:v>45897</c:v>
                </c:pt>
                <c:pt idx="624">
                  <c:v>45898</c:v>
                </c:pt>
                <c:pt idx="625">
                  <c:v>45902</c:v>
                </c:pt>
                <c:pt idx="626">
                  <c:v>45903</c:v>
                </c:pt>
                <c:pt idx="627">
                  <c:v>45904</c:v>
                </c:pt>
                <c:pt idx="628">
                  <c:v>45905</c:v>
                </c:pt>
                <c:pt idx="629">
                  <c:v>45908</c:v>
                </c:pt>
                <c:pt idx="630">
                  <c:v>45909</c:v>
                </c:pt>
                <c:pt idx="631">
                  <c:v>45910</c:v>
                </c:pt>
                <c:pt idx="632">
                  <c:v>45911</c:v>
                </c:pt>
                <c:pt idx="633">
                  <c:v>45912</c:v>
                </c:pt>
                <c:pt idx="634">
                  <c:v>45915</c:v>
                </c:pt>
                <c:pt idx="635">
                  <c:v>45916</c:v>
                </c:pt>
                <c:pt idx="636">
                  <c:v>45917</c:v>
                </c:pt>
                <c:pt idx="637">
                  <c:v>45918</c:v>
                </c:pt>
                <c:pt idx="638">
                  <c:v>45919</c:v>
                </c:pt>
                <c:pt idx="639">
                  <c:v>45922</c:v>
                </c:pt>
                <c:pt idx="640">
                  <c:v>45923</c:v>
                </c:pt>
                <c:pt idx="641">
                  <c:v>45924</c:v>
                </c:pt>
                <c:pt idx="642">
                  <c:v>45925</c:v>
                </c:pt>
                <c:pt idx="643">
                  <c:v>45926</c:v>
                </c:pt>
                <c:pt idx="644">
                  <c:v>45929</c:v>
                </c:pt>
                <c:pt idx="645">
                  <c:v>45930</c:v>
                </c:pt>
                <c:pt idx="646">
                  <c:v>45931</c:v>
                </c:pt>
                <c:pt idx="647">
                  <c:v>45932</c:v>
                </c:pt>
                <c:pt idx="648">
                  <c:v>45933</c:v>
                </c:pt>
                <c:pt idx="649">
                  <c:v>45936</c:v>
                </c:pt>
                <c:pt idx="650">
                  <c:v>45937</c:v>
                </c:pt>
                <c:pt idx="651">
                  <c:v>45938</c:v>
                </c:pt>
                <c:pt idx="652">
                  <c:v>45939</c:v>
                </c:pt>
                <c:pt idx="653">
                  <c:v>45940</c:v>
                </c:pt>
                <c:pt idx="654">
                  <c:v>45943</c:v>
                </c:pt>
                <c:pt idx="655">
                  <c:v>45944</c:v>
                </c:pt>
                <c:pt idx="656">
                  <c:v>45945</c:v>
                </c:pt>
                <c:pt idx="657">
                  <c:v>45946</c:v>
                </c:pt>
                <c:pt idx="658">
                  <c:v>45947</c:v>
                </c:pt>
                <c:pt idx="659">
                  <c:v>45950</c:v>
                </c:pt>
                <c:pt idx="660">
                  <c:v>45951</c:v>
                </c:pt>
                <c:pt idx="661">
                  <c:v>45952</c:v>
                </c:pt>
                <c:pt idx="662">
                  <c:v>45953</c:v>
                </c:pt>
                <c:pt idx="663">
                  <c:v>45954</c:v>
                </c:pt>
                <c:pt idx="664">
                  <c:v>45957</c:v>
                </c:pt>
                <c:pt idx="665">
                  <c:v>45958</c:v>
                </c:pt>
                <c:pt idx="666">
                  <c:v>45959</c:v>
                </c:pt>
                <c:pt idx="667">
                  <c:v>45960</c:v>
                </c:pt>
                <c:pt idx="668">
                  <c:v>45961</c:v>
                </c:pt>
                <c:pt idx="669">
                  <c:v>45964</c:v>
                </c:pt>
                <c:pt idx="670">
                  <c:v>45965</c:v>
                </c:pt>
                <c:pt idx="671">
                  <c:v>45966</c:v>
                </c:pt>
                <c:pt idx="672">
                  <c:v>45967</c:v>
                </c:pt>
                <c:pt idx="673">
                  <c:v>45968</c:v>
                </c:pt>
                <c:pt idx="674">
                  <c:v>45971</c:v>
                </c:pt>
                <c:pt idx="675">
                  <c:v>45972</c:v>
                </c:pt>
                <c:pt idx="676">
                  <c:v>45973</c:v>
                </c:pt>
                <c:pt idx="677">
                  <c:v>45974</c:v>
                </c:pt>
                <c:pt idx="678">
                  <c:v>45975</c:v>
                </c:pt>
                <c:pt idx="679">
                  <c:v>45978</c:v>
                </c:pt>
                <c:pt idx="680">
                  <c:v>45979</c:v>
                </c:pt>
                <c:pt idx="681">
                  <c:v>45980</c:v>
                </c:pt>
                <c:pt idx="682">
                  <c:v>45981</c:v>
                </c:pt>
                <c:pt idx="683">
                  <c:v>45982</c:v>
                </c:pt>
                <c:pt idx="684">
                  <c:v>45985</c:v>
                </c:pt>
                <c:pt idx="685">
                  <c:v>45986</c:v>
                </c:pt>
                <c:pt idx="686">
                  <c:v>45987</c:v>
                </c:pt>
                <c:pt idx="687">
                  <c:v>45989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45999</c:v>
                </c:pt>
                <c:pt idx="694">
                  <c:v>46000</c:v>
                </c:pt>
                <c:pt idx="695">
                  <c:v>46001</c:v>
                </c:pt>
                <c:pt idx="696">
                  <c:v>46002</c:v>
                </c:pt>
                <c:pt idx="697">
                  <c:v>46003</c:v>
                </c:pt>
                <c:pt idx="698">
                  <c:v>46006</c:v>
                </c:pt>
                <c:pt idx="699">
                  <c:v>46007</c:v>
                </c:pt>
                <c:pt idx="700">
                  <c:v>46008</c:v>
                </c:pt>
                <c:pt idx="701">
                  <c:v>46009</c:v>
                </c:pt>
                <c:pt idx="702">
                  <c:v>46010</c:v>
                </c:pt>
                <c:pt idx="703">
                  <c:v>46013</c:v>
                </c:pt>
                <c:pt idx="704">
                  <c:v>46014</c:v>
                </c:pt>
                <c:pt idx="705">
                  <c:v>46015</c:v>
                </c:pt>
                <c:pt idx="706">
                  <c:v>46017</c:v>
                </c:pt>
                <c:pt idx="707">
                  <c:v>46020</c:v>
                </c:pt>
                <c:pt idx="708">
                  <c:v>46021</c:v>
                </c:pt>
                <c:pt idx="709">
                  <c:v>46022</c:v>
                </c:pt>
                <c:pt idx="710">
                  <c:v>46024</c:v>
                </c:pt>
                <c:pt idx="711">
                  <c:v>46027</c:v>
                </c:pt>
                <c:pt idx="712">
                  <c:v>46028</c:v>
                </c:pt>
                <c:pt idx="713">
                  <c:v>46029</c:v>
                </c:pt>
                <c:pt idx="714">
                  <c:v>46030</c:v>
                </c:pt>
                <c:pt idx="715">
                  <c:v>46031</c:v>
                </c:pt>
                <c:pt idx="716">
                  <c:v>46034</c:v>
                </c:pt>
                <c:pt idx="717">
                  <c:v>46035</c:v>
                </c:pt>
                <c:pt idx="718">
                  <c:v>46036</c:v>
                </c:pt>
                <c:pt idx="719">
                  <c:v>46037</c:v>
                </c:pt>
                <c:pt idx="720">
                  <c:v>46038</c:v>
                </c:pt>
                <c:pt idx="721">
                  <c:v>46042</c:v>
                </c:pt>
                <c:pt idx="722">
                  <c:v>46043</c:v>
                </c:pt>
                <c:pt idx="723">
                  <c:v>46044</c:v>
                </c:pt>
                <c:pt idx="724">
                  <c:v>46045</c:v>
                </c:pt>
                <c:pt idx="725">
                  <c:v>46048</c:v>
                </c:pt>
                <c:pt idx="726">
                  <c:v>46049</c:v>
                </c:pt>
                <c:pt idx="727">
                  <c:v>46050</c:v>
                </c:pt>
                <c:pt idx="728">
                  <c:v>46051</c:v>
                </c:pt>
                <c:pt idx="729">
                  <c:v>46052</c:v>
                </c:pt>
                <c:pt idx="730">
                  <c:v>46055</c:v>
                </c:pt>
                <c:pt idx="731">
                  <c:v>46056</c:v>
                </c:pt>
                <c:pt idx="732">
                  <c:v>46057</c:v>
                </c:pt>
                <c:pt idx="733">
                  <c:v>46058</c:v>
                </c:pt>
                <c:pt idx="734">
                  <c:v>46059</c:v>
                </c:pt>
                <c:pt idx="735">
                  <c:v>46062</c:v>
                </c:pt>
                <c:pt idx="736">
                  <c:v>46063</c:v>
                </c:pt>
                <c:pt idx="737">
                  <c:v>46064</c:v>
                </c:pt>
                <c:pt idx="738">
                  <c:v>46065</c:v>
                </c:pt>
                <c:pt idx="739">
                  <c:v>46066</c:v>
                </c:pt>
                <c:pt idx="740">
                  <c:v>46070</c:v>
                </c:pt>
                <c:pt idx="741">
                  <c:v>46071</c:v>
                </c:pt>
                <c:pt idx="742">
                  <c:v>46072</c:v>
                </c:pt>
                <c:pt idx="743">
                  <c:v>46073</c:v>
                </c:pt>
                <c:pt idx="744">
                  <c:v>46076</c:v>
                </c:pt>
                <c:pt idx="745">
                  <c:v>46077</c:v>
                </c:pt>
                <c:pt idx="746">
                  <c:v>46078</c:v>
                </c:pt>
                <c:pt idx="747">
                  <c:v>46079</c:v>
                </c:pt>
                <c:pt idx="748">
                  <c:v>46080</c:v>
                </c:pt>
                <c:pt idx="749">
                  <c:v>46083</c:v>
                </c:pt>
                <c:pt idx="750">
                  <c:v>46084</c:v>
                </c:pt>
                <c:pt idx="751">
                  <c:v>46085</c:v>
                </c:pt>
              </c:numCache>
            </c:numRef>
          </c:cat>
          <c:val>
            <c:numRef>
              <c:f>'Share Price Analysis'!$P$36:$P$787</c:f>
              <c:numCache>
                <c:formatCode>\$#,##0.00</c:formatCode>
                <c:ptCount val="752"/>
                <c:pt idx="0">
                  <c:v>179.79</c:v>
                </c:pt>
                <c:pt idx="1">
                  <c:v>179.7645273631841</c:v>
                </c:pt>
                <c:pt idx="2">
                  <c:v>179.75612410583898</c:v>
                </c:pt>
                <c:pt idx="3">
                  <c:v>179.69954575652713</c:v>
                </c:pt>
                <c:pt idx="4">
                  <c:v>179.59596818681047</c:v>
                </c:pt>
                <c:pt idx="5">
                  <c:v>179.46048591629494</c:v>
                </c:pt>
                <c:pt idx="6">
                  <c:v>179.3415756086701</c:v>
                </c:pt>
                <c:pt idx="7">
                  <c:v>179.1770823190316</c:v>
                </c:pt>
                <c:pt idx="8">
                  <c:v>179.04805662431488</c:v>
                </c:pt>
                <c:pt idx="9">
                  <c:v>178.86867297631176</c:v>
                </c:pt>
                <c:pt idx="10">
                  <c:v>178.71346229993057</c:v>
                </c:pt>
                <c:pt idx="11">
                  <c:v>178.58835322231934</c:v>
                </c:pt>
                <c:pt idx="12">
                  <c:v>178.4403099066744</c:v>
                </c:pt>
                <c:pt idx="13">
                  <c:v>178.30160035536423</c:v>
                </c:pt>
                <c:pt idx="14">
                  <c:v>178.18118642147999</c:v>
                </c:pt>
                <c:pt idx="15">
                  <c:v>178.05799053668915</c:v>
                </c:pt>
                <c:pt idx="16">
                  <c:v>177.95830903881168</c:v>
                </c:pt>
                <c:pt idx="17">
                  <c:v>177.87902238170906</c:v>
                </c:pt>
                <c:pt idx="18">
                  <c:v>177.80201718388113</c:v>
                </c:pt>
                <c:pt idx="19">
                  <c:v>177.73990756016093</c:v>
                </c:pt>
                <c:pt idx="20">
                  <c:v>177.69204778344292</c:v>
                </c:pt>
                <c:pt idx="21">
                  <c:v>177.60416671097084</c:v>
                </c:pt>
                <c:pt idx="22">
                  <c:v>177.46939888300099</c:v>
                </c:pt>
                <c:pt idx="23">
                  <c:v>177.34462874486169</c:v>
                </c:pt>
                <c:pt idx="24">
                  <c:v>177.23184636929096</c:v>
                </c:pt>
                <c:pt idx="25">
                  <c:v>177.12575834571592</c:v>
                </c:pt>
                <c:pt idx="26">
                  <c:v>177.02818861093269</c:v>
                </c:pt>
                <c:pt idx="27">
                  <c:v>176.95288325161994</c:v>
                </c:pt>
                <c:pt idx="28">
                  <c:v>176.87454610483763</c:v>
                </c:pt>
                <c:pt idx="29">
                  <c:v>176.82484912867011</c:v>
                </c:pt>
                <c:pt idx="30">
                  <c:v>176.78042276918086</c:v>
                </c:pt>
                <c:pt idx="31">
                  <c:v>176.74817975655219</c:v>
                </c:pt>
                <c:pt idx="32">
                  <c:v>176.70531229628801</c:v>
                </c:pt>
                <c:pt idx="33">
                  <c:v>176.64993605453392</c:v>
                </c:pt>
                <c:pt idx="34">
                  <c:v>176.59779738732465</c:v>
                </c:pt>
                <c:pt idx="35">
                  <c:v>176.52886407998807</c:v>
                </c:pt>
                <c:pt idx="36">
                  <c:v>176.4305669249633</c:v>
                </c:pt>
                <c:pt idx="37">
                  <c:v>176.39623292570994</c:v>
                </c:pt>
                <c:pt idx="38">
                  <c:v>176.38353409062825</c:v>
                </c:pt>
                <c:pt idx="39">
                  <c:v>176.39474270664189</c:v>
                </c:pt>
                <c:pt idx="40">
                  <c:v>176.42335223194894</c:v>
                </c:pt>
                <c:pt idx="41">
                  <c:v>176.44520942367086</c:v>
                </c:pt>
                <c:pt idx="42">
                  <c:v>176.58237151895773</c:v>
                </c:pt>
                <c:pt idx="43">
                  <c:v>176.75140264812234</c:v>
                </c:pt>
                <c:pt idx="44">
                  <c:v>176.91138869142461</c:v>
                </c:pt>
                <c:pt idx="45">
                  <c:v>177.07256890345025</c:v>
                </c:pt>
                <c:pt idx="46">
                  <c:v>177.26179707356516</c:v>
                </c:pt>
                <c:pt idx="47">
                  <c:v>177.43660506288293</c:v>
                </c:pt>
                <c:pt idx="48">
                  <c:v>177.61514630603833</c:v>
                </c:pt>
                <c:pt idx="49">
                  <c:v>177.7997717159285</c:v>
                </c:pt>
                <c:pt idx="50">
                  <c:v>177.97101776850636</c:v>
                </c:pt>
                <c:pt idx="51">
                  <c:v>178.15548525339688</c:v>
                </c:pt>
                <c:pt idx="52">
                  <c:v>178.33712221604966</c:v>
                </c:pt>
                <c:pt idx="53">
                  <c:v>178.52501154723325</c:v>
                </c:pt>
                <c:pt idx="54">
                  <c:v>178.71142934278316</c:v>
                </c:pt>
                <c:pt idx="55">
                  <c:v>178.87549472245698</c:v>
                </c:pt>
                <c:pt idx="56">
                  <c:v>179.0269823371589</c:v>
                </c:pt>
                <c:pt idx="57">
                  <c:v>179.18691286116729</c:v>
                </c:pt>
                <c:pt idx="58">
                  <c:v>179.35420726055867</c:v>
                </c:pt>
                <c:pt idx="59">
                  <c:v>179.52033455149839</c:v>
                </c:pt>
                <c:pt idx="60">
                  <c:v>179.67933619775215</c:v>
                </c:pt>
                <c:pt idx="61">
                  <c:v>179.86959155896855</c:v>
                </c:pt>
                <c:pt idx="62">
                  <c:v>180.09705830962557</c:v>
                </c:pt>
                <c:pt idx="63">
                  <c:v>180.31738608763925</c:v>
                </c:pt>
                <c:pt idx="64">
                  <c:v>180.54427776835925</c:v>
                </c:pt>
                <c:pt idx="65">
                  <c:v>180.78751878558953</c:v>
                </c:pt>
                <c:pt idx="66">
                  <c:v>181.04018029021054</c:v>
                </c:pt>
                <c:pt idx="67">
                  <c:v>181.29490486443731</c:v>
                </c:pt>
                <c:pt idx="68">
                  <c:v>181.53963217921904</c:v>
                </c:pt>
                <c:pt idx="69">
                  <c:v>181.79993434658999</c:v>
                </c:pt>
                <c:pt idx="70">
                  <c:v>182.05456186552939</c:v>
                </c:pt>
                <c:pt idx="71">
                  <c:v>182.32207866288732</c:v>
                </c:pt>
                <c:pt idx="72">
                  <c:v>182.57071469609244</c:v>
                </c:pt>
                <c:pt idx="73">
                  <c:v>182.83050857971341</c:v>
                </c:pt>
                <c:pt idx="74">
                  <c:v>183.10652341971627</c:v>
                </c:pt>
                <c:pt idx="75">
                  <c:v>183.40844855981859</c:v>
                </c:pt>
                <c:pt idx="76">
                  <c:v>183.71712071345226</c:v>
                </c:pt>
                <c:pt idx="77">
                  <c:v>184.02610458695025</c:v>
                </c:pt>
                <c:pt idx="78">
                  <c:v>184.38823289951793</c:v>
                </c:pt>
                <c:pt idx="79">
                  <c:v>184.75113605474661</c:v>
                </c:pt>
                <c:pt idx="80">
                  <c:v>185.15003022335608</c:v>
                </c:pt>
                <c:pt idx="81">
                  <c:v>185.55092544501426</c:v>
                </c:pt>
                <c:pt idx="82">
                  <c:v>185.92693613710367</c:v>
                </c:pt>
                <c:pt idx="83">
                  <c:v>186.27224025514244</c:v>
                </c:pt>
                <c:pt idx="84">
                  <c:v>186.58783985459377</c:v>
                </c:pt>
                <c:pt idx="85">
                  <c:v>186.89422950778192</c:v>
                </c:pt>
                <c:pt idx="86">
                  <c:v>187.21757050770449</c:v>
                </c:pt>
                <c:pt idx="87">
                  <c:v>187.57968423399601</c:v>
                </c:pt>
                <c:pt idx="88">
                  <c:v>187.90506051027467</c:v>
                </c:pt>
                <c:pt idx="89">
                  <c:v>188.25784597783414</c:v>
                </c:pt>
                <c:pt idx="90">
                  <c:v>188.62095198800495</c:v>
                </c:pt>
                <c:pt idx="91">
                  <c:v>188.97009674434321</c:v>
                </c:pt>
                <c:pt idx="92">
                  <c:v>189.31765797076767</c:v>
                </c:pt>
                <c:pt idx="93">
                  <c:v>189.63628823971527</c:v>
                </c:pt>
                <c:pt idx="94">
                  <c:v>189.95463363036487</c:v>
                </c:pt>
                <c:pt idx="95">
                  <c:v>190.2764780718538</c:v>
                </c:pt>
                <c:pt idx="96">
                  <c:v>190.59810515571596</c:v>
                </c:pt>
                <c:pt idx="97">
                  <c:v>190.91304938302227</c:v>
                </c:pt>
                <c:pt idx="98">
                  <c:v>191.23689963791756</c:v>
                </c:pt>
                <c:pt idx="99">
                  <c:v>191.50608471614726</c:v>
                </c:pt>
                <c:pt idx="100">
                  <c:v>191.7914968085239</c:v>
                </c:pt>
                <c:pt idx="101">
                  <c:v>192.07715355669779</c:v>
                </c:pt>
                <c:pt idx="102">
                  <c:v>192.39449531235255</c:v>
                </c:pt>
                <c:pt idx="103">
                  <c:v>192.69982371720479</c:v>
                </c:pt>
                <c:pt idx="104">
                  <c:v>193.03305930210823</c:v>
                </c:pt>
                <c:pt idx="105">
                  <c:v>193.36108856278378</c:v>
                </c:pt>
                <c:pt idx="106">
                  <c:v>193.71291852733322</c:v>
                </c:pt>
                <c:pt idx="107">
                  <c:v>194.0425412285538</c:v>
                </c:pt>
                <c:pt idx="108">
                  <c:v>194.334456241205</c:v>
                </c:pt>
                <c:pt idx="109">
                  <c:v>194.63272035820793</c:v>
                </c:pt>
                <c:pt idx="110">
                  <c:v>194.92413607603672</c:v>
                </c:pt>
                <c:pt idx="111">
                  <c:v>195.22469193597667</c:v>
                </c:pt>
                <c:pt idx="112">
                  <c:v>195.51240644407642</c:v>
                </c:pt>
                <c:pt idx="113">
                  <c:v>195.7809397132896</c:v>
                </c:pt>
                <c:pt idx="114">
                  <c:v>195.95555722858026</c:v>
                </c:pt>
                <c:pt idx="115">
                  <c:v>196.11321337555958</c:v>
                </c:pt>
                <c:pt idx="116">
                  <c:v>196.27696249620078</c:v>
                </c:pt>
                <c:pt idx="117">
                  <c:v>196.45908227235799</c:v>
                </c:pt>
                <c:pt idx="118">
                  <c:v>196.66406652835445</c:v>
                </c:pt>
                <c:pt idx="119">
                  <c:v>196.84631462259969</c:v>
                </c:pt>
                <c:pt idx="120">
                  <c:v>197.02525676565841</c:v>
                </c:pt>
                <c:pt idx="121">
                  <c:v>197.20520445953247</c:v>
                </c:pt>
                <c:pt idx="122">
                  <c:v>197.417988494761</c:v>
                </c:pt>
                <c:pt idx="123">
                  <c:v>197.62517268884301</c:v>
                </c:pt>
                <c:pt idx="124">
                  <c:v>197.8303948511431</c:v>
                </c:pt>
                <c:pt idx="125">
                  <c:v>198.08004266356954</c:v>
                </c:pt>
                <c:pt idx="126">
                  <c:v>198.26073875646935</c:v>
                </c:pt>
                <c:pt idx="127">
                  <c:v>198.42928861958904</c:v>
                </c:pt>
                <c:pt idx="128">
                  <c:v>198.59974345919514</c:v>
                </c:pt>
                <c:pt idx="129">
                  <c:v>198.77536790238722</c:v>
                </c:pt>
                <c:pt idx="130">
                  <c:v>198.952627923259</c:v>
                </c:pt>
                <c:pt idx="131">
                  <c:v>199.11001471009226</c:v>
                </c:pt>
                <c:pt idx="132">
                  <c:v>199.25558670302667</c:v>
                </c:pt>
                <c:pt idx="133">
                  <c:v>199.4119490243896</c:v>
                </c:pt>
                <c:pt idx="134">
                  <c:v>199.52317341220663</c:v>
                </c:pt>
                <c:pt idx="135">
                  <c:v>199.64423636332896</c:v>
                </c:pt>
                <c:pt idx="136">
                  <c:v>199.74608475772368</c:v>
                </c:pt>
                <c:pt idx="137">
                  <c:v>199.8436361531692</c:v>
                </c:pt>
                <c:pt idx="138">
                  <c:v>199.86857509691879</c:v>
                </c:pt>
                <c:pt idx="139">
                  <c:v>199.87605196162608</c:v>
                </c:pt>
                <c:pt idx="140">
                  <c:v>199.89758378290344</c:v>
                </c:pt>
                <c:pt idx="141">
                  <c:v>199.91203568556111</c:v>
                </c:pt>
                <c:pt idx="142">
                  <c:v>199.94873184789384</c:v>
                </c:pt>
                <c:pt idx="143">
                  <c:v>199.99929173000436</c:v>
                </c:pt>
                <c:pt idx="144">
                  <c:v>200.01939827995457</c:v>
                </c:pt>
                <c:pt idx="145">
                  <c:v>200.02845899358687</c:v>
                </c:pt>
                <c:pt idx="146">
                  <c:v>200.02807631703379</c:v>
                </c:pt>
                <c:pt idx="147">
                  <c:v>200.07784670193894</c:v>
                </c:pt>
                <c:pt idx="148">
                  <c:v>200.14622633674554</c:v>
                </c:pt>
                <c:pt idx="149">
                  <c:v>200.26815443289735</c:v>
                </c:pt>
                <c:pt idx="150">
                  <c:v>200.36747627933619</c:v>
                </c:pt>
                <c:pt idx="151">
                  <c:v>200.47327253526319</c:v>
                </c:pt>
                <c:pt idx="152">
                  <c:v>200.61542902744964</c:v>
                </c:pt>
                <c:pt idx="153">
                  <c:v>200.71507649981334</c:v>
                </c:pt>
                <c:pt idx="154">
                  <c:v>200.80039912170574</c:v>
                </c:pt>
                <c:pt idx="155">
                  <c:v>200.92218619512158</c:v>
                </c:pt>
                <c:pt idx="156">
                  <c:v>201.06017439218505</c:v>
                </c:pt>
                <c:pt idx="157">
                  <c:v>201.08683932360611</c:v>
                </c:pt>
                <c:pt idx="158">
                  <c:v>201.10279117113242</c:v>
                </c:pt>
                <c:pt idx="159">
                  <c:v>201.10724101022564</c:v>
                </c:pt>
                <c:pt idx="160">
                  <c:v>201.12109930863136</c:v>
                </c:pt>
                <c:pt idx="161">
                  <c:v>201.16118787272458</c:v>
                </c:pt>
                <c:pt idx="162">
                  <c:v>201.18316610284674</c:v>
                </c:pt>
                <c:pt idx="163">
                  <c:v>201.11139330580352</c:v>
                </c:pt>
                <c:pt idx="164">
                  <c:v>201.03754859629305</c:v>
                </c:pt>
                <c:pt idx="165">
                  <c:v>200.98732423215085</c:v>
                </c:pt>
                <c:pt idx="166">
                  <c:v>200.94257473730357</c:v>
                </c:pt>
                <c:pt idx="167">
                  <c:v>200.97100682946973</c:v>
                </c:pt>
                <c:pt idx="168">
                  <c:v>201.02920576648995</c:v>
                </c:pt>
                <c:pt idx="169">
                  <c:v>201.09637784841541</c:v>
                </c:pt>
                <c:pt idx="170">
                  <c:v>201.1565133922123</c:v>
                </c:pt>
                <c:pt idx="171">
                  <c:v>201.21674708980225</c:v>
                </c:pt>
                <c:pt idx="172">
                  <c:v>201.28852075060024</c:v>
                </c:pt>
                <c:pt idx="173">
                  <c:v>201.36754044462413</c:v>
                </c:pt>
                <c:pt idx="174">
                  <c:v>201.46995297751343</c:v>
                </c:pt>
                <c:pt idx="175">
                  <c:v>201.55970468917999</c:v>
                </c:pt>
                <c:pt idx="176">
                  <c:v>201.70876235396429</c:v>
                </c:pt>
                <c:pt idx="177">
                  <c:v>201.79991894745717</c:v>
                </c:pt>
                <c:pt idx="178">
                  <c:v>201.90409885842777</c:v>
                </c:pt>
                <c:pt idx="179">
                  <c:v>202.00803817326928</c:v>
                </c:pt>
                <c:pt idx="180">
                  <c:v>202.09134127602283</c:v>
                </c:pt>
                <c:pt idx="181">
                  <c:v>202.16844235785348</c:v>
                </c:pt>
                <c:pt idx="182">
                  <c:v>202.26527377717832</c:v>
                </c:pt>
                <c:pt idx="183">
                  <c:v>202.35895264506712</c:v>
                </c:pt>
                <c:pt idx="184">
                  <c:v>202.463341175962</c:v>
                </c:pt>
                <c:pt idx="185">
                  <c:v>202.54987509460915</c:v>
                </c:pt>
                <c:pt idx="186">
                  <c:v>202.65067235734935</c:v>
                </c:pt>
                <c:pt idx="187">
                  <c:v>202.7592228811568</c:v>
                </c:pt>
                <c:pt idx="188">
                  <c:v>202.88729031517516</c:v>
                </c:pt>
                <c:pt idx="189">
                  <c:v>203.00582473989979</c:v>
                </c:pt>
                <c:pt idx="190">
                  <c:v>203.09551802606995</c:v>
                </c:pt>
                <c:pt idx="191">
                  <c:v>203.18342331934292</c:v>
                </c:pt>
                <c:pt idx="192">
                  <c:v>203.29274249029476</c:v>
                </c:pt>
                <c:pt idx="193">
                  <c:v>203.41948137098834</c:v>
                </c:pt>
                <c:pt idx="194">
                  <c:v>203.57311837227203</c:v>
                </c:pt>
                <c:pt idx="195">
                  <c:v>203.74552515463748</c:v>
                </c:pt>
                <c:pt idx="196">
                  <c:v>203.94377863568587</c:v>
                </c:pt>
                <c:pt idx="197">
                  <c:v>204.15090521642531</c:v>
                </c:pt>
                <c:pt idx="198">
                  <c:v>204.35189123417234</c:v>
                </c:pt>
                <c:pt idx="199">
                  <c:v>204.53445948059851</c:v>
                </c:pt>
                <c:pt idx="200">
                  <c:v>204.73501212258262</c:v>
                </c:pt>
                <c:pt idx="201">
                  <c:v>204.89864384275594</c:v>
                </c:pt>
                <c:pt idx="202">
                  <c:v>205.08154290899719</c:v>
                </c:pt>
                <c:pt idx="203">
                  <c:v>205.27903999447983</c:v>
                </c:pt>
                <c:pt idx="204">
                  <c:v>205.48173611393776</c:v>
                </c:pt>
                <c:pt idx="205">
                  <c:v>205.68410689887369</c:v>
                </c:pt>
                <c:pt idx="206">
                  <c:v>205.88068294963119</c:v>
                </c:pt>
                <c:pt idx="207">
                  <c:v>206.09092491033138</c:v>
                </c:pt>
                <c:pt idx="208">
                  <c:v>206.26514456296491</c:v>
                </c:pt>
                <c:pt idx="209">
                  <c:v>206.39514312452744</c:v>
                </c:pt>
                <c:pt idx="210">
                  <c:v>206.53728100388537</c:v>
                </c:pt>
                <c:pt idx="211">
                  <c:v>206.68735780981686</c:v>
                </c:pt>
                <c:pt idx="212">
                  <c:v>206.85962290623661</c:v>
                </c:pt>
                <c:pt idx="213">
                  <c:v>207.02440277781636</c:v>
                </c:pt>
                <c:pt idx="214">
                  <c:v>207.21430921783809</c:v>
                </c:pt>
                <c:pt idx="215">
                  <c:v>207.38491310621782</c:v>
                </c:pt>
                <c:pt idx="216">
                  <c:v>207.54983934396691</c:v>
                </c:pt>
                <c:pt idx="217">
                  <c:v>207.69740313158914</c:v>
                </c:pt>
                <c:pt idx="218">
                  <c:v>207.83235434421016</c:v>
                </c:pt>
                <c:pt idx="219">
                  <c:v>208.00437071889465</c:v>
                </c:pt>
                <c:pt idx="220">
                  <c:v>208.18422772666685</c:v>
                </c:pt>
                <c:pt idx="221">
                  <c:v>208.37423541097863</c:v>
                </c:pt>
                <c:pt idx="222">
                  <c:v>208.51777535713805</c:v>
                </c:pt>
                <c:pt idx="223">
                  <c:v>208.6300362988581</c:v>
                </c:pt>
                <c:pt idx="224">
                  <c:v>208.77710061429238</c:v>
                </c:pt>
                <c:pt idx="225">
                  <c:v>208.9122538420109</c:v>
                </c:pt>
                <c:pt idx="226">
                  <c:v>209.11581350527447</c:v>
                </c:pt>
                <c:pt idx="227">
                  <c:v>209.33406411716228</c:v>
                </c:pt>
                <c:pt idx="228">
                  <c:v>209.49999382743928</c:v>
                </c:pt>
                <c:pt idx="229">
                  <c:v>209.70755607791256</c:v>
                </c:pt>
                <c:pt idx="230">
                  <c:v>209.95365004728657</c:v>
                </c:pt>
                <c:pt idx="231">
                  <c:v>210.14963362890563</c:v>
                </c:pt>
                <c:pt idx="232">
                  <c:v>210.36287110523494</c:v>
                </c:pt>
                <c:pt idx="233">
                  <c:v>210.62314104448635</c:v>
                </c:pt>
                <c:pt idx="234">
                  <c:v>210.89992571071039</c:v>
                </c:pt>
                <c:pt idx="235">
                  <c:v>211.18947868871328</c:v>
                </c:pt>
                <c:pt idx="236">
                  <c:v>211.47744407489523</c:v>
                </c:pt>
                <c:pt idx="237">
                  <c:v>211.7325938850953</c:v>
                </c:pt>
                <c:pt idx="238">
                  <c:v>212.02480688126352</c:v>
                </c:pt>
                <c:pt idx="239">
                  <c:v>212.32764462373851</c:v>
                </c:pt>
                <c:pt idx="240">
                  <c:v>212.75373771205952</c:v>
                </c:pt>
                <c:pt idx="241">
                  <c:v>213.13807863034748</c:v>
                </c:pt>
                <c:pt idx="242">
                  <c:v>213.53899327084153</c:v>
                </c:pt>
                <c:pt idx="243">
                  <c:v>213.97084408406701</c:v>
                </c:pt>
                <c:pt idx="244">
                  <c:v>214.4012834464146</c:v>
                </c:pt>
                <c:pt idx="245">
                  <c:v>214.86574828774383</c:v>
                </c:pt>
                <c:pt idx="246">
                  <c:v>215.35026820527872</c:v>
                </c:pt>
                <c:pt idx="247">
                  <c:v>215.81742971567397</c:v>
                </c:pt>
                <c:pt idx="248">
                  <c:v>216.31526623591603</c:v>
                </c:pt>
                <c:pt idx="249">
                  <c:v>216.8238705519766</c:v>
                </c:pt>
                <c:pt idx="250">
                  <c:v>217.33159323305148</c:v>
                </c:pt>
                <c:pt idx="251">
                  <c:v>217.80570673322012</c:v>
                </c:pt>
                <c:pt idx="252">
                  <c:v>218.29858527318808</c:v>
                </c:pt>
                <c:pt idx="253">
                  <c:v>218.82466900181311</c:v>
                </c:pt>
                <c:pt idx="254">
                  <c:v>219.30104045453137</c:v>
                </c:pt>
                <c:pt idx="255">
                  <c:v>219.75525895747137</c:v>
                </c:pt>
                <c:pt idx="256">
                  <c:v>220.2510275250587</c:v>
                </c:pt>
                <c:pt idx="257">
                  <c:v>220.73927600739643</c:v>
                </c:pt>
                <c:pt idx="258">
                  <c:v>221.23669614662631</c:v>
                </c:pt>
                <c:pt idx="259">
                  <c:v>221.69065936904795</c:v>
                </c:pt>
                <c:pt idx="260">
                  <c:v>222.16557818129624</c:v>
                </c:pt>
                <c:pt idx="261">
                  <c:v>222.63169183123361</c:v>
                </c:pt>
                <c:pt idx="262">
                  <c:v>223.1203317135099</c:v>
                </c:pt>
                <c:pt idx="263">
                  <c:v>223.64241796511678</c:v>
                </c:pt>
                <c:pt idx="264">
                  <c:v>224.14707052267781</c:v>
                </c:pt>
                <c:pt idx="265">
                  <c:v>224.62938822891985</c:v>
                </c:pt>
                <c:pt idx="266">
                  <c:v>225.11934456495052</c:v>
                </c:pt>
                <c:pt idx="267">
                  <c:v>225.59367944490126</c:v>
                </c:pt>
                <c:pt idx="268">
                  <c:v>226.06458810714105</c:v>
                </c:pt>
                <c:pt idx="269">
                  <c:v>226.49867180756752</c:v>
                </c:pt>
                <c:pt idx="270">
                  <c:v>226.89420741147234</c:v>
                </c:pt>
                <c:pt idx="271">
                  <c:v>227.31088196459203</c:v>
                </c:pt>
                <c:pt idx="272">
                  <c:v>227.69475378583988</c:v>
                </c:pt>
                <c:pt idx="273">
                  <c:v>228.1171940466773</c:v>
                </c:pt>
                <c:pt idx="274">
                  <c:v>228.53115231486959</c:v>
                </c:pt>
                <c:pt idx="275">
                  <c:v>228.90019557541817</c:v>
                </c:pt>
                <c:pt idx="276">
                  <c:v>229.25501950004087</c:v>
                </c:pt>
                <c:pt idx="277">
                  <c:v>229.61566607217978</c:v>
                </c:pt>
                <c:pt idx="278">
                  <c:v>229.94565944459592</c:v>
                </c:pt>
                <c:pt idx="279">
                  <c:v>230.24938422624172</c:v>
                </c:pt>
                <c:pt idx="280">
                  <c:v>230.53088289065724</c:v>
                </c:pt>
                <c:pt idx="281">
                  <c:v>230.80679450368555</c:v>
                </c:pt>
                <c:pt idx="282">
                  <c:v>231.04821943399713</c:v>
                </c:pt>
                <c:pt idx="283">
                  <c:v>231.25729187743994</c:v>
                </c:pt>
                <c:pt idx="284">
                  <c:v>231.48836360005248</c:v>
                </c:pt>
                <c:pt idx="285">
                  <c:v>231.76549431049972</c:v>
                </c:pt>
                <c:pt idx="286">
                  <c:v>232.01061377009674</c:v>
                </c:pt>
                <c:pt idx="287">
                  <c:v>232.27458776243409</c:v>
                </c:pt>
                <c:pt idx="288">
                  <c:v>232.56280081952431</c:v>
                </c:pt>
                <c:pt idx="289">
                  <c:v>232.85023563724047</c:v>
                </c:pt>
                <c:pt idx="290">
                  <c:v>233.09680045677041</c:v>
                </c:pt>
                <c:pt idx="291">
                  <c:v>233.36180741739958</c:v>
                </c:pt>
                <c:pt idx="292">
                  <c:v>233.67074465702746</c:v>
                </c:pt>
                <c:pt idx="293">
                  <c:v>233.97690640173366</c:v>
                </c:pt>
                <c:pt idx="294">
                  <c:v>234.30161380072138</c:v>
                </c:pt>
                <c:pt idx="295">
                  <c:v>234.64040371315204</c:v>
                </c:pt>
                <c:pt idx="296">
                  <c:v>234.97164347720027</c:v>
                </c:pt>
                <c:pt idx="297">
                  <c:v>235.32705000976546</c:v>
                </c:pt>
                <c:pt idx="298">
                  <c:v>235.69265150220559</c:v>
                </c:pt>
                <c:pt idx="299">
                  <c:v>236.03491367631301</c:v>
                </c:pt>
                <c:pt idx="300">
                  <c:v>236.35048667455865</c:v>
                </c:pt>
                <c:pt idx="301">
                  <c:v>236.69028282705059</c:v>
                </c:pt>
                <c:pt idx="302">
                  <c:v>236.92222031135856</c:v>
                </c:pt>
                <c:pt idx="303">
                  <c:v>237.14289473612118</c:v>
                </c:pt>
                <c:pt idx="304">
                  <c:v>237.37241817158269</c:v>
                </c:pt>
                <c:pt idx="305">
                  <c:v>237.61925978181571</c:v>
                </c:pt>
                <c:pt idx="306">
                  <c:v>237.85061043075288</c:v>
                </c:pt>
                <c:pt idx="307">
                  <c:v>238.04324117273546</c:v>
                </c:pt>
                <c:pt idx="308">
                  <c:v>238.2542536983799</c:v>
                </c:pt>
                <c:pt idx="309">
                  <c:v>238.41072878595824</c:v>
                </c:pt>
                <c:pt idx="310">
                  <c:v>238.54504989256563</c:v>
                </c:pt>
                <c:pt idx="311">
                  <c:v>238.69962651055005</c:v>
                </c:pt>
                <c:pt idx="312">
                  <c:v>238.86948097313166</c:v>
                </c:pt>
                <c:pt idx="313">
                  <c:v>239.00202345101096</c:v>
                </c:pt>
                <c:pt idx="314">
                  <c:v>239.11603316791633</c:v>
                </c:pt>
                <c:pt idx="315">
                  <c:v>239.23607263888235</c:v>
                </c:pt>
                <c:pt idx="316">
                  <c:v>239.32904704048551</c:v>
                </c:pt>
                <c:pt idx="317">
                  <c:v>239.4112455773961</c:v>
                </c:pt>
                <c:pt idx="318">
                  <c:v>239.49481527314342</c:v>
                </c:pt>
                <c:pt idx="319">
                  <c:v>239.54601114107234</c:v>
                </c:pt>
                <c:pt idx="320">
                  <c:v>239.64127471180794</c:v>
                </c:pt>
                <c:pt idx="321">
                  <c:v>239.78365008780986</c:v>
                </c:pt>
                <c:pt idx="322">
                  <c:v>239.91157396753314</c:v>
                </c:pt>
                <c:pt idx="323">
                  <c:v>240.07514039571691</c:v>
                </c:pt>
                <c:pt idx="324">
                  <c:v>240.22971611317246</c:v>
                </c:pt>
                <c:pt idx="325">
                  <c:v>240.29170898766827</c:v>
                </c:pt>
                <c:pt idx="326">
                  <c:v>240.36651785346265</c:v>
                </c:pt>
                <c:pt idx="327">
                  <c:v>240.43829379521927</c:v>
                </c:pt>
                <c:pt idx="328">
                  <c:v>240.49512669277928</c:v>
                </c:pt>
                <c:pt idx="329">
                  <c:v>240.54870752170686</c:v>
                </c:pt>
                <c:pt idx="330">
                  <c:v>240.62046167571975</c:v>
                </c:pt>
                <c:pt idx="331">
                  <c:v>240.70065608690663</c:v>
                </c:pt>
                <c:pt idx="332">
                  <c:v>240.7306993099225</c:v>
                </c:pt>
                <c:pt idx="333">
                  <c:v>240.77387643121682</c:v>
                </c:pt>
                <c:pt idx="334">
                  <c:v>240.80518114334402</c:v>
                </c:pt>
                <c:pt idx="335">
                  <c:v>240.83905993793763</c:v>
                </c:pt>
                <c:pt idx="336">
                  <c:v>240.85031307288352</c:v>
                </c:pt>
                <c:pt idx="337">
                  <c:v>240.86424030598917</c:v>
                </c:pt>
                <c:pt idx="338">
                  <c:v>240.93245682035743</c:v>
                </c:pt>
                <c:pt idx="339">
                  <c:v>241.0693477972693</c:v>
                </c:pt>
                <c:pt idx="340">
                  <c:v>241.18318513261985</c:v>
                </c:pt>
                <c:pt idx="341">
                  <c:v>241.30972060393708</c:v>
                </c:pt>
                <c:pt idx="342">
                  <c:v>241.52365373225612</c:v>
                </c:pt>
                <c:pt idx="343">
                  <c:v>241.6657069289501</c:v>
                </c:pt>
                <c:pt idx="344">
                  <c:v>241.80923223313968</c:v>
                </c:pt>
                <c:pt idx="345">
                  <c:v>241.95182693728754</c:v>
                </c:pt>
                <c:pt idx="346">
                  <c:v>242.13748040059812</c:v>
                </c:pt>
                <c:pt idx="347">
                  <c:v>242.31670945133845</c:v>
                </c:pt>
                <c:pt idx="348">
                  <c:v>242.39823473042964</c:v>
                </c:pt>
                <c:pt idx="349">
                  <c:v>242.51138662365918</c:v>
                </c:pt>
                <c:pt idx="350">
                  <c:v>242.70241760252824</c:v>
                </c:pt>
                <c:pt idx="351">
                  <c:v>242.91960747712994</c:v>
                </c:pt>
                <c:pt idx="352">
                  <c:v>243.18906411914855</c:v>
                </c:pt>
                <c:pt idx="353">
                  <c:v>243.50071522244062</c:v>
                </c:pt>
                <c:pt idx="354">
                  <c:v>243.77563347893377</c:v>
                </c:pt>
                <c:pt idx="355">
                  <c:v>244.0001545388449</c:v>
                </c:pt>
                <c:pt idx="356">
                  <c:v>244.13378484194098</c:v>
                </c:pt>
                <c:pt idx="357">
                  <c:v>244.15374718182218</c:v>
                </c:pt>
                <c:pt idx="358">
                  <c:v>244.12455566757521</c:v>
                </c:pt>
                <c:pt idx="359">
                  <c:v>244.14650038730085</c:v>
                </c:pt>
                <c:pt idx="360">
                  <c:v>244.14842575658145</c:v>
                </c:pt>
                <c:pt idx="361">
                  <c:v>244.12605336099358</c:v>
                </c:pt>
                <c:pt idx="362">
                  <c:v>244.12320705889414</c:v>
                </c:pt>
                <c:pt idx="363">
                  <c:v>244.10705574487531</c:v>
                </c:pt>
                <c:pt idx="364">
                  <c:v>244.13156265288652</c:v>
                </c:pt>
                <c:pt idx="365">
                  <c:v>244.13453217872845</c:v>
                </c:pt>
                <c:pt idx="366">
                  <c:v>244.13607912222369</c:v>
                </c:pt>
                <c:pt idx="367">
                  <c:v>244.15064549911699</c:v>
                </c:pt>
                <c:pt idx="368">
                  <c:v>244.18735549415067</c:v>
                </c:pt>
                <c:pt idx="369">
                  <c:v>244.22509325042779</c:v>
                </c:pt>
                <c:pt idx="370">
                  <c:v>244.33121172554792</c:v>
                </c:pt>
                <c:pt idx="371">
                  <c:v>244.39438374817928</c:v>
                </c:pt>
                <c:pt idx="372">
                  <c:v>244.35473813874466</c:v>
                </c:pt>
                <c:pt idx="373">
                  <c:v>244.26931785875718</c:v>
                </c:pt>
                <c:pt idx="374">
                  <c:v>244.23957340245116</c:v>
                </c:pt>
                <c:pt idx="375">
                  <c:v>244.24922938849645</c:v>
                </c:pt>
                <c:pt idx="376">
                  <c:v>244.19719725527759</c:v>
                </c:pt>
                <c:pt idx="377">
                  <c:v>244.10399131243904</c:v>
                </c:pt>
                <c:pt idx="378">
                  <c:v>243.98514562773815</c:v>
                </c:pt>
                <c:pt idx="379">
                  <c:v>243.86559193989996</c:v>
                </c:pt>
                <c:pt idx="380">
                  <c:v>243.74583480616963</c:v>
                </c:pt>
                <c:pt idx="381">
                  <c:v>243.6384135643172</c:v>
                </c:pt>
                <c:pt idx="382">
                  <c:v>243.53206119054292</c:v>
                </c:pt>
                <c:pt idx="383">
                  <c:v>243.45980187521417</c:v>
                </c:pt>
                <c:pt idx="384">
                  <c:v>243.40020185655533</c:v>
                </c:pt>
                <c:pt idx="385">
                  <c:v>243.39492621619161</c:v>
                </c:pt>
                <c:pt idx="386">
                  <c:v>243.41209112946336</c:v>
                </c:pt>
                <c:pt idx="387">
                  <c:v>243.42192106847369</c:v>
                </c:pt>
                <c:pt idx="388">
                  <c:v>243.52389200311575</c:v>
                </c:pt>
                <c:pt idx="389">
                  <c:v>243.60872889860713</c:v>
                </c:pt>
                <c:pt idx="390">
                  <c:v>243.69550771553639</c:v>
                </c:pt>
                <c:pt idx="391">
                  <c:v>243.75694544971017</c:v>
                </c:pt>
                <c:pt idx="392">
                  <c:v>243.8153838034444</c:v>
                </c:pt>
                <c:pt idx="393">
                  <c:v>243.8826934173405</c:v>
                </c:pt>
                <c:pt idx="394">
                  <c:v>243.94595019925754</c:v>
                </c:pt>
                <c:pt idx="395">
                  <c:v>244.01046810772263</c:v>
                </c:pt>
                <c:pt idx="396">
                  <c:v>244.04509031560602</c:v>
                </c:pt>
                <c:pt idx="397">
                  <c:v>244.00941777515223</c:v>
                </c:pt>
                <c:pt idx="398">
                  <c:v>243.98046834455371</c:v>
                </c:pt>
                <c:pt idx="399">
                  <c:v>243.95509055008054</c:v>
                </c:pt>
                <c:pt idx="400">
                  <c:v>243.89613442520411</c:v>
                </c:pt>
                <c:pt idx="401">
                  <c:v>243.83935696823693</c:v>
                </c:pt>
                <c:pt idx="402">
                  <c:v>243.81747281929924</c:v>
                </c:pt>
                <c:pt idx="403">
                  <c:v>243.81829398527637</c:v>
                </c:pt>
                <c:pt idx="404">
                  <c:v>243.85502737845772</c:v>
                </c:pt>
                <c:pt idx="405">
                  <c:v>243.90323606125915</c:v>
                </c:pt>
                <c:pt idx="406">
                  <c:v>243.99166157308741</c:v>
                </c:pt>
                <c:pt idx="407">
                  <c:v>244.11592364698706</c:v>
                </c:pt>
                <c:pt idx="408">
                  <c:v>244.26044181965386</c:v>
                </c:pt>
                <c:pt idx="409">
                  <c:v>244.434168766722</c:v>
                </c:pt>
                <c:pt idx="410">
                  <c:v>244.58845564466506</c:v>
                </c:pt>
                <c:pt idx="411">
                  <c:v>244.6793167825291</c:v>
                </c:pt>
                <c:pt idx="412">
                  <c:v>244.76778129215569</c:v>
                </c:pt>
                <c:pt idx="413">
                  <c:v>244.88093769720885</c:v>
                </c:pt>
                <c:pt idx="414">
                  <c:v>244.9969482673859</c:v>
                </c:pt>
                <c:pt idx="415">
                  <c:v>245.13130699109351</c:v>
                </c:pt>
                <c:pt idx="416">
                  <c:v>245.27477657327168</c:v>
                </c:pt>
                <c:pt idx="417">
                  <c:v>245.58278874667198</c:v>
                </c:pt>
                <c:pt idx="418">
                  <c:v>245.8648505501877</c:v>
                </c:pt>
                <c:pt idx="419">
                  <c:v>246.1088818879968</c:v>
                </c:pt>
                <c:pt idx="420">
                  <c:v>246.33526117269335</c:v>
                </c:pt>
                <c:pt idx="421">
                  <c:v>246.5972983749551</c:v>
                </c:pt>
                <c:pt idx="422">
                  <c:v>247.03364366475654</c:v>
                </c:pt>
                <c:pt idx="423">
                  <c:v>247.46704024520673</c:v>
                </c:pt>
                <c:pt idx="424">
                  <c:v>247.91323884973204</c:v>
                </c:pt>
                <c:pt idx="425">
                  <c:v>248.35231109998347</c:v>
                </c:pt>
                <c:pt idx="426">
                  <c:v>248.7505965616752</c:v>
                </c:pt>
                <c:pt idx="427">
                  <c:v>249.13825231728043</c:v>
                </c:pt>
                <c:pt idx="428">
                  <c:v>249.47200105044183</c:v>
                </c:pt>
                <c:pt idx="429">
                  <c:v>249.76859805491506</c:v>
                </c:pt>
                <c:pt idx="430">
                  <c:v>250.05687071108508</c:v>
                </c:pt>
                <c:pt idx="431">
                  <c:v>250.33501130102454</c:v>
                </c:pt>
                <c:pt idx="432">
                  <c:v>250.60839427315366</c:v>
                </c:pt>
                <c:pt idx="433">
                  <c:v>250.91258935501284</c:v>
                </c:pt>
                <c:pt idx="434">
                  <c:v>251.24788697337092</c:v>
                </c:pt>
                <c:pt idx="435">
                  <c:v>251.6371617298548</c:v>
                </c:pt>
                <c:pt idx="436">
                  <c:v>252.00296111562739</c:v>
                </c:pt>
                <c:pt idx="437">
                  <c:v>252.3451207065167</c:v>
                </c:pt>
                <c:pt idx="438">
                  <c:v>252.70118915719812</c:v>
                </c:pt>
                <c:pt idx="439">
                  <c:v>253.04296836956433</c:v>
                </c:pt>
                <c:pt idx="440">
                  <c:v>253.37587415693184</c:v>
                </c:pt>
                <c:pt idx="441">
                  <c:v>253.69700973745989</c:v>
                </c:pt>
                <c:pt idx="442">
                  <c:v>254.03465143161455</c:v>
                </c:pt>
                <c:pt idx="443">
                  <c:v>254.36127181537958</c:v>
                </c:pt>
                <c:pt idx="444">
                  <c:v>254.62862234457978</c:v>
                </c:pt>
                <c:pt idx="445">
                  <c:v>254.84435744562876</c:v>
                </c:pt>
                <c:pt idx="446">
                  <c:v>255.09028423721458</c:v>
                </c:pt>
                <c:pt idx="447">
                  <c:v>255.31933613535173</c:v>
                </c:pt>
                <c:pt idx="448">
                  <c:v>255.52282532803483</c:v>
                </c:pt>
                <c:pt idx="449">
                  <c:v>255.73652855860163</c:v>
                </c:pt>
                <c:pt idx="450">
                  <c:v>255.90482180677475</c:v>
                </c:pt>
                <c:pt idx="451">
                  <c:v>255.99422656491632</c:v>
                </c:pt>
                <c:pt idx="452">
                  <c:v>256.04323923591221</c:v>
                </c:pt>
                <c:pt idx="453">
                  <c:v>256.11375426839072</c:v>
                </c:pt>
                <c:pt idx="454">
                  <c:v>256.18098059407839</c:v>
                </c:pt>
                <c:pt idx="455">
                  <c:v>256.26186635931145</c:v>
                </c:pt>
                <c:pt idx="456">
                  <c:v>256.34433535076107</c:v>
                </c:pt>
                <c:pt idx="457">
                  <c:v>256.40419271045499</c:v>
                </c:pt>
                <c:pt idx="458">
                  <c:v>256.42166342975395</c:v>
                </c:pt>
                <c:pt idx="459">
                  <c:v>256.42970657970665</c:v>
                </c:pt>
                <c:pt idx="460">
                  <c:v>256.4211522853812</c:v>
                </c:pt>
                <c:pt idx="461">
                  <c:v>256.42820549647195</c:v>
                </c:pt>
                <c:pt idx="462">
                  <c:v>256.43767608854688</c:v>
                </c:pt>
                <c:pt idx="463">
                  <c:v>256.39332110259119</c:v>
                </c:pt>
                <c:pt idx="464">
                  <c:v>256.38224328067486</c:v>
                </c:pt>
                <c:pt idx="465">
                  <c:v>256.33555429280744</c:v>
                </c:pt>
                <c:pt idx="466">
                  <c:v>256.3325139515855</c:v>
                </c:pt>
                <c:pt idx="467">
                  <c:v>256.3697028674901</c:v>
                </c:pt>
                <c:pt idx="468">
                  <c:v>256.48731776433101</c:v>
                </c:pt>
                <c:pt idx="469">
                  <c:v>256.61351360747204</c:v>
                </c:pt>
                <c:pt idx="470">
                  <c:v>256.74770750192505</c:v>
                </c:pt>
                <c:pt idx="471">
                  <c:v>256.934595984493</c:v>
                </c:pt>
                <c:pt idx="472">
                  <c:v>257.10818209410007</c:v>
                </c:pt>
                <c:pt idx="473">
                  <c:v>257.28451859067621</c:v>
                </c:pt>
                <c:pt idx="474">
                  <c:v>257.48606566937593</c:v>
                </c:pt>
                <c:pt idx="475">
                  <c:v>257.66023417017817</c:v>
                </c:pt>
                <c:pt idx="476">
                  <c:v>257.8337641784351</c:v>
                </c:pt>
                <c:pt idx="477">
                  <c:v>257.97671179855018</c:v>
                </c:pt>
                <c:pt idx="478">
                  <c:v>258.15963008911189</c:v>
                </c:pt>
                <c:pt idx="479">
                  <c:v>258.31873824742922</c:v>
                </c:pt>
                <c:pt idx="480">
                  <c:v>258.44651199621103</c:v>
                </c:pt>
                <c:pt idx="481">
                  <c:v>258.58206909077609</c:v>
                </c:pt>
                <c:pt idx="482">
                  <c:v>258.73876492071861</c:v>
                </c:pt>
                <c:pt idx="483">
                  <c:v>258.92255830459209</c:v>
                </c:pt>
                <c:pt idx="484">
                  <c:v>259.06183633141205</c:v>
                </c:pt>
                <c:pt idx="485">
                  <c:v>259.15634542264178</c:v>
                </c:pt>
                <c:pt idx="486">
                  <c:v>259.24205342838667</c:v>
                </c:pt>
                <c:pt idx="487">
                  <c:v>259.28750563307938</c:v>
                </c:pt>
                <c:pt idx="488">
                  <c:v>259.38743095016321</c:v>
                </c:pt>
                <c:pt idx="489">
                  <c:v>259.49760576657945</c:v>
                </c:pt>
                <c:pt idx="490">
                  <c:v>259.62956988830507</c:v>
                </c:pt>
                <c:pt idx="491">
                  <c:v>259.68270849638168</c:v>
                </c:pt>
                <c:pt idx="492">
                  <c:v>259.67183577502465</c:v>
                </c:pt>
                <c:pt idx="493">
                  <c:v>259.60405631457661</c:v>
                </c:pt>
                <c:pt idx="494">
                  <c:v>259.52401595323755</c:v>
                </c:pt>
                <c:pt idx="495">
                  <c:v>259.42716007310588</c:v>
                </c:pt>
                <c:pt idx="496">
                  <c:v>259.33863111715453</c:v>
                </c:pt>
                <c:pt idx="497">
                  <c:v>259.19715220056594</c:v>
                </c:pt>
                <c:pt idx="498">
                  <c:v>259.0788720791673</c:v>
                </c:pt>
                <c:pt idx="499">
                  <c:v>258.88674399877755</c:v>
                </c:pt>
                <c:pt idx="500">
                  <c:v>258.6476719191877</c:v>
                </c:pt>
                <c:pt idx="501">
                  <c:v>258.46560553193211</c:v>
                </c:pt>
                <c:pt idx="502">
                  <c:v>258.23380846196267</c:v>
                </c:pt>
                <c:pt idx="503">
                  <c:v>257.86232778074913</c:v>
                </c:pt>
                <c:pt idx="504">
                  <c:v>257.49892153417454</c:v>
                </c:pt>
                <c:pt idx="505">
                  <c:v>257.17266360846139</c:v>
                </c:pt>
                <c:pt idx="506">
                  <c:v>256.87412964220806</c:v>
                </c:pt>
                <c:pt idx="507">
                  <c:v>256.55737213333038</c:v>
                </c:pt>
                <c:pt idx="508">
                  <c:v>256.30625400265052</c:v>
                </c:pt>
                <c:pt idx="509">
                  <c:v>256.09504749516145</c:v>
                </c:pt>
                <c:pt idx="510">
                  <c:v>255.90007189819468</c:v>
                </c:pt>
                <c:pt idx="511">
                  <c:v>255.75290700368529</c:v>
                </c:pt>
                <c:pt idx="512">
                  <c:v>255.58342534195708</c:v>
                </c:pt>
                <c:pt idx="513">
                  <c:v>255.36946091069382</c:v>
                </c:pt>
                <c:pt idx="514">
                  <c:v>255.22459065287597</c:v>
                </c:pt>
                <c:pt idx="515">
                  <c:v>255.08285343244935</c:v>
                </c:pt>
                <c:pt idx="516">
                  <c:v>254.90352155749963</c:v>
                </c:pt>
                <c:pt idx="517">
                  <c:v>254.73075019871854</c:v>
                </c:pt>
                <c:pt idx="518">
                  <c:v>254.51392681365667</c:v>
                </c:pt>
                <c:pt idx="519">
                  <c:v>254.30284296476455</c:v>
                </c:pt>
                <c:pt idx="520">
                  <c:v>254.13336194023955</c:v>
                </c:pt>
                <c:pt idx="521">
                  <c:v>253.99372649804812</c:v>
                </c:pt>
                <c:pt idx="522">
                  <c:v>253.82642573687352</c:v>
                </c:pt>
                <c:pt idx="523">
                  <c:v>253.59671005789966</c:v>
                </c:pt>
                <c:pt idx="524">
                  <c:v>253.34729005732356</c:v>
                </c:pt>
                <c:pt idx="525">
                  <c:v>253.0800533403353</c:v>
                </c:pt>
                <c:pt idx="526">
                  <c:v>252.94522693893893</c:v>
                </c:pt>
                <c:pt idx="527">
                  <c:v>252.77243861118831</c:v>
                </c:pt>
                <c:pt idx="528">
                  <c:v>252.66823524192279</c:v>
                </c:pt>
                <c:pt idx="529">
                  <c:v>252.57681001563503</c:v>
                </c:pt>
                <c:pt idx="530">
                  <c:v>252.49674225428546</c:v>
                </c:pt>
                <c:pt idx="531">
                  <c:v>252.3778691970289</c:v>
                </c:pt>
                <c:pt idx="532">
                  <c:v>252.27391029954603</c:v>
                </c:pt>
                <c:pt idx="533">
                  <c:v>252.09377188860529</c:v>
                </c:pt>
                <c:pt idx="534">
                  <c:v>251.97910749170376</c:v>
                </c:pt>
                <c:pt idx="535">
                  <c:v>251.90508652163706</c:v>
                </c:pt>
                <c:pt idx="536">
                  <c:v>251.8812548149541</c:v>
                </c:pt>
                <c:pt idx="537">
                  <c:v>251.8330831252531</c:v>
                </c:pt>
                <c:pt idx="538">
                  <c:v>251.76897284539984</c:v>
                </c:pt>
                <c:pt idx="539">
                  <c:v>251.7051024688287</c:v>
                </c:pt>
                <c:pt idx="540">
                  <c:v>251.81082284227321</c:v>
                </c:pt>
                <c:pt idx="541">
                  <c:v>251.92842659508642</c:v>
                </c:pt>
                <c:pt idx="542">
                  <c:v>252.07889001205075</c:v>
                </c:pt>
                <c:pt idx="543">
                  <c:v>252.25760752436864</c:v>
                </c:pt>
                <c:pt idx="544">
                  <c:v>252.40668605646448</c:v>
                </c:pt>
                <c:pt idx="545">
                  <c:v>252.54035087182305</c:v>
                </c:pt>
                <c:pt idx="546">
                  <c:v>252.6983573308099</c:v>
                </c:pt>
                <c:pt idx="547">
                  <c:v>252.86683138721975</c:v>
                </c:pt>
                <c:pt idx="548">
                  <c:v>253.06079326396386</c:v>
                </c:pt>
                <c:pt idx="549">
                  <c:v>253.21531273397417</c:v>
                </c:pt>
                <c:pt idx="550">
                  <c:v>253.34570763214361</c:v>
                </c:pt>
                <c:pt idx="551">
                  <c:v>253.52206875023174</c:v>
                </c:pt>
                <c:pt idx="552">
                  <c:v>253.74085413580158</c:v>
                </c:pt>
                <c:pt idx="553">
                  <c:v>253.96243767673889</c:v>
                </c:pt>
                <c:pt idx="554">
                  <c:v>254.15514973965693</c:v>
                </c:pt>
                <c:pt idx="555">
                  <c:v>254.31818307558075</c:v>
                </c:pt>
                <c:pt idx="556">
                  <c:v>254.49093747283865</c:v>
                </c:pt>
                <c:pt idx="557">
                  <c:v>254.62724655271091</c:v>
                </c:pt>
                <c:pt idx="558">
                  <c:v>254.78180131338047</c:v>
                </c:pt>
                <c:pt idx="559">
                  <c:v>254.85889781772497</c:v>
                </c:pt>
                <c:pt idx="560">
                  <c:v>254.96288888421526</c:v>
                </c:pt>
                <c:pt idx="561">
                  <c:v>255.06345715402409</c:v>
                </c:pt>
                <c:pt idx="562">
                  <c:v>255.14620882413331</c:v>
                </c:pt>
                <c:pt idx="563">
                  <c:v>255.24365948259967</c:v>
                </c:pt>
                <c:pt idx="564">
                  <c:v>255.3514837663549</c:v>
                </c:pt>
                <c:pt idx="565">
                  <c:v>255.45415556967478</c:v>
                </c:pt>
                <c:pt idx="566">
                  <c:v>255.54724854908102</c:v>
                </c:pt>
                <c:pt idx="567">
                  <c:v>255.65125602620461</c:v>
                </c:pt>
                <c:pt idx="568">
                  <c:v>255.74527337917769</c:v>
                </c:pt>
                <c:pt idx="569">
                  <c:v>255.79875324605155</c:v>
                </c:pt>
                <c:pt idx="570">
                  <c:v>255.89558157196151</c:v>
                </c:pt>
                <c:pt idx="571">
                  <c:v>255.94408324786241</c:v>
                </c:pt>
                <c:pt idx="572">
                  <c:v>255.99618192201302</c:v>
                </c:pt>
                <c:pt idx="573">
                  <c:v>256.02646866905769</c:v>
                </c:pt>
                <c:pt idx="574">
                  <c:v>256.04749883155461</c:v>
                </c:pt>
                <c:pt idx="575">
                  <c:v>256.04642919143964</c:v>
                </c:pt>
                <c:pt idx="576">
                  <c:v>256.09611646316665</c:v>
                </c:pt>
                <c:pt idx="577">
                  <c:v>256.17953818990134</c:v>
                </c:pt>
                <c:pt idx="578">
                  <c:v>256.16421940194215</c:v>
                </c:pt>
                <c:pt idx="579">
                  <c:v>256.1721376168482</c:v>
                </c:pt>
                <c:pt idx="580">
                  <c:v>256.23191734205369</c:v>
                </c:pt>
                <c:pt idx="581">
                  <c:v>256.27756990581435</c:v>
                </c:pt>
                <c:pt idx="582">
                  <c:v>256.36107667292066</c:v>
                </c:pt>
                <c:pt idx="583">
                  <c:v>256.45410078562793</c:v>
                </c:pt>
                <c:pt idx="584">
                  <c:v>256.55147291711421</c:v>
                </c:pt>
                <c:pt idx="585">
                  <c:v>256.65543836072504</c:v>
                </c:pt>
                <c:pt idx="586">
                  <c:v>256.75289668549397</c:v>
                </c:pt>
                <c:pt idx="587">
                  <c:v>256.88421114633479</c:v>
                </c:pt>
                <c:pt idx="588">
                  <c:v>257.02198018965487</c:v>
                </c:pt>
                <c:pt idx="589">
                  <c:v>257.14116446637473</c:v>
                </c:pt>
                <c:pt idx="590">
                  <c:v>257.26841656123668</c:v>
                </c:pt>
                <c:pt idx="591">
                  <c:v>257.31111888401045</c:v>
                </c:pt>
                <c:pt idx="592">
                  <c:v>257.34404307421931</c:v>
                </c:pt>
                <c:pt idx="593">
                  <c:v>257.40042075507284</c:v>
                </c:pt>
                <c:pt idx="594">
                  <c:v>257.49195885701243</c:v>
                </c:pt>
                <c:pt idx="595">
                  <c:v>257.56676523654465</c:v>
                </c:pt>
                <c:pt idx="596">
                  <c:v>257.66838946304671</c:v>
                </c:pt>
                <c:pt idx="597">
                  <c:v>257.78223633406117</c:v>
                </c:pt>
                <c:pt idx="598">
                  <c:v>257.91793547501578</c:v>
                </c:pt>
                <c:pt idx="599">
                  <c:v>258.08621472402064</c:v>
                </c:pt>
                <c:pt idx="600">
                  <c:v>258.20585437850798</c:v>
                </c:pt>
                <c:pt idx="601">
                  <c:v>258.36221403643327</c:v>
                </c:pt>
                <c:pt idx="602">
                  <c:v>258.50557509079709</c:v>
                </c:pt>
                <c:pt idx="603">
                  <c:v>258.66641513964487</c:v>
                </c:pt>
                <c:pt idx="604">
                  <c:v>258.82834135716087</c:v>
                </c:pt>
                <c:pt idx="605">
                  <c:v>259.05741258743785</c:v>
                </c:pt>
                <c:pt idx="606">
                  <c:v>259.29733883034891</c:v>
                </c:pt>
                <c:pt idx="607">
                  <c:v>259.51915635442504</c:v>
                </c:pt>
                <c:pt idx="608">
                  <c:v>259.74384136582381</c:v>
                </c:pt>
                <c:pt idx="609">
                  <c:v>260.01027080496988</c:v>
                </c:pt>
                <c:pt idx="610">
                  <c:v>260.26131288651248</c:v>
                </c:pt>
                <c:pt idx="611">
                  <c:v>260.5760261911243</c:v>
                </c:pt>
                <c:pt idx="612">
                  <c:v>260.92492145290413</c:v>
                </c:pt>
                <c:pt idx="613">
                  <c:v>261.24507148819862</c:v>
                </c:pt>
                <c:pt idx="614">
                  <c:v>261.54730958284341</c:v>
                </c:pt>
                <c:pt idx="615">
                  <c:v>261.82922690042705</c:v>
                </c:pt>
                <c:pt idx="616">
                  <c:v>262.13779180689045</c:v>
                </c:pt>
                <c:pt idx="617">
                  <c:v>262.3780127839363</c:v>
                </c:pt>
                <c:pt idx="618">
                  <c:v>262.63574400001653</c:v>
                </c:pt>
                <c:pt idx="619">
                  <c:v>262.93190575126016</c:v>
                </c:pt>
                <c:pt idx="620">
                  <c:v>263.20422509701882</c:v>
                </c:pt>
                <c:pt idx="621">
                  <c:v>263.48279002142658</c:v>
                </c:pt>
                <c:pt idx="622">
                  <c:v>263.75808564310393</c:v>
                </c:pt>
                <c:pt idx="623">
                  <c:v>264.03074150735165</c:v>
                </c:pt>
                <c:pt idx="624">
                  <c:v>264.30068437792528</c:v>
                </c:pt>
                <c:pt idx="625">
                  <c:v>264.58117508063248</c:v>
                </c:pt>
                <c:pt idx="626">
                  <c:v>264.81469572659631</c:v>
                </c:pt>
                <c:pt idx="627">
                  <c:v>265.08847984871971</c:v>
                </c:pt>
                <c:pt idx="628">
                  <c:v>265.38421636763792</c:v>
                </c:pt>
                <c:pt idx="629">
                  <c:v>265.71780625452709</c:v>
                </c:pt>
                <c:pt idx="630">
                  <c:v>265.98369872960643</c:v>
                </c:pt>
                <c:pt idx="631">
                  <c:v>266.2667465034412</c:v>
                </c:pt>
                <c:pt idx="632">
                  <c:v>266.6188186775363</c:v>
                </c:pt>
                <c:pt idx="633">
                  <c:v>266.9006214767648</c:v>
                </c:pt>
                <c:pt idx="634">
                  <c:v>267.1705655416726</c:v>
                </c:pt>
                <c:pt idx="635">
                  <c:v>267.41722658105891</c:v>
                </c:pt>
                <c:pt idx="636">
                  <c:v>267.6643188538842</c:v>
                </c:pt>
                <c:pt idx="637">
                  <c:v>267.97193757175603</c:v>
                </c:pt>
                <c:pt idx="638">
                  <c:v>268.26863471034557</c:v>
                </c:pt>
                <c:pt idx="639">
                  <c:v>268.57332491223269</c:v>
                </c:pt>
                <c:pt idx="640">
                  <c:v>268.86204804743437</c:v>
                </c:pt>
                <c:pt idx="641">
                  <c:v>269.11028637532058</c:v>
                </c:pt>
                <c:pt idx="642">
                  <c:v>269.36550740641195</c:v>
                </c:pt>
                <c:pt idx="643">
                  <c:v>269.66326355162181</c:v>
                </c:pt>
                <c:pt idx="644">
                  <c:v>269.99517137697882</c:v>
                </c:pt>
                <c:pt idx="645">
                  <c:v>270.36954778118803</c:v>
                </c:pt>
                <c:pt idx="646">
                  <c:v>270.68069655948466</c:v>
                </c:pt>
                <c:pt idx="647">
                  <c:v>271.00596326038533</c:v>
                </c:pt>
                <c:pt idx="648">
                  <c:v>271.34122730754564</c:v>
                </c:pt>
                <c:pt idx="649">
                  <c:v>271.67285688657506</c:v>
                </c:pt>
                <c:pt idx="650">
                  <c:v>271.96367423098724</c:v>
                </c:pt>
                <c:pt idx="651">
                  <c:v>272.28672224858934</c:v>
                </c:pt>
                <c:pt idx="652">
                  <c:v>272.59133197745911</c:v>
                </c:pt>
                <c:pt idx="653">
                  <c:v>272.87828389808141</c:v>
                </c:pt>
                <c:pt idx="654">
                  <c:v>273.17551490407061</c:v>
                </c:pt>
                <c:pt idx="655">
                  <c:v>273.53267395975155</c:v>
                </c:pt>
                <c:pt idx="656">
                  <c:v>273.82687620890823</c:v>
                </c:pt>
                <c:pt idx="657">
                  <c:v>274.04979286354597</c:v>
                </c:pt>
                <c:pt idx="658">
                  <c:v>274.26173522311268</c:v>
                </c:pt>
                <c:pt idx="659">
                  <c:v>274.47276273333046</c:v>
                </c:pt>
                <c:pt idx="660">
                  <c:v>274.70258598971526</c:v>
                </c:pt>
                <c:pt idx="661">
                  <c:v>274.8913164773798</c:v>
                </c:pt>
                <c:pt idx="662">
                  <c:v>275.06214914924669</c:v>
                </c:pt>
                <c:pt idx="663">
                  <c:v>275.23804816268705</c:v>
                </c:pt>
                <c:pt idx="664">
                  <c:v>275.40493325559567</c:v>
                </c:pt>
                <c:pt idx="665">
                  <c:v>275.57592894459469</c:v>
                </c:pt>
                <c:pt idx="666">
                  <c:v>275.76890477599176</c:v>
                </c:pt>
                <c:pt idx="667">
                  <c:v>275.91050771354406</c:v>
                </c:pt>
                <c:pt idx="668">
                  <c:v>276.04572654226507</c:v>
                </c:pt>
                <c:pt idx="669">
                  <c:v>276.17014717368534</c:v>
                </c:pt>
                <c:pt idx="670">
                  <c:v>276.33024521175815</c:v>
                </c:pt>
                <c:pt idx="671">
                  <c:v>276.41750645343222</c:v>
                </c:pt>
                <c:pt idx="672">
                  <c:v>276.5158397225523</c:v>
                </c:pt>
                <c:pt idx="673">
                  <c:v>276.62314479993984</c:v>
                </c:pt>
                <c:pt idx="674">
                  <c:v>276.78450654322404</c:v>
                </c:pt>
                <c:pt idx="675">
                  <c:v>276.96675025921184</c:v>
                </c:pt>
                <c:pt idx="676">
                  <c:v>277.14708110240377</c:v>
                </c:pt>
                <c:pt idx="677">
                  <c:v>277.21616487252908</c:v>
                </c:pt>
                <c:pt idx="678">
                  <c:v>277.24963586882234</c:v>
                </c:pt>
                <c:pt idx="679">
                  <c:v>277.27779869599829</c:v>
                </c:pt>
                <c:pt idx="680">
                  <c:v>277.32349224131173</c:v>
                </c:pt>
                <c:pt idx="681">
                  <c:v>277.39221371154741</c:v>
                </c:pt>
                <c:pt idx="682">
                  <c:v>277.47756481889525</c:v>
                </c:pt>
                <c:pt idx="683">
                  <c:v>277.58057412417992</c:v>
                </c:pt>
                <c:pt idx="684">
                  <c:v>277.67619030204878</c:v>
                </c:pt>
                <c:pt idx="685">
                  <c:v>277.82587995078461</c:v>
                </c:pt>
                <c:pt idx="686">
                  <c:v>277.99756273734397</c:v>
                </c:pt>
                <c:pt idx="687">
                  <c:v>278.18902977478336</c:v>
                </c:pt>
                <c:pt idx="688">
                  <c:v>278.32495982677557</c:v>
                </c:pt>
                <c:pt idx="689">
                  <c:v>278.43953734093702</c:v>
                </c:pt>
                <c:pt idx="690">
                  <c:v>278.58033796441032</c:v>
                </c:pt>
                <c:pt idx="691">
                  <c:v>278.7302848503366</c:v>
                </c:pt>
                <c:pt idx="692">
                  <c:v>278.89087903093025</c:v>
                </c:pt>
                <c:pt idx="693">
                  <c:v>279.05892998584636</c:v>
                </c:pt>
                <c:pt idx="694">
                  <c:v>279.17814461285286</c:v>
                </c:pt>
                <c:pt idx="695">
                  <c:v>279.35318795003843</c:v>
                </c:pt>
                <c:pt idx="696">
                  <c:v>279.55136518436643</c:v>
                </c:pt>
                <c:pt idx="697">
                  <c:v>279.71443617755688</c:v>
                </c:pt>
                <c:pt idx="698">
                  <c:v>279.8832477578797</c:v>
                </c:pt>
                <c:pt idx="699">
                  <c:v>280.00391195929387</c:v>
                </c:pt>
                <c:pt idx="700">
                  <c:v>280.05770388009694</c:v>
                </c:pt>
                <c:pt idx="701">
                  <c:v>280.14011478676269</c:v>
                </c:pt>
                <c:pt idx="702">
                  <c:v>280.25683006251631</c:v>
                </c:pt>
                <c:pt idx="703">
                  <c:v>280.37248349473009</c:v>
                </c:pt>
                <c:pt idx="704">
                  <c:v>280.49653838532981</c:v>
                </c:pt>
                <c:pt idx="705">
                  <c:v>280.62731909791358</c:v>
                </c:pt>
                <c:pt idx="706">
                  <c:v>280.76237064917814</c:v>
                </c:pt>
                <c:pt idx="707">
                  <c:v>280.87438686162415</c:v>
                </c:pt>
                <c:pt idx="708">
                  <c:v>280.95404470379708</c:v>
                </c:pt>
                <c:pt idx="709">
                  <c:v>280.99649202017724</c:v>
                </c:pt>
                <c:pt idx="710">
                  <c:v>281.11244732345909</c:v>
                </c:pt>
                <c:pt idx="711">
                  <c:v>281.26724884262865</c:v>
                </c:pt>
                <c:pt idx="712">
                  <c:v>281.45215183921937</c:v>
                </c:pt>
                <c:pt idx="713">
                  <c:v>281.55829958211268</c:v>
                </c:pt>
                <c:pt idx="714">
                  <c:v>281.73314237234041</c:v>
                </c:pt>
                <c:pt idx="715">
                  <c:v>282.03052404027733</c:v>
                </c:pt>
                <c:pt idx="716">
                  <c:v>282.30504618913034</c:v>
                </c:pt>
                <c:pt idx="717">
                  <c:v>282.59096612754701</c:v>
                </c:pt>
                <c:pt idx="718">
                  <c:v>282.74906596707393</c:v>
                </c:pt>
                <c:pt idx="719">
                  <c:v>282.93773197735186</c:v>
                </c:pt>
                <c:pt idx="720">
                  <c:v>283.16690877359713</c:v>
                </c:pt>
                <c:pt idx="721">
                  <c:v>283.29609376092452</c:v>
                </c:pt>
                <c:pt idx="722">
                  <c:v>283.45245103693526</c:v>
                </c:pt>
                <c:pt idx="723">
                  <c:v>283.64964057885629</c:v>
                </c:pt>
                <c:pt idx="724">
                  <c:v>283.81302723976319</c:v>
                </c:pt>
                <c:pt idx="725">
                  <c:v>283.97807174484018</c:v>
                </c:pt>
                <c:pt idx="726">
                  <c:v>284.12426008568752</c:v>
                </c:pt>
                <c:pt idx="727">
                  <c:v>284.27954107985977</c:v>
                </c:pt>
                <c:pt idx="728">
                  <c:v>284.43068992483632</c:v>
                </c:pt>
                <c:pt idx="729">
                  <c:v>284.59098156737531</c:v>
                </c:pt>
                <c:pt idx="730">
                  <c:v>284.80321060650596</c:v>
                </c:pt>
                <c:pt idx="731">
                  <c:v>285.06397468007304</c:v>
                </c:pt>
                <c:pt idx="732">
                  <c:v>285.32692020564446</c:v>
                </c:pt>
                <c:pt idx="733">
                  <c:v>285.57998567623508</c:v>
                </c:pt>
                <c:pt idx="734">
                  <c:v>285.95948830632227</c:v>
                </c:pt>
                <c:pt idx="735">
                  <c:v>286.37103568635888</c:v>
                </c:pt>
                <c:pt idx="736">
                  <c:v>286.80883632629559</c:v>
                </c:pt>
                <c:pt idx="737">
                  <c:v>287.13690760663093</c:v>
                </c:pt>
                <c:pt idx="738">
                  <c:v>287.48300802845552</c:v>
                </c:pt>
                <c:pt idx="739">
                  <c:v>287.88267959036142</c:v>
                </c:pt>
                <c:pt idx="740">
                  <c:v>288.02533949493494</c:v>
                </c:pt>
                <c:pt idx="741">
                  <c:v>288.13812218652765</c:v>
                </c:pt>
                <c:pt idx="742">
                  <c:v>288.28450903044279</c:v>
                </c:pt>
                <c:pt idx="743">
                  <c:v>288.45371789581156</c:v>
                </c:pt>
                <c:pt idx="744">
                  <c:v>288.67596945903733</c:v>
                </c:pt>
                <c:pt idx="745">
                  <c:v>288.96665633009172</c:v>
                </c:pt>
                <c:pt idx="746">
                  <c:v>289.13146571984208</c:v>
                </c:pt>
                <c:pt idx="747">
                  <c:v>289.32906307586359</c:v>
                </c:pt>
                <c:pt idx="748">
                  <c:v>289.53474404028287</c:v>
                </c:pt>
                <c:pt idx="749">
                  <c:v>289.70056748266813</c:v>
                </c:pt>
                <c:pt idx="750">
                  <c:v>289.80304939826351</c:v>
                </c:pt>
                <c:pt idx="751">
                  <c:v>289.86451159330568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62-5D47-A644-43C254363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crossAx val="50010002"/>
        <c:crosses val="autoZero"/>
        <c:auto val="1"/>
        <c:lblOffset val="100"/>
        <c:baseTimeUnit val="days"/>
      </c:dateAx>
      <c:valAx>
        <c:axId val="50010002"/>
        <c:scaling>
          <c:orientation val="minMax"/>
        </c:scaling>
        <c:delete val="0"/>
        <c:axPos val="l"/>
        <c:majorGridlines/>
        <c:numFmt formatCode="\$#,##0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Normalized Performance (Base 100)</a:t>
            </a:r>
          </a:p>
        </c:rich>
      </c:tx>
      <c:layout>
        <c:manualLayout>
          <c:xMode val="edge"/>
          <c:yMode val="edge"/>
          <c:x val="0.32314199514614278"/>
          <c:y val="8.56171826198893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374973282778667E-2"/>
          <c:y val="0.21505605776685796"/>
          <c:w val="0.88713170293817445"/>
          <c:h val="0.63978485310055333"/>
        </c:manualLayout>
      </c:layout>
      <c:lineChart>
        <c:grouping val="standard"/>
        <c:varyColors val="0"/>
        <c:ser>
          <c:idx val="0"/>
          <c:order val="0"/>
          <c:tx>
            <c:strRef>
              <c:f>'Share Price Analysis'!$K$35</c:f>
              <c:strCache>
                <c:ptCount val="1"/>
                <c:pt idx="0">
                  <c:v>VMC Normalized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'Share Price Analysis'!$A$36:$A$787</c:f>
              <c:numCache>
                <c:formatCode>yyyy\-mm\-dd</c:formatCode>
                <c:ptCount val="752"/>
                <c:pt idx="0">
                  <c:v>44991</c:v>
                </c:pt>
                <c:pt idx="1">
                  <c:v>44992</c:v>
                </c:pt>
                <c:pt idx="2">
                  <c:v>44993</c:v>
                </c:pt>
                <c:pt idx="3">
                  <c:v>44994</c:v>
                </c:pt>
                <c:pt idx="4">
                  <c:v>44995</c:v>
                </c:pt>
                <c:pt idx="5">
                  <c:v>44998</c:v>
                </c:pt>
                <c:pt idx="6">
                  <c:v>44999</c:v>
                </c:pt>
                <c:pt idx="7">
                  <c:v>45000</c:v>
                </c:pt>
                <c:pt idx="8">
                  <c:v>45001</c:v>
                </c:pt>
                <c:pt idx="9">
                  <c:v>45002</c:v>
                </c:pt>
                <c:pt idx="10">
                  <c:v>45005</c:v>
                </c:pt>
                <c:pt idx="11">
                  <c:v>45006</c:v>
                </c:pt>
                <c:pt idx="12">
                  <c:v>45007</c:v>
                </c:pt>
                <c:pt idx="13">
                  <c:v>45008</c:v>
                </c:pt>
                <c:pt idx="14">
                  <c:v>45009</c:v>
                </c:pt>
                <c:pt idx="15">
                  <c:v>45012</c:v>
                </c:pt>
                <c:pt idx="16">
                  <c:v>45013</c:v>
                </c:pt>
                <c:pt idx="17">
                  <c:v>45014</c:v>
                </c:pt>
                <c:pt idx="18">
                  <c:v>45015</c:v>
                </c:pt>
                <c:pt idx="19">
                  <c:v>45016</c:v>
                </c:pt>
                <c:pt idx="20">
                  <c:v>45019</c:v>
                </c:pt>
                <c:pt idx="21">
                  <c:v>45020</c:v>
                </c:pt>
                <c:pt idx="22">
                  <c:v>45021</c:v>
                </c:pt>
                <c:pt idx="23">
                  <c:v>45022</c:v>
                </c:pt>
                <c:pt idx="24">
                  <c:v>45026</c:v>
                </c:pt>
                <c:pt idx="25">
                  <c:v>45027</c:v>
                </c:pt>
                <c:pt idx="26">
                  <c:v>45028</c:v>
                </c:pt>
                <c:pt idx="27">
                  <c:v>45029</c:v>
                </c:pt>
                <c:pt idx="28">
                  <c:v>45030</c:v>
                </c:pt>
                <c:pt idx="29">
                  <c:v>45033</c:v>
                </c:pt>
                <c:pt idx="30">
                  <c:v>45034</c:v>
                </c:pt>
                <c:pt idx="31">
                  <c:v>45035</c:v>
                </c:pt>
                <c:pt idx="32">
                  <c:v>45036</c:v>
                </c:pt>
                <c:pt idx="33">
                  <c:v>45037</c:v>
                </c:pt>
                <c:pt idx="34">
                  <c:v>45040</c:v>
                </c:pt>
                <c:pt idx="35">
                  <c:v>45041</c:v>
                </c:pt>
                <c:pt idx="36">
                  <c:v>45042</c:v>
                </c:pt>
                <c:pt idx="37">
                  <c:v>45043</c:v>
                </c:pt>
                <c:pt idx="38">
                  <c:v>45044</c:v>
                </c:pt>
                <c:pt idx="39">
                  <c:v>45047</c:v>
                </c:pt>
                <c:pt idx="40">
                  <c:v>45048</c:v>
                </c:pt>
                <c:pt idx="41">
                  <c:v>45049</c:v>
                </c:pt>
                <c:pt idx="42">
                  <c:v>45050</c:v>
                </c:pt>
                <c:pt idx="43">
                  <c:v>45051</c:v>
                </c:pt>
                <c:pt idx="44">
                  <c:v>45054</c:v>
                </c:pt>
                <c:pt idx="45">
                  <c:v>45055</c:v>
                </c:pt>
                <c:pt idx="46">
                  <c:v>45056</c:v>
                </c:pt>
                <c:pt idx="47">
                  <c:v>45057</c:v>
                </c:pt>
                <c:pt idx="48">
                  <c:v>45058</c:v>
                </c:pt>
                <c:pt idx="49">
                  <c:v>45061</c:v>
                </c:pt>
                <c:pt idx="50">
                  <c:v>45062</c:v>
                </c:pt>
                <c:pt idx="51">
                  <c:v>45063</c:v>
                </c:pt>
                <c:pt idx="52">
                  <c:v>45064</c:v>
                </c:pt>
                <c:pt idx="53">
                  <c:v>45065</c:v>
                </c:pt>
                <c:pt idx="54">
                  <c:v>45068</c:v>
                </c:pt>
                <c:pt idx="55">
                  <c:v>45069</c:v>
                </c:pt>
                <c:pt idx="56">
                  <c:v>45070</c:v>
                </c:pt>
                <c:pt idx="57">
                  <c:v>45071</c:v>
                </c:pt>
                <c:pt idx="58">
                  <c:v>45072</c:v>
                </c:pt>
                <c:pt idx="59">
                  <c:v>45076</c:v>
                </c:pt>
                <c:pt idx="60">
                  <c:v>45077</c:v>
                </c:pt>
                <c:pt idx="61">
                  <c:v>45078</c:v>
                </c:pt>
                <c:pt idx="62">
                  <c:v>45079</c:v>
                </c:pt>
                <c:pt idx="63">
                  <c:v>45082</c:v>
                </c:pt>
                <c:pt idx="64">
                  <c:v>45083</c:v>
                </c:pt>
                <c:pt idx="65">
                  <c:v>45084</c:v>
                </c:pt>
                <c:pt idx="66">
                  <c:v>45085</c:v>
                </c:pt>
                <c:pt idx="67">
                  <c:v>45086</c:v>
                </c:pt>
                <c:pt idx="68">
                  <c:v>45089</c:v>
                </c:pt>
                <c:pt idx="69">
                  <c:v>45090</c:v>
                </c:pt>
                <c:pt idx="70">
                  <c:v>45091</c:v>
                </c:pt>
                <c:pt idx="71">
                  <c:v>45092</c:v>
                </c:pt>
                <c:pt idx="72">
                  <c:v>45093</c:v>
                </c:pt>
                <c:pt idx="73">
                  <c:v>45097</c:v>
                </c:pt>
                <c:pt idx="74">
                  <c:v>45098</c:v>
                </c:pt>
                <c:pt idx="75">
                  <c:v>45099</c:v>
                </c:pt>
                <c:pt idx="76">
                  <c:v>45100</c:v>
                </c:pt>
                <c:pt idx="77">
                  <c:v>45103</c:v>
                </c:pt>
                <c:pt idx="78">
                  <c:v>45104</c:v>
                </c:pt>
                <c:pt idx="79">
                  <c:v>45105</c:v>
                </c:pt>
                <c:pt idx="80">
                  <c:v>45106</c:v>
                </c:pt>
                <c:pt idx="81">
                  <c:v>45107</c:v>
                </c:pt>
                <c:pt idx="82">
                  <c:v>45110</c:v>
                </c:pt>
                <c:pt idx="83">
                  <c:v>45112</c:v>
                </c:pt>
                <c:pt idx="84">
                  <c:v>45113</c:v>
                </c:pt>
                <c:pt idx="85">
                  <c:v>45114</c:v>
                </c:pt>
                <c:pt idx="86">
                  <c:v>45117</c:v>
                </c:pt>
                <c:pt idx="87">
                  <c:v>45118</c:v>
                </c:pt>
                <c:pt idx="88">
                  <c:v>45119</c:v>
                </c:pt>
                <c:pt idx="89">
                  <c:v>45120</c:v>
                </c:pt>
                <c:pt idx="90">
                  <c:v>45121</c:v>
                </c:pt>
                <c:pt idx="91">
                  <c:v>45124</c:v>
                </c:pt>
                <c:pt idx="92">
                  <c:v>45125</c:v>
                </c:pt>
                <c:pt idx="93">
                  <c:v>45126</c:v>
                </c:pt>
                <c:pt idx="94">
                  <c:v>45127</c:v>
                </c:pt>
                <c:pt idx="95">
                  <c:v>45128</c:v>
                </c:pt>
                <c:pt idx="96">
                  <c:v>45131</c:v>
                </c:pt>
                <c:pt idx="97">
                  <c:v>45132</c:v>
                </c:pt>
                <c:pt idx="98">
                  <c:v>45133</c:v>
                </c:pt>
                <c:pt idx="99">
                  <c:v>45134</c:v>
                </c:pt>
                <c:pt idx="100">
                  <c:v>45135</c:v>
                </c:pt>
                <c:pt idx="101">
                  <c:v>45138</c:v>
                </c:pt>
                <c:pt idx="102">
                  <c:v>45139</c:v>
                </c:pt>
                <c:pt idx="103">
                  <c:v>45140</c:v>
                </c:pt>
                <c:pt idx="104">
                  <c:v>45141</c:v>
                </c:pt>
                <c:pt idx="105">
                  <c:v>45142</c:v>
                </c:pt>
                <c:pt idx="106">
                  <c:v>45145</c:v>
                </c:pt>
                <c:pt idx="107">
                  <c:v>45146</c:v>
                </c:pt>
                <c:pt idx="108">
                  <c:v>45147</c:v>
                </c:pt>
                <c:pt idx="109">
                  <c:v>45148</c:v>
                </c:pt>
                <c:pt idx="110">
                  <c:v>45149</c:v>
                </c:pt>
                <c:pt idx="111">
                  <c:v>45152</c:v>
                </c:pt>
                <c:pt idx="112">
                  <c:v>45153</c:v>
                </c:pt>
                <c:pt idx="113">
                  <c:v>45154</c:v>
                </c:pt>
                <c:pt idx="114">
                  <c:v>45155</c:v>
                </c:pt>
                <c:pt idx="115">
                  <c:v>45156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45166</c:v>
                </c:pt>
                <c:pt idx="122">
                  <c:v>45167</c:v>
                </c:pt>
                <c:pt idx="123">
                  <c:v>45168</c:v>
                </c:pt>
                <c:pt idx="124">
                  <c:v>45169</c:v>
                </c:pt>
                <c:pt idx="125">
                  <c:v>45170</c:v>
                </c:pt>
                <c:pt idx="126">
                  <c:v>45174</c:v>
                </c:pt>
                <c:pt idx="127">
                  <c:v>45175</c:v>
                </c:pt>
                <c:pt idx="128">
                  <c:v>45176</c:v>
                </c:pt>
                <c:pt idx="129">
                  <c:v>45177</c:v>
                </c:pt>
                <c:pt idx="130">
                  <c:v>45180</c:v>
                </c:pt>
                <c:pt idx="131">
                  <c:v>45181</c:v>
                </c:pt>
                <c:pt idx="132">
                  <c:v>45182</c:v>
                </c:pt>
                <c:pt idx="133">
                  <c:v>45183</c:v>
                </c:pt>
                <c:pt idx="134">
                  <c:v>45184</c:v>
                </c:pt>
                <c:pt idx="135">
                  <c:v>45187</c:v>
                </c:pt>
                <c:pt idx="136">
                  <c:v>45188</c:v>
                </c:pt>
                <c:pt idx="137">
                  <c:v>45189</c:v>
                </c:pt>
                <c:pt idx="138">
                  <c:v>45190</c:v>
                </c:pt>
                <c:pt idx="139">
                  <c:v>45191</c:v>
                </c:pt>
                <c:pt idx="140">
                  <c:v>45194</c:v>
                </c:pt>
                <c:pt idx="141">
                  <c:v>45195</c:v>
                </c:pt>
                <c:pt idx="142">
                  <c:v>45196</c:v>
                </c:pt>
                <c:pt idx="143">
                  <c:v>45197</c:v>
                </c:pt>
                <c:pt idx="144">
                  <c:v>45198</c:v>
                </c:pt>
                <c:pt idx="145">
                  <c:v>45201</c:v>
                </c:pt>
                <c:pt idx="146">
                  <c:v>45202</c:v>
                </c:pt>
                <c:pt idx="147">
                  <c:v>45203</c:v>
                </c:pt>
                <c:pt idx="148">
                  <c:v>45204</c:v>
                </c:pt>
                <c:pt idx="149">
                  <c:v>45205</c:v>
                </c:pt>
                <c:pt idx="150">
                  <c:v>45208</c:v>
                </c:pt>
                <c:pt idx="151">
                  <c:v>45209</c:v>
                </c:pt>
                <c:pt idx="152">
                  <c:v>45210</c:v>
                </c:pt>
                <c:pt idx="153">
                  <c:v>45211</c:v>
                </c:pt>
                <c:pt idx="154">
                  <c:v>45212</c:v>
                </c:pt>
                <c:pt idx="155">
                  <c:v>45215</c:v>
                </c:pt>
                <c:pt idx="156">
                  <c:v>45216</c:v>
                </c:pt>
                <c:pt idx="157">
                  <c:v>45217</c:v>
                </c:pt>
                <c:pt idx="158">
                  <c:v>45218</c:v>
                </c:pt>
                <c:pt idx="159">
                  <c:v>45219</c:v>
                </c:pt>
                <c:pt idx="160">
                  <c:v>45222</c:v>
                </c:pt>
                <c:pt idx="161">
                  <c:v>45223</c:v>
                </c:pt>
                <c:pt idx="162">
                  <c:v>45224</c:v>
                </c:pt>
                <c:pt idx="163">
                  <c:v>45225</c:v>
                </c:pt>
                <c:pt idx="164">
                  <c:v>45226</c:v>
                </c:pt>
                <c:pt idx="165">
                  <c:v>45229</c:v>
                </c:pt>
                <c:pt idx="166">
                  <c:v>45230</c:v>
                </c:pt>
                <c:pt idx="167">
                  <c:v>45231</c:v>
                </c:pt>
                <c:pt idx="168">
                  <c:v>45232</c:v>
                </c:pt>
                <c:pt idx="169">
                  <c:v>45233</c:v>
                </c:pt>
                <c:pt idx="170">
                  <c:v>45236</c:v>
                </c:pt>
                <c:pt idx="171">
                  <c:v>45237</c:v>
                </c:pt>
                <c:pt idx="172">
                  <c:v>45238</c:v>
                </c:pt>
                <c:pt idx="173">
                  <c:v>45239</c:v>
                </c:pt>
                <c:pt idx="174">
                  <c:v>45240</c:v>
                </c:pt>
                <c:pt idx="175">
                  <c:v>45243</c:v>
                </c:pt>
                <c:pt idx="176">
                  <c:v>45244</c:v>
                </c:pt>
                <c:pt idx="177">
                  <c:v>45245</c:v>
                </c:pt>
                <c:pt idx="178">
                  <c:v>45246</c:v>
                </c:pt>
                <c:pt idx="179">
                  <c:v>45247</c:v>
                </c:pt>
                <c:pt idx="180">
                  <c:v>45250</c:v>
                </c:pt>
                <c:pt idx="181">
                  <c:v>45251</c:v>
                </c:pt>
                <c:pt idx="182">
                  <c:v>45252</c:v>
                </c:pt>
                <c:pt idx="183">
                  <c:v>45254</c:v>
                </c:pt>
                <c:pt idx="184">
                  <c:v>45257</c:v>
                </c:pt>
                <c:pt idx="185">
                  <c:v>45258</c:v>
                </c:pt>
                <c:pt idx="186">
                  <c:v>45259</c:v>
                </c:pt>
                <c:pt idx="187">
                  <c:v>45260</c:v>
                </c:pt>
                <c:pt idx="188">
                  <c:v>45261</c:v>
                </c:pt>
                <c:pt idx="189">
                  <c:v>45264</c:v>
                </c:pt>
                <c:pt idx="190">
                  <c:v>45265</c:v>
                </c:pt>
                <c:pt idx="191">
                  <c:v>45266</c:v>
                </c:pt>
                <c:pt idx="192">
                  <c:v>45267</c:v>
                </c:pt>
                <c:pt idx="193">
                  <c:v>45268</c:v>
                </c:pt>
                <c:pt idx="194">
                  <c:v>45271</c:v>
                </c:pt>
                <c:pt idx="195">
                  <c:v>45272</c:v>
                </c:pt>
                <c:pt idx="196">
                  <c:v>45273</c:v>
                </c:pt>
                <c:pt idx="197">
                  <c:v>45274</c:v>
                </c:pt>
                <c:pt idx="198">
                  <c:v>45275</c:v>
                </c:pt>
                <c:pt idx="199">
                  <c:v>45278</c:v>
                </c:pt>
                <c:pt idx="200">
                  <c:v>45279</c:v>
                </c:pt>
                <c:pt idx="201">
                  <c:v>45280</c:v>
                </c:pt>
                <c:pt idx="202">
                  <c:v>45281</c:v>
                </c:pt>
                <c:pt idx="203">
                  <c:v>45282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45307</c:v>
                </c:pt>
                <c:pt idx="218">
                  <c:v>45308</c:v>
                </c:pt>
                <c:pt idx="219">
                  <c:v>45309</c:v>
                </c:pt>
                <c:pt idx="220">
                  <c:v>45310</c:v>
                </c:pt>
                <c:pt idx="221">
                  <c:v>45313</c:v>
                </c:pt>
                <c:pt idx="222">
                  <c:v>45314</c:v>
                </c:pt>
                <c:pt idx="223">
                  <c:v>45315</c:v>
                </c:pt>
                <c:pt idx="224">
                  <c:v>45316</c:v>
                </c:pt>
                <c:pt idx="225">
                  <c:v>45317</c:v>
                </c:pt>
                <c:pt idx="226">
                  <c:v>45320</c:v>
                </c:pt>
                <c:pt idx="227">
                  <c:v>45321</c:v>
                </c:pt>
                <c:pt idx="228">
                  <c:v>45322</c:v>
                </c:pt>
                <c:pt idx="229">
                  <c:v>45323</c:v>
                </c:pt>
                <c:pt idx="230">
                  <c:v>45324</c:v>
                </c:pt>
                <c:pt idx="231">
                  <c:v>45327</c:v>
                </c:pt>
                <c:pt idx="232">
                  <c:v>45328</c:v>
                </c:pt>
                <c:pt idx="233">
                  <c:v>45329</c:v>
                </c:pt>
                <c:pt idx="234">
                  <c:v>45330</c:v>
                </c:pt>
                <c:pt idx="235">
                  <c:v>45331</c:v>
                </c:pt>
                <c:pt idx="236">
                  <c:v>45334</c:v>
                </c:pt>
                <c:pt idx="237">
                  <c:v>45335</c:v>
                </c:pt>
                <c:pt idx="238">
                  <c:v>45336</c:v>
                </c:pt>
                <c:pt idx="239">
                  <c:v>45337</c:v>
                </c:pt>
                <c:pt idx="240">
                  <c:v>45338</c:v>
                </c:pt>
                <c:pt idx="241">
                  <c:v>45342</c:v>
                </c:pt>
                <c:pt idx="242">
                  <c:v>45343</c:v>
                </c:pt>
                <c:pt idx="243">
                  <c:v>45344</c:v>
                </c:pt>
                <c:pt idx="244">
                  <c:v>45345</c:v>
                </c:pt>
                <c:pt idx="245">
                  <c:v>45348</c:v>
                </c:pt>
                <c:pt idx="246">
                  <c:v>45349</c:v>
                </c:pt>
                <c:pt idx="247">
                  <c:v>45350</c:v>
                </c:pt>
                <c:pt idx="248">
                  <c:v>45351</c:v>
                </c:pt>
                <c:pt idx="249">
                  <c:v>45352</c:v>
                </c:pt>
                <c:pt idx="250">
                  <c:v>45355</c:v>
                </c:pt>
                <c:pt idx="251">
                  <c:v>45356</c:v>
                </c:pt>
                <c:pt idx="252">
                  <c:v>45357</c:v>
                </c:pt>
                <c:pt idx="253">
                  <c:v>45358</c:v>
                </c:pt>
                <c:pt idx="254">
                  <c:v>45359</c:v>
                </c:pt>
                <c:pt idx="255">
                  <c:v>45362</c:v>
                </c:pt>
                <c:pt idx="256">
                  <c:v>45363</c:v>
                </c:pt>
                <c:pt idx="257">
                  <c:v>45364</c:v>
                </c:pt>
                <c:pt idx="258">
                  <c:v>45365</c:v>
                </c:pt>
                <c:pt idx="259">
                  <c:v>45366</c:v>
                </c:pt>
                <c:pt idx="260">
                  <c:v>45369</c:v>
                </c:pt>
                <c:pt idx="261">
                  <c:v>45370</c:v>
                </c:pt>
                <c:pt idx="262">
                  <c:v>45371</c:v>
                </c:pt>
                <c:pt idx="263">
                  <c:v>45372</c:v>
                </c:pt>
                <c:pt idx="264">
                  <c:v>45373</c:v>
                </c:pt>
                <c:pt idx="265">
                  <c:v>45376</c:v>
                </c:pt>
                <c:pt idx="266">
                  <c:v>45377</c:v>
                </c:pt>
                <c:pt idx="267">
                  <c:v>45378</c:v>
                </c:pt>
                <c:pt idx="268">
                  <c:v>45379</c:v>
                </c:pt>
                <c:pt idx="269">
                  <c:v>45383</c:v>
                </c:pt>
                <c:pt idx="270">
                  <c:v>45384</c:v>
                </c:pt>
                <c:pt idx="271">
                  <c:v>45385</c:v>
                </c:pt>
                <c:pt idx="272">
                  <c:v>45386</c:v>
                </c:pt>
                <c:pt idx="273">
                  <c:v>45387</c:v>
                </c:pt>
                <c:pt idx="274">
                  <c:v>45390</c:v>
                </c:pt>
                <c:pt idx="275">
                  <c:v>45391</c:v>
                </c:pt>
                <c:pt idx="276">
                  <c:v>45392</c:v>
                </c:pt>
                <c:pt idx="277">
                  <c:v>45393</c:v>
                </c:pt>
                <c:pt idx="278">
                  <c:v>45394</c:v>
                </c:pt>
                <c:pt idx="279">
                  <c:v>45397</c:v>
                </c:pt>
                <c:pt idx="280">
                  <c:v>45398</c:v>
                </c:pt>
                <c:pt idx="281">
                  <c:v>45399</c:v>
                </c:pt>
                <c:pt idx="282">
                  <c:v>45400</c:v>
                </c:pt>
                <c:pt idx="283">
                  <c:v>45401</c:v>
                </c:pt>
                <c:pt idx="284">
                  <c:v>45404</c:v>
                </c:pt>
                <c:pt idx="285">
                  <c:v>45405</c:v>
                </c:pt>
                <c:pt idx="286">
                  <c:v>45406</c:v>
                </c:pt>
                <c:pt idx="287">
                  <c:v>45407</c:v>
                </c:pt>
                <c:pt idx="288">
                  <c:v>45408</c:v>
                </c:pt>
                <c:pt idx="289">
                  <c:v>45411</c:v>
                </c:pt>
                <c:pt idx="290">
                  <c:v>45412</c:v>
                </c:pt>
                <c:pt idx="291">
                  <c:v>45413</c:v>
                </c:pt>
                <c:pt idx="292">
                  <c:v>45414</c:v>
                </c:pt>
                <c:pt idx="293">
                  <c:v>45415</c:v>
                </c:pt>
                <c:pt idx="294">
                  <c:v>45418</c:v>
                </c:pt>
                <c:pt idx="295">
                  <c:v>45419</c:v>
                </c:pt>
                <c:pt idx="296">
                  <c:v>45420</c:v>
                </c:pt>
                <c:pt idx="297">
                  <c:v>45421</c:v>
                </c:pt>
                <c:pt idx="298">
                  <c:v>45422</c:v>
                </c:pt>
                <c:pt idx="299">
                  <c:v>45425</c:v>
                </c:pt>
                <c:pt idx="300">
                  <c:v>45426</c:v>
                </c:pt>
                <c:pt idx="301">
                  <c:v>45427</c:v>
                </c:pt>
                <c:pt idx="302">
                  <c:v>45428</c:v>
                </c:pt>
                <c:pt idx="303">
                  <c:v>45429</c:v>
                </c:pt>
                <c:pt idx="304">
                  <c:v>45432</c:v>
                </c:pt>
                <c:pt idx="305">
                  <c:v>45433</c:v>
                </c:pt>
                <c:pt idx="306">
                  <c:v>45434</c:v>
                </c:pt>
                <c:pt idx="307">
                  <c:v>45435</c:v>
                </c:pt>
                <c:pt idx="308">
                  <c:v>45436</c:v>
                </c:pt>
                <c:pt idx="309">
                  <c:v>45440</c:v>
                </c:pt>
                <c:pt idx="310">
                  <c:v>45441</c:v>
                </c:pt>
                <c:pt idx="311">
                  <c:v>45442</c:v>
                </c:pt>
                <c:pt idx="312">
                  <c:v>45443</c:v>
                </c:pt>
                <c:pt idx="313">
                  <c:v>45446</c:v>
                </c:pt>
                <c:pt idx="314">
                  <c:v>45447</c:v>
                </c:pt>
                <c:pt idx="315">
                  <c:v>45448</c:v>
                </c:pt>
                <c:pt idx="316">
                  <c:v>45449</c:v>
                </c:pt>
                <c:pt idx="317">
                  <c:v>45450</c:v>
                </c:pt>
                <c:pt idx="318">
                  <c:v>45453</c:v>
                </c:pt>
                <c:pt idx="319">
                  <c:v>45454</c:v>
                </c:pt>
                <c:pt idx="320">
                  <c:v>45455</c:v>
                </c:pt>
                <c:pt idx="321">
                  <c:v>45456</c:v>
                </c:pt>
                <c:pt idx="322">
                  <c:v>45457</c:v>
                </c:pt>
                <c:pt idx="323">
                  <c:v>45460</c:v>
                </c:pt>
                <c:pt idx="324">
                  <c:v>45461</c:v>
                </c:pt>
                <c:pt idx="325">
                  <c:v>45463</c:v>
                </c:pt>
                <c:pt idx="326">
                  <c:v>45464</c:v>
                </c:pt>
                <c:pt idx="327">
                  <c:v>45467</c:v>
                </c:pt>
                <c:pt idx="328">
                  <c:v>45468</c:v>
                </c:pt>
                <c:pt idx="329">
                  <c:v>45469</c:v>
                </c:pt>
                <c:pt idx="330">
                  <c:v>45470</c:v>
                </c:pt>
                <c:pt idx="331">
                  <c:v>45471</c:v>
                </c:pt>
                <c:pt idx="332">
                  <c:v>45474</c:v>
                </c:pt>
                <c:pt idx="333">
                  <c:v>45475</c:v>
                </c:pt>
                <c:pt idx="334">
                  <c:v>45476</c:v>
                </c:pt>
                <c:pt idx="335">
                  <c:v>45478</c:v>
                </c:pt>
                <c:pt idx="336">
                  <c:v>45481</c:v>
                </c:pt>
                <c:pt idx="337">
                  <c:v>45482</c:v>
                </c:pt>
                <c:pt idx="338">
                  <c:v>45483</c:v>
                </c:pt>
                <c:pt idx="339">
                  <c:v>45484</c:v>
                </c:pt>
                <c:pt idx="340">
                  <c:v>45485</c:v>
                </c:pt>
                <c:pt idx="341">
                  <c:v>45488</c:v>
                </c:pt>
                <c:pt idx="342">
                  <c:v>45489</c:v>
                </c:pt>
                <c:pt idx="343">
                  <c:v>45490</c:v>
                </c:pt>
                <c:pt idx="344">
                  <c:v>45491</c:v>
                </c:pt>
                <c:pt idx="345">
                  <c:v>45492</c:v>
                </c:pt>
                <c:pt idx="346">
                  <c:v>45495</c:v>
                </c:pt>
                <c:pt idx="347">
                  <c:v>45496</c:v>
                </c:pt>
                <c:pt idx="348">
                  <c:v>45497</c:v>
                </c:pt>
                <c:pt idx="349">
                  <c:v>45498</c:v>
                </c:pt>
                <c:pt idx="350">
                  <c:v>45499</c:v>
                </c:pt>
                <c:pt idx="351">
                  <c:v>45502</c:v>
                </c:pt>
                <c:pt idx="352">
                  <c:v>45503</c:v>
                </c:pt>
                <c:pt idx="353">
                  <c:v>45504</c:v>
                </c:pt>
                <c:pt idx="354">
                  <c:v>45505</c:v>
                </c:pt>
                <c:pt idx="355">
                  <c:v>45506</c:v>
                </c:pt>
                <c:pt idx="356">
                  <c:v>45509</c:v>
                </c:pt>
                <c:pt idx="357">
                  <c:v>45510</c:v>
                </c:pt>
                <c:pt idx="358">
                  <c:v>45511</c:v>
                </c:pt>
                <c:pt idx="359">
                  <c:v>45512</c:v>
                </c:pt>
                <c:pt idx="360">
                  <c:v>45513</c:v>
                </c:pt>
                <c:pt idx="361">
                  <c:v>45516</c:v>
                </c:pt>
                <c:pt idx="362">
                  <c:v>45517</c:v>
                </c:pt>
                <c:pt idx="363">
                  <c:v>45518</c:v>
                </c:pt>
                <c:pt idx="364">
                  <c:v>45519</c:v>
                </c:pt>
                <c:pt idx="365">
                  <c:v>45520</c:v>
                </c:pt>
                <c:pt idx="366">
                  <c:v>45523</c:v>
                </c:pt>
                <c:pt idx="367">
                  <c:v>45524</c:v>
                </c:pt>
                <c:pt idx="368">
                  <c:v>45525</c:v>
                </c:pt>
                <c:pt idx="369">
                  <c:v>45526</c:v>
                </c:pt>
                <c:pt idx="370">
                  <c:v>45527</c:v>
                </c:pt>
                <c:pt idx="371">
                  <c:v>45530</c:v>
                </c:pt>
                <c:pt idx="372">
                  <c:v>45531</c:v>
                </c:pt>
                <c:pt idx="373">
                  <c:v>45532</c:v>
                </c:pt>
                <c:pt idx="374">
                  <c:v>45533</c:v>
                </c:pt>
                <c:pt idx="375">
                  <c:v>45534</c:v>
                </c:pt>
                <c:pt idx="376">
                  <c:v>45538</c:v>
                </c:pt>
                <c:pt idx="377">
                  <c:v>45539</c:v>
                </c:pt>
                <c:pt idx="378">
                  <c:v>45540</c:v>
                </c:pt>
                <c:pt idx="379">
                  <c:v>45541</c:v>
                </c:pt>
                <c:pt idx="380">
                  <c:v>45544</c:v>
                </c:pt>
                <c:pt idx="381">
                  <c:v>45545</c:v>
                </c:pt>
                <c:pt idx="382">
                  <c:v>45546</c:v>
                </c:pt>
                <c:pt idx="383">
                  <c:v>45547</c:v>
                </c:pt>
                <c:pt idx="384">
                  <c:v>45548</c:v>
                </c:pt>
                <c:pt idx="385">
                  <c:v>45551</c:v>
                </c:pt>
                <c:pt idx="386">
                  <c:v>45552</c:v>
                </c:pt>
                <c:pt idx="387">
                  <c:v>45553</c:v>
                </c:pt>
                <c:pt idx="388">
                  <c:v>45554</c:v>
                </c:pt>
                <c:pt idx="389">
                  <c:v>45555</c:v>
                </c:pt>
                <c:pt idx="390">
                  <c:v>45558</c:v>
                </c:pt>
                <c:pt idx="391">
                  <c:v>45559</c:v>
                </c:pt>
                <c:pt idx="392">
                  <c:v>45560</c:v>
                </c:pt>
                <c:pt idx="393">
                  <c:v>45561</c:v>
                </c:pt>
                <c:pt idx="394">
                  <c:v>45562</c:v>
                </c:pt>
                <c:pt idx="395">
                  <c:v>45565</c:v>
                </c:pt>
                <c:pt idx="396">
                  <c:v>45566</c:v>
                </c:pt>
                <c:pt idx="397">
                  <c:v>45567</c:v>
                </c:pt>
                <c:pt idx="398">
                  <c:v>45568</c:v>
                </c:pt>
                <c:pt idx="399">
                  <c:v>45569</c:v>
                </c:pt>
                <c:pt idx="400">
                  <c:v>45572</c:v>
                </c:pt>
                <c:pt idx="401">
                  <c:v>45573</c:v>
                </c:pt>
                <c:pt idx="402">
                  <c:v>45574</c:v>
                </c:pt>
                <c:pt idx="403">
                  <c:v>45575</c:v>
                </c:pt>
                <c:pt idx="404">
                  <c:v>45576</c:v>
                </c:pt>
                <c:pt idx="405">
                  <c:v>45579</c:v>
                </c:pt>
                <c:pt idx="406">
                  <c:v>45580</c:v>
                </c:pt>
                <c:pt idx="407">
                  <c:v>45581</c:v>
                </c:pt>
                <c:pt idx="408">
                  <c:v>45582</c:v>
                </c:pt>
                <c:pt idx="409">
                  <c:v>45583</c:v>
                </c:pt>
                <c:pt idx="410">
                  <c:v>45586</c:v>
                </c:pt>
                <c:pt idx="411">
                  <c:v>45587</c:v>
                </c:pt>
                <c:pt idx="412">
                  <c:v>45588</c:v>
                </c:pt>
                <c:pt idx="413">
                  <c:v>45589</c:v>
                </c:pt>
                <c:pt idx="414">
                  <c:v>45590</c:v>
                </c:pt>
                <c:pt idx="415">
                  <c:v>45593</c:v>
                </c:pt>
                <c:pt idx="416">
                  <c:v>45594</c:v>
                </c:pt>
                <c:pt idx="417">
                  <c:v>45595</c:v>
                </c:pt>
                <c:pt idx="418">
                  <c:v>45596</c:v>
                </c:pt>
                <c:pt idx="419">
                  <c:v>45597</c:v>
                </c:pt>
                <c:pt idx="420">
                  <c:v>45600</c:v>
                </c:pt>
                <c:pt idx="421">
                  <c:v>45601</c:v>
                </c:pt>
                <c:pt idx="422">
                  <c:v>45602</c:v>
                </c:pt>
                <c:pt idx="423">
                  <c:v>45603</c:v>
                </c:pt>
                <c:pt idx="424">
                  <c:v>45604</c:v>
                </c:pt>
                <c:pt idx="425">
                  <c:v>45607</c:v>
                </c:pt>
                <c:pt idx="426">
                  <c:v>45608</c:v>
                </c:pt>
                <c:pt idx="427">
                  <c:v>45609</c:v>
                </c:pt>
                <c:pt idx="428">
                  <c:v>45610</c:v>
                </c:pt>
                <c:pt idx="429">
                  <c:v>45611</c:v>
                </c:pt>
                <c:pt idx="430">
                  <c:v>45614</c:v>
                </c:pt>
                <c:pt idx="431">
                  <c:v>45615</c:v>
                </c:pt>
                <c:pt idx="432">
                  <c:v>45616</c:v>
                </c:pt>
                <c:pt idx="433">
                  <c:v>45617</c:v>
                </c:pt>
                <c:pt idx="434">
                  <c:v>45618</c:v>
                </c:pt>
                <c:pt idx="435">
                  <c:v>45621</c:v>
                </c:pt>
                <c:pt idx="436">
                  <c:v>45622</c:v>
                </c:pt>
                <c:pt idx="437">
                  <c:v>45623</c:v>
                </c:pt>
                <c:pt idx="438">
                  <c:v>45625</c:v>
                </c:pt>
                <c:pt idx="439">
                  <c:v>45628</c:v>
                </c:pt>
                <c:pt idx="440">
                  <c:v>45629</c:v>
                </c:pt>
                <c:pt idx="441">
                  <c:v>45630</c:v>
                </c:pt>
                <c:pt idx="442">
                  <c:v>45631</c:v>
                </c:pt>
                <c:pt idx="443">
                  <c:v>45632</c:v>
                </c:pt>
                <c:pt idx="444">
                  <c:v>45635</c:v>
                </c:pt>
                <c:pt idx="445">
                  <c:v>45636</c:v>
                </c:pt>
                <c:pt idx="446">
                  <c:v>45637</c:v>
                </c:pt>
                <c:pt idx="447">
                  <c:v>45638</c:v>
                </c:pt>
                <c:pt idx="448">
                  <c:v>45639</c:v>
                </c:pt>
                <c:pt idx="449">
                  <c:v>45642</c:v>
                </c:pt>
                <c:pt idx="450">
                  <c:v>45643</c:v>
                </c:pt>
                <c:pt idx="451">
                  <c:v>45644</c:v>
                </c:pt>
                <c:pt idx="452">
                  <c:v>45645</c:v>
                </c:pt>
                <c:pt idx="453">
                  <c:v>45646</c:v>
                </c:pt>
                <c:pt idx="454">
                  <c:v>45649</c:v>
                </c:pt>
                <c:pt idx="455">
                  <c:v>45650</c:v>
                </c:pt>
                <c:pt idx="456">
                  <c:v>45652</c:v>
                </c:pt>
                <c:pt idx="457">
                  <c:v>45653</c:v>
                </c:pt>
                <c:pt idx="458">
                  <c:v>45656</c:v>
                </c:pt>
                <c:pt idx="459">
                  <c:v>45657</c:v>
                </c:pt>
                <c:pt idx="460">
                  <c:v>45659</c:v>
                </c:pt>
                <c:pt idx="461">
                  <c:v>45660</c:v>
                </c:pt>
                <c:pt idx="462">
                  <c:v>45663</c:v>
                </c:pt>
                <c:pt idx="463">
                  <c:v>45664</c:v>
                </c:pt>
                <c:pt idx="464">
                  <c:v>45665</c:v>
                </c:pt>
                <c:pt idx="465">
                  <c:v>45667</c:v>
                </c:pt>
                <c:pt idx="466">
                  <c:v>45670</c:v>
                </c:pt>
                <c:pt idx="467">
                  <c:v>45671</c:v>
                </c:pt>
                <c:pt idx="468">
                  <c:v>45672</c:v>
                </c:pt>
                <c:pt idx="469">
                  <c:v>45673</c:v>
                </c:pt>
                <c:pt idx="470">
                  <c:v>45674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45684</c:v>
                </c:pt>
                <c:pt idx="476">
                  <c:v>45685</c:v>
                </c:pt>
                <c:pt idx="477">
                  <c:v>45686</c:v>
                </c:pt>
                <c:pt idx="478">
                  <c:v>45687</c:v>
                </c:pt>
                <c:pt idx="479">
                  <c:v>45688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45706</c:v>
                </c:pt>
                <c:pt idx="491">
                  <c:v>45707</c:v>
                </c:pt>
                <c:pt idx="492">
                  <c:v>45708</c:v>
                </c:pt>
                <c:pt idx="493">
                  <c:v>45709</c:v>
                </c:pt>
                <c:pt idx="494">
                  <c:v>45712</c:v>
                </c:pt>
                <c:pt idx="495">
                  <c:v>45713</c:v>
                </c:pt>
                <c:pt idx="496">
                  <c:v>45714</c:v>
                </c:pt>
                <c:pt idx="497">
                  <c:v>45715</c:v>
                </c:pt>
                <c:pt idx="498">
                  <c:v>45716</c:v>
                </c:pt>
                <c:pt idx="499">
                  <c:v>45719</c:v>
                </c:pt>
                <c:pt idx="500">
                  <c:v>45720</c:v>
                </c:pt>
                <c:pt idx="501">
                  <c:v>45721</c:v>
                </c:pt>
                <c:pt idx="502">
                  <c:v>45722</c:v>
                </c:pt>
                <c:pt idx="503">
                  <c:v>45723</c:v>
                </c:pt>
                <c:pt idx="504">
                  <c:v>45726</c:v>
                </c:pt>
                <c:pt idx="505">
                  <c:v>45727</c:v>
                </c:pt>
                <c:pt idx="506">
                  <c:v>45728</c:v>
                </c:pt>
                <c:pt idx="507">
                  <c:v>45729</c:v>
                </c:pt>
                <c:pt idx="508">
                  <c:v>45730</c:v>
                </c:pt>
                <c:pt idx="509">
                  <c:v>45733</c:v>
                </c:pt>
                <c:pt idx="510">
                  <c:v>45734</c:v>
                </c:pt>
                <c:pt idx="511">
                  <c:v>45735</c:v>
                </c:pt>
                <c:pt idx="512">
                  <c:v>45736</c:v>
                </c:pt>
                <c:pt idx="513">
                  <c:v>45737</c:v>
                </c:pt>
                <c:pt idx="514">
                  <c:v>45740</c:v>
                </c:pt>
                <c:pt idx="515">
                  <c:v>45741</c:v>
                </c:pt>
                <c:pt idx="516">
                  <c:v>45742</c:v>
                </c:pt>
                <c:pt idx="517">
                  <c:v>45743</c:v>
                </c:pt>
                <c:pt idx="518">
                  <c:v>45744</c:v>
                </c:pt>
                <c:pt idx="519">
                  <c:v>45747</c:v>
                </c:pt>
                <c:pt idx="520">
                  <c:v>45748</c:v>
                </c:pt>
                <c:pt idx="521">
                  <c:v>45749</c:v>
                </c:pt>
                <c:pt idx="522">
                  <c:v>45750</c:v>
                </c:pt>
                <c:pt idx="523">
                  <c:v>45751</c:v>
                </c:pt>
                <c:pt idx="524">
                  <c:v>45754</c:v>
                </c:pt>
                <c:pt idx="525">
                  <c:v>45755</c:v>
                </c:pt>
                <c:pt idx="526">
                  <c:v>45756</c:v>
                </c:pt>
                <c:pt idx="527">
                  <c:v>45757</c:v>
                </c:pt>
                <c:pt idx="528">
                  <c:v>45758</c:v>
                </c:pt>
                <c:pt idx="529">
                  <c:v>45761</c:v>
                </c:pt>
                <c:pt idx="530">
                  <c:v>45762</c:v>
                </c:pt>
                <c:pt idx="531">
                  <c:v>45763</c:v>
                </c:pt>
                <c:pt idx="532">
                  <c:v>45764</c:v>
                </c:pt>
                <c:pt idx="533">
                  <c:v>45768</c:v>
                </c:pt>
                <c:pt idx="534">
                  <c:v>45769</c:v>
                </c:pt>
                <c:pt idx="535">
                  <c:v>45770</c:v>
                </c:pt>
                <c:pt idx="536">
                  <c:v>45771</c:v>
                </c:pt>
                <c:pt idx="537">
                  <c:v>45772</c:v>
                </c:pt>
                <c:pt idx="538">
                  <c:v>45775</c:v>
                </c:pt>
                <c:pt idx="539">
                  <c:v>45776</c:v>
                </c:pt>
                <c:pt idx="540">
                  <c:v>45777</c:v>
                </c:pt>
                <c:pt idx="541">
                  <c:v>45778</c:v>
                </c:pt>
                <c:pt idx="542">
                  <c:v>45779</c:v>
                </c:pt>
                <c:pt idx="543">
                  <c:v>45782</c:v>
                </c:pt>
                <c:pt idx="544">
                  <c:v>45783</c:v>
                </c:pt>
                <c:pt idx="545">
                  <c:v>45784</c:v>
                </c:pt>
                <c:pt idx="546">
                  <c:v>45785</c:v>
                </c:pt>
                <c:pt idx="547">
                  <c:v>45786</c:v>
                </c:pt>
                <c:pt idx="548">
                  <c:v>45789</c:v>
                </c:pt>
                <c:pt idx="549">
                  <c:v>45790</c:v>
                </c:pt>
                <c:pt idx="550">
                  <c:v>45791</c:v>
                </c:pt>
                <c:pt idx="551">
                  <c:v>45792</c:v>
                </c:pt>
                <c:pt idx="552">
                  <c:v>45793</c:v>
                </c:pt>
                <c:pt idx="553">
                  <c:v>45796</c:v>
                </c:pt>
                <c:pt idx="554">
                  <c:v>45797</c:v>
                </c:pt>
                <c:pt idx="555">
                  <c:v>45798</c:v>
                </c:pt>
                <c:pt idx="556">
                  <c:v>45799</c:v>
                </c:pt>
                <c:pt idx="557">
                  <c:v>45800</c:v>
                </c:pt>
                <c:pt idx="558">
                  <c:v>45804</c:v>
                </c:pt>
                <c:pt idx="559">
                  <c:v>45805</c:v>
                </c:pt>
                <c:pt idx="560">
                  <c:v>45806</c:v>
                </c:pt>
                <c:pt idx="561">
                  <c:v>45807</c:v>
                </c:pt>
                <c:pt idx="562">
                  <c:v>45810</c:v>
                </c:pt>
                <c:pt idx="563">
                  <c:v>45811</c:v>
                </c:pt>
                <c:pt idx="564">
                  <c:v>45812</c:v>
                </c:pt>
                <c:pt idx="565">
                  <c:v>45813</c:v>
                </c:pt>
                <c:pt idx="566">
                  <c:v>45814</c:v>
                </c:pt>
                <c:pt idx="567">
                  <c:v>45817</c:v>
                </c:pt>
                <c:pt idx="568">
                  <c:v>45818</c:v>
                </c:pt>
                <c:pt idx="569">
                  <c:v>45819</c:v>
                </c:pt>
                <c:pt idx="570">
                  <c:v>45820</c:v>
                </c:pt>
                <c:pt idx="571">
                  <c:v>45821</c:v>
                </c:pt>
                <c:pt idx="572">
                  <c:v>45824</c:v>
                </c:pt>
                <c:pt idx="573">
                  <c:v>45825</c:v>
                </c:pt>
                <c:pt idx="574">
                  <c:v>45826</c:v>
                </c:pt>
                <c:pt idx="575">
                  <c:v>45828</c:v>
                </c:pt>
                <c:pt idx="576">
                  <c:v>45831</c:v>
                </c:pt>
                <c:pt idx="577">
                  <c:v>45832</c:v>
                </c:pt>
                <c:pt idx="578">
                  <c:v>45833</c:v>
                </c:pt>
                <c:pt idx="579">
                  <c:v>45834</c:v>
                </c:pt>
                <c:pt idx="580">
                  <c:v>45835</c:v>
                </c:pt>
                <c:pt idx="581">
                  <c:v>45838</c:v>
                </c:pt>
                <c:pt idx="582">
                  <c:v>45839</c:v>
                </c:pt>
                <c:pt idx="583">
                  <c:v>45840</c:v>
                </c:pt>
                <c:pt idx="584">
                  <c:v>45841</c:v>
                </c:pt>
                <c:pt idx="585">
                  <c:v>45845</c:v>
                </c:pt>
                <c:pt idx="586">
                  <c:v>45846</c:v>
                </c:pt>
                <c:pt idx="587">
                  <c:v>45847</c:v>
                </c:pt>
                <c:pt idx="588">
                  <c:v>45848</c:v>
                </c:pt>
                <c:pt idx="589">
                  <c:v>45849</c:v>
                </c:pt>
                <c:pt idx="590">
                  <c:v>45852</c:v>
                </c:pt>
                <c:pt idx="591">
                  <c:v>45853</c:v>
                </c:pt>
                <c:pt idx="592">
                  <c:v>45854</c:v>
                </c:pt>
                <c:pt idx="593">
                  <c:v>45855</c:v>
                </c:pt>
                <c:pt idx="594">
                  <c:v>45856</c:v>
                </c:pt>
                <c:pt idx="595">
                  <c:v>45859</c:v>
                </c:pt>
                <c:pt idx="596">
                  <c:v>45860</c:v>
                </c:pt>
                <c:pt idx="597">
                  <c:v>45861</c:v>
                </c:pt>
                <c:pt idx="598">
                  <c:v>45862</c:v>
                </c:pt>
                <c:pt idx="599">
                  <c:v>45863</c:v>
                </c:pt>
                <c:pt idx="600">
                  <c:v>45866</c:v>
                </c:pt>
                <c:pt idx="601">
                  <c:v>45867</c:v>
                </c:pt>
                <c:pt idx="602">
                  <c:v>45868</c:v>
                </c:pt>
                <c:pt idx="603">
                  <c:v>45869</c:v>
                </c:pt>
                <c:pt idx="604">
                  <c:v>45870</c:v>
                </c:pt>
                <c:pt idx="605">
                  <c:v>45873</c:v>
                </c:pt>
                <c:pt idx="606">
                  <c:v>45874</c:v>
                </c:pt>
                <c:pt idx="607">
                  <c:v>45875</c:v>
                </c:pt>
                <c:pt idx="608">
                  <c:v>45876</c:v>
                </c:pt>
                <c:pt idx="609">
                  <c:v>45877</c:v>
                </c:pt>
                <c:pt idx="610">
                  <c:v>45880</c:v>
                </c:pt>
                <c:pt idx="611">
                  <c:v>45881</c:v>
                </c:pt>
                <c:pt idx="612">
                  <c:v>45882</c:v>
                </c:pt>
                <c:pt idx="613">
                  <c:v>45883</c:v>
                </c:pt>
                <c:pt idx="614">
                  <c:v>45884</c:v>
                </c:pt>
                <c:pt idx="615">
                  <c:v>45887</c:v>
                </c:pt>
                <c:pt idx="616">
                  <c:v>45888</c:v>
                </c:pt>
                <c:pt idx="617">
                  <c:v>45889</c:v>
                </c:pt>
                <c:pt idx="618">
                  <c:v>45890</c:v>
                </c:pt>
                <c:pt idx="619">
                  <c:v>45891</c:v>
                </c:pt>
                <c:pt idx="620">
                  <c:v>45894</c:v>
                </c:pt>
                <c:pt idx="621">
                  <c:v>45895</c:v>
                </c:pt>
                <c:pt idx="622">
                  <c:v>45896</c:v>
                </c:pt>
                <c:pt idx="623">
                  <c:v>45897</c:v>
                </c:pt>
                <c:pt idx="624">
                  <c:v>45898</c:v>
                </c:pt>
                <c:pt idx="625">
                  <c:v>45902</c:v>
                </c:pt>
                <c:pt idx="626">
                  <c:v>45903</c:v>
                </c:pt>
                <c:pt idx="627">
                  <c:v>45904</c:v>
                </c:pt>
                <c:pt idx="628">
                  <c:v>45905</c:v>
                </c:pt>
                <c:pt idx="629">
                  <c:v>45908</c:v>
                </c:pt>
                <c:pt idx="630">
                  <c:v>45909</c:v>
                </c:pt>
                <c:pt idx="631">
                  <c:v>45910</c:v>
                </c:pt>
                <c:pt idx="632">
                  <c:v>45911</c:v>
                </c:pt>
                <c:pt idx="633">
                  <c:v>45912</c:v>
                </c:pt>
                <c:pt idx="634">
                  <c:v>45915</c:v>
                </c:pt>
                <c:pt idx="635">
                  <c:v>45916</c:v>
                </c:pt>
                <c:pt idx="636">
                  <c:v>45917</c:v>
                </c:pt>
                <c:pt idx="637">
                  <c:v>45918</c:v>
                </c:pt>
                <c:pt idx="638">
                  <c:v>45919</c:v>
                </c:pt>
                <c:pt idx="639">
                  <c:v>45922</c:v>
                </c:pt>
                <c:pt idx="640">
                  <c:v>45923</c:v>
                </c:pt>
                <c:pt idx="641">
                  <c:v>45924</c:v>
                </c:pt>
                <c:pt idx="642">
                  <c:v>45925</c:v>
                </c:pt>
                <c:pt idx="643">
                  <c:v>45926</c:v>
                </c:pt>
                <c:pt idx="644">
                  <c:v>45929</c:v>
                </c:pt>
                <c:pt idx="645">
                  <c:v>45930</c:v>
                </c:pt>
                <c:pt idx="646">
                  <c:v>45931</c:v>
                </c:pt>
                <c:pt idx="647">
                  <c:v>45932</c:v>
                </c:pt>
                <c:pt idx="648">
                  <c:v>45933</c:v>
                </c:pt>
                <c:pt idx="649">
                  <c:v>45936</c:v>
                </c:pt>
                <c:pt idx="650">
                  <c:v>45937</c:v>
                </c:pt>
                <c:pt idx="651">
                  <c:v>45938</c:v>
                </c:pt>
                <c:pt idx="652">
                  <c:v>45939</c:v>
                </c:pt>
                <c:pt idx="653">
                  <c:v>45940</c:v>
                </c:pt>
                <c:pt idx="654">
                  <c:v>45943</c:v>
                </c:pt>
                <c:pt idx="655">
                  <c:v>45944</c:v>
                </c:pt>
                <c:pt idx="656">
                  <c:v>45945</c:v>
                </c:pt>
                <c:pt idx="657">
                  <c:v>45946</c:v>
                </c:pt>
                <c:pt idx="658">
                  <c:v>45947</c:v>
                </c:pt>
                <c:pt idx="659">
                  <c:v>45950</c:v>
                </c:pt>
                <c:pt idx="660">
                  <c:v>45951</c:v>
                </c:pt>
                <c:pt idx="661">
                  <c:v>45952</c:v>
                </c:pt>
                <c:pt idx="662">
                  <c:v>45953</c:v>
                </c:pt>
                <c:pt idx="663">
                  <c:v>45954</c:v>
                </c:pt>
                <c:pt idx="664">
                  <c:v>45957</c:v>
                </c:pt>
                <c:pt idx="665">
                  <c:v>45958</c:v>
                </c:pt>
                <c:pt idx="666">
                  <c:v>45959</c:v>
                </c:pt>
                <c:pt idx="667">
                  <c:v>45960</c:v>
                </c:pt>
                <c:pt idx="668">
                  <c:v>45961</c:v>
                </c:pt>
                <c:pt idx="669">
                  <c:v>45964</c:v>
                </c:pt>
                <c:pt idx="670">
                  <c:v>45965</c:v>
                </c:pt>
                <c:pt idx="671">
                  <c:v>45966</c:v>
                </c:pt>
                <c:pt idx="672">
                  <c:v>45967</c:v>
                </c:pt>
                <c:pt idx="673">
                  <c:v>45968</c:v>
                </c:pt>
                <c:pt idx="674">
                  <c:v>45971</c:v>
                </c:pt>
                <c:pt idx="675">
                  <c:v>45972</c:v>
                </c:pt>
                <c:pt idx="676">
                  <c:v>45973</c:v>
                </c:pt>
                <c:pt idx="677">
                  <c:v>45974</c:v>
                </c:pt>
                <c:pt idx="678">
                  <c:v>45975</c:v>
                </c:pt>
                <c:pt idx="679">
                  <c:v>45978</c:v>
                </c:pt>
                <c:pt idx="680">
                  <c:v>45979</c:v>
                </c:pt>
                <c:pt idx="681">
                  <c:v>45980</c:v>
                </c:pt>
                <c:pt idx="682">
                  <c:v>45981</c:v>
                </c:pt>
                <c:pt idx="683">
                  <c:v>45982</c:v>
                </c:pt>
                <c:pt idx="684">
                  <c:v>45985</c:v>
                </c:pt>
                <c:pt idx="685">
                  <c:v>45986</c:v>
                </c:pt>
                <c:pt idx="686">
                  <c:v>45987</c:v>
                </c:pt>
                <c:pt idx="687">
                  <c:v>45989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45999</c:v>
                </c:pt>
                <c:pt idx="694">
                  <c:v>46000</c:v>
                </c:pt>
                <c:pt idx="695">
                  <c:v>46001</c:v>
                </c:pt>
                <c:pt idx="696">
                  <c:v>46002</c:v>
                </c:pt>
                <c:pt idx="697">
                  <c:v>46003</c:v>
                </c:pt>
                <c:pt idx="698">
                  <c:v>46006</c:v>
                </c:pt>
                <c:pt idx="699">
                  <c:v>46007</c:v>
                </c:pt>
                <c:pt idx="700">
                  <c:v>46008</c:v>
                </c:pt>
                <c:pt idx="701">
                  <c:v>46009</c:v>
                </c:pt>
                <c:pt idx="702">
                  <c:v>46010</c:v>
                </c:pt>
                <c:pt idx="703">
                  <c:v>46013</c:v>
                </c:pt>
                <c:pt idx="704">
                  <c:v>46014</c:v>
                </c:pt>
                <c:pt idx="705">
                  <c:v>46015</c:v>
                </c:pt>
                <c:pt idx="706">
                  <c:v>46017</c:v>
                </c:pt>
                <c:pt idx="707">
                  <c:v>46020</c:v>
                </c:pt>
                <c:pt idx="708">
                  <c:v>46021</c:v>
                </c:pt>
                <c:pt idx="709">
                  <c:v>46022</c:v>
                </c:pt>
                <c:pt idx="710">
                  <c:v>46024</c:v>
                </c:pt>
                <c:pt idx="711">
                  <c:v>46027</c:v>
                </c:pt>
                <c:pt idx="712">
                  <c:v>46028</c:v>
                </c:pt>
                <c:pt idx="713">
                  <c:v>46029</c:v>
                </c:pt>
                <c:pt idx="714">
                  <c:v>46030</c:v>
                </c:pt>
                <c:pt idx="715">
                  <c:v>46031</c:v>
                </c:pt>
                <c:pt idx="716">
                  <c:v>46034</c:v>
                </c:pt>
                <c:pt idx="717">
                  <c:v>46035</c:v>
                </c:pt>
                <c:pt idx="718">
                  <c:v>46036</c:v>
                </c:pt>
                <c:pt idx="719">
                  <c:v>46037</c:v>
                </c:pt>
                <c:pt idx="720">
                  <c:v>46038</c:v>
                </c:pt>
                <c:pt idx="721">
                  <c:v>46042</c:v>
                </c:pt>
                <c:pt idx="722">
                  <c:v>46043</c:v>
                </c:pt>
                <c:pt idx="723">
                  <c:v>46044</c:v>
                </c:pt>
                <c:pt idx="724">
                  <c:v>46045</c:v>
                </c:pt>
                <c:pt idx="725">
                  <c:v>46048</c:v>
                </c:pt>
                <c:pt idx="726">
                  <c:v>46049</c:v>
                </c:pt>
                <c:pt idx="727">
                  <c:v>46050</c:v>
                </c:pt>
                <c:pt idx="728">
                  <c:v>46051</c:v>
                </c:pt>
                <c:pt idx="729">
                  <c:v>46052</c:v>
                </c:pt>
                <c:pt idx="730">
                  <c:v>46055</c:v>
                </c:pt>
                <c:pt idx="731">
                  <c:v>46056</c:v>
                </c:pt>
                <c:pt idx="732">
                  <c:v>46057</c:v>
                </c:pt>
                <c:pt idx="733">
                  <c:v>46058</c:v>
                </c:pt>
                <c:pt idx="734">
                  <c:v>46059</c:v>
                </c:pt>
                <c:pt idx="735">
                  <c:v>46062</c:v>
                </c:pt>
                <c:pt idx="736">
                  <c:v>46063</c:v>
                </c:pt>
                <c:pt idx="737">
                  <c:v>46064</c:v>
                </c:pt>
                <c:pt idx="738">
                  <c:v>46065</c:v>
                </c:pt>
                <c:pt idx="739">
                  <c:v>46066</c:v>
                </c:pt>
                <c:pt idx="740">
                  <c:v>46070</c:v>
                </c:pt>
                <c:pt idx="741">
                  <c:v>46071</c:v>
                </c:pt>
                <c:pt idx="742">
                  <c:v>46072</c:v>
                </c:pt>
                <c:pt idx="743">
                  <c:v>46073</c:v>
                </c:pt>
                <c:pt idx="744">
                  <c:v>46076</c:v>
                </c:pt>
                <c:pt idx="745">
                  <c:v>46077</c:v>
                </c:pt>
                <c:pt idx="746">
                  <c:v>46078</c:v>
                </c:pt>
                <c:pt idx="747">
                  <c:v>46079</c:v>
                </c:pt>
                <c:pt idx="748">
                  <c:v>46080</c:v>
                </c:pt>
                <c:pt idx="749">
                  <c:v>46083</c:v>
                </c:pt>
                <c:pt idx="750">
                  <c:v>46084</c:v>
                </c:pt>
                <c:pt idx="751">
                  <c:v>46085</c:v>
                </c:pt>
              </c:numCache>
            </c:numRef>
          </c:cat>
          <c:val>
            <c:numRef>
              <c:f>'Share Price Analysis'!$K$36:$K$787</c:f>
              <c:numCache>
                <c:formatCode>#,##0.0</c:formatCode>
                <c:ptCount val="752"/>
                <c:pt idx="0">
                  <c:v>100</c:v>
                </c:pt>
                <c:pt idx="1">
                  <c:v>98.576116580454979</c:v>
                </c:pt>
                <c:pt idx="2">
                  <c:v>99.516102119138992</c:v>
                </c:pt>
                <c:pt idx="3">
                  <c:v>96.818510484454094</c:v>
                </c:pt>
                <c:pt idx="4">
                  <c:v>94.159853162022358</c:v>
                </c:pt>
                <c:pt idx="5">
                  <c:v>92.318816396907494</c:v>
                </c:pt>
                <c:pt idx="6">
                  <c:v>93.169809221869954</c:v>
                </c:pt>
                <c:pt idx="7">
                  <c:v>90.555648256299023</c:v>
                </c:pt>
                <c:pt idx="8">
                  <c:v>92.446743422882264</c:v>
                </c:pt>
                <c:pt idx="9">
                  <c:v>89.560042271539032</c:v>
                </c:pt>
                <c:pt idx="10">
                  <c:v>90.811502308248521</c:v>
                </c:pt>
                <c:pt idx="11">
                  <c:v>92.407809110629074</c:v>
                </c:pt>
                <c:pt idx="12">
                  <c:v>91.056232270982818</c:v>
                </c:pt>
                <c:pt idx="13">
                  <c:v>91.49563379498305</c:v>
                </c:pt>
                <c:pt idx="14">
                  <c:v>92.441181378274649</c:v>
                </c:pt>
                <c:pt idx="15">
                  <c:v>92.218699593970754</c:v>
                </c:pt>
                <c:pt idx="16">
                  <c:v>93.464597586072642</c:v>
                </c:pt>
                <c:pt idx="17">
                  <c:v>94.549196284554213</c:v>
                </c:pt>
                <c:pt idx="18">
                  <c:v>94.632626953668165</c:v>
                </c:pt>
                <c:pt idx="19">
                  <c:v>95.422437287947062</c:v>
                </c:pt>
                <c:pt idx="20">
                  <c:v>96.184437399187956</c:v>
                </c:pt>
                <c:pt idx="21">
                  <c:v>93.920685243895662</c:v>
                </c:pt>
                <c:pt idx="22">
                  <c:v>91.250903832248738</c:v>
                </c:pt>
                <c:pt idx="23">
                  <c:v>91.734801713109746</c:v>
                </c:pt>
                <c:pt idx="24">
                  <c:v>92.335502530730295</c:v>
                </c:pt>
                <c:pt idx="25">
                  <c:v>92.646977028755771</c:v>
                </c:pt>
                <c:pt idx="26">
                  <c:v>93.0641303743256</c:v>
                </c:pt>
                <c:pt idx="27">
                  <c:v>94.254407920351539</c:v>
                </c:pt>
                <c:pt idx="28">
                  <c:v>94.043050225262817</c:v>
                </c:pt>
                <c:pt idx="29">
                  <c:v>95.600422715390181</c:v>
                </c:pt>
                <c:pt idx="30">
                  <c:v>95.86740085655488</c:v>
                </c:pt>
                <c:pt idx="31">
                  <c:v>96.523722120251406</c:v>
                </c:pt>
                <c:pt idx="32">
                  <c:v>95.911897213415656</c:v>
                </c:pt>
                <c:pt idx="33">
                  <c:v>95.188831414427938</c:v>
                </c:pt>
                <c:pt idx="34">
                  <c:v>95.339006618833082</c:v>
                </c:pt>
                <c:pt idx="35">
                  <c:v>94.37121085711108</c:v>
                </c:pt>
                <c:pt idx="36">
                  <c:v>92.691473385616561</c:v>
                </c:pt>
                <c:pt idx="37">
                  <c:v>96.212247622225931</c:v>
                </c:pt>
                <c:pt idx="38">
                  <c:v>97.402525168251856</c:v>
                </c:pt>
                <c:pt idx="39">
                  <c:v>98.73185382946771</c:v>
                </c:pt>
                <c:pt idx="40">
                  <c:v>99.710773680404927</c:v>
                </c:pt>
                <c:pt idx="41">
                  <c:v>99.349240780911074</c:v>
                </c:pt>
                <c:pt idx="42">
                  <c:v>105.80677457033205</c:v>
                </c:pt>
                <c:pt idx="43">
                  <c:v>107.66449746926972</c:v>
                </c:pt>
                <c:pt idx="44">
                  <c:v>107.25290616830748</c:v>
                </c:pt>
                <c:pt idx="45">
                  <c:v>107.40864341732022</c:v>
                </c:pt>
                <c:pt idx="46">
                  <c:v>109.06613271038435</c:v>
                </c:pt>
                <c:pt idx="47">
                  <c:v>108.36531508982704</c:v>
                </c:pt>
                <c:pt idx="48">
                  <c:v>108.6712275432449</c:v>
                </c:pt>
                <c:pt idx="49">
                  <c:v>109.11062906724511</c:v>
                </c:pt>
                <c:pt idx="50">
                  <c:v>108.46543189276379</c:v>
                </c:pt>
                <c:pt idx="51">
                  <c:v>109.29973858390345</c:v>
                </c:pt>
                <c:pt idx="52">
                  <c:v>109.24411813782746</c:v>
                </c:pt>
                <c:pt idx="53">
                  <c:v>109.6946437510429</c:v>
                </c:pt>
                <c:pt idx="54">
                  <c:v>109.71689192947326</c:v>
                </c:pt>
                <c:pt idx="55">
                  <c:v>108.57111074030814</c:v>
                </c:pt>
                <c:pt idx="56">
                  <c:v>107.95928583347238</c:v>
                </c:pt>
                <c:pt idx="57">
                  <c:v>108.51549029423215</c:v>
                </c:pt>
                <c:pt idx="58">
                  <c:v>109.01607430891596</c:v>
                </c:pt>
                <c:pt idx="59">
                  <c:v>109.04388453195395</c:v>
                </c:pt>
                <c:pt idx="60">
                  <c:v>108.73797207853609</c:v>
                </c:pt>
                <c:pt idx="61">
                  <c:v>110.57344679904332</c:v>
                </c:pt>
                <c:pt idx="62">
                  <c:v>112.75933032982925</c:v>
                </c:pt>
                <c:pt idx="63">
                  <c:v>112.48679014405695</c:v>
                </c:pt>
                <c:pt idx="64">
                  <c:v>112.97625006952556</c:v>
                </c:pt>
                <c:pt idx="65">
                  <c:v>114.01635241114634</c:v>
                </c:pt>
                <c:pt idx="66">
                  <c:v>114.67823571945048</c:v>
                </c:pt>
                <c:pt idx="67">
                  <c:v>114.93408977139995</c:v>
                </c:pt>
                <c:pt idx="68">
                  <c:v>114.51693642583014</c:v>
                </c:pt>
                <c:pt idx="69">
                  <c:v>115.52366649980532</c:v>
                </c:pt>
                <c:pt idx="70">
                  <c:v>115.3512431169698</c:v>
                </c:pt>
                <c:pt idx="71">
                  <c:v>116.21336003114746</c:v>
                </c:pt>
                <c:pt idx="72">
                  <c:v>115.30674676010901</c:v>
                </c:pt>
                <c:pt idx="73">
                  <c:v>116.06874687134992</c:v>
                </c:pt>
                <c:pt idx="74">
                  <c:v>117.11997330218588</c:v>
                </c:pt>
                <c:pt idx="75">
                  <c:v>118.72184214917402</c:v>
                </c:pt>
                <c:pt idx="76">
                  <c:v>119.26692252071862</c:v>
                </c:pt>
                <c:pt idx="77">
                  <c:v>119.45603203737696</c:v>
                </c:pt>
                <c:pt idx="78">
                  <c:v>122.59858724066967</c:v>
                </c:pt>
                <c:pt idx="79">
                  <c:v>122.84331720340398</c:v>
                </c:pt>
                <c:pt idx="80">
                  <c:v>125.05701095722787</c:v>
                </c:pt>
                <c:pt idx="81">
                  <c:v>125.39073363368374</c:v>
                </c:pt>
                <c:pt idx="82">
                  <c:v>124.22270426608821</c:v>
                </c:pt>
                <c:pt idx="83">
                  <c:v>122.71539017742923</c:v>
                </c:pt>
                <c:pt idx="84">
                  <c:v>121.24701040102343</c:v>
                </c:pt>
                <c:pt idx="85">
                  <c:v>120.90772567995995</c:v>
                </c:pt>
                <c:pt idx="86">
                  <c:v>122.02569664608708</c:v>
                </c:pt>
                <c:pt idx="87">
                  <c:v>124.37287947049336</c:v>
                </c:pt>
                <c:pt idx="88">
                  <c:v>122.52071861616332</c:v>
                </c:pt>
                <c:pt idx="89">
                  <c:v>124.23382835530343</c:v>
                </c:pt>
                <c:pt idx="90">
                  <c:v>125.00695255575951</c:v>
                </c:pt>
                <c:pt idx="91">
                  <c:v>124.42849991656935</c:v>
                </c:pt>
                <c:pt idx="92">
                  <c:v>124.5341787641137</c:v>
                </c:pt>
                <c:pt idx="93">
                  <c:v>123.11029534456867</c:v>
                </c:pt>
                <c:pt idx="94">
                  <c:v>123.271594638189</c:v>
                </c:pt>
                <c:pt idx="95">
                  <c:v>123.64425162689805</c:v>
                </c:pt>
                <c:pt idx="96">
                  <c:v>123.81111296512599</c:v>
                </c:pt>
                <c:pt idx="97">
                  <c:v>123.61644140386005</c:v>
                </c:pt>
                <c:pt idx="98">
                  <c:v>124.28944880137939</c:v>
                </c:pt>
                <c:pt idx="99">
                  <c:v>121.41387173925136</c:v>
                </c:pt>
                <c:pt idx="100">
                  <c:v>122.47066021469493</c:v>
                </c:pt>
                <c:pt idx="101">
                  <c:v>122.64308359753046</c:v>
                </c:pt>
                <c:pt idx="102">
                  <c:v>124.57311307636687</c:v>
                </c:pt>
                <c:pt idx="103">
                  <c:v>124.07809110629069</c:v>
                </c:pt>
                <c:pt idx="104">
                  <c:v>125.80788697925358</c:v>
                </c:pt>
                <c:pt idx="105">
                  <c:v>125.70220813170923</c:v>
                </c:pt>
                <c:pt idx="106">
                  <c:v>127.21508426497581</c:v>
                </c:pt>
                <c:pt idx="107">
                  <c:v>126.16941987874743</c:v>
                </c:pt>
                <c:pt idx="108">
                  <c:v>124.2449524445186</c:v>
                </c:pt>
                <c:pt idx="109">
                  <c:v>124.7622225930252</c:v>
                </c:pt>
                <c:pt idx="110">
                  <c:v>124.54530285332888</c:v>
                </c:pt>
                <c:pt idx="111">
                  <c:v>125.21831025084822</c:v>
                </c:pt>
                <c:pt idx="112">
                  <c:v>124.66766783469603</c:v>
                </c:pt>
                <c:pt idx="113">
                  <c:v>123.75549251905001</c:v>
                </c:pt>
                <c:pt idx="114">
                  <c:v>118.65509761388286</c:v>
                </c:pt>
                <c:pt idx="115">
                  <c:v>117.80410478892043</c:v>
                </c:pt>
                <c:pt idx="116">
                  <c:v>118.23238222370544</c:v>
                </c:pt>
                <c:pt idx="117">
                  <c:v>119.3503531898326</c:v>
                </c:pt>
                <c:pt idx="118">
                  <c:v>120.72974025251683</c:v>
                </c:pt>
                <c:pt idx="119">
                  <c:v>119.57283497413648</c:v>
                </c:pt>
                <c:pt idx="120">
                  <c:v>119.48940430502253</c:v>
                </c:pt>
                <c:pt idx="121">
                  <c:v>119.64514155403528</c:v>
                </c:pt>
                <c:pt idx="122">
                  <c:v>121.58073307747929</c:v>
                </c:pt>
                <c:pt idx="123">
                  <c:v>121.38606151621336</c:v>
                </c:pt>
                <c:pt idx="124">
                  <c:v>121.39162356082096</c:v>
                </c:pt>
                <c:pt idx="125">
                  <c:v>123.9890983925691</c:v>
                </c:pt>
                <c:pt idx="126">
                  <c:v>120.27365259469383</c:v>
                </c:pt>
                <c:pt idx="127">
                  <c:v>119.69519995550364</c:v>
                </c:pt>
                <c:pt idx="128">
                  <c:v>119.89543356137717</c:v>
                </c:pt>
                <c:pt idx="129">
                  <c:v>120.2792146393014</c:v>
                </c:pt>
                <c:pt idx="130">
                  <c:v>120.46832415595973</c:v>
                </c:pt>
                <c:pt idx="131">
                  <c:v>119.45603203737696</c:v>
                </c:pt>
                <c:pt idx="132">
                  <c:v>118.88314144279437</c:v>
                </c:pt>
                <c:pt idx="133">
                  <c:v>119.56727292952888</c:v>
                </c:pt>
                <c:pt idx="134">
                  <c:v>117.13109739140108</c:v>
                </c:pt>
                <c:pt idx="135">
                  <c:v>117.74292229823683</c:v>
                </c:pt>
                <c:pt idx="136">
                  <c:v>116.73619222426164</c:v>
                </c:pt>
                <c:pt idx="137">
                  <c:v>116.55264475221092</c:v>
                </c:pt>
                <c:pt idx="138">
                  <c:v>112.54797263474052</c:v>
                </c:pt>
                <c:pt idx="139">
                  <c:v>111.58573891762613</c:v>
                </c:pt>
                <c:pt idx="140">
                  <c:v>112.375549251905</c:v>
                </c:pt>
                <c:pt idx="141">
                  <c:v>111.99176817398076</c:v>
                </c:pt>
                <c:pt idx="142">
                  <c:v>113.24322821069026</c:v>
                </c:pt>
                <c:pt idx="143">
                  <c:v>114.03860058957673</c:v>
                </c:pt>
                <c:pt idx="144">
                  <c:v>112.36442516268981</c:v>
                </c:pt>
                <c:pt idx="145">
                  <c:v>111.75816230046165</c:v>
                </c:pt>
                <c:pt idx="146">
                  <c:v>111.23533010734748</c:v>
                </c:pt>
                <c:pt idx="147">
                  <c:v>114.03860058957673</c:v>
                </c:pt>
                <c:pt idx="148">
                  <c:v>115.1065131542355</c:v>
                </c:pt>
                <c:pt idx="149">
                  <c:v>118.13782746537629</c:v>
                </c:pt>
                <c:pt idx="150">
                  <c:v>116.94198787474276</c:v>
                </c:pt>
                <c:pt idx="151">
                  <c:v>117.35914122031259</c:v>
                </c:pt>
                <c:pt idx="152">
                  <c:v>119.45046999276934</c:v>
                </c:pt>
                <c:pt idx="153">
                  <c:v>117.15334556983149</c:v>
                </c:pt>
                <c:pt idx="154">
                  <c:v>116.40803159241338</c:v>
                </c:pt>
                <c:pt idx="155">
                  <c:v>118.49379832026253</c:v>
                </c:pt>
                <c:pt idx="156">
                  <c:v>119.46715612659213</c:v>
                </c:pt>
                <c:pt idx="157">
                  <c:v>113.32109683519663</c:v>
                </c:pt>
                <c:pt idx="158">
                  <c:v>112.73708215139887</c:v>
                </c:pt>
                <c:pt idx="159">
                  <c:v>112.10300906613273</c:v>
                </c:pt>
                <c:pt idx="160">
                  <c:v>112.63140330385451</c:v>
                </c:pt>
                <c:pt idx="161">
                  <c:v>114.10534512486792</c:v>
                </c:pt>
                <c:pt idx="162">
                  <c:v>113.11530118471551</c:v>
                </c:pt>
                <c:pt idx="163">
                  <c:v>107.88697925357363</c:v>
                </c:pt>
                <c:pt idx="164">
                  <c:v>107.73124200456088</c:v>
                </c:pt>
                <c:pt idx="165">
                  <c:v>109.01051226430837</c:v>
                </c:pt>
                <c:pt idx="166">
                  <c:v>109.28861449468825</c:v>
                </c:pt>
                <c:pt idx="167">
                  <c:v>113.35446910284222</c:v>
                </c:pt>
                <c:pt idx="168">
                  <c:v>115.03420657433672</c:v>
                </c:pt>
                <c:pt idx="169">
                  <c:v>115.56816285666611</c:v>
                </c:pt>
                <c:pt idx="170">
                  <c:v>115.21219200177985</c:v>
                </c:pt>
                <c:pt idx="171">
                  <c:v>115.25112631403304</c:v>
                </c:pt>
                <c:pt idx="172">
                  <c:v>115.92969575615997</c:v>
                </c:pt>
                <c:pt idx="173">
                  <c:v>116.37465932476778</c:v>
                </c:pt>
                <c:pt idx="174">
                  <c:v>117.72623616441405</c:v>
                </c:pt>
                <c:pt idx="175">
                  <c:v>117.07547694532512</c:v>
                </c:pt>
                <c:pt idx="176">
                  <c:v>120.44051393292175</c:v>
                </c:pt>
                <c:pt idx="177">
                  <c:v>117.28683464041383</c:v>
                </c:pt>
                <c:pt idx="178">
                  <c:v>118.0655208854775</c:v>
                </c:pt>
                <c:pt idx="179">
                  <c:v>118.1100172423383</c:v>
                </c:pt>
                <c:pt idx="180">
                  <c:v>117.01429445464153</c:v>
                </c:pt>
                <c:pt idx="181">
                  <c:v>116.71394404583127</c:v>
                </c:pt>
                <c:pt idx="182">
                  <c:v>117.85972523499639</c:v>
                </c:pt>
                <c:pt idx="183">
                  <c:v>117.73736025362925</c:v>
                </c:pt>
                <c:pt idx="184">
                  <c:v>118.38811947271817</c:v>
                </c:pt>
                <c:pt idx="185">
                  <c:v>117.44813393403415</c:v>
                </c:pt>
                <c:pt idx="186">
                  <c:v>118.29356471438901</c:v>
                </c:pt>
                <c:pt idx="187">
                  <c:v>118.78302463985762</c:v>
                </c:pt>
                <c:pt idx="188">
                  <c:v>119.93436787363035</c:v>
                </c:pt>
                <c:pt idx="189">
                  <c:v>119.47271817119976</c:v>
                </c:pt>
                <c:pt idx="190">
                  <c:v>117.92646977028758</c:v>
                </c:pt>
                <c:pt idx="191">
                  <c:v>117.87641136881919</c:v>
                </c:pt>
                <c:pt idx="192">
                  <c:v>119.12230936092108</c:v>
                </c:pt>
                <c:pt idx="193">
                  <c:v>120.15684965793427</c:v>
                </c:pt>
                <c:pt idx="194">
                  <c:v>121.73090828188444</c:v>
                </c:pt>
                <c:pt idx="195">
                  <c:v>122.86556538183437</c:v>
                </c:pt>
                <c:pt idx="196">
                  <c:v>124.40625173813893</c:v>
                </c:pt>
                <c:pt idx="197">
                  <c:v>125.01251460036708</c:v>
                </c:pt>
                <c:pt idx="198">
                  <c:v>124.78447077145557</c:v>
                </c:pt>
                <c:pt idx="199">
                  <c:v>123.86673341120196</c:v>
                </c:pt>
                <c:pt idx="200">
                  <c:v>124.97358028811392</c:v>
                </c:pt>
                <c:pt idx="201">
                  <c:v>123.02130263084712</c:v>
                </c:pt>
                <c:pt idx="202">
                  <c:v>124.18933199844264</c:v>
                </c:pt>
                <c:pt idx="203">
                  <c:v>125.10706935869626</c:v>
                </c:pt>
                <c:pt idx="204">
                  <c:v>125.50753657044331</c:v>
                </c:pt>
                <c:pt idx="205">
                  <c:v>125.60209132877247</c:v>
                </c:pt>
                <c:pt idx="206">
                  <c:v>125.39073363368374</c:v>
                </c:pt>
                <c:pt idx="207">
                  <c:v>126.26397463707659</c:v>
                </c:pt>
                <c:pt idx="208">
                  <c:v>124.36731742588576</c:v>
                </c:pt>
                <c:pt idx="209">
                  <c:v>121.99232437844152</c:v>
                </c:pt>
                <c:pt idx="210">
                  <c:v>122.74320040046722</c:v>
                </c:pt>
                <c:pt idx="211">
                  <c:v>123.2660325935814</c:v>
                </c:pt>
                <c:pt idx="212">
                  <c:v>124.58979921018967</c:v>
                </c:pt>
                <c:pt idx="213">
                  <c:v>124.26720062294901</c:v>
                </c:pt>
                <c:pt idx="214">
                  <c:v>125.76339062239282</c:v>
                </c:pt>
                <c:pt idx="215">
                  <c:v>124.7900328160632</c:v>
                </c:pt>
                <c:pt idx="216">
                  <c:v>124.56755103175929</c:v>
                </c:pt>
                <c:pt idx="217">
                  <c:v>123.68874798375884</c:v>
                </c:pt>
                <c:pt idx="218">
                  <c:v>123.06579898770789</c:v>
                </c:pt>
                <c:pt idx="219">
                  <c:v>125.21274820624062</c:v>
                </c:pt>
                <c:pt idx="220">
                  <c:v>125.74670448857002</c:v>
                </c:pt>
                <c:pt idx="221">
                  <c:v>126.41414984148173</c:v>
                </c:pt>
                <c:pt idx="222">
                  <c:v>123.92235385727794</c:v>
                </c:pt>
                <c:pt idx="223">
                  <c:v>122.25374047499862</c:v>
                </c:pt>
                <c:pt idx="224">
                  <c:v>124.2616385783414</c:v>
                </c:pt>
                <c:pt idx="225">
                  <c:v>123.67762389454364</c:v>
                </c:pt>
                <c:pt idx="226">
                  <c:v>127.57661716446967</c:v>
                </c:pt>
                <c:pt idx="227">
                  <c:v>128.51104065854608</c:v>
                </c:pt>
                <c:pt idx="228">
                  <c:v>125.70777017631683</c:v>
                </c:pt>
                <c:pt idx="229">
                  <c:v>128.12725958062185</c:v>
                </c:pt>
                <c:pt idx="230">
                  <c:v>130.39657378052172</c:v>
                </c:pt>
                <c:pt idx="231">
                  <c:v>127.73235441348241</c:v>
                </c:pt>
                <c:pt idx="232">
                  <c:v>128.80582902274878</c:v>
                </c:pt>
                <c:pt idx="233">
                  <c:v>131.55347905890207</c:v>
                </c:pt>
                <c:pt idx="234">
                  <c:v>132.62139162356084</c:v>
                </c:pt>
                <c:pt idx="235">
                  <c:v>133.48907058234607</c:v>
                </c:pt>
                <c:pt idx="236">
                  <c:v>133.56137716224487</c:v>
                </c:pt>
                <c:pt idx="237">
                  <c:v>131.88720173535793</c:v>
                </c:pt>
                <c:pt idx="238">
                  <c:v>134.10089548918182</c:v>
                </c:pt>
                <c:pt idx="239">
                  <c:v>134.85733355581513</c:v>
                </c:pt>
                <c:pt idx="240">
                  <c:v>141.91556816285666</c:v>
                </c:pt>
                <c:pt idx="241">
                  <c:v>139.81867734579231</c:v>
                </c:pt>
                <c:pt idx="242">
                  <c:v>140.95889649034987</c:v>
                </c:pt>
                <c:pt idx="243">
                  <c:v>142.91117414761666</c:v>
                </c:pt>
                <c:pt idx="244">
                  <c:v>143.07247344123701</c:v>
                </c:pt>
                <c:pt idx="245">
                  <c:v>145.21386061516213</c:v>
                </c:pt>
                <c:pt idx="246">
                  <c:v>146.59324767784639</c:v>
                </c:pt>
                <c:pt idx="247">
                  <c:v>145.89243005728906</c:v>
                </c:pt>
                <c:pt idx="248">
                  <c:v>147.86695589298628</c:v>
                </c:pt>
                <c:pt idx="249">
                  <c:v>148.74575894098672</c:v>
                </c:pt>
                <c:pt idx="250">
                  <c:v>148.97936481450583</c:v>
                </c:pt>
                <c:pt idx="251">
                  <c:v>147.38305801212528</c:v>
                </c:pt>
                <c:pt idx="252">
                  <c:v>148.69570053951833</c:v>
                </c:pt>
                <c:pt idx="253">
                  <c:v>150.82596362422828</c:v>
                </c:pt>
                <c:pt idx="254">
                  <c:v>148.33972968463206</c:v>
                </c:pt>
                <c:pt idx="255">
                  <c:v>147.36637187830246</c:v>
                </c:pt>
                <c:pt idx="256">
                  <c:v>149.9415985316202</c:v>
                </c:pt>
                <c:pt idx="257">
                  <c:v>149.7969853718227</c:v>
                </c:pt>
                <c:pt idx="258">
                  <c:v>150.581233661494</c:v>
                </c:pt>
                <c:pt idx="259">
                  <c:v>148.42872239835364</c:v>
                </c:pt>
                <c:pt idx="260">
                  <c:v>149.85260581789868</c:v>
                </c:pt>
                <c:pt idx="261">
                  <c:v>149.62456198898715</c:v>
                </c:pt>
                <c:pt idx="262">
                  <c:v>151.14300016686136</c:v>
                </c:pt>
                <c:pt idx="263">
                  <c:v>153.28438734078645</c:v>
                </c:pt>
                <c:pt idx="264">
                  <c:v>152.60025585405197</c:v>
                </c:pt>
                <c:pt idx="265">
                  <c:v>151.63246009232995</c:v>
                </c:pt>
                <c:pt idx="266">
                  <c:v>152.32771566827967</c:v>
                </c:pt>
                <c:pt idx="267">
                  <c:v>151.72701485065912</c:v>
                </c:pt>
                <c:pt idx="268">
                  <c:v>151.79932143055791</c:v>
                </c:pt>
                <c:pt idx="269">
                  <c:v>150.00278102230379</c:v>
                </c:pt>
                <c:pt idx="270">
                  <c:v>148.08943767729016</c:v>
                </c:pt>
                <c:pt idx="271">
                  <c:v>149.4910729184048</c:v>
                </c:pt>
                <c:pt idx="272">
                  <c:v>147.88920407141666</c:v>
                </c:pt>
                <c:pt idx="273">
                  <c:v>150.25863507425331</c:v>
                </c:pt>
                <c:pt idx="274">
                  <c:v>150.01946715612661</c:v>
                </c:pt>
                <c:pt idx="275">
                  <c:v>147.73902886701151</c:v>
                </c:pt>
                <c:pt idx="276">
                  <c:v>147.14945213860616</c:v>
                </c:pt>
                <c:pt idx="277">
                  <c:v>147.67228433172036</c:v>
                </c:pt>
                <c:pt idx="278">
                  <c:v>146.15940819845375</c:v>
                </c:pt>
                <c:pt idx="279">
                  <c:v>144.87457589409868</c:v>
                </c:pt>
                <c:pt idx="280">
                  <c:v>143.80110128483233</c:v>
                </c:pt>
                <c:pt idx="281">
                  <c:v>143.64536403581957</c:v>
                </c:pt>
                <c:pt idx="282">
                  <c:v>141.87107180599588</c:v>
                </c:pt>
                <c:pt idx="283">
                  <c:v>140.19689637910898</c:v>
                </c:pt>
                <c:pt idx="284">
                  <c:v>141.5429111741476</c:v>
                </c:pt>
                <c:pt idx="285">
                  <c:v>144.24606485344012</c:v>
                </c:pt>
                <c:pt idx="286">
                  <c:v>142.61082373880637</c:v>
                </c:pt>
                <c:pt idx="287">
                  <c:v>143.80110128483233</c:v>
                </c:pt>
                <c:pt idx="288">
                  <c:v>145.30285332888371</c:v>
                </c:pt>
                <c:pt idx="289">
                  <c:v>145.41965626564325</c:v>
                </c:pt>
                <c:pt idx="290">
                  <c:v>143.29495522554092</c:v>
                </c:pt>
                <c:pt idx="291">
                  <c:v>144.46298459313644</c:v>
                </c:pt>
                <c:pt idx="292">
                  <c:v>147.06602146949223</c:v>
                </c:pt>
                <c:pt idx="293">
                  <c:v>147.08270760331499</c:v>
                </c:pt>
                <c:pt idx="294">
                  <c:v>148.2896712831637</c:v>
                </c:pt>
                <c:pt idx="295">
                  <c:v>149.25746704488571</c:v>
                </c:pt>
                <c:pt idx="296">
                  <c:v>149.0238611713666</c:v>
                </c:pt>
                <c:pt idx="297">
                  <c:v>150.55898548306359</c:v>
                </c:pt>
                <c:pt idx="298">
                  <c:v>151.32654763891207</c:v>
                </c:pt>
                <c:pt idx="299">
                  <c:v>150.2252628066077</c:v>
                </c:pt>
                <c:pt idx="300">
                  <c:v>148.92374436842982</c:v>
                </c:pt>
                <c:pt idx="301">
                  <c:v>150.45330663551923</c:v>
                </c:pt>
                <c:pt idx="302">
                  <c:v>144.61315979754158</c:v>
                </c:pt>
                <c:pt idx="303">
                  <c:v>144.11257578285779</c:v>
                </c:pt>
                <c:pt idx="304">
                  <c:v>144.72996273430113</c:v>
                </c:pt>
                <c:pt idx="305">
                  <c:v>145.82568552199791</c:v>
                </c:pt>
                <c:pt idx="306">
                  <c:v>145.09705767840259</c:v>
                </c:pt>
                <c:pt idx="307">
                  <c:v>143.06134935202181</c:v>
                </c:pt>
                <c:pt idx="308">
                  <c:v>144.19600645197175</c:v>
                </c:pt>
                <c:pt idx="309">
                  <c:v>141.26480894376775</c:v>
                </c:pt>
                <c:pt idx="310">
                  <c:v>140.11346570999498</c:v>
                </c:pt>
                <c:pt idx="311">
                  <c:v>141.32042938984372</c:v>
                </c:pt>
                <c:pt idx="312">
                  <c:v>142.26041492852775</c:v>
                </c:pt>
                <c:pt idx="313">
                  <c:v>140.26920295900774</c:v>
                </c:pt>
                <c:pt idx="314">
                  <c:v>139.30696924189334</c:v>
                </c:pt>
                <c:pt idx="315">
                  <c:v>139.70743645364036</c:v>
                </c:pt>
                <c:pt idx="316">
                  <c:v>138.26130485566495</c:v>
                </c:pt>
                <c:pt idx="317">
                  <c:v>137.71066243951279</c:v>
                </c:pt>
                <c:pt idx="318">
                  <c:v>137.83302742087992</c:v>
                </c:pt>
                <c:pt idx="319">
                  <c:v>136.06985928027143</c:v>
                </c:pt>
                <c:pt idx="320">
                  <c:v>138.56165526447523</c:v>
                </c:pt>
                <c:pt idx="321">
                  <c:v>141.24812280994493</c:v>
                </c:pt>
                <c:pt idx="322">
                  <c:v>140.51949496634964</c:v>
                </c:pt>
                <c:pt idx="323">
                  <c:v>142.58301351576841</c:v>
                </c:pt>
                <c:pt idx="324">
                  <c:v>142.1714222148062</c:v>
                </c:pt>
                <c:pt idx="325">
                  <c:v>137.08215139885422</c:v>
                </c:pt>
                <c:pt idx="326">
                  <c:v>137.83302742087992</c:v>
                </c:pt>
                <c:pt idx="327">
                  <c:v>137.70510039490517</c:v>
                </c:pt>
                <c:pt idx="328">
                  <c:v>136.9097280160187</c:v>
                </c:pt>
                <c:pt idx="329">
                  <c:v>136.75955281161356</c:v>
                </c:pt>
                <c:pt idx="330">
                  <c:v>137.80521719784193</c:v>
                </c:pt>
                <c:pt idx="331">
                  <c:v>138.31692530174092</c:v>
                </c:pt>
                <c:pt idx="332">
                  <c:v>135.55815117637243</c:v>
                </c:pt>
                <c:pt idx="333">
                  <c:v>136.30902719839813</c:v>
                </c:pt>
                <c:pt idx="334">
                  <c:v>135.66939206852439</c:v>
                </c:pt>
                <c:pt idx="335">
                  <c:v>135.83069136214473</c:v>
                </c:pt>
                <c:pt idx="336">
                  <c:v>134.58479337004283</c:v>
                </c:pt>
                <c:pt idx="337">
                  <c:v>134.74053061905556</c:v>
                </c:pt>
                <c:pt idx="338">
                  <c:v>137.78296901941155</c:v>
                </c:pt>
                <c:pt idx="339">
                  <c:v>141.65971411090717</c:v>
                </c:pt>
                <c:pt idx="340">
                  <c:v>140.44718838645085</c:v>
                </c:pt>
                <c:pt idx="341">
                  <c:v>141.22031258690694</c:v>
                </c:pt>
                <c:pt idx="342">
                  <c:v>146.17609433227656</c:v>
                </c:pt>
                <c:pt idx="343">
                  <c:v>142.27710106235054</c:v>
                </c:pt>
                <c:pt idx="344">
                  <c:v>142.43840035597083</c:v>
                </c:pt>
                <c:pt idx="345">
                  <c:v>142.46621057900884</c:v>
                </c:pt>
                <c:pt idx="346">
                  <c:v>144.95244451860506</c:v>
                </c:pt>
                <c:pt idx="347">
                  <c:v>144.69659046665552</c:v>
                </c:pt>
                <c:pt idx="348">
                  <c:v>139.3347794649313</c:v>
                </c:pt>
                <c:pt idx="349">
                  <c:v>141.14800600700818</c:v>
                </c:pt>
                <c:pt idx="350">
                  <c:v>145.56426942544078</c:v>
                </c:pt>
                <c:pt idx="351">
                  <c:v>147.13276600478335</c:v>
                </c:pt>
                <c:pt idx="352">
                  <c:v>150.17520440513934</c:v>
                </c:pt>
                <c:pt idx="353">
                  <c:v>152.6836865231659</c:v>
                </c:pt>
                <c:pt idx="354">
                  <c:v>150.80371544579788</c:v>
                </c:pt>
                <c:pt idx="355">
                  <c:v>148.13949607875853</c:v>
                </c:pt>
                <c:pt idx="356">
                  <c:v>143.18371433338896</c:v>
                </c:pt>
                <c:pt idx="357">
                  <c:v>136.90416597141109</c:v>
                </c:pt>
                <c:pt idx="358">
                  <c:v>134.167640024473</c:v>
                </c:pt>
                <c:pt idx="359">
                  <c:v>137.00984481895546</c:v>
                </c:pt>
                <c:pt idx="360">
                  <c:v>135.9029979420435</c:v>
                </c:pt>
                <c:pt idx="361">
                  <c:v>134.54585905778967</c:v>
                </c:pt>
                <c:pt idx="362">
                  <c:v>135.62489571166361</c:v>
                </c:pt>
                <c:pt idx="363">
                  <c:v>134.87958173424553</c:v>
                </c:pt>
                <c:pt idx="364">
                  <c:v>137.14333388953779</c:v>
                </c:pt>
                <c:pt idx="365">
                  <c:v>135.95305634351189</c:v>
                </c:pt>
                <c:pt idx="366">
                  <c:v>135.87518771900551</c:v>
                </c:pt>
                <c:pt idx="367">
                  <c:v>136.60381556260083</c:v>
                </c:pt>
                <c:pt idx="368">
                  <c:v>137.84971355470273</c:v>
                </c:pt>
                <c:pt idx="369">
                  <c:v>137.92758217920908</c:v>
                </c:pt>
                <c:pt idx="370">
                  <c:v>141.77095500305913</c:v>
                </c:pt>
                <c:pt idx="371">
                  <c:v>139.42933422326047</c:v>
                </c:pt>
                <c:pt idx="372">
                  <c:v>133.71711441125757</c:v>
                </c:pt>
                <c:pt idx="373">
                  <c:v>131.13632571333221</c:v>
                </c:pt>
                <c:pt idx="374">
                  <c:v>134.20101229211858</c:v>
                </c:pt>
                <c:pt idx="375">
                  <c:v>136.38689582290451</c:v>
                </c:pt>
                <c:pt idx="376">
                  <c:v>132.9439902108015</c:v>
                </c:pt>
                <c:pt idx="377">
                  <c:v>130.61349352021804</c:v>
                </c:pt>
                <c:pt idx="378">
                  <c:v>129.12842760998944</c:v>
                </c:pt>
                <c:pt idx="379">
                  <c:v>129.02274876244508</c:v>
                </c:pt>
                <c:pt idx="380">
                  <c:v>128.94488013793872</c:v>
                </c:pt>
                <c:pt idx="381">
                  <c:v>129.56782913398965</c:v>
                </c:pt>
                <c:pt idx="382">
                  <c:v>129.56782913398965</c:v>
                </c:pt>
                <c:pt idx="383">
                  <c:v>131.41442794371213</c:v>
                </c:pt>
                <c:pt idx="384">
                  <c:v>132.08187329662385</c:v>
                </c:pt>
                <c:pt idx="385">
                  <c:v>135.08537738472663</c:v>
                </c:pt>
                <c:pt idx="386">
                  <c:v>136.33683742143612</c:v>
                </c:pt>
                <c:pt idx="387">
                  <c:v>135.9363702096891</c:v>
                </c:pt>
                <c:pt idx="388">
                  <c:v>141.0923855609322</c:v>
                </c:pt>
                <c:pt idx="389">
                  <c:v>140.19133433450136</c:v>
                </c:pt>
                <c:pt idx="390">
                  <c:v>140.34707158351412</c:v>
                </c:pt>
                <c:pt idx="391">
                  <c:v>138.97880861004506</c:v>
                </c:pt>
                <c:pt idx="392">
                  <c:v>138.84531953946271</c:v>
                </c:pt>
                <c:pt idx="393">
                  <c:v>139.37371377718449</c:v>
                </c:pt>
                <c:pt idx="394">
                  <c:v>139.18460426052619</c:v>
                </c:pt>
                <c:pt idx="395">
                  <c:v>139.29028310807055</c:v>
                </c:pt>
                <c:pt idx="396">
                  <c:v>137.65504199343678</c:v>
                </c:pt>
                <c:pt idx="397">
                  <c:v>133.74492463429556</c:v>
                </c:pt>
                <c:pt idx="398">
                  <c:v>134.10089548918182</c:v>
                </c:pt>
                <c:pt idx="399">
                  <c:v>134.28444296123257</c:v>
                </c:pt>
                <c:pt idx="400">
                  <c:v>132.39334779464934</c:v>
                </c:pt>
                <c:pt idx="401">
                  <c:v>132.4823405083709</c:v>
                </c:pt>
                <c:pt idx="402">
                  <c:v>134.40124589799208</c:v>
                </c:pt>
                <c:pt idx="403">
                  <c:v>135.65826797930919</c:v>
                </c:pt>
                <c:pt idx="404">
                  <c:v>137.66616608265198</c:v>
                </c:pt>
                <c:pt idx="405">
                  <c:v>138.3280493909561</c:v>
                </c:pt>
                <c:pt idx="406">
                  <c:v>140.60292563546361</c:v>
                </c:pt>
                <c:pt idx="407">
                  <c:v>142.65532009566721</c:v>
                </c:pt>
                <c:pt idx="408">
                  <c:v>143.85672173090828</c:v>
                </c:pt>
                <c:pt idx="409">
                  <c:v>145.5698314700484</c:v>
                </c:pt>
                <c:pt idx="410">
                  <c:v>144.57978752989601</c:v>
                </c:pt>
                <c:pt idx="411">
                  <c:v>141.12019578397019</c:v>
                </c:pt>
                <c:pt idx="412">
                  <c:v>141.03676511485622</c:v>
                </c:pt>
                <c:pt idx="413">
                  <c:v>142.46621057900884</c:v>
                </c:pt>
                <c:pt idx="414">
                  <c:v>142.68869236331275</c:v>
                </c:pt>
                <c:pt idx="415">
                  <c:v>143.77885310640193</c:v>
                </c:pt>
                <c:pt idx="416">
                  <c:v>144.36286779019969</c:v>
                </c:pt>
                <c:pt idx="417">
                  <c:v>153.64035819567275</c:v>
                </c:pt>
                <c:pt idx="418">
                  <c:v>152.36108793592527</c:v>
                </c:pt>
                <c:pt idx="419">
                  <c:v>150.39212414483563</c:v>
                </c:pt>
                <c:pt idx="420">
                  <c:v>149.54113131987322</c:v>
                </c:pt>
                <c:pt idx="421">
                  <c:v>151.66027031536794</c:v>
                </c:pt>
                <c:pt idx="422">
                  <c:v>161.54958562767675</c:v>
                </c:pt>
                <c:pt idx="423">
                  <c:v>161.6274542521831</c:v>
                </c:pt>
                <c:pt idx="424">
                  <c:v>162.58412592468991</c:v>
                </c:pt>
                <c:pt idx="425">
                  <c:v>162.4339507202848</c:v>
                </c:pt>
                <c:pt idx="426">
                  <c:v>160.39824239390401</c:v>
                </c:pt>
                <c:pt idx="427">
                  <c:v>160.02558540519493</c:v>
                </c:pt>
                <c:pt idx="428">
                  <c:v>157.22787696757331</c:v>
                </c:pt>
                <c:pt idx="429">
                  <c:v>155.33678180099005</c:v>
                </c:pt>
                <c:pt idx="430">
                  <c:v>155.03643139217976</c:v>
                </c:pt>
                <c:pt idx="431">
                  <c:v>154.63040213582514</c:v>
                </c:pt>
                <c:pt idx="432">
                  <c:v>154.51916124367318</c:v>
                </c:pt>
                <c:pt idx="433">
                  <c:v>156.39357027643365</c:v>
                </c:pt>
                <c:pt idx="434">
                  <c:v>158.30135157683966</c:v>
                </c:pt>
                <c:pt idx="435">
                  <c:v>161.50508927081597</c:v>
                </c:pt>
                <c:pt idx="436">
                  <c:v>160.40936648311919</c:v>
                </c:pt>
                <c:pt idx="437">
                  <c:v>159.29139551699205</c:v>
                </c:pt>
                <c:pt idx="438">
                  <c:v>160.25919127871407</c:v>
                </c:pt>
                <c:pt idx="439">
                  <c:v>159.65849046109349</c:v>
                </c:pt>
                <c:pt idx="440">
                  <c:v>159.35257800767565</c:v>
                </c:pt>
                <c:pt idx="441">
                  <c:v>158.87980421602981</c:v>
                </c:pt>
                <c:pt idx="442">
                  <c:v>159.98108904833416</c:v>
                </c:pt>
                <c:pt idx="443">
                  <c:v>159.55281161354915</c:v>
                </c:pt>
                <c:pt idx="444">
                  <c:v>156.42138049947164</c:v>
                </c:pt>
                <c:pt idx="445">
                  <c:v>153.68485455253352</c:v>
                </c:pt>
                <c:pt idx="446">
                  <c:v>155.49251905000278</c:v>
                </c:pt>
                <c:pt idx="447">
                  <c:v>154.68602258190111</c:v>
                </c:pt>
                <c:pt idx="448">
                  <c:v>153.38450414372323</c:v>
                </c:pt>
                <c:pt idx="449">
                  <c:v>154.06863563045775</c:v>
                </c:pt>
                <c:pt idx="450">
                  <c:v>151.64914622615274</c:v>
                </c:pt>
                <c:pt idx="451">
                  <c:v>147.33299961065686</c:v>
                </c:pt>
                <c:pt idx="452">
                  <c:v>145.12486790144058</c:v>
                </c:pt>
                <c:pt idx="453">
                  <c:v>146.35407975971967</c:v>
                </c:pt>
                <c:pt idx="454">
                  <c:v>146.20946659992214</c:v>
                </c:pt>
                <c:pt idx="455">
                  <c:v>147.01040102341622</c:v>
                </c:pt>
                <c:pt idx="456">
                  <c:v>147.14389009399858</c:v>
                </c:pt>
                <c:pt idx="457">
                  <c:v>145.92580232493466</c:v>
                </c:pt>
                <c:pt idx="458">
                  <c:v>143.58974358974362</c:v>
                </c:pt>
                <c:pt idx="459">
                  <c:v>143.07247344123701</c:v>
                </c:pt>
                <c:pt idx="460">
                  <c:v>142.14917403637577</c:v>
                </c:pt>
                <c:pt idx="461">
                  <c:v>143.01685299516103</c:v>
                </c:pt>
                <c:pt idx="462">
                  <c:v>143.15590411035097</c:v>
                </c:pt>
                <c:pt idx="463">
                  <c:v>140.15240002224817</c:v>
                </c:pt>
                <c:pt idx="464">
                  <c:v>141.98787474275545</c:v>
                </c:pt>
                <c:pt idx="465">
                  <c:v>139.99110072862783</c:v>
                </c:pt>
                <c:pt idx="466">
                  <c:v>142.40502808832528</c:v>
                </c:pt>
                <c:pt idx="467">
                  <c:v>144.65209410979475</c:v>
                </c:pt>
                <c:pt idx="468">
                  <c:v>149.16847433116413</c:v>
                </c:pt>
                <c:pt idx="469">
                  <c:v>149.71355470270873</c:v>
                </c:pt>
                <c:pt idx="470">
                  <c:v>150.23082485121532</c:v>
                </c:pt>
                <c:pt idx="471">
                  <c:v>153.25101507314088</c:v>
                </c:pt>
                <c:pt idx="472">
                  <c:v>152.61137994326714</c:v>
                </c:pt>
                <c:pt idx="473">
                  <c:v>152.86167195060904</c:v>
                </c:pt>
                <c:pt idx="474">
                  <c:v>154.36898603926807</c:v>
                </c:pt>
                <c:pt idx="475">
                  <c:v>152.95066466433062</c:v>
                </c:pt>
                <c:pt idx="476">
                  <c:v>153.01184715501421</c:v>
                </c:pt>
                <c:pt idx="477">
                  <c:v>151.39885421881084</c:v>
                </c:pt>
                <c:pt idx="478">
                  <c:v>153.71266477557151</c:v>
                </c:pt>
                <c:pt idx="479">
                  <c:v>152.4834529172924</c:v>
                </c:pt>
                <c:pt idx="480">
                  <c:v>150.82040157962069</c:v>
                </c:pt>
                <c:pt idx="481">
                  <c:v>151.32654763891207</c:v>
                </c:pt>
                <c:pt idx="482">
                  <c:v>152.58356972022915</c:v>
                </c:pt>
                <c:pt idx="483">
                  <c:v>154.18543856721732</c:v>
                </c:pt>
                <c:pt idx="484">
                  <c:v>151.79932143055791</c:v>
                </c:pt>
                <c:pt idx="485">
                  <c:v>149.37426998164526</c:v>
                </c:pt>
                <c:pt idx="486">
                  <c:v>148.93486845764502</c:v>
                </c:pt>
                <c:pt idx="487">
                  <c:v>146.73229879303634</c:v>
                </c:pt>
                <c:pt idx="488">
                  <c:v>149.80254741643029</c:v>
                </c:pt>
                <c:pt idx="489">
                  <c:v>150.43105845708882</c:v>
                </c:pt>
                <c:pt idx="490">
                  <c:v>151.71032871683633</c:v>
                </c:pt>
                <c:pt idx="491">
                  <c:v>147.37749596751769</c:v>
                </c:pt>
                <c:pt idx="492">
                  <c:v>143.82891150787029</c:v>
                </c:pt>
                <c:pt idx="493">
                  <c:v>140.6418599477168</c:v>
                </c:pt>
                <c:pt idx="494">
                  <c:v>139.91879414872906</c:v>
                </c:pt>
                <c:pt idx="495">
                  <c:v>138.93431225318426</c:v>
                </c:pt>
                <c:pt idx="496">
                  <c:v>139.3459035541465</c:v>
                </c:pt>
                <c:pt idx="497">
                  <c:v>136.33683742143612</c:v>
                </c:pt>
                <c:pt idx="498">
                  <c:v>137.55492519050003</c:v>
                </c:pt>
                <c:pt idx="499">
                  <c:v>133.36114355637133</c:v>
                </c:pt>
                <c:pt idx="500">
                  <c:v>130.63017965404086</c:v>
                </c:pt>
                <c:pt idx="501">
                  <c:v>133.68374214361199</c:v>
                </c:pt>
                <c:pt idx="502">
                  <c:v>130.80260303687638</c:v>
                </c:pt>
                <c:pt idx="503">
                  <c:v>122.86556538183437</c:v>
                </c:pt>
                <c:pt idx="504">
                  <c:v>123.11029534456867</c:v>
                </c:pt>
                <c:pt idx="505">
                  <c:v>124.98470437732911</c:v>
                </c:pt>
                <c:pt idx="506">
                  <c:v>126.35296735079815</c:v>
                </c:pt>
                <c:pt idx="507">
                  <c:v>125.16825184937983</c:v>
                </c:pt>
                <c:pt idx="508">
                  <c:v>128.66121586295122</c:v>
                </c:pt>
                <c:pt idx="509">
                  <c:v>130.75254463540799</c:v>
                </c:pt>
                <c:pt idx="510">
                  <c:v>131.54235496968687</c:v>
                </c:pt>
                <c:pt idx="511">
                  <c:v>134.10645753378944</c:v>
                </c:pt>
                <c:pt idx="512">
                  <c:v>132.77712887257357</c:v>
                </c:pt>
                <c:pt idx="513">
                  <c:v>130.19634017464821</c:v>
                </c:pt>
                <c:pt idx="514">
                  <c:v>133.93959619556151</c:v>
                </c:pt>
                <c:pt idx="515">
                  <c:v>134.03415095389065</c:v>
                </c:pt>
                <c:pt idx="516">
                  <c:v>131.85382946771233</c:v>
                </c:pt>
                <c:pt idx="517">
                  <c:v>132.12080760887704</c:v>
                </c:pt>
                <c:pt idx="518">
                  <c:v>129.56226708938206</c:v>
                </c:pt>
                <c:pt idx="519">
                  <c:v>129.7625006952556</c:v>
                </c:pt>
                <c:pt idx="520">
                  <c:v>131.9706324044719</c:v>
                </c:pt>
                <c:pt idx="521">
                  <c:v>133.54469102842205</c:v>
                </c:pt>
                <c:pt idx="522">
                  <c:v>131.92057400300351</c:v>
                </c:pt>
                <c:pt idx="523">
                  <c:v>128.33861727571056</c:v>
                </c:pt>
                <c:pt idx="524">
                  <c:v>127.10940541743145</c:v>
                </c:pt>
                <c:pt idx="525">
                  <c:v>125.97474831748153</c:v>
                </c:pt>
                <c:pt idx="526">
                  <c:v>133.227654485789</c:v>
                </c:pt>
                <c:pt idx="527">
                  <c:v>131.03064686578787</c:v>
                </c:pt>
                <c:pt idx="528">
                  <c:v>134.76834084209358</c:v>
                </c:pt>
                <c:pt idx="529">
                  <c:v>135.42466210579011</c:v>
                </c:pt>
                <c:pt idx="530">
                  <c:v>136.00867678958787</c:v>
                </c:pt>
                <c:pt idx="531">
                  <c:v>133.79498303576395</c:v>
                </c:pt>
                <c:pt idx="532">
                  <c:v>134.56254519161243</c:v>
                </c:pt>
                <c:pt idx="533">
                  <c:v>130.24639857611658</c:v>
                </c:pt>
                <c:pt idx="534">
                  <c:v>133.80610712497912</c:v>
                </c:pt>
                <c:pt idx="535">
                  <c:v>136.01423883419545</c:v>
                </c:pt>
                <c:pt idx="536">
                  <c:v>138.77857500417156</c:v>
                </c:pt>
                <c:pt idx="537">
                  <c:v>137.40474998609488</c:v>
                </c:pt>
                <c:pt idx="538">
                  <c:v>136.48701262584126</c:v>
                </c:pt>
                <c:pt idx="539">
                  <c:v>136.46476444741086</c:v>
                </c:pt>
                <c:pt idx="540">
                  <c:v>145.90911619111185</c:v>
                </c:pt>
                <c:pt idx="541">
                  <c:v>146.63218199009958</c:v>
                </c:pt>
                <c:pt idx="542">
                  <c:v>148.53440124589801</c:v>
                </c:pt>
                <c:pt idx="543">
                  <c:v>150.19745258356974</c:v>
                </c:pt>
                <c:pt idx="544">
                  <c:v>148.64008009344235</c:v>
                </c:pt>
                <c:pt idx="545">
                  <c:v>147.86139384837867</c:v>
                </c:pt>
                <c:pt idx="546">
                  <c:v>149.2964013571389</c:v>
                </c:pt>
                <c:pt idx="547">
                  <c:v>149.96940875465822</c:v>
                </c:pt>
                <c:pt idx="548">
                  <c:v>151.48784693253242</c:v>
                </c:pt>
                <c:pt idx="549">
                  <c:v>149.39095611546804</c:v>
                </c:pt>
                <c:pt idx="550">
                  <c:v>148.12837198954335</c:v>
                </c:pt>
                <c:pt idx="551">
                  <c:v>150.7703431781523</c:v>
                </c:pt>
                <c:pt idx="552">
                  <c:v>153.2398909839257</c:v>
                </c:pt>
                <c:pt idx="553">
                  <c:v>153.51799321430556</c:v>
                </c:pt>
                <c:pt idx="554">
                  <c:v>152.02736525946938</c:v>
                </c:pt>
                <c:pt idx="555">
                  <c:v>150.47555481394963</c:v>
                </c:pt>
                <c:pt idx="556">
                  <c:v>151.10962789921575</c:v>
                </c:pt>
                <c:pt idx="557">
                  <c:v>149.16847433116413</c:v>
                </c:pt>
                <c:pt idx="558">
                  <c:v>150.26419711886092</c:v>
                </c:pt>
                <c:pt idx="559">
                  <c:v>146.0203570832638</c:v>
                </c:pt>
                <c:pt idx="560">
                  <c:v>147.56660548417599</c:v>
                </c:pt>
                <c:pt idx="561">
                  <c:v>147.43311641359364</c:v>
                </c:pt>
                <c:pt idx="562">
                  <c:v>146.49313087490964</c:v>
                </c:pt>
                <c:pt idx="563">
                  <c:v>147.36080983369487</c:v>
                </c:pt>
                <c:pt idx="564">
                  <c:v>147.99488291896103</c:v>
                </c:pt>
                <c:pt idx="565">
                  <c:v>147.7668390900495</c:v>
                </c:pt>
                <c:pt idx="566">
                  <c:v>147.28850325379611</c:v>
                </c:pt>
                <c:pt idx="567">
                  <c:v>147.95038656210025</c:v>
                </c:pt>
                <c:pt idx="568">
                  <c:v>147.44980254741645</c:v>
                </c:pt>
                <c:pt idx="569">
                  <c:v>145.23610879359254</c:v>
                </c:pt>
                <c:pt idx="570">
                  <c:v>147.68897046554312</c:v>
                </c:pt>
                <c:pt idx="571">
                  <c:v>145.04143723232662</c:v>
                </c:pt>
                <c:pt idx="572">
                  <c:v>145.26948106123811</c:v>
                </c:pt>
                <c:pt idx="573">
                  <c:v>144.07920351521221</c:v>
                </c:pt>
                <c:pt idx="574">
                  <c:v>143.57861950052839</c:v>
                </c:pt>
                <c:pt idx="575">
                  <c:v>142.35496968685689</c:v>
                </c:pt>
                <c:pt idx="576">
                  <c:v>145.19161243673176</c:v>
                </c:pt>
                <c:pt idx="577">
                  <c:v>147.10495578174539</c:v>
                </c:pt>
                <c:pt idx="578">
                  <c:v>141.63190388786916</c:v>
                </c:pt>
                <c:pt idx="579">
                  <c:v>142.92229823683184</c:v>
                </c:pt>
                <c:pt idx="580">
                  <c:v>145.82568552199791</c:v>
                </c:pt>
                <c:pt idx="581">
                  <c:v>145.0692474553646</c:v>
                </c:pt>
                <c:pt idx="582">
                  <c:v>147.21063462928973</c:v>
                </c:pt>
                <c:pt idx="583">
                  <c:v>147.78908726847988</c:v>
                </c:pt>
                <c:pt idx="584">
                  <c:v>148.08387563268261</c:v>
                </c:pt>
                <c:pt idx="585">
                  <c:v>148.50659102286002</c:v>
                </c:pt>
                <c:pt idx="586">
                  <c:v>148.20067856944212</c:v>
                </c:pt>
                <c:pt idx="587">
                  <c:v>150.14739418210135</c:v>
                </c:pt>
                <c:pt idx="588">
                  <c:v>150.581233661494</c:v>
                </c:pt>
                <c:pt idx="589">
                  <c:v>149.61899994437957</c:v>
                </c:pt>
                <c:pt idx="590">
                  <c:v>150.13627009288615</c:v>
                </c:pt>
                <c:pt idx="591">
                  <c:v>145.48083875632682</c:v>
                </c:pt>
                <c:pt idx="592">
                  <c:v>144.95800656321265</c:v>
                </c:pt>
                <c:pt idx="593">
                  <c:v>146.28733522442849</c:v>
                </c:pt>
                <c:pt idx="594">
                  <c:v>148.28410923855611</c:v>
                </c:pt>
                <c:pt idx="595">
                  <c:v>147.39974414594806</c:v>
                </c:pt>
                <c:pt idx="596">
                  <c:v>148.94043050225264</c:v>
                </c:pt>
                <c:pt idx="597">
                  <c:v>149.68018243506313</c:v>
                </c:pt>
                <c:pt idx="598">
                  <c:v>150.96501473941822</c:v>
                </c:pt>
                <c:pt idx="599">
                  <c:v>152.86167195060904</c:v>
                </c:pt>
                <c:pt idx="600">
                  <c:v>150.23638689582293</c:v>
                </c:pt>
                <c:pt idx="601">
                  <c:v>152.35552589131765</c:v>
                </c:pt>
                <c:pt idx="602">
                  <c:v>151.71589076144389</c:v>
                </c:pt>
                <c:pt idx="603">
                  <c:v>152.77267923688748</c:v>
                </c:pt>
                <c:pt idx="604">
                  <c:v>152.92285444129263</c:v>
                </c:pt>
                <c:pt idx="605">
                  <c:v>156.76622726514267</c:v>
                </c:pt>
                <c:pt idx="606">
                  <c:v>157.50041715334561</c:v>
                </c:pt>
                <c:pt idx="607">
                  <c:v>156.62161410534512</c:v>
                </c:pt>
                <c:pt idx="608">
                  <c:v>156.90527838033265</c:v>
                </c:pt>
                <c:pt idx="609">
                  <c:v>159.36370209689082</c:v>
                </c:pt>
                <c:pt idx="610">
                  <c:v>158.65176038711832</c:v>
                </c:pt>
                <c:pt idx="611">
                  <c:v>162.3505200511708</c:v>
                </c:pt>
                <c:pt idx="612">
                  <c:v>164.43628677901995</c:v>
                </c:pt>
                <c:pt idx="613">
                  <c:v>163.02352744869015</c:v>
                </c:pt>
                <c:pt idx="614">
                  <c:v>162.20034484676569</c:v>
                </c:pt>
                <c:pt idx="615">
                  <c:v>161.23254908504367</c:v>
                </c:pt>
                <c:pt idx="616">
                  <c:v>162.87891428889259</c:v>
                </c:pt>
                <c:pt idx="617">
                  <c:v>159.23021302630846</c:v>
                </c:pt>
                <c:pt idx="618">
                  <c:v>160.34262194782804</c:v>
                </c:pt>
                <c:pt idx="619">
                  <c:v>162.63418432615828</c:v>
                </c:pt>
                <c:pt idx="620">
                  <c:v>161.46615495856278</c:v>
                </c:pt>
                <c:pt idx="621">
                  <c:v>161.96673897324655</c:v>
                </c:pt>
                <c:pt idx="622">
                  <c:v>161.93892875020856</c:v>
                </c:pt>
                <c:pt idx="623">
                  <c:v>161.94449079481618</c:v>
                </c:pt>
                <c:pt idx="624">
                  <c:v>161.94449079481618</c:v>
                </c:pt>
                <c:pt idx="625">
                  <c:v>162.6842427276267</c:v>
                </c:pt>
                <c:pt idx="626">
                  <c:v>160.21469492185329</c:v>
                </c:pt>
                <c:pt idx="627">
                  <c:v>162.59525001390512</c:v>
                </c:pt>
                <c:pt idx="628">
                  <c:v>163.97463707658937</c:v>
                </c:pt>
                <c:pt idx="629">
                  <c:v>166.25507536570444</c:v>
                </c:pt>
                <c:pt idx="630">
                  <c:v>162.65643250458871</c:v>
                </c:pt>
                <c:pt idx="631">
                  <c:v>163.76327938150067</c:v>
                </c:pt>
                <c:pt idx="632">
                  <c:v>167.7790755881862</c:v>
                </c:pt>
                <c:pt idx="633">
                  <c:v>164.04694365648814</c:v>
                </c:pt>
                <c:pt idx="634">
                  <c:v>163.54079759719673</c:v>
                </c:pt>
                <c:pt idx="635">
                  <c:v>162.38945436342397</c:v>
                </c:pt>
                <c:pt idx="636">
                  <c:v>162.55075365704434</c:v>
                </c:pt>
                <c:pt idx="637">
                  <c:v>166.07152789365372</c:v>
                </c:pt>
                <c:pt idx="638">
                  <c:v>165.63212636965349</c:v>
                </c:pt>
                <c:pt idx="639">
                  <c:v>166.24395127648924</c:v>
                </c:pt>
                <c:pt idx="640">
                  <c:v>165.52088547750151</c:v>
                </c:pt>
                <c:pt idx="641">
                  <c:v>163.41843261582957</c:v>
                </c:pt>
                <c:pt idx="642">
                  <c:v>163.94682685355139</c:v>
                </c:pt>
                <c:pt idx="643">
                  <c:v>166.46643306079315</c:v>
                </c:pt>
                <c:pt idx="644">
                  <c:v>168.54107569942713</c:v>
                </c:pt>
                <c:pt idx="645">
                  <c:v>171.09961621892208</c:v>
                </c:pt>
                <c:pt idx="646">
                  <c:v>167.77351354357862</c:v>
                </c:pt>
                <c:pt idx="647">
                  <c:v>168.73574726069305</c:v>
                </c:pt>
                <c:pt idx="648">
                  <c:v>169.47549919350354</c:v>
                </c:pt>
                <c:pt idx="649">
                  <c:v>169.45881305968075</c:v>
                </c:pt>
                <c:pt idx="650">
                  <c:v>167.3619222426164</c:v>
                </c:pt>
                <c:pt idx="651">
                  <c:v>169.32532398909842</c:v>
                </c:pt>
                <c:pt idx="652">
                  <c:v>168.47433116413592</c:v>
                </c:pt>
                <c:pt idx="653">
                  <c:v>167.65671060681908</c:v>
                </c:pt>
                <c:pt idx="654">
                  <c:v>168.39090049502198</c:v>
                </c:pt>
                <c:pt idx="655">
                  <c:v>171.90611268702375</c:v>
                </c:pt>
                <c:pt idx="656">
                  <c:v>168.5855720562879</c:v>
                </c:pt>
                <c:pt idx="657">
                  <c:v>164.76444741086823</c:v>
                </c:pt>
                <c:pt idx="658">
                  <c:v>164.27498748539966</c:v>
                </c:pt>
                <c:pt idx="659">
                  <c:v>164.34173202069081</c:v>
                </c:pt>
                <c:pt idx="660">
                  <c:v>165.50976138828634</c:v>
                </c:pt>
                <c:pt idx="661">
                  <c:v>163.34056399132322</c:v>
                </c:pt>
                <c:pt idx="662">
                  <c:v>162.4450748095</c:v>
                </c:pt>
                <c:pt idx="663">
                  <c:v>162.82329384281664</c:v>
                </c:pt>
                <c:pt idx="664">
                  <c:v>162.41726458646198</c:v>
                </c:pt>
                <c:pt idx="665">
                  <c:v>162.73986317370264</c:v>
                </c:pt>
                <c:pt idx="666">
                  <c:v>164.06362979031096</c:v>
                </c:pt>
                <c:pt idx="667">
                  <c:v>161.29929362033485</c:v>
                </c:pt>
                <c:pt idx="668">
                  <c:v>161.02119138995496</c:v>
                </c:pt>
                <c:pt idx="669">
                  <c:v>160.49279715223318</c:v>
                </c:pt>
                <c:pt idx="670">
                  <c:v>162.55631570165193</c:v>
                </c:pt>
                <c:pt idx="671">
                  <c:v>158.57389176261196</c:v>
                </c:pt>
                <c:pt idx="672">
                  <c:v>159.24133711552369</c:v>
                </c:pt>
                <c:pt idx="673">
                  <c:v>159.79754157628346</c:v>
                </c:pt>
                <c:pt idx="674">
                  <c:v>162.87891428889259</c:v>
                </c:pt>
                <c:pt idx="675">
                  <c:v>164.13593637020972</c:v>
                </c:pt>
                <c:pt idx="676">
                  <c:v>164.13037432560208</c:v>
                </c:pt>
                <c:pt idx="677">
                  <c:v>158.01212525724455</c:v>
                </c:pt>
                <c:pt idx="678">
                  <c:v>156.05984759997776</c:v>
                </c:pt>
                <c:pt idx="679">
                  <c:v>155.78174536959784</c:v>
                </c:pt>
                <c:pt idx="680">
                  <c:v>156.77735135435788</c:v>
                </c:pt>
                <c:pt idx="681">
                  <c:v>158.08999388175096</c:v>
                </c:pt>
                <c:pt idx="682">
                  <c:v>159.05778964347297</c:v>
                </c:pt>
                <c:pt idx="683">
                  <c:v>160.09232994048611</c:v>
                </c:pt>
                <c:pt idx="684">
                  <c:v>159.73635908559987</c:v>
                </c:pt>
                <c:pt idx="685">
                  <c:v>162.81216975360144</c:v>
                </c:pt>
                <c:pt idx="686">
                  <c:v>164.12481228099449</c:v>
                </c:pt>
                <c:pt idx="687">
                  <c:v>165.32621391623564</c:v>
                </c:pt>
                <c:pt idx="688">
                  <c:v>162.32827187274043</c:v>
                </c:pt>
                <c:pt idx="689">
                  <c:v>161.21030090661327</c:v>
                </c:pt>
                <c:pt idx="690">
                  <c:v>162.73986317370264</c:v>
                </c:pt>
                <c:pt idx="691">
                  <c:v>163.32943990210802</c:v>
                </c:pt>
                <c:pt idx="692">
                  <c:v>164.00800934423495</c:v>
                </c:pt>
                <c:pt idx="693">
                  <c:v>164.51415540352633</c:v>
                </c:pt>
                <c:pt idx="694">
                  <c:v>161.87774625952503</c:v>
                </c:pt>
                <c:pt idx="695">
                  <c:v>165.06479781967852</c:v>
                </c:pt>
                <c:pt idx="696">
                  <c:v>166.45530897157795</c:v>
                </c:pt>
                <c:pt idx="697">
                  <c:v>164.60314811724791</c:v>
                </c:pt>
                <c:pt idx="698">
                  <c:v>165.01473941821016</c:v>
                </c:pt>
                <c:pt idx="699">
                  <c:v>162.41726458646198</c:v>
                </c:pt>
                <c:pt idx="700">
                  <c:v>158.74631514544748</c:v>
                </c:pt>
                <c:pt idx="701">
                  <c:v>160.37599421547358</c:v>
                </c:pt>
                <c:pt idx="702">
                  <c:v>162.33939596195563</c:v>
                </c:pt>
                <c:pt idx="703">
                  <c:v>162.34495800656322</c:v>
                </c:pt>
                <c:pt idx="704">
                  <c:v>162.87891428889259</c:v>
                </c:pt>
                <c:pt idx="705">
                  <c:v>163.32387785750043</c:v>
                </c:pt>
                <c:pt idx="706">
                  <c:v>163.6353523555259</c:v>
                </c:pt>
                <c:pt idx="707">
                  <c:v>162.42282663106957</c:v>
                </c:pt>
                <c:pt idx="708">
                  <c:v>160.67634462428387</c:v>
                </c:pt>
                <c:pt idx="709">
                  <c:v>158.64063629790311</c:v>
                </c:pt>
                <c:pt idx="710">
                  <c:v>162.77323544134822</c:v>
                </c:pt>
                <c:pt idx="711">
                  <c:v>165.00917737360254</c:v>
                </c:pt>
                <c:pt idx="712">
                  <c:v>166.77790755881864</c:v>
                </c:pt>
                <c:pt idx="713">
                  <c:v>162.47844707714557</c:v>
                </c:pt>
                <c:pt idx="714">
                  <c:v>166.37744034707157</c:v>
                </c:pt>
                <c:pt idx="715">
                  <c:v>173.3244340619612</c:v>
                </c:pt>
                <c:pt idx="716">
                  <c:v>172.21202514044163</c:v>
                </c:pt>
                <c:pt idx="717">
                  <c:v>173.00183547472051</c:v>
                </c:pt>
                <c:pt idx="718">
                  <c:v>166.01590744757775</c:v>
                </c:pt>
                <c:pt idx="719">
                  <c:v>167.81244785583181</c:v>
                </c:pt>
                <c:pt idx="720">
                  <c:v>170.18187885866845</c:v>
                </c:pt>
                <c:pt idx="721">
                  <c:v>164.71995105400745</c:v>
                </c:pt>
                <c:pt idx="722">
                  <c:v>166.31069581178042</c:v>
                </c:pt>
                <c:pt idx="723">
                  <c:v>168.68012681461707</c:v>
                </c:pt>
                <c:pt idx="724">
                  <c:v>166.90027254018577</c:v>
                </c:pt>
                <c:pt idx="725">
                  <c:v>167.08382001223649</c:v>
                </c:pt>
                <c:pt idx="726">
                  <c:v>166.12158629512211</c:v>
                </c:pt>
                <c:pt idx="727">
                  <c:v>166.71116302352746</c:v>
                </c:pt>
                <c:pt idx="728">
                  <c:v>166.56654986372993</c:v>
                </c:pt>
                <c:pt idx="729">
                  <c:v>167.16168863674287</c:v>
                </c:pt>
                <c:pt idx="730">
                  <c:v>170.15406863563047</c:v>
                </c:pt>
                <c:pt idx="731">
                  <c:v>172.98514934089772</c:v>
                </c:pt>
                <c:pt idx="732">
                  <c:v>173.25212748206243</c:v>
                </c:pt>
                <c:pt idx="733">
                  <c:v>172.84609822570778</c:v>
                </c:pt>
                <c:pt idx="734">
                  <c:v>180.05450803715448</c:v>
                </c:pt>
                <c:pt idx="735">
                  <c:v>182.05684409588966</c:v>
                </c:pt>
                <c:pt idx="736">
                  <c:v>183.75326770120697</c:v>
                </c:pt>
                <c:pt idx="737">
                  <c:v>177.86306246176093</c:v>
                </c:pt>
                <c:pt idx="738">
                  <c:v>179.05334000778689</c:v>
                </c:pt>
                <c:pt idx="739">
                  <c:v>182.24039156794035</c:v>
                </c:pt>
                <c:pt idx="740">
                  <c:v>168.09611213081931</c:v>
                </c:pt>
                <c:pt idx="741">
                  <c:v>166.50536737304634</c:v>
                </c:pt>
                <c:pt idx="742">
                  <c:v>168.44652094109799</c:v>
                </c:pt>
                <c:pt idx="743">
                  <c:v>169.80365982535182</c:v>
                </c:pt>
                <c:pt idx="744">
                  <c:v>172.86278435953056</c:v>
                </c:pt>
                <c:pt idx="745">
                  <c:v>176.81183603092495</c:v>
                </c:pt>
                <c:pt idx="746">
                  <c:v>169.93714889593414</c:v>
                </c:pt>
                <c:pt idx="747">
                  <c:v>171.86161633016297</c:v>
                </c:pt>
                <c:pt idx="748">
                  <c:v>172.42338283553036</c:v>
                </c:pt>
                <c:pt idx="749">
                  <c:v>170.3098058846432</c:v>
                </c:pt>
                <c:pt idx="750">
                  <c:v>166.86133822793258</c:v>
                </c:pt>
                <c:pt idx="751">
                  <c:v>164.62539629567831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30-0B4C-B30E-0E1485AFBD96}"/>
            </c:ext>
          </c:extLst>
        </c:ser>
        <c:ser>
          <c:idx val="1"/>
          <c:order val="1"/>
          <c:tx>
            <c:strRef>
              <c:f>'Share Price Analysis'!$L$35</c:f>
              <c:strCache>
                <c:ptCount val="1"/>
                <c:pt idx="0">
                  <c:v>SPY Normalized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'Share Price Analysis'!$A$36:$A$787</c:f>
              <c:numCache>
                <c:formatCode>yyyy\-mm\-dd</c:formatCode>
                <c:ptCount val="752"/>
                <c:pt idx="0">
                  <c:v>44991</c:v>
                </c:pt>
                <c:pt idx="1">
                  <c:v>44992</c:v>
                </c:pt>
                <c:pt idx="2">
                  <c:v>44993</c:v>
                </c:pt>
                <c:pt idx="3">
                  <c:v>44994</c:v>
                </c:pt>
                <c:pt idx="4">
                  <c:v>44995</c:v>
                </c:pt>
                <c:pt idx="5">
                  <c:v>44998</c:v>
                </c:pt>
                <c:pt idx="6">
                  <c:v>44999</c:v>
                </c:pt>
                <c:pt idx="7">
                  <c:v>45000</c:v>
                </c:pt>
                <c:pt idx="8">
                  <c:v>45001</c:v>
                </c:pt>
                <c:pt idx="9">
                  <c:v>45002</c:v>
                </c:pt>
                <c:pt idx="10">
                  <c:v>45005</c:v>
                </c:pt>
                <c:pt idx="11">
                  <c:v>45006</c:v>
                </c:pt>
                <c:pt idx="12">
                  <c:v>45007</c:v>
                </c:pt>
                <c:pt idx="13">
                  <c:v>45008</c:v>
                </c:pt>
                <c:pt idx="14">
                  <c:v>45009</c:v>
                </c:pt>
                <c:pt idx="15">
                  <c:v>45012</c:v>
                </c:pt>
                <c:pt idx="16">
                  <c:v>45013</c:v>
                </c:pt>
                <c:pt idx="17">
                  <c:v>45014</c:v>
                </c:pt>
                <c:pt idx="18">
                  <c:v>45015</c:v>
                </c:pt>
                <c:pt idx="19">
                  <c:v>45016</c:v>
                </c:pt>
                <c:pt idx="20">
                  <c:v>45019</c:v>
                </c:pt>
                <c:pt idx="21">
                  <c:v>45020</c:v>
                </c:pt>
                <c:pt idx="22">
                  <c:v>45021</c:v>
                </c:pt>
                <c:pt idx="23">
                  <c:v>45022</c:v>
                </c:pt>
                <c:pt idx="24">
                  <c:v>45026</c:v>
                </c:pt>
                <c:pt idx="25">
                  <c:v>45027</c:v>
                </c:pt>
                <c:pt idx="26">
                  <c:v>45028</c:v>
                </c:pt>
                <c:pt idx="27">
                  <c:v>45029</c:v>
                </c:pt>
                <c:pt idx="28">
                  <c:v>45030</c:v>
                </c:pt>
                <c:pt idx="29">
                  <c:v>45033</c:v>
                </c:pt>
                <c:pt idx="30">
                  <c:v>45034</c:v>
                </c:pt>
                <c:pt idx="31">
                  <c:v>45035</c:v>
                </c:pt>
                <c:pt idx="32">
                  <c:v>45036</c:v>
                </c:pt>
                <c:pt idx="33">
                  <c:v>45037</c:v>
                </c:pt>
                <c:pt idx="34">
                  <c:v>45040</c:v>
                </c:pt>
                <c:pt idx="35">
                  <c:v>45041</c:v>
                </c:pt>
                <c:pt idx="36">
                  <c:v>45042</c:v>
                </c:pt>
                <c:pt idx="37">
                  <c:v>45043</c:v>
                </c:pt>
                <c:pt idx="38">
                  <c:v>45044</c:v>
                </c:pt>
                <c:pt idx="39">
                  <c:v>45047</c:v>
                </c:pt>
                <c:pt idx="40">
                  <c:v>45048</c:v>
                </c:pt>
                <c:pt idx="41">
                  <c:v>45049</c:v>
                </c:pt>
                <c:pt idx="42">
                  <c:v>45050</c:v>
                </c:pt>
                <c:pt idx="43">
                  <c:v>45051</c:v>
                </c:pt>
                <c:pt idx="44">
                  <c:v>45054</c:v>
                </c:pt>
                <c:pt idx="45">
                  <c:v>45055</c:v>
                </c:pt>
                <c:pt idx="46">
                  <c:v>45056</c:v>
                </c:pt>
                <c:pt idx="47">
                  <c:v>45057</c:v>
                </c:pt>
                <c:pt idx="48">
                  <c:v>45058</c:v>
                </c:pt>
                <c:pt idx="49">
                  <c:v>45061</c:v>
                </c:pt>
                <c:pt idx="50">
                  <c:v>45062</c:v>
                </c:pt>
                <c:pt idx="51">
                  <c:v>45063</c:v>
                </c:pt>
                <c:pt idx="52">
                  <c:v>45064</c:v>
                </c:pt>
                <c:pt idx="53">
                  <c:v>45065</c:v>
                </c:pt>
                <c:pt idx="54">
                  <c:v>45068</c:v>
                </c:pt>
                <c:pt idx="55">
                  <c:v>45069</c:v>
                </c:pt>
                <c:pt idx="56">
                  <c:v>45070</c:v>
                </c:pt>
                <c:pt idx="57">
                  <c:v>45071</c:v>
                </c:pt>
                <c:pt idx="58">
                  <c:v>45072</c:v>
                </c:pt>
                <c:pt idx="59">
                  <c:v>45076</c:v>
                </c:pt>
                <c:pt idx="60">
                  <c:v>45077</c:v>
                </c:pt>
                <c:pt idx="61">
                  <c:v>45078</c:v>
                </c:pt>
                <c:pt idx="62">
                  <c:v>45079</c:v>
                </c:pt>
                <c:pt idx="63">
                  <c:v>45082</c:v>
                </c:pt>
                <c:pt idx="64">
                  <c:v>45083</c:v>
                </c:pt>
                <c:pt idx="65">
                  <c:v>45084</c:v>
                </c:pt>
                <c:pt idx="66">
                  <c:v>45085</c:v>
                </c:pt>
                <c:pt idx="67">
                  <c:v>45086</c:v>
                </c:pt>
                <c:pt idx="68">
                  <c:v>45089</c:v>
                </c:pt>
                <c:pt idx="69">
                  <c:v>45090</c:v>
                </c:pt>
                <c:pt idx="70">
                  <c:v>45091</c:v>
                </c:pt>
                <c:pt idx="71">
                  <c:v>45092</c:v>
                </c:pt>
                <c:pt idx="72">
                  <c:v>45093</c:v>
                </c:pt>
                <c:pt idx="73">
                  <c:v>45097</c:v>
                </c:pt>
                <c:pt idx="74">
                  <c:v>45098</c:v>
                </c:pt>
                <c:pt idx="75">
                  <c:v>45099</c:v>
                </c:pt>
                <c:pt idx="76">
                  <c:v>45100</c:v>
                </c:pt>
                <c:pt idx="77">
                  <c:v>45103</c:v>
                </c:pt>
                <c:pt idx="78">
                  <c:v>45104</c:v>
                </c:pt>
                <c:pt idx="79">
                  <c:v>45105</c:v>
                </c:pt>
                <c:pt idx="80">
                  <c:v>45106</c:v>
                </c:pt>
                <c:pt idx="81">
                  <c:v>45107</c:v>
                </c:pt>
                <c:pt idx="82">
                  <c:v>45110</c:v>
                </c:pt>
                <c:pt idx="83">
                  <c:v>45112</c:v>
                </c:pt>
                <c:pt idx="84">
                  <c:v>45113</c:v>
                </c:pt>
                <c:pt idx="85">
                  <c:v>45114</c:v>
                </c:pt>
                <c:pt idx="86">
                  <c:v>45117</c:v>
                </c:pt>
                <c:pt idx="87">
                  <c:v>45118</c:v>
                </c:pt>
                <c:pt idx="88">
                  <c:v>45119</c:v>
                </c:pt>
                <c:pt idx="89">
                  <c:v>45120</c:v>
                </c:pt>
                <c:pt idx="90">
                  <c:v>45121</c:v>
                </c:pt>
                <c:pt idx="91">
                  <c:v>45124</c:v>
                </c:pt>
                <c:pt idx="92">
                  <c:v>45125</c:v>
                </c:pt>
                <c:pt idx="93">
                  <c:v>45126</c:v>
                </c:pt>
                <c:pt idx="94">
                  <c:v>45127</c:v>
                </c:pt>
                <c:pt idx="95">
                  <c:v>45128</c:v>
                </c:pt>
                <c:pt idx="96">
                  <c:v>45131</c:v>
                </c:pt>
                <c:pt idx="97">
                  <c:v>45132</c:v>
                </c:pt>
                <c:pt idx="98">
                  <c:v>45133</c:v>
                </c:pt>
                <c:pt idx="99">
                  <c:v>45134</c:v>
                </c:pt>
                <c:pt idx="100">
                  <c:v>45135</c:v>
                </c:pt>
                <c:pt idx="101">
                  <c:v>45138</c:v>
                </c:pt>
                <c:pt idx="102">
                  <c:v>45139</c:v>
                </c:pt>
                <c:pt idx="103">
                  <c:v>45140</c:v>
                </c:pt>
                <c:pt idx="104">
                  <c:v>45141</c:v>
                </c:pt>
                <c:pt idx="105">
                  <c:v>45142</c:v>
                </c:pt>
                <c:pt idx="106">
                  <c:v>45145</c:v>
                </c:pt>
                <c:pt idx="107">
                  <c:v>45146</c:v>
                </c:pt>
                <c:pt idx="108">
                  <c:v>45147</c:v>
                </c:pt>
                <c:pt idx="109">
                  <c:v>45148</c:v>
                </c:pt>
                <c:pt idx="110">
                  <c:v>45149</c:v>
                </c:pt>
                <c:pt idx="111">
                  <c:v>45152</c:v>
                </c:pt>
                <c:pt idx="112">
                  <c:v>45153</c:v>
                </c:pt>
                <c:pt idx="113">
                  <c:v>45154</c:v>
                </c:pt>
                <c:pt idx="114">
                  <c:v>45155</c:v>
                </c:pt>
                <c:pt idx="115">
                  <c:v>45156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45166</c:v>
                </c:pt>
                <c:pt idx="122">
                  <c:v>45167</c:v>
                </c:pt>
                <c:pt idx="123">
                  <c:v>45168</c:v>
                </c:pt>
                <c:pt idx="124">
                  <c:v>45169</c:v>
                </c:pt>
                <c:pt idx="125">
                  <c:v>45170</c:v>
                </c:pt>
                <c:pt idx="126">
                  <c:v>45174</c:v>
                </c:pt>
                <c:pt idx="127">
                  <c:v>45175</c:v>
                </c:pt>
                <c:pt idx="128">
                  <c:v>45176</c:v>
                </c:pt>
                <c:pt idx="129">
                  <c:v>45177</c:v>
                </c:pt>
                <c:pt idx="130">
                  <c:v>45180</c:v>
                </c:pt>
                <c:pt idx="131">
                  <c:v>45181</c:v>
                </c:pt>
                <c:pt idx="132">
                  <c:v>45182</c:v>
                </c:pt>
                <c:pt idx="133">
                  <c:v>45183</c:v>
                </c:pt>
                <c:pt idx="134">
                  <c:v>45184</c:v>
                </c:pt>
                <c:pt idx="135">
                  <c:v>45187</c:v>
                </c:pt>
                <c:pt idx="136">
                  <c:v>45188</c:v>
                </c:pt>
                <c:pt idx="137">
                  <c:v>45189</c:v>
                </c:pt>
                <c:pt idx="138">
                  <c:v>45190</c:v>
                </c:pt>
                <c:pt idx="139">
                  <c:v>45191</c:v>
                </c:pt>
                <c:pt idx="140">
                  <c:v>45194</c:v>
                </c:pt>
                <c:pt idx="141">
                  <c:v>45195</c:v>
                </c:pt>
                <c:pt idx="142">
                  <c:v>45196</c:v>
                </c:pt>
                <c:pt idx="143">
                  <c:v>45197</c:v>
                </c:pt>
                <c:pt idx="144">
                  <c:v>45198</c:v>
                </c:pt>
                <c:pt idx="145">
                  <c:v>45201</c:v>
                </c:pt>
                <c:pt idx="146">
                  <c:v>45202</c:v>
                </c:pt>
                <c:pt idx="147">
                  <c:v>45203</c:v>
                </c:pt>
                <c:pt idx="148">
                  <c:v>45204</c:v>
                </c:pt>
                <c:pt idx="149">
                  <c:v>45205</c:v>
                </c:pt>
                <c:pt idx="150">
                  <c:v>45208</c:v>
                </c:pt>
                <c:pt idx="151">
                  <c:v>45209</c:v>
                </c:pt>
                <c:pt idx="152">
                  <c:v>45210</c:v>
                </c:pt>
                <c:pt idx="153">
                  <c:v>45211</c:v>
                </c:pt>
                <c:pt idx="154">
                  <c:v>45212</c:v>
                </c:pt>
                <c:pt idx="155">
                  <c:v>45215</c:v>
                </c:pt>
                <c:pt idx="156">
                  <c:v>45216</c:v>
                </c:pt>
                <c:pt idx="157">
                  <c:v>45217</c:v>
                </c:pt>
                <c:pt idx="158">
                  <c:v>45218</c:v>
                </c:pt>
                <c:pt idx="159">
                  <c:v>45219</c:v>
                </c:pt>
                <c:pt idx="160">
                  <c:v>45222</c:v>
                </c:pt>
                <c:pt idx="161">
                  <c:v>45223</c:v>
                </c:pt>
                <c:pt idx="162">
                  <c:v>45224</c:v>
                </c:pt>
                <c:pt idx="163">
                  <c:v>45225</c:v>
                </c:pt>
                <c:pt idx="164">
                  <c:v>45226</c:v>
                </c:pt>
                <c:pt idx="165">
                  <c:v>45229</c:v>
                </c:pt>
                <c:pt idx="166">
                  <c:v>45230</c:v>
                </c:pt>
                <c:pt idx="167">
                  <c:v>45231</c:v>
                </c:pt>
                <c:pt idx="168">
                  <c:v>45232</c:v>
                </c:pt>
                <c:pt idx="169">
                  <c:v>45233</c:v>
                </c:pt>
                <c:pt idx="170">
                  <c:v>45236</c:v>
                </c:pt>
                <c:pt idx="171">
                  <c:v>45237</c:v>
                </c:pt>
                <c:pt idx="172">
                  <c:v>45238</c:v>
                </c:pt>
                <c:pt idx="173">
                  <c:v>45239</c:v>
                </c:pt>
                <c:pt idx="174">
                  <c:v>45240</c:v>
                </c:pt>
                <c:pt idx="175">
                  <c:v>45243</c:v>
                </c:pt>
                <c:pt idx="176">
                  <c:v>45244</c:v>
                </c:pt>
                <c:pt idx="177">
                  <c:v>45245</c:v>
                </c:pt>
                <c:pt idx="178">
                  <c:v>45246</c:v>
                </c:pt>
                <c:pt idx="179">
                  <c:v>45247</c:v>
                </c:pt>
                <c:pt idx="180">
                  <c:v>45250</c:v>
                </c:pt>
                <c:pt idx="181">
                  <c:v>45251</c:v>
                </c:pt>
                <c:pt idx="182">
                  <c:v>45252</c:v>
                </c:pt>
                <c:pt idx="183">
                  <c:v>45254</c:v>
                </c:pt>
                <c:pt idx="184">
                  <c:v>45257</c:v>
                </c:pt>
                <c:pt idx="185">
                  <c:v>45258</c:v>
                </c:pt>
                <c:pt idx="186">
                  <c:v>45259</c:v>
                </c:pt>
                <c:pt idx="187">
                  <c:v>45260</c:v>
                </c:pt>
                <c:pt idx="188">
                  <c:v>45261</c:v>
                </c:pt>
                <c:pt idx="189">
                  <c:v>45264</c:v>
                </c:pt>
                <c:pt idx="190">
                  <c:v>45265</c:v>
                </c:pt>
                <c:pt idx="191">
                  <c:v>45266</c:v>
                </c:pt>
                <c:pt idx="192">
                  <c:v>45267</c:v>
                </c:pt>
                <c:pt idx="193">
                  <c:v>45268</c:v>
                </c:pt>
                <c:pt idx="194">
                  <c:v>45271</c:v>
                </c:pt>
                <c:pt idx="195">
                  <c:v>45272</c:v>
                </c:pt>
                <c:pt idx="196">
                  <c:v>45273</c:v>
                </c:pt>
                <c:pt idx="197">
                  <c:v>45274</c:v>
                </c:pt>
                <c:pt idx="198">
                  <c:v>45275</c:v>
                </c:pt>
                <c:pt idx="199">
                  <c:v>45278</c:v>
                </c:pt>
                <c:pt idx="200">
                  <c:v>45279</c:v>
                </c:pt>
                <c:pt idx="201">
                  <c:v>45280</c:v>
                </c:pt>
                <c:pt idx="202">
                  <c:v>45281</c:v>
                </c:pt>
                <c:pt idx="203">
                  <c:v>45282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45307</c:v>
                </c:pt>
                <c:pt idx="218">
                  <c:v>45308</c:v>
                </c:pt>
                <c:pt idx="219">
                  <c:v>45309</c:v>
                </c:pt>
                <c:pt idx="220">
                  <c:v>45310</c:v>
                </c:pt>
                <c:pt idx="221">
                  <c:v>45313</c:v>
                </c:pt>
                <c:pt idx="222">
                  <c:v>45314</c:v>
                </c:pt>
                <c:pt idx="223">
                  <c:v>45315</c:v>
                </c:pt>
                <c:pt idx="224">
                  <c:v>45316</c:v>
                </c:pt>
                <c:pt idx="225">
                  <c:v>45317</c:v>
                </c:pt>
                <c:pt idx="226">
                  <c:v>45320</c:v>
                </c:pt>
                <c:pt idx="227">
                  <c:v>45321</c:v>
                </c:pt>
                <c:pt idx="228">
                  <c:v>45322</c:v>
                </c:pt>
                <c:pt idx="229">
                  <c:v>45323</c:v>
                </c:pt>
                <c:pt idx="230">
                  <c:v>45324</c:v>
                </c:pt>
                <c:pt idx="231">
                  <c:v>45327</c:v>
                </c:pt>
                <c:pt idx="232">
                  <c:v>45328</c:v>
                </c:pt>
                <c:pt idx="233">
                  <c:v>45329</c:v>
                </c:pt>
                <c:pt idx="234">
                  <c:v>45330</c:v>
                </c:pt>
                <c:pt idx="235">
                  <c:v>45331</c:v>
                </c:pt>
                <c:pt idx="236">
                  <c:v>45334</c:v>
                </c:pt>
                <c:pt idx="237">
                  <c:v>45335</c:v>
                </c:pt>
                <c:pt idx="238">
                  <c:v>45336</c:v>
                </c:pt>
                <c:pt idx="239">
                  <c:v>45337</c:v>
                </c:pt>
                <c:pt idx="240">
                  <c:v>45338</c:v>
                </c:pt>
                <c:pt idx="241">
                  <c:v>45342</c:v>
                </c:pt>
                <c:pt idx="242">
                  <c:v>45343</c:v>
                </c:pt>
                <c:pt idx="243">
                  <c:v>45344</c:v>
                </c:pt>
                <c:pt idx="244">
                  <c:v>45345</c:v>
                </c:pt>
                <c:pt idx="245">
                  <c:v>45348</c:v>
                </c:pt>
                <c:pt idx="246">
                  <c:v>45349</c:v>
                </c:pt>
                <c:pt idx="247">
                  <c:v>45350</c:v>
                </c:pt>
                <c:pt idx="248">
                  <c:v>45351</c:v>
                </c:pt>
                <c:pt idx="249">
                  <c:v>45352</c:v>
                </c:pt>
                <c:pt idx="250">
                  <c:v>45355</c:v>
                </c:pt>
                <c:pt idx="251">
                  <c:v>45356</c:v>
                </c:pt>
                <c:pt idx="252">
                  <c:v>45357</c:v>
                </c:pt>
                <c:pt idx="253">
                  <c:v>45358</c:v>
                </c:pt>
                <c:pt idx="254">
                  <c:v>45359</c:v>
                </c:pt>
                <c:pt idx="255">
                  <c:v>45362</c:v>
                </c:pt>
                <c:pt idx="256">
                  <c:v>45363</c:v>
                </c:pt>
                <c:pt idx="257">
                  <c:v>45364</c:v>
                </c:pt>
                <c:pt idx="258">
                  <c:v>45365</c:v>
                </c:pt>
                <c:pt idx="259">
                  <c:v>45366</c:v>
                </c:pt>
                <c:pt idx="260">
                  <c:v>45369</c:v>
                </c:pt>
                <c:pt idx="261">
                  <c:v>45370</c:v>
                </c:pt>
                <c:pt idx="262">
                  <c:v>45371</c:v>
                </c:pt>
                <c:pt idx="263">
                  <c:v>45372</c:v>
                </c:pt>
                <c:pt idx="264">
                  <c:v>45373</c:v>
                </c:pt>
                <c:pt idx="265">
                  <c:v>45376</c:v>
                </c:pt>
                <c:pt idx="266">
                  <c:v>45377</c:v>
                </c:pt>
                <c:pt idx="267">
                  <c:v>45378</c:v>
                </c:pt>
                <c:pt idx="268">
                  <c:v>45379</c:v>
                </c:pt>
                <c:pt idx="269">
                  <c:v>45383</c:v>
                </c:pt>
                <c:pt idx="270">
                  <c:v>45384</c:v>
                </c:pt>
                <c:pt idx="271">
                  <c:v>45385</c:v>
                </c:pt>
                <c:pt idx="272">
                  <c:v>45386</c:v>
                </c:pt>
                <c:pt idx="273">
                  <c:v>45387</c:v>
                </c:pt>
                <c:pt idx="274">
                  <c:v>45390</c:v>
                </c:pt>
                <c:pt idx="275">
                  <c:v>45391</c:v>
                </c:pt>
                <c:pt idx="276">
                  <c:v>45392</c:v>
                </c:pt>
                <c:pt idx="277">
                  <c:v>45393</c:v>
                </c:pt>
                <c:pt idx="278">
                  <c:v>45394</c:v>
                </c:pt>
                <c:pt idx="279">
                  <c:v>45397</c:v>
                </c:pt>
                <c:pt idx="280">
                  <c:v>45398</c:v>
                </c:pt>
                <c:pt idx="281">
                  <c:v>45399</c:v>
                </c:pt>
                <c:pt idx="282">
                  <c:v>45400</c:v>
                </c:pt>
                <c:pt idx="283">
                  <c:v>45401</c:v>
                </c:pt>
                <c:pt idx="284">
                  <c:v>45404</c:v>
                </c:pt>
                <c:pt idx="285">
                  <c:v>45405</c:v>
                </c:pt>
                <c:pt idx="286">
                  <c:v>45406</c:v>
                </c:pt>
                <c:pt idx="287">
                  <c:v>45407</c:v>
                </c:pt>
                <c:pt idx="288">
                  <c:v>45408</c:v>
                </c:pt>
                <c:pt idx="289">
                  <c:v>45411</c:v>
                </c:pt>
                <c:pt idx="290">
                  <c:v>45412</c:v>
                </c:pt>
                <c:pt idx="291">
                  <c:v>45413</c:v>
                </c:pt>
                <c:pt idx="292">
                  <c:v>45414</c:v>
                </c:pt>
                <c:pt idx="293">
                  <c:v>45415</c:v>
                </c:pt>
                <c:pt idx="294">
                  <c:v>45418</c:v>
                </c:pt>
                <c:pt idx="295">
                  <c:v>45419</c:v>
                </c:pt>
                <c:pt idx="296">
                  <c:v>45420</c:v>
                </c:pt>
                <c:pt idx="297">
                  <c:v>45421</c:v>
                </c:pt>
                <c:pt idx="298">
                  <c:v>45422</c:v>
                </c:pt>
                <c:pt idx="299">
                  <c:v>45425</c:v>
                </c:pt>
                <c:pt idx="300">
                  <c:v>45426</c:v>
                </c:pt>
                <c:pt idx="301">
                  <c:v>45427</c:v>
                </c:pt>
                <c:pt idx="302">
                  <c:v>45428</c:v>
                </c:pt>
                <c:pt idx="303">
                  <c:v>45429</c:v>
                </c:pt>
                <c:pt idx="304">
                  <c:v>45432</c:v>
                </c:pt>
                <c:pt idx="305">
                  <c:v>45433</c:v>
                </c:pt>
                <c:pt idx="306">
                  <c:v>45434</c:v>
                </c:pt>
                <c:pt idx="307">
                  <c:v>45435</c:v>
                </c:pt>
                <c:pt idx="308">
                  <c:v>45436</c:v>
                </c:pt>
                <c:pt idx="309">
                  <c:v>45440</c:v>
                </c:pt>
                <c:pt idx="310">
                  <c:v>45441</c:v>
                </c:pt>
                <c:pt idx="311">
                  <c:v>45442</c:v>
                </c:pt>
                <c:pt idx="312">
                  <c:v>45443</c:v>
                </c:pt>
                <c:pt idx="313">
                  <c:v>45446</c:v>
                </c:pt>
                <c:pt idx="314">
                  <c:v>45447</c:v>
                </c:pt>
                <c:pt idx="315">
                  <c:v>45448</c:v>
                </c:pt>
                <c:pt idx="316">
                  <c:v>45449</c:v>
                </c:pt>
                <c:pt idx="317">
                  <c:v>45450</c:v>
                </c:pt>
                <c:pt idx="318">
                  <c:v>45453</c:v>
                </c:pt>
                <c:pt idx="319">
                  <c:v>45454</c:v>
                </c:pt>
                <c:pt idx="320">
                  <c:v>45455</c:v>
                </c:pt>
                <c:pt idx="321">
                  <c:v>45456</c:v>
                </c:pt>
                <c:pt idx="322">
                  <c:v>45457</c:v>
                </c:pt>
                <c:pt idx="323">
                  <c:v>45460</c:v>
                </c:pt>
                <c:pt idx="324">
                  <c:v>45461</c:v>
                </c:pt>
                <c:pt idx="325">
                  <c:v>45463</c:v>
                </c:pt>
                <c:pt idx="326">
                  <c:v>45464</c:v>
                </c:pt>
                <c:pt idx="327">
                  <c:v>45467</c:v>
                </c:pt>
                <c:pt idx="328">
                  <c:v>45468</c:v>
                </c:pt>
                <c:pt idx="329">
                  <c:v>45469</c:v>
                </c:pt>
                <c:pt idx="330">
                  <c:v>45470</c:v>
                </c:pt>
                <c:pt idx="331">
                  <c:v>45471</c:v>
                </c:pt>
                <c:pt idx="332">
                  <c:v>45474</c:v>
                </c:pt>
                <c:pt idx="333">
                  <c:v>45475</c:v>
                </c:pt>
                <c:pt idx="334">
                  <c:v>45476</c:v>
                </c:pt>
                <c:pt idx="335">
                  <c:v>45478</c:v>
                </c:pt>
                <c:pt idx="336">
                  <c:v>45481</c:v>
                </c:pt>
                <c:pt idx="337">
                  <c:v>45482</c:v>
                </c:pt>
                <c:pt idx="338">
                  <c:v>45483</c:v>
                </c:pt>
                <c:pt idx="339">
                  <c:v>45484</c:v>
                </c:pt>
                <c:pt idx="340">
                  <c:v>45485</c:v>
                </c:pt>
                <c:pt idx="341">
                  <c:v>45488</c:v>
                </c:pt>
                <c:pt idx="342">
                  <c:v>45489</c:v>
                </c:pt>
                <c:pt idx="343">
                  <c:v>45490</c:v>
                </c:pt>
                <c:pt idx="344">
                  <c:v>45491</c:v>
                </c:pt>
                <c:pt idx="345">
                  <c:v>45492</c:v>
                </c:pt>
                <c:pt idx="346">
                  <c:v>45495</c:v>
                </c:pt>
                <c:pt idx="347">
                  <c:v>45496</c:v>
                </c:pt>
                <c:pt idx="348">
                  <c:v>45497</c:v>
                </c:pt>
                <c:pt idx="349">
                  <c:v>45498</c:v>
                </c:pt>
                <c:pt idx="350">
                  <c:v>45499</c:v>
                </c:pt>
                <c:pt idx="351">
                  <c:v>45502</c:v>
                </c:pt>
                <c:pt idx="352">
                  <c:v>45503</c:v>
                </c:pt>
                <c:pt idx="353">
                  <c:v>45504</c:v>
                </c:pt>
                <c:pt idx="354">
                  <c:v>45505</c:v>
                </c:pt>
                <c:pt idx="355">
                  <c:v>45506</c:v>
                </c:pt>
                <c:pt idx="356">
                  <c:v>45509</c:v>
                </c:pt>
                <c:pt idx="357">
                  <c:v>45510</c:v>
                </c:pt>
                <c:pt idx="358">
                  <c:v>45511</c:v>
                </c:pt>
                <c:pt idx="359">
                  <c:v>45512</c:v>
                </c:pt>
                <c:pt idx="360">
                  <c:v>45513</c:v>
                </c:pt>
                <c:pt idx="361">
                  <c:v>45516</c:v>
                </c:pt>
                <c:pt idx="362">
                  <c:v>45517</c:v>
                </c:pt>
                <c:pt idx="363">
                  <c:v>45518</c:v>
                </c:pt>
                <c:pt idx="364">
                  <c:v>45519</c:v>
                </c:pt>
                <c:pt idx="365">
                  <c:v>45520</c:v>
                </c:pt>
                <c:pt idx="366">
                  <c:v>45523</c:v>
                </c:pt>
                <c:pt idx="367">
                  <c:v>45524</c:v>
                </c:pt>
                <c:pt idx="368">
                  <c:v>45525</c:v>
                </c:pt>
                <c:pt idx="369">
                  <c:v>45526</c:v>
                </c:pt>
                <c:pt idx="370">
                  <c:v>45527</c:v>
                </c:pt>
                <c:pt idx="371">
                  <c:v>45530</c:v>
                </c:pt>
                <c:pt idx="372">
                  <c:v>45531</c:v>
                </c:pt>
                <c:pt idx="373">
                  <c:v>45532</c:v>
                </c:pt>
                <c:pt idx="374">
                  <c:v>45533</c:v>
                </c:pt>
                <c:pt idx="375">
                  <c:v>45534</c:v>
                </c:pt>
                <c:pt idx="376">
                  <c:v>45538</c:v>
                </c:pt>
                <c:pt idx="377">
                  <c:v>45539</c:v>
                </c:pt>
                <c:pt idx="378">
                  <c:v>45540</c:v>
                </c:pt>
                <c:pt idx="379">
                  <c:v>45541</c:v>
                </c:pt>
                <c:pt idx="380">
                  <c:v>45544</c:v>
                </c:pt>
                <c:pt idx="381">
                  <c:v>45545</c:v>
                </c:pt>
                <c:pt idx="382">
                  <c:v>45546</c:v>
                </c:pt>
                <c:pt idx="383">
                  <c:v>45547</c:v>
                </c:pt>
                <c:pt idx="384">
                  <c:v>45548</c:v>
                </c:pt>
                <c:pt idx="385">
                  <c:v>45551</c:v>
                </c:pt>
                <c:pt idx="386">
                  <c:v>45552</c:v>
                </c:pt>
                <c:pt idx="387">
                  <c:v>45553</c:v>
                </c:pt>
                <c:pt idx="388">
                  <c:v>45554</c:v>
                </c:pt>
                <c:pt idx="389">
                  <c:v>45555</c:v>
                </c:pt>
                <c:pt idx="390">
                  <c:v>45558</c:v>
                </c:pt>
                <c:pt idx="391">
                  <c:v>45559</c:v>
                </c:pt>
                <c:pt idx="392">
                  <c:v>45560</c:v>
                </c:pt>
                <c:pt idx="393">
                  <c:v>45561</c:v>
                </c:pt>
                <c:pt idx="394">
                  <c:v>45562</c:v>
                </c:pt>
                <c:pt idx="395">
                  <c:v>45565</c:v>
                </c:pt>
                <c:pt idx="396">
                  <c:v>45566</c:v>
                </c:pt>
                <c:pt idx="397">
                  <c:v>45567</c:v>
                </c:pt>
                <c:pt idx="398">
                  <c:v>45568</c:v>
                </c:pt>
                <c:pt idx="399">
                  <c:v>45569</c:v>
                </c:pt>
                <c:pt idx="400">
                  <c:v>45572</c:v>
                </c:pt>
                <c:pt idx="401">
                  <c:v>45573</c:v>
                </c:pt>
                <c:pt idx="402">
                  <c:v>45574</c:v>
                </c:pt>
                <c:pt idx="403">
                  <c:v>45575</c:v>
                </c:pt>
                <c:pt idx="404">
                  <c:v>45576</c:v>
                </c:pt>
                <c:pt idx="405">
                  <c:v>45579</c:v>
                </c:pt>
                <c:pt idx="406">
                  <c:v>45580</c:v>
                </c:pt>
                <c:pt idx="407">
                  <c:v>45581</c:v>
                </c:pt>
                <c:pt idx="408">
                  <c:v>45582</c:v>
                </c:pt>
                <c:pt idx="409">
                  <c:v>45583</c:v>
                </c:pt>
                <c:pt idx="410">
                  <c:v>45586</c:v>
                </c:pt>
                <c:pt idx="411">
                  <c:v>45587</c:v>
                </c:pt>
                <c:pt idx="412">
                  <c:v>45588</c:v>
                </c:pt>
                <c:pt idx="413">
                  <c:v>45589</c:v>
                </c:pt>
                <c:pt idx="414">
                  <c:v>45590</c:v>
                </c:pt>
                <c:pt idx="415">
                  <c:v>45593</c:v>
                </c:pt>
                <c:pt idx="416">
                  <c:v>45594</c:v>
                </c:pt>
                <c:pt idx="417">
                  <c:v>45595</c:v>
                </c:pt>
                <c:pt idx="418">
                  <c:v>45596</c:v>
                </c:pt>
                <c:pt idx="419">
                  <c:v>45597</c:v>
                </c:pt>
                <c:pt idx="420">
                  <c:v>45600</c:v>
                </c:pt>
                <c:pt idx="421">
                  <c:v>45601</c:v>
                </c:pt>
                <c:pt idx="422">
                  <c:v>45602</c:v>
                </c:pt>
                <c:pt idx="423">
                  <c:v>45603</c:v>
                </c:pt>
                <c:pt idx="424">
                  <c:v>45604</c:v>
                </c:pt>
                <c:pt idx="425">
                  <c:v>45607</c:v>
                </c:pt>
                <c:pt idx="426">
                  <c:v>45608</c:v>
                </c:pt>
                <c:pt idx="427">
                  <c:v>45609</c:v>
                </c:pt>
                <c:pt idx="428">
                  <c:v>45610</c:v>
                </c:pt>
                <c:pt idx="429">
                  <c:v>45611</c:v>
                </c:pt>
                <c:pt idx="430">
                  <c:v>45614</c:v>
                </c:pt>
                <c:pt idx="431">
                  <c:v>45615</c:v>
                </c:pt>
                <c:pt idx="432">
                  <c:v>45616</c:v>
                </c:pt>
                <c:pt idx="433">
                  <c:v>45617</c:v>
                </c:pt>
                <c:pt idx="434">
                  <c:v>45618</c:v>
                </c:pt>
                <c:pt idx="435">
                  <c:v>45621</c:v>
                </c:pt>
                <c:pt idx="436">
                  <c:v>45622</c:v>
                </c:pt>
                <c:pt idx="437">
                  <c:v>45623</c:v>
                </c:pt>
                <c:pt idx="438">
                  <c:v>45625</c:v>
                </c:pt>
                <c:pt idx="439">
                  <c:v>45628</c:v>
                </c:pt>
                <c:pt idx="440">
                  <c:v>45629</c:v>
                </c:pt>
                <c:pt idx="441">
                  <c:v>45630</c:v>
                </c:pt>
                <c:pt idx="442">
                  <c:v>45631</c:v>
                </c:pt>
                <c:pt idx="443">
                  <c:v>45632</c:v>
                </c:pt>
                <c:pt idx="444">
                  <c:v>45635</c:v>
                </c:pt>
                <c:pt idx="445">
                  <c:v>45636</c:v>
                </c:pt>
                <c:pt idx="446">
                  <c:v>45637</c:v>
                </c:pt>
                <c:pt idx="447">
                  <c:v>45638</c:v>
                </c:pt>
                <c:pt idx="448">
                  <c:v>45639</c:v>
                </c:pt>
                <c:pt idx="449">
                  <c:v>45642</c:v>
                </c:pt>
                <c:pt idx="450">
                  <c:v>45643</c:v>
                </c:pt>
                <c:pt idx="451">
                  <c:v>45644</c:v>
                </c:pt>
                <c:pt idx="452">
                  <c:v>45645</c:v>
                </c:pt>
                <c:pt idx="453">
                  <c:v>45646</c:v>
                </c:pt>
                <c:pt idx="454">
                  <c:v>45649</c:v>
                </c:pt>
                <c:pt idx="455">
                  <c:v>45650</c:v>
                </c:pt>
                <c:pt idx="456">
                  <c:v>45652</c:v>
                </c:pt>
                <c:pt idx="457">
                  <c:v>45653</c:v>
                </c:pt>
                <c:pt idx="458">
                  <c:v>45656</c:v>
                </c:pt>
                <c:pt idx="459">
                  <c:v>45657</c:v>
                </c:pt>
                <c:pt idx="460">
                  <c:v>45659</c:v>
                </c:pt>
                <c:pt idx="461">
                  <c:v>45660</c:v>
                </c:pt>
                <c:pt idx="462">
                  <c:v>45663</c:v>
                </c:pt>
                <c:pt idx="463">
                  <c:v>45664</c:v>
                </c:pt>
                <c:pt idx="464">
                  <c:v>45665</c:v>
                </c:pt>
                <c:pt idx="465">
                  <c:v>45667</c:v>
                </c:pt>
                <c:pt idx="466">
                  <c:v>45670</c:v>
                </c:pt>
                <c:pt idx="467">
                  <c:v>45671</c:v>
                </c:pt>
                <c:pt idx="468">
                  <c:v>45672</c:v>
                </c:pt>
                <c:pt idx="469">
                  <c:v>45673</c:v>
                </c:pt>
                <c:pt idx="470">
                  <c:v>45674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45684</c:v>
                </c:pt>
                <c:pt idx="476">
                  <c:v>45685</c:v>
                </c:pt>
                <c:pt idx="477">
                  <c:v>45686</c:v>
                </c:pt>
                <c:pt idx="478">
                  <c:v>45687</c:v>
                </c:pt>
                <c:pt idx="479">
                  <c:v>45688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45706</c:v>
                </c:pt>
                <c:pt idx="491">
                  <c:v>45707</c:v>
                </c:pt>
                <c:pt idx="492">
                  <c:v>45708</c:v>
                </c:pt>
                <c:pt idx="493">
                  <c:v>45709</c:v>
                </c:pt>
                <c:pt idx="494">
                  <c:v>45712</c:v>
                </c:pt>
                <c:pt idx="495">
                  <c:v>45713</c:v>
                </c:pt>
                <c:pt idx="496">
                  <c:v>45714</c:v>
                </c:pt>
                <c:pt idx="497">
                  <c:v>45715</c:v>
                </c:pt>
                <c:pt idx="498">
                  <c:v>45716</c:v>
                </c:pt>
                <c:pt idx="499">
                  <c:v>45719</c:v>
                </c:pt>
                <c:pt idx="500">
                  <c:v>45720</c:v>
                </c:pt>
                <c:pt idx="501">
                  <c:v>45721</c:v>
                </c:pt>
                <c:pt idx="502">
                  <c:v>45722</c:v>
                </c:pt>
                <c:pt idx="503">
                  <c:v>45723</c:v>
                </c:pt>
                <c:pt idx="504">
                  <c:v>45726</c:v>
                </c:pt>
                <c:pt idx="505">
                  <c:v>45727</c:v>
                </c:pt>
                <c:pt idx="506">
                  <c:v>45728</c:v>
                </c:pt>
                <c:pt idx="507">
                  <c:v>45729</c:v>
                </c:pt>
                <c:pt idx="508">
                  <c:v>45730</c:v>
                </c:pt>
                <c:pt idx="509">
                  <c:v>45733</c:v>
                </c:pt>
                <c:pt idx="510">
                  <c:v>45734</c:v>
                </c:pt>
                <c:pt idx="511">
                  <c:v>45735</c:v>
                </c:pt>
                <c:pt idx="512">
                  <c:v>45736</c:v>
                </c:pt>
                <c:pt idx="513">
                  <c:v>45737</c:v>
                </c:pt>
                <c:pt idx="514">
                  <c:v>45740</c:v>
                </c:pt>
                <c:pt idx="515">
                  <c:v>45741</c:v>
                </c:pt>
                <c:pt idx="516">
                  <c:v>45742</c:v>
                </c:pt>
                <c:pt idx="517">
                  <c:v>45743</c:v>
                </c:pt>
                <c:pt idx="518">
                  <c:v>45744</c:v>
                </c:pt>
                <c:pt idx="519">
                  <c:v>45747</c:v>
                </c:pt>
                <c:pt idx="520">
                  <c:v>45748</c:v>
                </c:pt>
                <c:pt idx="521">
                  <c:v>45749</c:v>
                </c:pt>
                <c:pt idx="522">
                  <c:v>45750</c:v>
                </c:pt>
                <c:pt idx="523">
                  <c:v>45751</c:v>
                </c:pt>
                <c:pt idx="524">
                  <c:v>45754</c:v>
                </c:pt>
                <c:pt idx="525">
                  <c:v>45755</c:v>
                </c:pt>
                <c:pt idx="526">
                  <c:v>45756</c:v>
                </c:pt>
                <c:pt idx="527">
                  <c:v>45757</c:v>
                </c:pt>
                <c:pt idx="528">
                  <c:v>45758</c:v>
                </c:pt>
                <c:pt idx="529">
                  <c:v>45761</c:v>
                </c:pt>
                <c:pt idx="530">
                  <c:v>45762</c:v>
                </c:pt>
                <c:pt idx="531">
                  <c:v>45763</c:v>
                </c:pt>
                <c:pt idx="532">
                  <c:v>45764</c:v>
                </c:pt>
                <c:pt idx="533">
                  <c:v>45768</c:v>
                </c:pt>
                <c:pt idx="534">
                  <c:v>45769</c:v>
                </c:pt>
                <c:pt idx="535">
                  <c:v>45770</c:v>
                </c:pt>
                <c:pt idx="536">
                  <c:v>45771</c:v>
                </c:pt>
                <c:pt idx="537">
                  <c:v>45772</c:v>
                </c:pt>
                <c:pt idx="538">
                  <c:v>45775</c:v>
                </c:pt>
                <c:pt idx="539">
                  <c:v>45776</c:v>
                </c:pt>
                <c:pt idx="540">
                  <c:v>45777</c:v>
                </c:pt>
                <c:pt idx="541">
                  <c:v>45778</c:v>
                </c:pt>
                <c:pt idx="542">
                  <c:v>45779</c:v>
                </c:pt>
                <c:pt idx="543">
                  <c:v>45782</c:v>
                </c:pt>
                <c:pt idx="544">
                  <c:v>45783</c:v>
                </c:pt>
                <c:pt idx="545">
                  <c:v>45784</c:v>
                </c:pt>
                <c:pt idx="546">
                  <c:v>45785</c:v>
                </c:pt>
                <c:pt idx="547">
                  <c:v>45786</c:v>
                </c:pt>
                <c:pt idx="548">
                  <c:v>45789</c:v>
                </c:pt>
                <c:pt idx="549">
                  <c:v>45790</c:v>
                </c:pt>
                <c:pt idx="550">
                  <c:v>45791</c:v>
                </c:pt>
                <c:pt idx="551">
                  <c:v>45792</c:v>
                </c:pt>
                <c:pt idx="552">
                  <c:v>45793</c:v>
                </c:pt>
                <c:pt idx="553">
                  <c:v>45796</c:v>
                </c:pt>
                <c:pt idx="554">
                  <c:v>45797</c:v>
                </c:pt>
                <c:pt idx="555">
                  <c:v>45798</c:v>
                </c:pt>
                <c:pt idx="556">
                  <c:v>45799</c:v>
                </c:pt>
                <c:pt idx="557">
                  <c:v>45800</c:v>
                </c:pt>
                <c:pt idx="558">
                  <c:v>45804</c:v>
                </c:pt>
                <c:pt idx="559">
                  <c:v>45805</c:v>
                </c:pt>
                <c:pt idx="560">
                  <c:v>45806</c:v>
                </c:pt>
                <c:pt idx="561">
                  <c:v>45807</c:v>
                </c:pt>
                <c:pt idx="562">
                  <c:v>45810</c:v>
                </c:pt>
                <c:pt idx="563">
                  <c:v>45811</c:v>
                </c:pt>
                <c:pt idx="564">
                  <c:v>45812</c:v>
                </c:pt>
                <c:pt idx="565">
                  <c:v>45813</c:v>
                </c:pt>
                <c:pt idx="566">
                  <c:v>45814</c:v>
                </c:pt>
                <c:pt idx="567">
                  <c:v>45817</c:v>
                </c:pt>
                <c:pt idx="568">
                  <c:v>45818</c:v>
                </c:pt>
                <c:pt idx="569">
                  <c:v>45819</c:v>
                </c:pt>
                <c:pt idx="570">
                  <c:v>45820</c:v>
                </c:pt>
                <c:pt idx="571">
                  <c:v>45821</c:v>
                </c:pt>
                <c:pt idx="572">
                  <c:v>45824</c:v>
                </c:pt>
                <c:pt idx="573">
                  <c:v>45825</c:v>
                </c:pt>
                <c:pt idx="574">
                  <c:v>45826</c:v>
                </c:pt>
                <c:pt idx="575">
                  <c:v>45828</c:v>
                </c:pt>
                <c:pt idx="576">
                  <c:v>45831</c:v>
                </c:pt>
                <c:pt idx="577">
                  <c:v>45832</c:v>
                </c:pt>
                <c:pt idx="578">
                  <c:v>45833</c:v>
                </c:pt>
                <c:pt idx="579">
                  <c:v>45834</c:v>
                </c:pt>
                <c:pt idx="580">
                  <c:v>45835</c:v>
                </c:pt>
                <c:pt idx="581">
                  <c:v>45838</c:v>
                </c:pt>
                <c:pt idx="582">
                  <c:v>45839</c:v>
                </c:pt>
                <c:pt idx="583">
                  <c:v>45840</c:v>
                </c:pt>
                <c:pt idx="584">
                  <c:v>45841</c:v>
                </c:pt>
                <c:pt idx="585">
                  <c:v>45845</c:v>
                </c:pt>
                <c:pt idx="586">
                  <c:v>45846</c:v>
                </c:pt>
                <c:pt idx="587">
                  <c:v>45847</c:v>
                </c:pt>
                <c:pt idx="588">
                  <c:v>45848</c:v>
                </c:pt>
                <c:pt idx="589">
                  <c:v>45849</c:v>
                </c:pt>
                <c:pt idx="590">
                  <c:v>45852</c:v>
                </c:pt>
                <c:pt idx="591">
                  <c:v>45853</c:v>
                </c:pt>
                <c:pt idx="592">
                  <c:v>45854</c:v>
                </c:pt>
                <c:pt idx="593">
                  <c:v>45855</c:v>
                </c:pt>
                <c:pt idx="594">
                  <c:v>45856</c:v>
                </c:pt>
                <c:pt idx="595">
                  <c:v>45859</c:v>
                </c:pt>
                <c:pt idx="596">
                  <c:v>45860</c:v>
                </c:pt>
                <c:pt idx="597">
                  <c:v>45861</c:v>
                </c:pt>
                <c:pt idx="598">
                  <c:v>45862</c:v>
                </c:pt>
                <c:pt idx="599">
                  <c:v>45863</c:v>
                </c:pt>
                <c:pt idx="600">
                  <c:v>45866</c:v>
                </c:pt>
                <c:pt idx="601">
                  <c:v>45867</c:v>
                </c:pt>
                <c:pt idx="602">
                  <c:v>45868</c:v>
                </c:pt>
                <c:pt idx="603">
                  <c:v>45869</c:v>
                </c:pt>
                <c:pt idx="604">
                  <c:v>45870</c:v>
                </c:pt>
                <c:pt idx="605">
                  <c:v>45873</c:v>
                </c:pt>
                <c:pt idx="606">
                  <c:v>45874</c:v>
                </c:pt>
                <c:pt idx="607">
                  <c:v>45875</c:v>
                </c:pt>
                <c:pt idx="608">
                  <c:v>45876</c:v>
                </c:pt>
                <c:pt idx="609">
                  <c:v>45877</c:v>
                </c:pt>
                <c:pt idx="610">
                  <c:v>45880</c:v>
                </c:pt>
                <c:pt idx="611">
                  <c:v>45881</c:v>
                </c:pt>
                <c:pt idx="612">
                  <c:v>45882</c:v>
                </c:pt>
                <c:pt idx="613">
                  <c:v>45883</c:v>
                </c:pt>
                <c:pt idx="614">
                  <c:v>45884</c:v>
                </c:pt>
                <c:pt idx="615">
                  <c:v>45887</c:v>
                </c:pt>
                <c:pt idx="616">
                  <c:v>45888</c:v>
                </c:pt>
                <c:pt idx="617">
                  <c:v>45889</c:v>
                </c:pt>
                <c:pt idx="618">
                  <c:v>45890</c:v>
                </c:pt>
                <c:pt idx="619">
                  <c:v>45891</c:v>
                </c:pt>
                <c:pt idx="620">
                  <c:v>45894</c:v>
                </c:pt>
                <c:pt idx="621">
                  <c:v>45895</c:v>
                </c:pt>
                <c:pt idx="622">
                  <c:v>45896</c:v>
                </c:pt>
                <c:pt idx="623">
                  <c:v>45897</c:v>
                </c:pt>
                <c:pt idx="624">
                  <c:v>45898</c:v>
                </c:pt>
                <c:pt idx="625">
                  <c:v>45902</c:v>
                </c:pt>
                <c:pt idx="626">
                  <c:v>45903</c:v>
                </c:pt>
                <c:pt idx="627">
                  <c:v>45904</c:v>
                </c:pt>
                <c:pt idx="628">
                  <c:v>45905</c:v>
                </c:pt>
                <c:pt idx="629">
                  <c:v>45908</c:v>
                </c:pt>
                <c:pt idx="630">
                  <c:v>45909</c:v>
                </c:pt>
                <c:pt idx="631">
                  <c:v>45910</c:v>
                </c:pt>
                <c:pt idx="632">
                  <c:v>45911</c:v>
                </c:pt>
                <c:pt idx="633">
                  <c:v>45912</c:v>
                </c:pt>
                <c:pt idx="634">
                  <c:v>45915</c:v>
                </c:pt>
                <c:pt idx="635">
                  <c:v>45916</c:v>
                </c:pt>
                <c:pt idx="636">
                  <c:v>45917</c:v>
                </c:pt>
                <c:pt idx="637">
                  <c:v>45918</c:v>
                </c:pt>
                <c:pt idx="638">
                  <c:v>45919</c:v>
                </c:pt>
                <c:pt idx="639">
                  <c:v>45922</c:v>
                </c:pt>
                <c:pt idx="640">
                  <c:v>45923</c:v>
                </c:pt>
                <c:pt idx="641">
                  <c:v>45924</c:v>
                </c:pt>
                <c:pt idx="642">
                  <c:v>45925</c:v>
                </c:pt>
                <c:pt idx="643">
                  <c:v>45926</c:v>
                </c:pt>
                <c:pt idx="644">
                  <c:v>45929</c:v>
                </c:pt>
                <c:pt idx="645">
                  <c:v>45930</c:v>
                </c:pt>
                <c:pt idx="646">
                  <c:v>45931</c:v>
                </c:pt>
                <c:pt idx="647">
                  <c:v>45932</c:v>
                </c:pt>
                <c:pt idx="648">
                  <c:v>45933</c:v>
                </c:pt>
                <c:pt idx="649">
                  <c:v>45936</c:v>
                </c:pt>
                <c:pt idx="650">
                  <c:v>45937</c:v>
                </c:pt>
                <c:pt idx="651">
                  <c:v>45938</c:v>
                </c:pt>
                <c:pt idx="652">
                  <c:v>45939</c:v>
                </c:pt>
                <c:pt idx="653">
                  <c:v>45940</c:v>
                </c:pt>
                <c:pt idx="654">
                  <c:v>45943</c:v>
                </c:pt>
                <c:pt idx="655">
                  <c:v>45944</c:v>
                </c:pt>
                <c:pt idx="656">
                  <c:v>45945</c:v>
                </c:pt>
                <c:pt idx="657">
                  <c:v>45946</c:v>
                </c:pt>
                <c:pt idx="658">
                  <c:v>45947</c:v>
                </c:pt>
                <c:pt idx="659">
                  <c:v>45950</c:v>
                </c:pt>
                <c:pt idx="660">
                  <c:v>45951</c:v>
                </c:pt>
                <c:pt idx="661">
                  <c:v>45952</c:v>
                </c:pt>
                <c:pt idx="662">
                  <c:v>45953</c:v>
                </c:pt>
                <c:pt idx="663">
                  <c:v>45954</c:v>
                </c:pt>
                <c:pt idx="664">
                  <c:v>45957</c:v>
                </c:pt>
                <c:pt idx="665">
                  <c:v>45958</c:v>
                </c:pt>
                <c:pt idx="666">
                  <c:v>45959</c:v>
                </c:pt>
                <c:pt idx="667">
                  <c:v>45960</c:v>
                </c:pt>
                <c:pt idx="668">
                  <c:v>45961</c:v>
                </c:pt>
                <c:pt idx="669">
                  <c:v>45964</c:v>
                </c:pt>
                <c:pt idx="670">
                  <c:v>45965</c:v>
                </c:pt>
                <c:pt idx="671">
                  <c:v>45966</c:v>
                </c:pt>
                <c:pt idx="672">
                  <c:v>45967</c:v>
                </c:pt>
                <c:pt idx="673">
                  <c:v>45968</c:v>
                </c:pt>
                <c:pt idx="674">
                  <c:v>45971</c:v>
                </c:pt>
                <c:pt idx="675">
                  <c:v>45972</c:v>
                </c:pt>
                <c:pt idx="676">
                  <c:v>45973</c:v>
                </c:pt>
                <c:pt idx="677">
                  <c:v>45974</c:v>
                </c:pt>
                <c:pt idx="678">
                  <c:v>45975</c:v>
                </c:pt>
                <c:pt idx="679">
                  <c:v>45978</c:v>
                </c:pt>
                <c:pt idx="680">
                  <c:v>45979</c:v>
                </c:pt>
                <c:pt idx="681">
                  <c:v>45980</c:v>
                </c:pt>
                <c:pt idx="682">
                  <c:v>45981</c:v>
                </c:pt>
                <c:pt idx="683">
                  <c:v>45982</c:v>
                </c:pt>
                <c:pt idx="684">
                  <c:v>45985</c:v>
                </c:pt>
                <c:pt idx="685">
                  <c:v>45986</c:v>
                </c:pt>
                <c:pt idx="686">
                  <c:v>45987</c:v>
                </c:pt>
                <c:pt idx="687">
                  <c:v>45989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45999</c:v>
                </c:pt>
                <c:pt idx="694">
                  <c:v>46000</c:v>
                </c:pt>
                <c:pt idx="695">
                  <c:v>46001</c:v>
                </c:pt>
                <c:pt idx="696">
                  <c:v>46002</c:v>
                </c:pt>
                <c:pt idx="697">
                  <c:v>46003</c:v>
                </c:pt>
                <c:pt idx="698">
                  <c:v>46006</c:v>
                </c:pt>
                <c:pt idx="699">
                  <c:v>46007</c:v>
                </c:pt>
                <c:pt idx="700">
                  <c:v>46008</c:v>
                </c:pt>
                <c:pt idx="701">
                  <c:v>46009</c:v>
                </c:pt>
                <c:pt idx="702">
                  <c:v>46010</c:v>
                </c:pt>
                <c:pt idx="703">
                  <c:v>46013</c:v>
                </c:pt>
                <c:pt idx="704">
                  <c:v>46014</c:v>
                </c:pt>
                <c:pt idx="705">
                  <c:v>46015</c:v>
                </c:pt>
                <c:pt idx="706">
                  <c:v>46017</c:v>
                </c:pt>
                <c:pt idx="707">
                  <c:v>46020</c:v>
                </c:pt>
                <c:pt idx="708">
                  <c:v>46021</c:v>
                </c:pt>
                <c:pt idx="709">
                  <c:v>46022</c:v>
                </c:pt>
                <c:pt idx="710">
                  <c:v>46024</c:v>
                </c:pt>
                <c:pt idx="711">
                  <c:v>46027</c:v>
                </c:pt>
                <c:pt idx="712">
                  <c:v>46028</c:v>
                </c:pt>
                <c:pt idx="713">
                  <c:v>46029</c:v>
                </c:pt>
                <c:pt idx="714">
                  <c:v>46030</c:v>
                </c:pt>
                <c:pt idx="715">
                  <c:v>46031</c:v>
                </c:pt>
                <c:pt idx="716">
                  <c:v>46034</c:v>
                </c:pt>
                <c:pt idx="717">
                  <c:v>46035</c:v>
                </c:pt>
                <c:pt idx="718">
                  <c:v>46036</c:v>
                </c:pt>
                <c:pt idx="719">
                  <c:v>46037</c:v>
                </c:pt>
                <c:pt idx="720">
                  <c:v>46038</c:v>
                </c:pt>
                <c:pt idx="721">
                  <c:v>46042</c:v>
                </c:pt>
                <c:pt idx="722">
                  <c:v>46043</c:v>
                </c:pt>
                <c:pt idx="723">
                  <c:v>46044</c:v>
                </c:pt>
                <c:pt idx="724">
                  <c:v>46045</c:v>
                </c:pt>
                <c:pt idx="725">
                  <c:v>46048</c:v>
                </c:pt>
                <c:pt idx="726">
                  <c:v>46049</c:v>
                </c:pt>
                <c:pt idx="727">
                  <c:v>46050</c:v>
                </c:pt>
                <c:pt idx="728">
                  <c:v>46051</c:v>
                </c:pt>
                <c:pt idx="729">
                  <c:v>46052</c:v>
                </c:pt>
                <c:pt idx="730">
                  <c:v>46055</c:v>
                </c:pt>
                <c:pt idx="731">
                  <c:v>46056</c:v>
                </c:pt>
                <c:pt idx="732">
                  <c:v>46057</c:v>
                </c:pt>
                <c:pt idx="733">
                  <c:v>46058</c:v>
                </c:pt>
                <c:pt idx="734">
                  <c:v>46059</c:v>
                </c:pt>
                <c:pt idx="735">
                  <c:v>46062</c:v>
                </c:pt>
                <c:pt idx="736">
                  <c:v>46063</c:v>
                </c:pt>
                <c:pt idx="737">
                  <c:v>46064</c:v>
                </c:pt>
                <c:pt idx="738">
                  <c:v>46065</c:v>
                </c:pt>
                <c:pt idx="739">
                  <c:v>46066</c:v>
                </c:pt>
                <c:pt idx="740">
                  <c:v>46070</c:v>
                </c:pt>
                <c:pt idx="741">
                  <c:v>46071</c:v>
                </c:pt>
                <c:pt idx="742">
                  <c:v>46072</c:v>
                </c:pt>
                <c:pt idx="743">
                  <c:v>46073</c:v>
                </c:pt>
                <c:pt idx="744">
                  <c:v>46076</c:v>
                </c:pt>
                <c:pt idx="745">
                  <c:v>46077</c:v>
                </c:pt>
                <c:pt idx="746">
                  <c:v>46078</c:v>
                </c:pt>
                <c:pt idx="747">
                  <c:v>46079</c:v>
                </c:pt>
                <c:pt idx="748">
                  <c:v>46080</c:v>
                </c:pt>
                <c:pt idx="749">
                  <c:v>46083</c:v>
                </c:pt>
                <c:pt idx="750">
                  <c:v>46084</c:v>
                </c:pt>
                <c:pt idx="751">
                  <c:v>46085</c:v>
                </c:pt>
              </c:numCache>
            </c:numRef>
          </c:cat>
          <c:val>
            <c:numRef>
              <c:f>'Share Price Analysis'!$L$36:$L$787</c:f>
              <c:numCache>
                <c:formatCode>#,##0.0</c:formatCode>
                <c:ptCount val="752"/>
                <c:pt idx="0">
                  <c:v>100</c:v>
                </c:pt>
                <c:pt idx="1">
                  <c:v>98.467129824214396</c:v>
                </c:pt>
                <c:pt idx="2">
                  <c:v>98.627833955546762</c:v>
                </c:pt>
                <c:pt idx="3">
                  <c:v>96.808168714614183</c:v>
                </c:pt>
                <c:pt idx="4">
                  <c:v>95.411278957648278</c:v>
                </c:pt>
                <c:pt idx="5">
                  <c:v>95.275298538828594</c:v>
                </c:pt>
                <c:pt idx="6">
                  <c:v>96.850199025885729</c:v>
                </c:pt>
                <c:pt idx="7">
                  <c:v>96.244468069325279</c:v>
                </c:pt>
                <c:pt idx="8">
                  <c:v>97.933097633940719</c:v>
                </c:pt>
                <c:pt idx="9">
                  <c:v>96.420006428165252</c:v>
                </c:pt>
                <c:pt idx="10">
                  <c:v>97.347145647390406</c:v>
                </c:pt>
                <c:pt idx="11">
                  <c:v>98.625361584295504</c:v>
                </c:pt>
                <c:pt idx="12">
                  <c:v>96.944149133433882</c:v>
                </c:pt>
                <c:pt idx="13">
                  <c:v>97.20622048606819</c:v>
                </c:pt>
                <c:pt idx="14">
                  <c:v>97.844092268895082</c:v>
                </c:pt>
                <c:pt idx="15">
                  <c:v>98.027047741488857</c:v>
                </c:pt>
                <c:pt idx="16">
                  <c:v>97.807006700126081</c:v>
                </c:pt>
                <c:pt idx="17">
                  <c:v>99.228620169604667</c:v>
                </c:pt>
                <c:pt idx="18">
                  <c:v>99.809627413652422</c:v>
                </c:pt>
                <c:pt idx="19">
                  <c:v>101.21640665562339</c:v>
                </c:pt>
                <c:pt idx="20">
                  <c:v>101.60209657082106</c:v>
                </c:pt>
                <c:pt idx="21">
                  <c:v>101.03839592553217</c:v>
                </c:pt>
                <c:pt idx="22">
                  <c:v>100.7738522016466</c:v>
                </c:pt>
                <c:pt idx="23">
                  <c:v>101.16695923059807</c:v>
                </c:pt>
                <c:pt idx="24">
                  <c:v>101.27079882315128</c:v>
                </c:pt>
                <c:pt idx="25">
                  <c:v>101.29799490691522</c:v>
                </c:pt>
                <c:pt idx="26">
                  <c:v>100.88510890795361</c:v>
                </c:pt>
                <c:pt idx="27">
                  <c:v>102.22513412614038</c:v>
                </c:pt>
                <c:pt idx="28">
                  <c:v>101.97542462976239</c:v>
                </c:pt>
                <c:pt idx="29">
                  <c:v>102.34133557494994</c:v>
                </c:pt>
                <c:pt idx="30">
                  <c:v>102.40808959873414</c:v>
                </c:pt>
                <c:pt idx="31">
                  <c:v>102.39078299997526</c:v>
                </c:pt>
                <c:pt idx="32">
                  <c:v>101.8320270971889</c:v>
                </c:pt>
                <c:pt idx="33">
                  <c:v>101.91114297722945</c:v>
                </c:pt>
                <c:pt idx="34">
                  <c:v>102.01745494103393</c:v>
                </c:pt>
                <c:pt idx="35">
                  <c:v>100.39805177145399</c:v>
                </c:pt>
                <c:pt idx="36">
                  <c:v>99.97280391623606</c:v>
                </c:pt>
                <c:pt idx="37">
                  <c:v>101.96306277350607</c:v>
                </c:pt>
                <c:pt idx="38">
                  <c:v>102.83333745395208</c:v>
                </c:pt>
                <c:pt idx="39">
                  <c:v>102.72949786139887</c:v>
                </c:pt>
                <c:pt idx="40">
                  <c:v>101.57490048705714</c:v>
                </c:pt>
                <c:pt idx="41">
                  <c:v>100.87769179419981</c:v>
                </c:pt>
                <c:pt idx="42">
                  <c:v>100.16317650258361</c:v>
                </c:pt>
                <c:pt idx="43">
                  <c:v>102.01745494103393</c:v>
                </c:pt>
                <c:pt idx="44">
                  <c:v>102.04465102479787</c:v>
                </c:pt>
                <c:pt idx="45">
                  <c:v>101.59715182831854</c:v>
                </c:pt>
                <c:pt idx="46">
                  <c:v>102.07184710856183</c:v>
                </c:pt>
                <c:pt idx="47">
                  <c:v>101.89383637847058</c:v>
                </c:pt>
                <c:pt idx="48">
                  <c:v>101.76032833090215</c:v>
                </c:pt>
                <c:pt idx="49">
                  <c:v>102.1114050485821</c:v>
                </c:pt>
                <c:pt idx="50">
                  <c:v>101.42903058323239</c:v>
                </c:pt>
                <c:pt idx="51">
                  <c:v>102.66027146636338</c:v>
                </c:pt>
                <c:pt idx="52">
                  <c:v>103.64921996687022</c:v>
                </c:pt>
                <c:pt idx="53">
                  <c:v>103.49840532054293</c:v>
                </c:pt>
                <c:pt idx="54">
                  <c:v>103.54043563181447</c:v>
                </c:pt>
                <c:pt idx="55">
                  <c:v>102.37842114371894</c:v>
                </c:pt>
                <c:pt idx="56">
                  <c:v>101.6367097683388</c:v>
                </c:pt>
                <c:pt idx="57">
                  <c:v>102.51687393378988</c:v>
                </c:pt>
                <c:pt idx="58">
                  <c:v>103.84453729572031</c:v>
                </c:pt>
                <c:pt idx="59">
                  <c:v>103.8840952357406</c:v>
                </c:pt>
                <c:pt idx="60">
                  <c:v>103.30803273419538</c:v>
                </c:pt>
                <c:pt idx="61">
                  <c:v>104.28956412094838</c:v>
                </c:pt>
                <c:pt idx="62">
                  <c:v>105.79771058422132</c:v>
                </c:pt>
                <c:pt idx="63">
                  <c:v>105.59497614161741</c:v>
                </c:pt>
                <c:pt idx="64">
                  <c:v>105.82490666798525</c:v>
                </c:pt>
                <c:pt idx="65">
                  <c:v>105.45899572279774</c:v>
                </c:pt>
                <c:pt idx="66">
                  <c:v>106.09686750562463</c:v>
                </c:pt>
                <c:pt idx="67">
                  <c:v>106.28724009197219</c:v>
                </c:pt>
                <c:pt idx="68">
                  <c:v>107.25146487996638</c:v>
                </c:pt>
                <c:pt idx="69">
                  <c:v>107.95856305782875</c:v>
                </c:pt>
                <c:pt idx="70">
                  <c:v>108.08712636289464</c:v>
                </c:pt>
                <c:pt idx="71">
                  <c:v>109.4271515810814</c:v>
                </c:pt>
                <c:pt idx="72">
                  <c:v>108.65082700818354</c:v>
                </c:pt>
                <c:pt idx="73">
                  <c:v>108.08712636289464</c:v>
                </c:pt>
                <c:pt idx="74">
                  <c:v>107.53331520261082</c:v>
                </c:pt>
                <c:pt idx="75">
                  <c:v>107.92147748905975</c:v>
                </c:pt>
                <c:pt idx="76">
                  <c:v>107.1055949761416</c:v>
                </c:pt>
                <c:pt idx="77">
                  <c:v>106.66798526466734</c:v>
                </c:pt>
                <c:pt idx="78">
                  <c:v>107.83741686651666</c:v>
                </c:pt>
                <c:pt idx="79">
                  <c:v>107.89180903404454</c:v>
                </c:pt>
                <c:pt idx="80">
                  <c:v>108.3170568892625</c:v>
                </c:pt>
                <c:pt idx="81">
                  <c:v>109.59527282616757</c:v>
                </c:pt>
                <c:pt idx="82">
                  <c:v>109.72136375998221</c:v>
                </c:pt>
                <c:pt idx="83">
                  <c:v>109.55818725739857</c:v>
                </c:pt>
                <c:pt idx="84">
                  <c:v>108.70027443320889</c:v>
                </c:pt>
                <c:pt idx="85">
                  <c:v>108.42584122431825</c:v>
                </c:pt>
                <c:pt idx="86">
                  <c:v>108.70027443320889</c:v>
                </c:pt>
                <c:pt idx="87">
                  <c:v>109.39253838356366</c:v>
                </c:pt>
                <c:pt idx="88">
                  <c:v>110.27270254901475</c:v>
                </c:pt>
                <c:pt idx="89">
                  <c:v>111.1479219719633</c:v>
                </c:pt>
                <c:pt idx="90">
                  <c:v>111.07869557692783</c:v>
                </c:pt>
                <c:pt idx="91">
                  <c:v>111.46438549212547</c:v>
                </c:pt>
                <c:pt idx="92">
                  <c:v>112.29262986129997</c:v>
                </c:pt>
                <c:pt idx="93">
                  <c:v>112.54233935767795</c:v>
                </c:pt>
                <c:pt idx="94">
                  <c:v>111.79568323979527</c:v>
                </c:pt>
                <c:pt idx="95">
                  <c:v>111.79568323979527</c:v>
                </c:pt>
                <c:pt idx="96">
                  <c:v>112.29510223255123</c:v>
                </c:pt>
                <c:pt idx="97">
                  <c:v>112.60167626770836</c:v>
                </c:pt>
                <c:pt idx="98">
                  <c:v>112.61898286646721</c:v>
                </c:pt>
                <c:pt idx="99">
                  <c:v>111.87232674858456</c:v>
                </c:pt>
                <c:pt idx="100">
                  <c:v>112.96758721289588</c:v>
                </c:pt>
                <c:pt idx="101">
                  <c:v>113.18268351175614</c:v>
                </c:pt>
                <c:pt idx="102">
                  <c:v>112.85880287784013</c:v>
                </c:pt>
                <c:pt idx="103">
                  <c:v>111.28884713328553</c:v>
                </c:pt>
                <c:pt idx="104">
                  <c:v>110.96991124187208</c:v>
                </c:pt>
                <c:pt idx="105">
                  <c:v>110.46801987786485</c:v>
                </c:pt>
                <c:pt idx="106">
                  <c:v>111.43224466585902</c:v>
                </c:pt>
                <c:pt idx="107">
                  <c:v>110.94765990061066</c:v>
                </c:pt>
                <c:pt idx="108">
                  <c:v>110.20594852523054</c:v>
                </c:pt>
                <c:pt idx="109">
                  <c:v>110.24550646525083</c:v>
                </c:pt>
                <c:pt idx="110">
                  <c:v>110.18122481271786</c:v>
                </c:pt>
                <c:pt idx="111">
                  <c:v>110.78942814052959</c:v>
                </c:pt>
                <c:pt idx="112">
                  <c:v>109.49885034736815</c:v>
                </c:pt>
                <c:pt idx="113">
                  <c:v>108.69532969070634</c:v>
                </c:pt>
                <c:pt idx="114">
                  <c:v>107.86708532153189</c:v>
                </c:pt>
                <c:pt idx="115">
                  <c:v>107.91900511780848</c:v>
                </c:pt>
                <c:pt idx="116">
                  <c:v>108.62115855316834</c:v>
                </c:pt>
                <c:pt idx="117">
                  <c:v>108.32694637426754</c:v>
                </c:pt>
                <c:pt idx="118">
                  <c:v>109.53346354488589</c:v>
                </c:pt>
                <c:pt idx="119">
                  <c:v>108.01542759660789</c:v>
                </c:pt>
                <c:pt idx="120">
                  <c:v>108.77691794199818</c:v>
                </c:pt>
                <c:pt idx="121">
                  <c:v>109.46670952110166</c:v>
                </c:pt>
                <c:pt idx="122">
                  <c:v>111.04902712191263</c:v>
                </c:pt>
                <c:pt idx="123">
                  <c:v>111.50641580339702</c:v>
                </c:pt>
                <c:pt idx="124">
                  <c:v>111.34323930081339</c:v>
                </c:pt>
                <c:pt idx="125">
                  <c:v>111.55091848591985</c:v>
                </c:pt>
                <c:pt idx="126">
                  <c:v>111.06880609192275</c:v>
                </c:pt>
                <c:pt idx="127">
                  <c:v>110.3221499740401</c:v>
                </c:pt>
                <c:pt idx="128">
                  <c:v>109.9834351126165</c:v>
                </c:pt>
                <c:pt idx="129">
                  <c:v>110.1490839864514</c:v>
                </c:pt>
                <c:pt idx="130">
                  <c:v>110.87348876307266</c:v>
                </c:pt>
                <c:pt idx="131">
                  <c:v>110.26528543526095</c:v>
                </c:pt>
                <c:pt idx="132">
                  <c:v>110.39384874032683</c:v>
                </c:pt>
                <c:pt idx="133">
                  <c:v>111.34571167206467</c:v>
                </c:pt>
                <c:pt idx="134">
                  <c:v>109.61752416742898</c:v>
                </c:pt>
                <c:pt idx="135">
                  <c:v>109.68180581996192</c:v>
                </c:pt>
                <c:pt idx="136">
                  <c:v>109.45434766484534</c:v>
                </c:pt>
                <c:pt idx="137">
                  <c:v>108.44809256557963</c:v>
                </c:pt>
                <c:pt idx="138">
                  <c:v>106.65562340841099</c:v>
                </c:pt>
                <c:pt idx="139">
                  <c:v>106.41580339703809</c:v>
                </c:pt>
                <c:pt idx="140">
                  <c:v>106.86330259351745</c:v>
                </c:pt>
                <c:pt idx="141">
                  <c:v>105.29334684896283</c:v>
                </c:pt>
                <c:pt idx="142">
                  <c:v>105.33537716023437</c:v>
                </c:pt>
                <c:pt idx="143">
                  <c:v>105.94605285929734</c:v>
                </c:pt>
                <c:pt idx="144">
                  <c:v>105.68892624916558</c:v>
                </c:pt>
                <c:pt idx="145">
                  <c:v>105.64689593789403</c:v>
                </c:pt>
                <c:pt idx="146">
                  <c:v>104.23269958216925</c:v>
                </c:pt>
                <c:pt idx="147">
                  <c:v>104.99171755630825</c:v>
                </c:pt>
                <c:pt idx="148">
                  <c:v>104.95215961628797</c:v>
                </c:pt>
                <c:pt idx="149">
                  <c:v>106.1982347269266</c:v>
                </c:pt>
                <c:pt idx="150">
                  <c:v>106.87813682102505</c:v>
                </c:pt>
                <c:pt idx="151">
                  <c:v>107.43442035256014</c:v>
                </c:pt>
                <c:pt idx="152">
                  <c:v>107.87450243528566</c:v>
                </c:pt>
                <c:pt idx="153">
                  <c:v>107.21685168244863</c:v>
                </c:pt>
                <c:pt idx="154">
                  <c:v>106.68281949217493</c:v>
                </c:pt>
                <c:pt idx="155">
                  <c:v>107.80527604025021</c:v>
                </c:pt>
                <c:pt idx="156">
                  <c:v>107.80033129774766</c:v>
                </c:pt>
                <c:pt idx="157">
                  <c:v>106.36388360076148</c:v>
                </c:pt>
                <c:pt idx="158">
                  <c:v>105.42932726778254</c:v>
                </c:pt>
                <c:pt idx="159">
                  <c:v>104.13380473211858</c:v>
                </c:pt>
                <c:pt idx="160">
                  <c:v>103.95332163077606</c:v>
                </c:pt>
                <c:pt idx="161">
                  <c:v>104.73706331742774</c:v>
                </c:pt>
                <c:pt idx="162">
                  <c:v>103.23386159665735</c:v>
                </c:pt>
                <c:pt idx="163">
                  <c:v>101.99767597102381</c:v>
                </c:pt>
                <c:pt idx="164">
                  <c:v>101.53534254703686</c:v>
                </c:pt>
                <c:pt idx="165">
                  <c:v>102.74927683140899</c:v>
                </c:pt>
                <c:pt idx="166">
                  <c:v>103.3945657279897</c:v>
                </c:pt>
                <c:pt idx="167">
                  <c:v>104.49724330605483</c:v>
                </c:pt>
                <c:pt idx="168">
                  <c:v>106.49986401958118</c:v>
                </c:pt>
                <c:pt idx="169">
                  <c:v>107.47150592132914</c:v>
                </c:pt>
                <c:pt idx="170">
                  <c:v>107.71874304645586</c:v>
                </c:pt>
                <c:pt idx="171">
                  <c:v>108.02531708161295</c:v>
                </c:pt>
                <c:pt idx="172">
                  <c:v>108.1044329616535</c:v>
                </c:pt>
                <c:pt idx="173">
                  <c:v>107.26135436497144</c:v>
                </c:pt>
                <c:pt idx="174">
                  <c:v>108.93514970207927</c:v>
                </c:pt>
                <c:pt idx="175">
                  <c:v>108.83131010952604</c:v>
                </c:pt>
                <c:pt idx="176">
                  <c:v>110.94271515810814</c:v>
                </c:pt>
                <c:pt idx="177">
                  <c:v>111.1775904269785</c:v>
                </c:pt>
                <c:pt idx="178">
                  <c:v>111.31357084579821</c:v>
                </c:pt>
                <c:pt idx="179">
                  <c:v>111.45202363586917</c:v>
                </c:pt>
                <c:pt idx="180">
                  <c:v>112.30993646005882</c:v>
                </c:pt>
                <c:pt idx="181">
                  <c:v>112.06517170618339</c:v>
                </c:pt>
                <c:pt idx="182">
                  <c:v>112.49783667515514</c:v>
                </c:pt>
                <c:pt idx="183">
                  <c:v>112.56706307019061</c:v>
                </c:pt>
                <c:pt idx="184">
                  <c:v>112.36432862758672</c:v>
                </c:pt>
                <c:pt idx="185">
                  <c:v>112.47558533389372</c:v>
                </c:pt>
                <c:pt idx="186">
                  <c:v>112.39646945385317</c:v>
                </c:pt>
                <c:pt idx="187">
                  <c:v>112.83902390782998</c:v>
                </c:pt>
                <c:pt idx="188">
                  <c:v>113.5065641456721</c:v>
                </c:pt>
                <c:pt idx="189">
                  <c:v>112.91072267411676</c:v>
                </c:pt>
                <c:pt idx="190">
                  <c:v>112.88847133285533</c:v>
                </c:pt>
                <c:pt idx="191">
                  <c:v>112.43355502262217</c:v>
                </c:pt>
                <c:pt idx="192">
                  <c:v>113.29146784681188</c:v>
                </c:pt>
                <c:pt idx="193">
                  <c:v>113.77852498331148</c:v>
                </c:pt>
                <c:pt idx="194">
                  <c:v>114.2210794372883</c:v>
                </c:pt>
                <c:pt idx="195">
                  <c:v>114.74274977130565</c:v>
                </c:pt>
                <c:pt idx="196">
                  <c:v>116.32506737211659</c:v>
                </c:pt>
                <c:pt idx="197">
                  <c:v>116.69839543105792</c:v>
                </c:pt>
                <c:pt idx="198">
                  <c:v>116.03579993571833</c:v>
                </c:pt>
                <c:pt idx="199">
                  <c:v>116.68850594605287</c:v>
                </c:pt>
                <c:pt idx="200">
                  <c:v>117.39807649516649</c:v>
                </c:pt>
                <c:pt idx="201">
                  <c:v>115.77125621183275</c:v>
                </c:pt>
                <c:pt idx="202">
                  <c:v>116.86898904739536</c:v>
                </c:pt>
                <c:pt idx="203">
                  <c:v>117.10386431626571</c:v>
                </c:pt>
                <c:pt idx="204">
                  <c:v>117.59833856651913</c:v>
                </c:pt>
                <c:pt idx="205">
                  <c:v>117.81096249412811</c:v>
                </c:pt>
                <c:pt idx="206">
                  <c:v>117.85546517665091</c:v>
                </c:pt>
                <c:pt idx="207">
                  <c:v>117.51427794397607</c:v>
                </c:pt>
                <c:pt idx="208">
                  <c:v>116.85662719113901</c:v>
                </c:pt>
                <c:pt idx="209">
                  <c:v>115.9022918881499</c:v>
                </c:pt>
                <c:pt idx="210">
                  <c:v>115.52896382920859</c:v>
                </c:pt>
                <c:pt idx="211">
                  <c:v>115.68719558928969</c:v>
                </c:pt>
                <c:pt idx="212">
                  <c:v>117.3387395851361</c:v>
                </c:pt>
                <c:pt idx="213">
                  <c:v>117.16072885504487</c:v>
                </c:pt>
                <c:pt idx="214">
                  <c:v>117.82332435038445</c:v>
                </c:pt>
                <c:pt idx="215">
                  <c:v>117.77140455410785</c:v>
                </c:pt>
                <c:pt idx="216">
                  <c:v>117.85299280539965</c:v>
                </c:pt>
                <c:pt idx="217">
                  <c:v>117.4203278364279</c:v>
                </c:pt>
                <c:pt idx="218">
                  <c:v>116.76762182609339</c:v>
                </c:pt>
                <c:pt idx="219">
                  <c:v>117.80601775162557</c:v>
                </c:pt>
                <c:pt idx="220">
                  <c:v>119.27460627487822</c:v>
                </c:pt>
                <c:pt idx="221">
                  <c:v>119.52678814250748</c:v>
                </c:pt>
                <c:pt idx="222">
                  <c:v>119.87539248893613</c:v>
                </c:pt>
                <c:pt idx="223">
                  <c:v>120.00642816525328</c:v>
                </c:pt>
                <c:pt idx="224">
                  <c:v>120.65913417558779</c:v>
                </c:pt>
                <c:pt idx="225">
                  <c:v>120.50584715800925</c:v>
                </c:pt>
                <c:pt idx="226">
                  <c:v>121.46018246099833</c:v>
                </c:pt>
                <c:pt idx="227">
                  <c:v>121.36623235345019</c:v>
                </c:pt>
                <c:pt idx="228">
                  <c:v>119.38586298118526</c:v>
                </c:pt>
                <c:pt idx="229">
                  <c:v>120.94840161198603</c:v>
                </c:pt>
                <c:pt idx="230">
                  <c:v>122.2216728063886</c:v>
                </c:pt>
                <c:pt idx="231">
                  <c:v>121.77664598116054</c:v>
                </c:pt>
                <c:pt idx="232">
                  <c:v>122.13019507009173</c:v>
                </c:pt>
                <c:pt idx="233">
                  <c:v>123.14881202561376</c:v>
                </c:pt>
                <c:pt idx="234">
                  <c:v>123.20320419314163</c:v>
                </c:pt>
                <c:pt idx="235">
                  <c:v>123.91524711350654</c:v>
                </c:pt>
                <c:pt idx="236">
                  <c:v>123.86085494597869</c:v>
                </c:pt>
                <c:pt idx="237">
                  <c:v>122.15491878260438</c:v>
                </c:pt>
                <c:pt idx="238">
                  <c:v>123.26501347442331</c:v>
                </c:pt>
                <c:pt idx="239">
                  <c:v>124.11550918485918</c:v>
                </c:pt>
                <c:pt idx="240">
                  <c:v>123.49741637204241</c:v>
                </c:pt>
                <c:pt idx="241">
                  <c:v>122.81751427794396</c:v>
                </c:pt>
                <c:pt idx="242">
                  <c:v>122.92877098425099</c:v>
                </c:pt>
                <c:pt idx="243">
                  <c:v>125.47284100180482</c:v>
                </c:pt>
                <c:pt idx="244">
                  <c:v>125.55937399559917</c:v>
                </c:pt>
                <c:pt idx="245">
                  <c:v>125.0995129428635</c:v>
                </c:pt>
                <c:pt idx="246">
                  <c:v>125.33191584048259</c:v>
                </c:pt>
                <c:pt idx="247">
                  <c:v>125.1662669666477</c:v>
                </c:pt>
                <c:pt idx="248">
                  <c:v>125.61623853437831</c:v>
                </c:pt>
                <c:pt idx="249">
                  <c:v>126.79555962123273</c:v>
                </c:pt>
                <c:pt idx="250">
                  <c:v>126.65957920241301</c:v>
                </c:pt>
                <c:pt idx="251">
                  <c:v>125.39372512176428</c:v>
                </c:pt>
                <c:pt idx="252">
                  <c:v>126.02912453333992</c:v>
                </c:pt>
                <c:pt idx="253">
                  <c:v>127.28014438648106</c:v>
                </c:pt>
                <c:pt idx="254">
                  <c:v>126.51618166983954</c:v>
                </c:pt>
                <c:pt idx="255">
                  <c:v>126.40739733478377</c:v>
                </c:pt>
                <c:pt idx="256">
                  <c:v>127.76720152298067</c:v>
                </c:pt>
                <c:pt idx="257">
                  <c:v>127.56693945162804</c:v>
                </c:pt>
                <c:pt idx="258">
                  <c:v>127.31475758399881</c:v>
                </c:pt>
                <c:pt idx="259">
                  <c:v>126.04890350335005</c:v>
                </c:pt>
                <c:pt idx="260">
                  <c:v>126.79803199248398</c:v>
                </c:pt>
                <c:pt idx="261">
                  <c:v>127.5026577990951</c:v>
                </c:pt>
                <c:pt idx="262">
                  <c:v>128.68197888594949</c:v>
                </c:pt>
                <c:pt idx="263">
                  <c:v>129.10722674116747</c:v>
                </c:pt>
                <c:pt idx="264">
                  <c:v>128.86246198729202</c:v>
                </c:pt>
                <c:pt idx="265">
                  <c:v>128.50644052710953</c:v>
                </c:pt>
                <c:pt idx="266">
                  <c:v>128.26909288698789</c:v>
                </c:pt>
                <c:pt idx="267">
                  <c:v>129.34704675254034</c:v>
                </c:pt>
                <c:pt idx="268">
                  <c:v>129.3223230400277</c:v>
                </c:pt>
                <c:pt idx="269">
                  <c:v>129.09733725616238</c:v>
                </c:pt>
                <c:pt idx="270">
                  <c:v>128.27651000074172</c:v>
                </c:pt>
                <c:pt idx="271">
                  <c:v>128.41743516206392</c:v>
                </c:pt>
                <c:pt idx="272">
                  <c:v>126.84995178876059</c:v>
                </c:pt>
                <c:pt idx="273">
                  <c:v>128.17514277943974</c:v>
                </c:pt>
                <c:pt idx="274">
                  <c:v>128.24684154572651</c:v>
                </c:pt>
                <c:pt idx="275">
                  <c:v>128.39518382080252</c:v>
                </c:pt>
                <c:pt idx="276">
                  <c:v>127.10955077014363</c:v>
                </c:pt>
                <c:pt idx="277">
                  <c:v>128.06883081563527</c:v>
                </c:pt>
                <c:pt idx="278">
                  <c:v>126.30108537097931</c:v>
                </c:pt>
                <c:pt idx="279">
                  <c:v>124.71876777016834</c:v>
                </c:pt>
                <c:pt idx="280">
                  <c:v>124.49130961505178</c:v>
                </c:pt>
                <c:pt idx="281">
                  <c:v>123.75454298217419</c:v>
                </c:pt>
                <c:pt idx="282">
                  <c:v>123.49988874329367</c:v>
                </c:pt>
                <c:pt idx="283">
                  <c:v>122.42193487774125</c:v>
                </c:pt>
                <c:pt idx="284">
                  <c:v>123.54933616831903</c:v>
                </c:pt>
                <c:pt idx="285">
                  <c:v>125.01545232032041</c:v>
                </c:pt>
                <c:pt idx="286">
                  <c:v>124.95611541029001</c:v>
                </c:pt>
                <c:pt idx="287">
                  <c:v>124.48142013004673</c:v>
                </c:pt>
                <c:pt idx="288">
                  <c:v>125.66074121690112</c:v>
                </c:pt>
                <c:pt idx="289">
                  <c:v>126.10576804212921</c:v>
                </c:pt>
                <c:pt idx="290">
                  <c:v>124.1080920711054</c:v>
                </c:pt>
                <c:pt idx="291">
                  <c:v>123.70509555714887</c:v>
                </c:pt>
                <c:pt idx="292">
                  <c:v>124.86216530274183</c:v>
                </c:pt>
                <c:pt idx="293">
                  <c:v>126.40986970603505</c:v>
                </c:pt>
                <c:pt idx="294">
                  <c:v>127.71528172670408</c:v>
                </c:pt>
                <c:pt idx="295">
                  <c:v>127.85620688802631</c:v>
                </c:pt>
                <c:pt idx="296">
                  <c:v>127.86856874428265</c:v>
                </c:pt>
                <c:pt idx="297">
                  <c:v>128.6053353771602</c:v>
                </c:pt>
                <c:pt idx="298">
                  <c:v>128.77098425099513</c:v>
                </c:pt>
                <c:pt idx="299">
                  <c:v>128.78829084975399</c:v>
                </c:pt>
                <c:pt idx="300">
                  <c:v>129.37918757880681</c:v>
                </c:pt>
                <c:pt idx="301">
                  <c:v>130.9812841496279</c:v>
                </c:pt>
                <c:pt idx="302">
                  <c:v>130.71179568323981</c:v>
                </c:pt>
                <c:pt idx="303">
                  <c:v>130.89969589833609</c:v>
                </c:pt>
                <c:pt idx="304">
                  <c:v>131.05051054466338</c:v>
                </c:pt>
                <c:pt idx="305">
                  <c:v>131.37191880732811</c:v>
                </c:pt>
                <c:pt idx="306">
                  <c:v>130.99364600588424</c:v>
                </c:pt>
                <c:pt idx="307">
                  <c:v>130.03683833164388</c:v>
                </c:pt>
                <c:pt idx="308">
                  <c:v>130.89722352708483</c:v>
                </c:pt>
                <c:pt idx="309">
                  <c:v>130.9887012633817</c:v>
                </c:pt>
                <c:pt idx="310">
                  <c:v>130.07145152916161</c:v>
                </c:pt>
                <c:pt idx="311">
                  <c:v>129.20859396246939</c:v>
                </c:pt>
                <c:pt idx="312">
                  <c:v>130.38544267807254</c:v>
                </c:pt>
                <c:pt idx="313">
                  <c:v>130.49175464187701</c:v>
                </c:pt>
                <c:pt idx="314">
                  <c:v>130.63762454570178</c:v>
                </c:pt>
                <c:pt idx="315">
                  <c:v>132.19027369149751</c:v>
                </c:pt>
                <c:pt idx="316">
                  <c:v>132.18780132024622</c:v>
                </c:pt>
                <c:pt idx="317">
                  <c:v>132.02709718891387</c:v>
                </c:pt>
                <c:pt idx="318">
                  <c:v>132.43503844537295</c:v>
                </c:pt>
                <c:pt idx="319">
                  <c:v>132.75397433678643</c:v>
                </c:pt>
                <c:pt idx="320">
                  <c:v>133.84429005859519</c:v>
                </c:pt>
                <c:pt idx="321">
                  <c:v>134.11377852498333</c:v>
                </c:pt>
                <c:pt idx="322">
                  <c:v>134.19536677627511</c:v>
                </c:pt>
                <c:pt idx="323">
                  <c:v>135.26343115682252</c:v>
                </c:pt>
                <c:pt idx="324">
                  <c:v>135.6070907607486</c:v>
                </c:pt>
                <c:pt idx="325">
                  <c:v>135.23870744430982</c:v>
                </c:pt>
                <c:pt idx="326">
                  <c:v>134.62308700274431</c:v>
                </c:pt>
                <c:pt idx="327">
                  <c:v>134.18547729127005</c:v>
                </c:pt>
                <c:pt idx="328">
                  <c:v>134.70220288278486</c:v>
                </c:pt>
                <c:pt idx="329">
                  <c:v>134.87032412787104</c:v>
                </c:pt>
                <c:pt idx="330">
                  <c:v>135.08294805547999</c:v>
                </c:pt>
                <c:pt idx="331">
                  <c:v>134.55138823645757</c:v>
                </c:pt>
                <c:pt idx="332">
                  <c:v>134.82829381659951</c:v>
                </c:pt>
                <c:pt idx="333">
                  <c:v>135.73565406581451</c:v>
                </c:pt>
                <c:pt idx="334">
                  <c:v>136.34138502237496</c:v>
                </c:pt>
                <c:pt idx="335">
                  <c:v>137.12759908027786</c:v>
                </c:pt>
                <c:pt idx="336">
                  <c:v>137.28583084035898</c:v>
                </c:pt>
                <c:pt idx="337">
                  <c:v>137.41933888792741</c:v>
                </c:pt>
                <c:pt idx="338">
                  <c:v>138.77914307612431</c:v>
                </c:pt>
                <c:pt idx="339">
                  <c:v>137.58251539051102</c:v>
                </c:pt>
                <c:pt idx="340">
                  <c:v>138.45031769970578</c:v>
                </c:pt>
                <c:pt idx="341">
                  <c:v>138.83106287240091</c:v>
                </c:pt>
                <c:pt idx="342">
                  <c:v>139.65436249907285</c:v>
                </c:pt>
                <c:pt idx="343">
                  <c:v>137.69624446806935</c:v>
                </c:pt>
                <c:pt idx="344">
                  <c:v>136.638069572527</c:v>
                </c:pt>
                <c:pt idx="345">
                  <c:v>135.73070932331197</c:v>
                </c:pt>
                <c:pt idx="346">
                  <c:v>137.13007145152915</c:v>
                </c:pt>
                <c:pt idx="347">
                  <c:v>136.91497515266892</c:v>
                </c:pt>
                <c:pt idx="348">
                  <c:v>133.81214923232872</c:v>
                </c:pt>
                <c:pt idx="349">
                  <c:v>133.11494053947141</c:v>
                </c:pt>
                <c:pt idx="350">
                  <c:v>134.60578040398548</c:v>
                </c:pt>
                <c:pt idx="351">
                  <c:v>134.684896284026</c:v>
                </c:pt>
                <c:pt idx="352">
                  <c:v>134.00252181867629</c:v>
                </c:pt>
                <c:pt idx="353">
                  <c:v>136.18068089104258</c:v>
                </c:pt>
                <c:pt idx="354">
                  <c:v>134.25223131505425</c:v>
                </c:pt>
                <c:pt idx="355">
                  <c:v>131.75266398002324</c:v>
                </c:pt>
                <c:pt idx="356">
                  <c:v>127.9155437980567</c:v>
                </c:pt>
                <c:pt idx="357">
                  <c:v>129.09486488491112</c:v>
                </c:pt>
                <c:pt idx="358">
                  <c:v>128.23200731821888</c:v>
                </c:pt>
                <c:pt idx="359">
                  <c:v>131.19638044848813</c:v>
                </c:pt>
                <c:pt idx="360">
                  <c:v>131.77491532128465</c:v>
                </c:pt>
                <c:pt idx="361">
                  <c:v>131.84414171632011</c:v>
                </c:pt>
                <c:pt idx="362">
                  <c:v>134.01241130368135</c:v>
                </c:pt>
                <c:pt idx="363">
                  <c:v>134.43518678764804</c:v>
                </c:pt>
                <c:pt idx="364">
                  <c:v>136.73943679382896</c:v>
                </c:pt>
                <c:pt idx="365">
                  <c:v>137.04601082898606</c:v>
                </c:pt>
                <c:pt idx="366">
                  <c:v>138.35636759215762</c:v>
                </c:pt>
                <c:pt idx="367">
                  <c:v>138.13138180829233</c:v>
                </c:pt>
                <c:pt idx="368">
                  <c:v>138.60607708853561</c:v>
                </c:pt>
                <c:pt idx="369">
                  <c:v>137.51823373797808</c:v>
                </c:pt>
                <c:pt idx="370">
                  <c:v>138.97940514747694</c:v>
                </c:pt>
                <c:pt idx="371">
                  <c:v>138.64810739980712</c:v>
                </c:pt>
                <c:pt idx="372">
                  <c:v>138.83847998615471</c:v>
                </c:pt>
                <c:pt idx="373">
                  <c:v>138.03248695824161</c:v>
                </c:pt>
                <c:pt idx="374">
                  <c:v>138.04484881449798</c:v>
                </c:pt>
                <c:pt idx="375">
                  <c:v>139.36262269142333</c:v>
                </c:pt>
                <c:pt idx="376">
                  <c:v>136.49467203995351</c:v>
                </c:pt>
                <c:pt idx="377">
                  <c:v>136.21529408856034</c:v>
                </c:pt>
                <c:pt idx="378">
                  <c:v>135.88399634089055</c:v>
                </c:pt>
                <c:pt idx="379">
                  <c:v>133.59705293346849</c:v>
                </c:pt>
                <c:pt idx="380">
                  <c:v>135.09283754048508</c:v>
                </c:pt>
                <c:pt idx="381">
                  <c:v>135.68126189828661</c:v>
                </c:pt>
                <c:pt idx="382">
                  <c:v>137.07320691275001</c:v>
                </c:pt>
                <c:pt idx="383">
                  <c:v>138.22780428709174</c:v>
                </c:pt>
                <c:pt idx="384">
                  <c:v>138.94973669246173</c:v>
                </c:pt>
                <c:pt idx="385">
                  <c:v>139.1549435063169</c:v>
                </c:pt>
                <c:pt idx="386">
                  <c:v>139.21180804509606</c:v>
                </c:pt>
                <c:pt idx="387">
                  <c:v>138.79892204613444</c:v>
                </c:pt>
                <c:pt idx="388">
                  <c:v>141.1674537048483</c:v>
                </c:pt>
                <c:pt idx="389">
                  <c:v>140.49249635325239</c:v>
                </c:pt>
                <c:pt idx="390">
                  <c:v>140.84357307093231</c:v>
                </c:pt>
                <c:pt idx="391">
                  <c:v>141.24656958488885</c:v>
                </c:pt>
                <c:pt idx="392">
                  <c:v>140.9350508072292</c:v>
                </c:pt>
                <c:pt idx="393">
                  <c:v>141.49380671001555</c:v>
                </c:pt>
                <c:pt idx="394">
                  <c:v>141.28859989616041</c:v>
                </c:pt>
                <c:pt idx="395">
                  <c:v>141.85477291270055</c:v>
                </c:pt>
                <c:pt idx="396">
                  <c:v>140.58397408954929</c:v>
                </c:pt>
                <c:pt idx="397">
                  <c:v>140.64331099957968</c:v>
                </c:pt>
                <c:pt idx="398">
                  <c:v>140.38618438944792</c:v>
                </c:pt>
                <c:pt idx="399">
                  <c:v>141.66192795510173</c:v>
                </c:pt>
                <c:pt idx="400">
                  <c:v>140.38123964694535</c:v>
                </c:pt>
                <c:pt idx="401">
                  <c:v>141.70890300887581</c:v>
                </c:pt>
                <c:pt idx="402">
                  <c:v>142.69043439562884</c:v>
                </c:pt>
                <c:pt idx="403">
                  <c:v>142.44072489925085</c:v>
                </c:pt>
                <c:pt idx="404">
                  <c:v>143.293692980938</c:v>
                </c:pt>
                <c:pt idx="405">
                  <c:v>144.46559695403863</c:v>
                </c:pt>
                <c:pt idx="406">
                  <c:v>143.34314040596334</c:v>
                </c:pt>
                <c:pt idx="407">
                  <c:v>143.96617796128263</c:v>
                </c:pt>
                <c:pt idx="408">
                  <c:v>143.978539817539</c:v>
                </c:pt>
                <c:pt idx="409">
                  <c:v>144.53235097782283</c:v>
                </c:pt>
                <c:pt idx="410">
                  <c:v>144.29500333770119</c:v>
                </c:pt>
                <c:pt idx="411">
                  <c:v>144.2183598289119</c:v>
                </c:pt>
                <c:pt idx="412">
                  <c:v>142.90058595198653</c:v>
                </c:pt>
                <c:pt idx="413">
                  <c:v>143.20963235839491</c:v>
                </c:pt>
                <c:pt idx="414">
                  <c:v>143.16018493336958</c:v>
                </c:pt>
                <c:pt idx="415">
                  <c:v>143.60273938734639</c:v>
                </c:pt>
                <c:pt idx="416">
                  <c:v>143.83514228496551</c:v>
                </c:pt>
                <c:pt idx="417">
                  <c:v>143.40000494474251</c:v>
                </c:pt>
                <c:pt idx="418">
                  <c:v>140.5889188320518</c:v>
                </c:pt>
                <c:pt idx="419">
                  <c:v>141.18228793235591</c:v>
                </c:pt>
                <c:pt idx="420">
                  <c:v>140.87818626845007</c:v>
                </c:pt>
                <c:pt idx="421">
                  <c:v>142.58165006057311</c:v>
                </c:pt>
                <c:pt idx="422">
                  <c:v>146.12703043489009</c:v>
                </c:pt>
                <c:pt idx="423">
                  <c:v>147.25690409671915</c:v>
                </c:pt>
                <c:pt idx="424">
                  <c:v>147.89477587954607</c:v>
                </c:pt>
                <c:pt idx="425">
                  <c:v>148.0357010408683</c:v>
                </c:pt>
                <c:pt idx="426">
                  <c:v>147.5758399881326</c:v>
                </c:pt>
                <c:pt idx="427">
                  <c:v>147.64753875441937</c:v>
                </c:pt>
                <c:pt idx="428">
                  <c:v>146.69814819393278</c:v>
                </c:pt>
                <c:pt idx="429">
                  <c:v>144.81914604296981</c:v>
                </c:pt>
                <c:pt idx="430">
                  <c:v>145.41251514327388</c:v>
                </c:pt>
                <c:pt idx="431">
                  <c:v>145.9440749622963</c:v>
                </c:pt>
                <c:pt idx="432">
                  <c:v>145.99352238732166</c:v>
                </c:pt>
                <c:pt idx="433">
                  <c:v>146.77726407397333</c:v>
                </c:pt>
                <c:pt idx="434">
                  <c:v>147.23218038420649</c:v>
                </c:pt>
                <c:pt idx="435">
                  <c:v>147.73159937696244</c:v>
                </c:pt>
                <c:pt idx="436">
                  <c:v>148.50297920735775</c:v>
                </c:pt>
                <c:pt idx="437">
                  <c:v>148.05300763962717</c:v>
                </c:pt>
                <c:pt idx="438">
                  <c:v>148.97272974509849</c:v>
                </c:pt>
                <c:pt idx="439">
                  <c:v>149.23974584023537</c:v>
                </c:pt>
                <c:pt idx="440">
                  <c:v>149.30897223527083</c:v>
                </c:pt>
                <c:pt idx="441">
                  <c:v>150.23611145449598</c:v>
                </c:pt>
                <c:pt idx="442">
                  <c:v>149.98887432936928</c:v>
                </c:pt>
                <c:pt idx="443">
                  <c:v>150.27319702326497</c:v>
                </c:pt>
                <c:pt idx="444">
                  <c:v>149.49934482161839</c:v>
                </c:pt>
                <c:pt idx="445">
                  <c:v>149.03453902638017</c:v>
                </c:pt>
                <c:pt idx="446">
                  <c:v>150.18666402947068</c:v>
                </c:pt>
                <c:pt idx="447">
                  <c:v>149.41281182782407</c:v>
                </c:pt>
                <c:pt idx="448">
                  <c:v>149.38314337280886</c:v>
                </c:pt>
                <c:pt idx="449">
                  <c:v>150.02101515563575</c:v>
                </c:pt>
                <c:pt idx="450">
                  <c:v>149.40292234281898</c:v>
                </c:pt>
                <c:pt idx="451">
                  <c:v>144.95018171928695</c:v>
                </c:pt>
                <c:pt idx="452">
                  <c:v>144.90567903676416</c:v>
                </c:pt>
                <c:pt idx="453">
                  <c:v>146.15422651865401</c:v>
                </c:pt>
                <c:pt idx="454">
                  <c:v>147.02944594160257</c:v>
                </c:pt>
                <c:pt idx="455">
                  <c:v>148.66368333869011</c:v>
                </c:pt>
                <c:pt idx="456">
                  <c:v>148.6735728236952</c:v>
                </c:pt>
                <c:pt idx="457">
                  <c:v>147.10856182164315</c:v>
                </c:pt>
                <c:pt idx="458">
                  <c:v>145.42982174203277</c:v>
                </c:pt>
                <c:pt idx="459">
                  <c:v>144.90073429426161</c:v>
                </c:pt>
                <c:pt idx="460">
                  <c:v>144.54471283407915</c:v>
                </c:pt>
                <c:pt idx="461">
                  <c:v>146.35201621875541</c:v>
                </c:pt>
                <c:pt idx="462">
                  <c:v>147.1950948154375</c:v>
                </c:pt>
                <c:pt idx="463">
                  <c:v>145.53118896333473</c:v>
                </c:pt>
                <c:pt idx="464">
                  <c:v>145.7438128909437</c:v>
                </c:pt>
                <c:pt idx="465">
                  <c:v>143.5186787648033</c:v>
                </c:pt>
                <c:pt idx="466">
                  <c:v>143.74119217741733</c:v>
                </c:pt>
                <c:pt idx="467">
                  <c:v>143.93898187751873</c:v>
                </c:pt>
                <c:pt idx="468">
                  <c:v>146.55722303261055</c:v>
                </c:pt>
                <c:pt idx="469">
                  <c:v>146.27537270996612</c:v>
                </c:pt>
                <c:pt idx="470">
                  <c:v>147.74396123321878</c:v>
                </c:pt>
                <c:pt idx="471">
                  <c:v>149.09634830766186</c:v>
                </c:pt>
                <c:pt idx="472">
                  <c:v>149.93448216184143</c:v>
                </c:pt>
                <c:pt idx="473">
                  <c:v>150.75283704601082</c:v>
                </c:pt>
                <c:pt idx="474">
                  <c:v>150.3127549632853</c:v>
                </c:pt>
                <c:pt idx="475">
                  <c:v>148.18651568719559</c:v>
                </c:pt>
                <c:pt idx="476">
                  <c:v>149.45978688159812</c:v>
                </c:pt>
                <c:pt idx="477">
                  <c:v>148.78977427250473</c:v>
                </c:pt>
                <c:pt idx="478">
                  <c:v>149.588350186664</c:v>
                </c:pt>
                <c:pt idx="479">
                  <c:v>148.79224664375604</c:v>
                </c:pt>
                <c:pt idx="480">
                  <c:v>147.79093628699286</c:v>
                </c:pt>
                <c:pt idx="481">
                  <c:v>148.78235715875095</c:v>
                </c:pt>
                <c:pt idx="482">
                  <c:v>149.38561574406012</c:v>
                </c:pt>
                <c:pt idx="483">
                  <c:v>149.90481370682622</c:v>
                </c:pt>
                <c:pt idx="484">
                  <c:v>148.53264766237297</c:v>
                </c:pt>
                <c:pt idx="485">
                  <c:v>149.54137513288995</c:v>
                </c:pt>
                <c:pt idx="486">
                  <c:v>149.6551042104482</c:v>
                </c:pt>
                <c:pt idx="487">
                  <c:v>149.17299181645117</c:v>
                </c:pt>
                <c:pt idx="488">
                  <c:v>150.74789230350828</c:v>
                </c:pt>
                <c:pt idx="489">
                  <c:v>150.74047518975448</c:v>
                </c:pt>
                <c:pt idx="490">
                  <c:v>151.18302964373129</c:v>
                </c:pt>
                <c:pt idx="491">
                  <c:v>151.53905110391375</c:v>
                </c:pt>
                <c:pt idx="492">
                  <c:v>150.90859643484066</c:v>
                </c:pt>
                <c:pt idx="493">
                  <c:v>148.32744084851782</c:v>
                </c:pt>
                <c:pt idx="494">
                  <c:v>147.65248349692192</c:v>
                </c:pt>
                <c:pt idx="495">
                  <c:v>146.91818923529556</c:v>
                </c:pt>
                <c:pt idx="496">
                  <c:v>146.99236037283356</c:v>
                </c:pt>
                <c:pt idx="497">
                  <c:v>144.64608005538108</c:v>
                </c:pt>
                <c:pt idx="498">
                  <c:v>146.90335500778795</c:v>
                </c:pt>
                <c:pt idx="499">
                  <c:v>144.32961653521892</c:v>
                </c:pt>
                <c:pt idx="500">
                  <c:v>142.62120800059336</c:v>
                </c:pt>
                <c:pt idx="501">
                  <c:v>144.15407817637896</c:v>
                </c:pt>
                <c:pt idx="502">
                  <c:v>141.59517393131753</c:v>
                </c:pt>
                <c:pt idx="503">
                  <c:v>142.38880510297426</c:v>
                </c:pt>
                <c:pt idx="504">
                  <c:v>138.59618760353055</c:v>
                </c:pt>
                <c:pt idx="505">
                  <c:v>137.44406260044008</c:v>
                </c:pt>
                <c:pt idx="506">
                  <c:v>138.17341211956386</c:v>
                </c:pt>
                <c:pt idx="507">
                  <c:v>136.33149553736988</c:v>
                </c:pt>
                <c:pt idx="508">
                  <c:v>139.14752639256309</c:v>
                </c:pt>
                <c:pt idx="509">
                  <c:v>140.22053551561299</c:v>
                </c:pt>
                <c:pt idx="510">
                  <c:v>138.70497193858628</c:v>
                </c:pt>
                <c:pt idx="511">
                  <c:v>140.21559077311048</c:v>
                </c:pt>
                <c:pt idx="512">
                  <c:v>139.81012188790268</c:v>
                </c:pt>
                <c:pt idx="513">
                  <c:v>139.43679382896136</c:v>
                </c:pt>
                <c:pt idx="514">
                  <c:v>141.9338887927411</c:v>
                </c:pt>
                <c:pt idx="515">
                  <c:v>142.27507602541598</c:v>
                </c:pt>
                <c:pt idx="516">
                  <c:v>140.57655697579548</c:v>
                </c:pt>
                <c:pt idx="517">
                  <c:v>140.20322891685416</c:v>
                </c:pt>
                <c:pt idx="518">
                  <c:v>137.37978094790714</c:v>
                </c:pt>
                <c:pt idx="519">
                  <c:v>138.30197542462975</c:v>
                </c:pt>
                <c:pt idx="520">
                  <c:v>138.69261008232996</c:v>
                </c:pt>
                <c:pt idx="521">
                  <c:v>139.57030187652975</c:v>
                </c:pt>
                <c:pt idx="522">
                  <c:v>132.69216505550474</c:v>
                </c:pt>
                <c:pt idx="523">
                  <c:v>124.92397458402351</c:v>
                </c:pt>
                <c:pt idx="524">
                  <c:v>124.70146117140951</c:v>
                </c:pt>
                <c:pt idx="525">
                  <c:v>122.7482878829085</c:v>
                </c:pt>
                <c:pt idx="526">
                  <c:v>135.6392315870151</c:v>
                </c:pt>
                <c:pt idx="527">
                  <c:v>129.69565109896902</c:v>
                </c:pt>
                <c:pt idx="528">
                  <c:v>132.00979059015503</c:v>
                </c:pt>
                <c:pt idx="529">
                  <c:v>133.29047889831136</c:v>
                </c:pt>
                <c:pt idx="530">
                  <c:v>132.91715083937004</c:v>
                </c:pt>
                <c:pt idx="531">
                  <c:v>129.96266719410585</c:v>
                </c:pt>
                <c:pt idx="532">
                  <c:v>130.1480950379509</c:v>
                </c:pt>
                <c:pt idx="533">
                  <c:v>127.05021386011322</c:v>
                </c:pt>
                <c:pt idx="534">
                  <c:v>130.35577422305732</c:v>
                </c:pt>
                <c:pt idx="535">
                  <c:v>132.37570153534253</c:v>
                </c:pt>
                <c:pt idx="536">
                  <c:v>135.16206393552056</c:v>
                </c:pt>
                <c:pt idx="537">
                  <c:v>136.13865057977102</c:v>
                </c:pt>
                <c:pt idx="538">
                  <c:v>136.19057037604767</c:v>
                </c:pt>
                <c:pt idx="539">
                  <c:v>137.04848320023734</c:v>
                </c:pt>
                <c:pt idx="540">
                  <c:v>137.10287536776519</c:v>
                </c:pt>
                <c:pt idx="541">
                  <c:v>138.07451726951319</c:v>
                </c:pt>
                <c:pt idx="542">
                  <c:v>140.12411303681361</c:v>
                </c:pt>
                <c:pt idx="543">
                  <c:v>139.32059238015179</c:v>
                </c:pt>
                <c:pt idx="544">
                  <c:v>138.15610552080497</c:v>
                </c:pt>
                <c:pt idx="545">
                  <c:v>138.73711276485275</c:v>
                </c:pt>
                <c:pt idx="546">
                  <c:v>139.70380992409818</c:v>
                </c:pt>
                <c:pt idx="547">
                  <c:v>139.52579919400696</c:v>
                </c:pt>
                <c:pt idx="548">
                  <c:v>144.1367715776201</c:v>
                </c:pt>
                <c:pt idx="549">
                  <c:v>145.08863450935792</c:v>
                </c:pt>
                <c:pt idx="550">
                  <c:v>145.27406235320294</c:v>
                </c:pt>
                <c:pt idx="551">
                  <c:v>145.98363290231663</c:v>
                </c:pt>
                <c:pt idx="552">
                  <c:v>146.9082997502905</c:v>
                </c:pt>
                <c:pt idx="553">
                  <c:v>147.06900388162285</c:v>
                </c:pt>
                <c:pt idx="554">
                  <c:v>146.57452963136944</c:v>
                </c:pt>
                <c:pt idx="555">
                  <c:v>144.10463075135362</c:v>
                </c:pt>
                <c:pt idx="556">
                  <c:v>144.16149529013276</c:v>
                </c:pt>
                <c:pt idx="557">
                  <c:v>143.17749153212847</c:v>
                </c:pt>
                <c:pt idx="558">
                  <c:v>146.15422651865401</c:v>
                </c:pt>
                <c:pt idx="559">
                  <c:v>145.30867555072069</c:v>
                </c:pt>
                <c:pt idx="560">
                  <c:v>145.88226568101464</c:v>
                </c:pt>
                <c:pt idx="561">
                  <c:v>145.71908917843101</c:v>
                </c:pt>
                <c:pt idx="562">
                  <c:v>146.53991643385172</c:v>
                </c:pt>
                <c:pt idx="563">
                  <c:v>147.37557791677997</c:v>
                </c:pt>
                <c:pt idx="564">
                  <c:v>147.3360199767597</c:v>
                </c:pt>
                <c:pt idx="565">
                  <c:v>146.62397705639475</c:v>
                </c:pt>
                <c:pt idx="566">
                  <c:v>148.12965114841643</c:v>
                </c:pt>
                <c:pt idx="567">
                  <c:v>148.26315919598485</c:v>
                </c:pt>
                <c:pt idx="568">
                  <c:v>149.10376542141569</c:v>
                </c:pt>
                <c:pt idx="569">
                  <c:v>148.67851756619774</c:v>
                </c:pt>
                <c:pt idx="570">
                  <c:v>149.26941429525056</c:v>
                </c:pt>
                <c:pt idx="571">
                  <c:v>147.60056370064527</c:v>
                </c:pt>
                <c:pt idx="572">
                  <c:v>149.00487057136499</c:v>
                </c:pt>
                <c:pt idx="573">
                  <c:v>147.73159937696244</c:v>
                </c:pt>
                <c:pt idx="574">
                  <c:v>147.70934803570103</c:v>
                </c:pt>
                <c:pt idx="575">
                  <c:v>146.92807872030062</c:v>
                </c:pt>
                <c:pt idx="576">
                  <c:v>148.37936064479439</c:v>
                </c:pt>
                <c:pt idx="577">
                  <c:v>150.01854278438449</c:v>
                </c:pt>
                <c:pt idx="578">
                  <c:v>150.10260340692759</c:v>
                </c:pt>
                <c:pt idx="579">
                  <c:v>151.27697975127944</c:v>
                </c:pt>
                <c:pt idx="580">
                  <c:v>152.02858061166461</c:v>
                </c:pt>
                <c:pt idx="581">
                  <c:v>152.75545775953717</c:v>
                </c:pt>
                <c:pt idx="582">
                  <c:v>152.7060103345118</c:v>
                </c:pt>
                <c:pt idx="583">
                  <c:v>153.3982742848666</c:v>
                </c:pt>
                <c:pt idx="584">
                  <c:v>154.60726382673622</c:v>
                </c:pt>
                <c:pt idx="585">
                  <c:v>153.45513882364574</c:v>
                </c:pt>
                <c:pt idx="586">
                  <c:v>153.37107820110268</c:v>
                </c:pt>
                <c:pt idx="587">
                  <c:v>154.290800306574</c:v>
                </c:pt>
                <c:pt idx="588">
                  <c:v>154.72593764679706</c:v>
                </c:pt>
                <c:pt idx="589">
                  <c:v>154.1820159715183</c:v>
                </c:pt>
                <c:pt idx="590">
                  <c:v>154.47622815041905</c:v>
                </c:pt>
                <c:pt idx="591">
                  <c:v>153.81610502633075</c:v>
                </c:pt>
                <c:pt idx="592">
                  <c:v>154.3303582465943</c:v>
                </c:pt>
                <c:pt idx="593">
                  <c:v>155.27480406457832</c:v>
                </c:pt>
                <c:pt idx="594">
                  <c:v>155.16107498702004</c:v>
                </c:pt>
                <c:pt idx="595">
                  <c:v>155.45528716592082</c:v>
                </c:pt>
                <c:pt idx="596">
                  <c:v>155.47753850718223</c:v>
                </c:pt>
                <c:pt idx="597">
                  <c:v>156.80025712661012</c:v>
                </c:pt>
                <c:pt idx="598">
                  <c:v>156.85217692288671</c:v>
                </c:pt>
                <c:pt idx="599">
                  <c:v>157.5147724182263</c:v>
                </c:pt>
                <c:pt idx="600">
                  <c:v>157.47521447820606</c:v>
                </c:pt>
                <c:pt idx="601">
                  <c:v>157.05985610799317</c:v>
                </c:pt>
                <c:pt idx="602">
                  <c:v>156.8620664078918</c:v>
                </c:pt>
                <c:pt idx="603">
                  <c:v>156.27364205009025</c:v>
                </c:pt>
                <c:pt idx="604">
                  <c:v>153.71226543377753</c:v>
                </c:pt>
                <c:pt idx="605">
                  <c:v>156.0486562662249</c:v>
                </c:pt>
                <c:pt idx="606">
                  <c:v>155.25749746581948</c:v>
                </c:pt>
                <c:pt idx="607">
                  <c:v>156.44670803767892</c:v>
                </c:pt>
                <c:pt idx="608">
                  <c:v>156.31567236136178</c:v>
                </c:pt>
                <c:pt idx="609">
                  <c:v>157.53455138823645</c:v>
                </c:pt>
                <c:pt idx="610">
                  <c:v>157.22303261057678</c:v>
                </c:pt>
                <c:pt idx="611">
                  <c:v>158.89682794768461</c:v>
                </c:pt>
                <c:pt idx="612">
                  <c:v>159.44074962296338</c:v>
                </c:pt>
                <c:pt idx="613">
                  <c:v>159.45558385047099</c:v>
                </c:pt>
                <c:pt idx="614">
                  <c:v>159.08225579152966</c:v>
                </c:pt>
                <c:pt idx="615">
                  <c:v>159.0476425940119</c:v>
                </c:pt>
                <c:pt idx="616">
                  <c:v>158.18478502731966</c:v>
                </c:pt>
                <c:pt idx="617">
                  <c:v>157.76448191460429</c:v>
                </c:pt>
                <c:pt idx="618">
                  <c:v>157.13155487427991</c:v>
                </c:pt>
                <c:pt idx="619">
                  <c:v>159.54458921551657</c:v>
                </c:pt>
                <c:pt idx="620">
                  <c:v>158.84243578015676</c:v>
                </c:pt>
                <c:pt idx="621">
                  <c:v>159.50750364674758</c:v>
                </c:pt>
                <c:pt idx="622">
                  <c:v>159.87094222068384</c:v>
                </c:pt>
                <c:pt idx="623">
                  <c:v>160.43711523722399</c:v>
                </c:pt>
                <c:pt idx="624">
                  <c:v>159.48030756298363</c:v>
                </c:pt>
                <c:pt idx="625">
                  <c:v>158.29851410487797</c:v>
                </c:pt>
                <c:pt idx="626">
                  <c:v>159.15642692906766</c:v>
                </c:pt>
                <c:pt idx="627">
                  <c:v>160.48656266224936</c:v>
                </c:pt>
                <c:pt idx="628">
                  <c:v>160.02175686701113</c:v>
                </c:pt>
                <c:pt idx="629">
                  <c:v>160.41486389596261</c:v>
                </c:pt>
                <c:pt idx="630">
                  <c:v>160.78571958365268</c:v>
                </c:pt>
                <c:pt idx="631">
                  <c:v>161.2505253788909</c:v>
                </c:pt>
                <c:pt idx="632">
                  <c:v>162.59055059707765</c:v>
                </c:pt>
                <c:pt idx="633">
                  <c:v>162.53615842954977</c:v>
                </c:pt>
                <c:pt idx="634">
                  <c:v>163.40148836749324</c:v>
                </c:pt>
                <c:pt idx="635">
                  <c:v>163.17650258362795</c:v>
                </c:pt>
                <c:pt idx="636">
                  <c:v>162.97376814102401</c:v>
                </c:pt>
                <c:pt idx="637">
                  <c:v>163.7352584864143</c:v>
                </c:pt>
                <c:pt idx="638">
                  <c:v>164.09127994659679</c:v>
                </c:pt>
                <c:pt idx="639">
                  <c:v>164.86760451949465</c:v>
                </c:pt>
                <c:pt idx="640">
                  <c:v>163.97013375528468</c:v>
                </c:pt>
                <c:pt idx="641">
                  <c:v>163.44846342126732</c:v>
                </c:pt>
                <c:pt idx="642">
                  <c:v>162.69439018963087</c:v>
                </c:pt>
                <c:pt idx="643">
                  <c:v>163.62647415135856</c:v>
                </c:pt>
                <c:pt idx="644">
                  <c:v>164.08633520409421</c:v>
                </c:pt>
                <c:pt idx="645">
                  <c:v>164.70442801691098</c:v>
                </c:pt>
                <c:pt idx="646">
                  <c:v>165.26565629094864</c:v>
                </c:pt>
                <c:pt idx="647">
                  <c:v>165.45602887729621</c:v>
                </c:pt>
                <c:pt idx="648">
                  <c:v>165.45355650604495</c:v>
                </c:pt>
                <c:pt idx="649">
                  <c:v>166.04692560634905</c:v>
                </c:pt>
                <c:pt idx="650">
                  <c:v>165.43130516478354</c:v>
                </c:pt>
                <c:pt idx="651">
                  <c:v>166.41778129403912</c:v>
                </c:pt>
                <c:pt idx="652">
                  <c:v>165.935668900042</c:v>
                </c:pt>
                <c:pt idx="653">
                  <c:v>161.4507874502435</c:v>
                </c:pt>
                <c:pt idx="654">
                  <c:v>163.92810344401315</c:v>
                </c:pt>
                <c:pt idx="655">
                  <c:v>163.72784137266052</c:v>
                </c:pt>
                <c:pt idx="656">
                  <c:v>164.45471852053302</c:v>
                </c:pt>
                <c:pt idx="657">
                  <c:v>163.33473434370904</c:v>
                </c:pt>
                <c:pt idx="658">
                  <c:v>164.2618735629342</c:v>
                </c:pt>
                <c:pt idx="659">
                  <c:v>165.97028209755976</c:v>
                </c:pt>
                <c:pt idx="660">
                  <c:v>165.9678097263085</c:v>
                </c:pt>
                <c:pt idx="661">
                  <c:v>165.10495215961626</c:v>
                </c:pt>
                <c:pt idx="662">
                  <c:v>166.08401117511804</c:v>
                </c:pt>
                <c:pt idx="663">
                  <c:v>167.44134299206368</c:v>
                </c:pt>
                <c:pt idx="664">
                  <c:v>169.4167676218261</c:v>
                </c:pt>
                <c:pt idx="665">
                  <c:v>169.86673918955668</c:v>
                </c:pt>
                <c:pt idx="666">
                  <c:v>169.94832744084852</c:v>
                </c:pt>
                <c:pt idx="667">
                  <c:v>168.0792147748906</c:v>
                </c:pt>
                <c:pt idx="668">
                  <c:v>168.63055356392314</c:v>
                </c:pt>
                <c:pt idx="669">
                  <c:v>168.94701708408536</c:v>
                </c:pt>
                <c:pt idx="670">
                  <c:v>166.94439637055899</c:v>
                </c:pt>
                <c:pt idx="671">
                  <c:v>167.52293124335552</c:v>
                </c:pt>
                <c:pt idx="672">
                  <c:v>165.72551734368432</c:v>
                </c:pt>
                <c:pt idx="673">
                  <c:v>165.88869384626796</c:v>
                </c:pt>
                <c:pt idx="674">
                  <c:v>168.47726654634459</c:v>
                </c:pt>
                <c:pt idx="675">
                  <c:v>168.86295646154227</c:v>
                </c:pt>
                <c:pt idx="676">
                  <c:v>168.95690656909039</c:v>
                </c:pt>
                <c:pt idx="677">
                  <c:v>166.15323757015352</c:v>
                </c:pt>
                <c:pt idx="678">
                  <c:v>166.12604148638957</c:v>
                </c:pt>
                <c:pt idx="679">
                  <c:v>164.57833708309636</c:v>
                </c:pt>
                <c:pt idx="680">
                  <c:v>163.1962815536381</c:v>
                </c:pt>
                <c:pt idx="681">
                  <c:v>163.82673622271119</c:v>
                </c:pt>
                <c:pt idx="682">
                  <c:v>161.32964125893145</c:v>
                </c:pt>
                <c:pt idx="683">
                  <c:v>162.93668257225505</c:v>
                </c:pt>
                <c:pt idx="684">
                  <c:v>165.33488268598413</c:v>
                </c:pt>
                <c:pt idx="685">
                  <c:v>166.89000420303111</c:v>
                </c:pt>
                <c:pt idx="686">
                  <c:v>168.04212920612156</c:v>
                </c:pt>
                <c:pt idx="687">
                  <c:v>168.95937894034168</c:v>
                </c:pt>
                <c:pt idx="688">
                  <c:v>168.18799910994633</c:v>
                </c:pt>
                <c:pt idx="689">
                  <c:v>168.49951788760598</c:v>
                </c:pt>
                <c:pt idx="690">
                  <c:v>169.08299750290502</c:v>
                </c:pt>
                <c:pt idx="691">
                  <c:v>169.20661606546838</c:v>
                </c:pt>
                <c:pt idx="692">
                  <c:v>169.52802432813311</c:v>
                </c:pt>
                <c:pt idx="693">
                  <c:v>169.01871585037208</c:v>
                </c:pt>
                <c:pt idx="694">
                  <c:v>168.87284594654733</c:v>
                </c:pt>
                <c:pt idx="695">
                  <c:v>169.99283012337131</c:v>
                </c:pt>
                <c:pt idx="696">
                  <c:v>170.38840952357404</c:v>
                </c:pt>
                <c:pt idx="697">
                  <c:v>168.55638242638514</c:v>
                </c:pt>
                <c:pt idx="698">
                  <c:v>168.30172818750461</c:v>
                </c:pt>
                <c:pt idx="699">
                  <c:v>167.84186713476893</c:v>
                </c:pt>
                <c:pt idx="700">
                  <c:v>165.99500581007243</c:v>
                </c:pt>
                <c:pt idx="701">
                  <c:v>167.24849803446483</c:v>
                </c:pt>
                <c:pt idx="702">
                  <c:v>168.26711498998691</c:v>
                </c:pt>
                <c:pt idx="703">
                  <c:v>169.31540040052414</c:v>
                </c:pt>
                <c:pt idx="704">
                  <c:v>170.08925260217075</c:v>
                </c:pt>
                <c:pt idx="705">
                  <c:v>170.68756644497736</c:v>
                </c:pt>
                <c:pt idx="706">
                  <c:v>170.6702598462185</c:v>
                </c:pt>
                <c:pt idx="707">
                  <c:v>170.06205651840679</c:v>
                </c:pt>
                <c:pt idx="708">
                  <c:v>169.85437733330036</c:v>
                </c:pt>
                <c:pt idx="709">
                  <c:v>168.59594036640539</c:v>
                </c:pt>
                <c:pt idx="710">
                  <c:v>168.90498677281377</c:v>
                </c:pt>
                <c:pt idx="711">
                  <c:v>170.02991569214032</c:v>
                </c:pt>
                <c:pt idx="712">
                  <c:v>171.04111553390854</c:v>
                </c:pt>
                <c:pt idx="713">
                  <c:v>170.489776744876</c:v>
                </c:pt>
                <c:pt idx="714">
                  <c:v>170.47247014611713</c:v>
                </c:pt>
                <c:pt idx="715">
                  <c:v>171.59987143669494</c:v>
                </c:pt>
                <c:pt idx="716">
                  <c:v>171.86935990308302</c:v>
                </c:pt>
                <c:pt idx="717">
                  <c:v>171.52570029915691</c:v>
                </c:pt>
                <c:pt idx="718">
                  <c:v>170.68262170247485</c:v>
                </c:pt>
                <c:pt idx="719">
                  <c:v>171.14742749771307</c:v>
                </c:pt>
                <c:pt idx="720">
                  <c:v>171.00402996513955</c:v>
                </c:pt>
                <c:pt idx="721">
                  <c:v>167.52293124335552</c:v>
                </c:pt>
                <c:pt idx="722">
                  <c:v>169.45632556184634</c:v>
                </c:pt>
                <c:pt idx="723">
                  <c:v>170.34143446979996</c:v>
                </c:pt>
                <c:pt idx="724">
                  <c:v>170.40324375108165</c:v>
                </c:pt>
                <c:pt idx="725">
                  <c:v>171.26857368902512</c:v>
                </c:pt>
                <c:pt idx="726">
                  <c:v>171.95094815437486</c:v>
                </c:pt>
                <c:pt idx="727">
                  <c:v>171.93364155561596</c:v>
                </c:pt>
                <c:pt idx="728">
                  <c:v>171.59245432294111</c:v>
                </c:pt>
                <c:pt idx="729">
                  <c:v>171.08067347392884</c:v>
                </c:pt>
                <c:pt idx="730">
                  <c:v>171.93116918436471</c:v>
                </c:pt>
                <c:pt idx="731">
                  <c:v>170.47741488861965</c:v>
                </c:pt>
                <c:pt idx="732">
                  <c:v>169.65164289069648</c:v>
                </c:pt>
                <c:pt idx="733">
                  <c:v>167.53282072836055</c:v>
                </c:pt>
                <c:pt idx="734">
                  <c:v>170.74690335500776</c:v>
                </c:pt>
                <c:pt idx="735">
                  <c:v>171.57020298167973</c:v>
                </c:pt>
                <c:pt idx="736">
                  <c:v>171.11775904269783</c:v>
                </c:pt>
                <c:pt idx="737">
                  <c:v>171.07820110267758</c:v>
                </c:pt>
                <c:pt idx="738">
                  <c:v>168.43523623507303</c:v>
                </c:pt>
                <c:pt idx="739">
                  <c:v>168.55391005513388</c:v>
                </c:pt>
                <c:pt idx="740">
                  <c:v>168.82587089277325</c:v>
                </c:pt>
                <c:pt idx="741">
                  <c:v>169.67636660320912</c:v>
                </c:pt>
                <c:pt idx="742">
                  <c:v>169.22886740672979</c:v>
                </c:pt>
                <c:pt idx="743">
                  <c:v>170.45269117610698</c:v>
                </c:pt>
                <c:pt idx="744">
                  <c:v>168.71214181521498</c:v>
                </c:pt>
                <c:pt idx="745">
                  <c:v>169.93843795584345</c:v>
                </c:pt>
                <c:pt idx="746">
                  <c:v>171.37241328157836</c:v>
                </c:pt>
                <c:pt idx="747">
                  <c:v>170.42055034984051</c:v>
                </c:pt>
                <c:pt idx="748">
                  <c:v>169.60219546567112</c:v>
                </c:pt>
                <c:pt idx="749">
                  <c:v>169.69861794447053</c:v>
                </c:pt>
                <c:pt idx="750">
                  <c:v>168.20283333745397</c:v>
                </c:pt>
                <c:pt idx="751">
                  <c:v>169.38957153806214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30-0B4C-B30E-0E1485AFBD96}"/>
            </c:ext>
          </c:extLst>
        </c:ser>
        <c:ser>
          <c:idx val="2"/>
          <c:order val="2"/>
          <c:tx>
            <c:strRef>
              <c:f>'Share Price Analysis'!$M$35</c:f>
              <c:strCache>
                <c:ptCount val="1"/>
                <c:pt idx="0">
                  <c:v>XLB Normalized</c:v>
                </c:pt>
              </c:strCache>
            </c:strRef>
          </c:tx>
          <c:spPr>
            <a:ln w="19050">
              <a:solidFill>
                <a:srgbClr val="7F7F7F"/>
              </a:solidFill>
            </a:ln>
          </c:spPr>
          <c:marker>
            <c:symbol val="none"/>
          </c:marker>
          <c:cat>
            <c:numRef>
              <c:f>'Share Price Analysis'!$A$36:$A$787</c:f>
              <c:numCache>
                <c:formatCode>yyyy\-mm\-dd</c:formatCode>
                <c:ptCount val="752"/>
                <c:pt idx="0">
                  <c:v>44991</c:v>
                </c:pt>
                <c:pt idx="1">
                  <c:v>44992</c:v>
                </c:pt>
                <c:pt idx="2">
                  <c:v>44993</c:v>
                </c:pt>
                <c:pt idx="3">
                  <c:v>44994</c:v>
                </c:pt>
                <c:pt idx="4">
                  <c:v>44995</c:v>
                </c:pt>
                <c:pt idx="5">
                  <c:v>44998</c:v>
                </c:pt>
                <c:pt idx="6">
                  <c:v>44999</c:v>
                </c:pt>
                <c:pt idx="7">
                  <c:v>45000</c:v>
                </c:pt>
                <c:pt idx="8">
                  <c:v>45001</c:v>
                </c:pt>
                <c:pt idx="9">
                  <c:v>45002</c:v>
                </c:pt>
                <c:pt idx="10">
                  <c:v>45005</c:v>
                </c:pt>
                <c:pt idx="11">
                  <c:v>45006</c:v>
                </c:pt>
                <c:pt idx="12">
                  <c:v>45007</c:v>
                </c:pt>
                <c:pt idx="13">
                  <c:v>45008</c:v>
                </c:pt>
                <c:pt idx="14">
                  <c:v>45009</c:v>
                </c:pt>
                <c:pt idx="15">
                  <c:v>45012</c:v>
                </c:pt>
                <c:pt idx="16">
                  <c:v>45013</c:v>
                </c:pt>
                <c:pt idx="17">
                  <c:v>45014</c:v>
                </c:pt>
                <c:pt idx="18">
                  <c:v>45015</c:v>
                </c:pt>
                <c:pt idx="19">
                  <c:v>45016</c:v>
                </c:pt>
                <c:pt idx="20">
                  <c:v>45019</c:v>
                </c:pt>
                <c:pt idx="21">
                  <c:v>45020</c:v>
                </c:pt>
                <c:pt idx="22">
                  <c:v>45021</c:v>
                </c:pt>
                <c:pt idx="23">
                  <c:v>45022</c:v>
                </c:pt>
                <c:pt idx="24">
                  <c:v>45026</c:v>
                </c:pt>
                <c:pt idx="25">
                  <c:v>45027</c:v>
                </c:pt>
                <c:pt idx="26">
                  <c:v>45028</c:v>
                </c:pt>
                <c:pt idx="27">
                  <c:v>45029</c:v>
                </c:pt>
                <c:pt idx="28">
                  <c:v>45030</c:v>
                </c:pt>
                <c:pt idx="29">
                  <c:v>45033</c:v>
                </c:pt>
                <c:pt idx="30">
                  <c:v>45034</c:v>
                </c:pt>
                <c:pt idx="31">
                  <c:v>45035</c:v>
                </c:pt>
                <c:pt idx="32">
                  <c:v>45036</c:v>
                </c:pt>
                <c:pt idx="33">
                  <c:v>45037</c:v>
                </c:pt>
                <c:pt idx="34">
                  <c:v>45040</c:v>
                </c:pt>
                <c:pt idx="35">
                  <c:v>45041</c:v>
                </c:pt>
                <c:pt idx="36">
                  <c:v>45042</c:v>
                </c:pt>
                <c:pt idx="37">
                  <c:v>45043</c:v>
                </c:pt>
                <c:pt idx="38">
                  <c:v>45044</c:v>
                </c:pt>
                <c:pt idx="39">
                  <c:v>45047</c:v>
                </c:pt>
                <c:pt idx="40">
                  <c:v>45048</c:v>
                </c:pt>
                <c:pt idx="41">
                  <c:v>45049</c:v>
                </c:pt>
                <c:pt idx="42">
                  <c:v>45050</c:v>
                </c:pt>
                <c:pt idx="43">
                  <c:v>45051</c:v>
                </c:pt>
                <c:pt idx="44">
                  <c:v>45054</c:v>
                </c:pt>
                <c:pt idx="45">
                  <c:v>45055</c:v>
                </c:pt>
                <c:pt idx="46">
                  <c:v>45056</c:v>
                </c:pt>
                <c:pt idx="47">
                  <c:v>45057</c:v>
                </c:pt>
                <c:pt idx="48">
                  <c:v>45058</c:v>
                </c:pt>
                <c:pt idx="49">
                  <c:v>45061</c:v>
                </c:pt>
                <c:pt idx="50">
                  <c:v>45062</c:v>
                </c:pt>
                <c:pt idx="51">
                  <c:v>45063</c:v>
                </c:pt>
                <c:pt idx="52">
                  <c:v>45064</c:v>
                </c:pt>
                <c:pt idx="53">
                  <c:v>45065</c:v>
                </c:pt>
                <c:pt idx="54">
                  <c:v>45068</c:v>
                </c:pt>
                <c:pt idx="55">
                  <c:v>45069</c:v>
                </c:pt>
                <c:pt idx="56">
                  <c:v>45070</c:v>
                </c:pt>
                <c:pt idx="57">
                  <c:v>45071</c:v>
                </c:pt>
                <c:pt idx="58">
                  <c:v>45072</c:v>
                </c:pt>
                <c:pt idx="59">
                  <c:v>45076</c:v>
                </c:pt>
                <c:pt idx="60">
                  <c:v>45077</c:v>
                </c:pt>
                <c:pt idx="61">
                  <c:v>45078</c:v>
                </c:pt>
                <c:pt idx="62">
                  <c:v>45079</c:v>
                </c:pt>
                <c:pt idx="63">
                  <c:v>45082</c:v>
                </c:pt>
                <c:pt idx="64">
                  <c:v>45083</c:v>
                </c:pt>
                <c:pt idx="65">
                  <c:v>45084</c:v>
                </c:pt>
                <c:pt idx="66">
                  <c:v>45085</c:v>
                </c:pt>
                <c:pt idx="67">
                  <c:v>45086</c:v>
                </c:pt>
                <c:pt idx="68">
                  <c:v>45089</c:v>
                </c:pt>
                <c:pt idx="69">
                  <c:v>45090</c:v>
                </c:pt>
                <c:pt idx="70">
                  <c:v>45091</c:v>
                </c:pt>
                <c:pt idx="71">
                  <c:v>45092</c:v>
                </c:pt>
                <c:pt idx="72">
                  <c:v>45093</c:v>
                </c:pt>
                <c:pt idx="73">
                  <c:v>45097</c:v>
                </c:pt>
                <c:pt idx="74">
                  <c:v>45098</c:v>
                </c:pt>
                <c:pt idx="75">
                  <c:v>45099</c:v>
                </c:pt>
                <c:pt idx="76">
                  <c:v>45100</c:v>
                </c:pt>
                <c:pt idx="77">
                  <c:v>45103</c:v>
                </c:pt>
                <c:pt idx="78">
                  <c:v>45104</c:v>
                </c:pt>
                <c:pt idx="79">
                  <c:v>45105</c:v>
                </c:pt>
                <c:pt idx="80">
                  <c:v>45106</c:v>
                </c:pt>
                <c:pt idx="81">
                  <c:v>45107</c:v>
                </c:pt>
                <c:pt idx="82">
                  <c:v>45110</c:v>
                </c:pt>
                <c:pt idx="83">
                  <c:v>45112</c:v>
                </c:pt>
                <c:pt idx="84">
                  <c:v>45113</c:v>
                </c:pt>
                <c:pt idx="85">
                  <c:v>45114</c:v>
                </c:pt>
                <c:pt idx="86">
                  <c:v>45117</c:v>
                </c:pt>
                <c:pt idx="87">
                  <c:v>45118</c:v>
                </c:pt>
                <c:pt idx="88">
                  <c:v>45119</c:v>
                </c:pt>
                <c:pt idx="89">
                  <c:v>45120</c:v>
                </c:pt>
                <c:pt idx="90">
                  <c:v>45121</c:v>
                </c:pt>
                <c:pt idx="91">
                  <c:v>45124</c:v>
                </c:pt>
                <c:pt idx="92">
                  <c:v>45125</c:v>
                </c:pt>
                <c:pt idx="93">
                  <c:v>45126</c:v>
                </c:pt>
                <c:pt idx="94">
                  <c:v>45127</c:v>
                </c:pt>
                <c:pt idx="95">
                  <c:v>45128</c:v>
                </c:pt>
                <c:pt idx="96">
                  <c:v>45131</c:v>
                </c:pt>
                <c:pt idx="97">
                  <c:v>45132</c:v>
                </c:pt>
                <c:pt idx="98">
                  <c:v>45133</c:v>
                </c:pt>
                <c:pt idx="99">
                  <c:v>45134</c:v>
                </c:pt>
                <c:pt idx="100">
                  <c:v>45135</c:v>
                </c:pt>
                <c:pt idx="101">
                  <c:v>45138</c:v>
                </c:pt>
                <c:pt idx="102">
                  <c:v>45139</c:v>
                </c:pt>
                <c:pt idx="103">
                  <c:v>45140</c:v>
                </c:pt>
                <c:pt idx="104">
                  <c:v>45141</c:v>
                </c:pt>
                <c:pt idx="105">
                  <c:v>45142</c:v>
                </c:pt>
                <c:pt idx="106">
                  <c:v>45145</c:v>
                </c:pt>
                <c:pt idx="107">
                  <c:v>45146</c:v>
                </c:pt>
                <c:pt idx="108">
                  <c:v>45147</c:v>
                </c:pt>
                <c:pt idx="109">
                  <c:v>45148</c:v>
                </c:pt>
                <c:pt idx="110">
                  <c:v>45149</c:v>
                </c:pt>
                <c:pt idx="111">
                  <c:v>45152</c:v>
                </c:pt>
                <c:pt idx="112">
                  <c:v>45153</c:v>
                </c:pt>
                <c:pt idx="113">
                  <c:v>45154</c:v>
                </c:pt>
                <c:pt idx="114">
                  <c:v>45155</c:v>
                </c:pt>
                <c:pt idx="115">
                  <c:v>45156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45166</c:v>
                </c:pt>
                <c:pt idx="122">
                  <c:v>45167</c:v>
                </c:pt>
                <c:pt idx="123">
                  <c:v>45168</c:v>
                </c:pt>
                <c:pt idx="124">
                  <c:v>45169</c:v>
                </c:pt>
                <c:pt idx="125">
                  <c:v>45170</c:v>
                </c:pt>
                <c:pt idx="126">
                  <c:v>45174</c:v>
                </c:pt>
                <c:pt idx="127">
                  <c:v>45175</c:v>
                </c:pt>
                <c:pt idx="128">
                  <c:v>45176</c:v>
                </c:pt>
                <c:pt idx="129">
                  <c:v>45177</c:v>
                </c:pt>
                <c:pt idx="130">
                  <c:v>45180</c:v>
                </c:pt>
                <c:pt idx="131">
                  <c:v>45181</c:v>
                </c:pt>
                <c:pt idx="132">
                  <c:v>45182</c:v>
                </c:pt>
                <c:pt idx="133">
                  <c:v>45183</c:v>
                </c:pt>
                <c:pt idx="134">
                  <c:v>45184</c:v>
                </c:pt>
                <c:pt idx="135">
                  <c:v>45187</c:v>
                </c:pt>
                <c:pt idx="136">
                  <c:v>45188</c:v>
                </c:pt>
                <c:pt idx="137">
                  <c:v>45189</c:v>
                </c:pt>
                <c:pt idx="138">
                  <c:v>45190</c:v>
                </c:pt>
                <c:pt idx="139">
                  <c:v>45191</c:v>
                </c:pt>
                <c:pt idx="140">
                  <c:v>45194</c:v>
                </c:pt>
                <c:pt idx="141">
                  <c:v>45195</c:v>
                </c:pt>
                <c:pt idx="142">
                  <c:v>45196</c:v>
                </c:pt>
                <c:pt idx="143">
                  <c:v>45197</c:v>
                </c:pt>
                <c:pt idx="144">
                  <c:v>45198</c:v>
                </c:pt>
                <c:pt idx="145">
                  <c:v>45201</c:v>
                </c:pt>
                <c:pt idx="146">
                  <c:v>45202</c:v>
                </c:pt>
                <c:pt idx="147">
                  <c:v>45203</c:v>
                </c:pt>
                <c:pt idx="148">
                  <c:v>45204</c:v>
                </c:pt>
                <c:pt idx="149">
                  <c:v>45205</c:v>
                </c:pt>
                <c:pt idx="150">
                  <c:v>45208</c:v>
                </c:pt>
                <c:pt idx="151">
                  <c:v>45209</c:v>
                </c:pt>
                <c:pt idx="152">
                  <c:v>45210</c:v>
                </c:pt>
                <c:pt idx="153">
                  <c:v>45211</c:v>
                </c:pt>
                <c:pt idx="154">
                  <c:v>45212</c:v>
                </c:pt>
                <c:pt idx="155">
                  <c:v>45215</c:v>
                </c:pt>
                <c:pt idx="156">
                  <c:v>45216</c:v>
                </c:pt>
                <c:pt idx="157">
                  <c:v>45217</c:v>
                </c:pt>
                <c:pt idx="158">
                  <c:v>45218</c:v>
                </c:pt>
                <c:pt idx="159">
                  <c:v>45219</c:v>
                </c:pt>
                <c:pt idx="160">
                  <c:v>45222</c:v>
                </c:pt>
                <c:pt idx="161">
                  <c:v>45223</c:v>
                </c:pt>
                <c:pt idx="162">
                  <c:v>45224</c:v>
                </c:pt>
                <c:pt idx="163">
                  <c:v>45225</c:v>
                </c:pt>
                <c:pt idx="164">
                  <c:v>45226</c:v>
                </c:pt>
                <c:pt idx="165">
                  <c:v>45229</c:v>
                </c:pt>
                <c:pt idx="166">
                  <c:v>45230</c:v>
                </c:pt>
                <c:pt idx="167">
                  <c:v>45231</c:v>
                </c:pt>
                <c:pt idx="168">
                  <c:v>45232</c:v>
                </c:pt>
                <c:pt idx="169">
                  <c:v>45233</c:v>
                </c:pt>
                <c:pt idx="170">
                  <c:v>45236</c:v>
                </c:pt>
                <c:pt idx="171">
                  <c:v>45237</c:v>
                </c:pt>
                <c:pt idx="172">
                  <c:v>45238</c:v>
                </c:pt>
                <c:pt idx="173">
                  <c:v>45239</c:v>
                </c:pt>
                <c:pt idx="174">
                  <c:v>45240</c:v>
                </c:pt>
                <c:pt idx="175">
                  <c:v>45243</c:v>
                </c:pt>
                <c:pt idx="176">
                  <c:v>45244</c:v>
                </c:pt>
                <c:pt idx="177">
                  <c:v>45245</c:v>
                </c:pt>
                <c:pt idx="178">
                  <c:v>45246</c:v>
                </c:pt>
                <c:pt idx="179">
                  <c:v>45247</c:v>
                </c:pt>
                <c:pt idx="180">
                  <c:v>45250</c:v>
                </c:pt>
                <c:pt idx="181">
                  <c:v>45251</c:v>
                </c:pt>
                <c:pt idx="182">
                  <c:v>45252</c:v>
                </c:pt>
                <c:pt idx="183">
                  <c:v>45254</c:v>
                </c:pt>
                <c:pt idx="184">
                  <c:v>45257</c:v>
                </c:pt>
                <c:pt idx="185">
                  <c:v>45258</c:v>
                </c:pt>
                <c:pt idx="186">
                  <c:v>45259</c:v>
                </c:pt>
                <c:pt idx="187">
                  <c:v>45260</c:v>
                </c:pt>
                <c:pt idx="188">
                  <c:v>45261</c:v>
                </c:pt>
                <c:pt idx="189">
                  <c:v>45264</c:v>
                </c:pt>
                <c:pt idx="190">
                  <c:v>45265</c:v>
                </c:pt>
                <c:pt idx="191">
                  <c:v>45266</c:v>
                </c:pt>
                <c:pt idx="192">
                  <c:v>45267</c:v>
                </c:pt>
                <c:pt idx="193">
                  <c:v>45268</c:v>
                </c:pt>
                <c:pt idx="194">
                  <c:v>45271</c:v>
                </c:pt>
                <c:pt idx="195">
                  <c:v>45272</c:v>
                </c:pt>
                <c:pt idx="196">
                  <c:v>45273</c:v>
                </c:pt>
                <c:pt idx="197">
                  <c:v>45274</c:v>
                </c:pt>
                <c:pt idx="198">
                  <c:v>45275</c:v>
                </c:pt>
                <c:pt idx="199">
                  <c:v>45278</c:v>
                </c:pt>
                <c:pt idx="200">
                  <c:v>45279</c:v>
                </c:pt>
                <c:pt idx="201">
                  <c:v>45280</c:v>
                </c:pt>
                <c:pt idx="202">
                  <c:v>45281</c:v>
                </c:pt>
                <c:pt idx="203">
                  <c:v>45282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45307</c:v>
                </c:pt>
                <c:pt idx="218">
                  <c:v>45308</c:v>
                </c:pt>
                <c:pt idx="219">
                  <c:v>45309</c:v>
                </c:pt>
                <c:pt idx="220">
                  <c:v>45310</c:v>
                </c:pt>
                <c:pt idx="221">
                  <c:v>45313</c:v>
                </c:pt>
                <c:pt idx="222">
                  <c:v>45314</c:v>
                </c:pt>
                <c:pt idx="223">
                  <c:v>45315</c:v>
                </c:pt>
                <c:pt idx="224">
                  <c:v>45316</c:v>
                </c:pt>
                <c:pt idx="225">
                  <c:v>45317</c:v>
                </c:pt>
                <c:pt idx="226">
                  <c:v>45320</c:v>
                </c:pt>
                <c:pt idx="227">
                  <c:v>45321</c:v>
                </c:pt>
                <c:pt idx="228">
                  <c:v>45322</c:v>
                </c:pt>
                <c:pt idx="229">
                  <c:v>45323</c:v>
                </c:pt>
                <c:pt idx="230">
                  <c:v>45324</c:v>
                </c:pt>
                <c:pt idx="231">
                  <c:v>45327</c:v>
                </c:pt>
                <c:pt idx="232">
                  <c:v>45328</c:v>
                </c:pt>
                <c:pt idx="233">
                  <c:v>45329</c:v>
                </c:pt>
                <c:pt idx="234">
                  <c:v>45330</c:v>
                </c:pt>
                <c:pt idx="235">
                  <c:v>45331</c:v>
                </c:pt>
                <c:pt idx="236">
                  <c:v>45334</c:v>
                </c:pt>
                <c:pt idx="237">
                  <c:v>45335</c:v>
                </c:pt>
                <c:pt idx="238">
                  <c:v>45336</c:v>
                </c:pt>
                <c:pt idx="239">
                  <c:v>45337</c:v>
                </c:pt>
                <c:pt idx="240">
                  <c:v>45338</c:v>
                </c:pt>
                <c:pt idx="241">
                  <c:v>45342</c:v>
                </c:pt>
                <c:pt idx="242">
                  <c:v>45343</c:v>
                </c:pt>
                <c:pt idx="243">
                  <c:v>45344</c:v>
                </c:pt>
                <c:pt idx="244">
                  <c:v>45345</c:v>
                </c:pt>
                <c:pt idx="245">
                  <c:v>45348</c:v>
                </c:pt>
                <c:pt idx="246">
                  <c:v>45349</c:v>
                </c:pt>
                <c:pt idx="247">
                  <c:v>45350</c:v>
                </c:pt>
                <c:pt idx="248">
                  <c:v>45351</c:v>
                </c:pt>
                <c:pt idx="249">
                  <c:v>45352</c:v>
                </c:pt>
                <c:pt idx="250">
                  <c:v>45355</c:v>
                </c:pt>
                <c:pt idx="251">
                  <c:v>45356</c:v>
                </c:pt>
                <c:pt idx="252">
                  <c:v>45357</c:v>
                </c:pt>
                <c:pt idx="253">
                  <c:v>45358</c:v>
                </c:pt>
                <c:pt idx="254">
                  <c:v>45359</c:v>
                </c:pt>
                <c:pt idx="255">
                  <c:v>45362</c:v>
                </c:pt>
                <c:pt idx="256">
                  <c:v>45363</c:v>
                </c:pt>
                <c:pt idx="257">
                  <c:v>45364</c:v>
                </c:pt>
                <c:pt idx="258">
                  <c:v>45365</c:v>
                </c:pt>
                <c:pt idx="259">
                  <c:v>45366</c:v>
                </c:pt>
                <c:pt idx="260">
                  <c:v>45369</c:v>
                </c:pt>
                <c:pt idx="261">
                  <c:v>45370</c:v>
                </c:pt>
                <c:pt idx="262">
                  <c:v>45371</c:v>
                </c:pt>
                <c:pt idx="263">
                  <c:v>45372</c:v>
                </c:pt>
                <c:pt idx="264">
                  <c:v>45373</c:v>
                </c:pt>
                <c:pt idx="265">
                  <c:v>45376</c:v>
                </c:pt>
                <c:pt idx="266">
                  <c:v>45377</c:v>
                </c:pt>
                <c:pt idx="267">
                  <c:v>45378</c:v>
                </c:pt>
                <c:pt idx="268">
                  <c:v>45379</c:v>
                </c:pt>
                <c:pt idx="269">
                  <c:v>45383</c:v>
                </c:pt>
                <c:pt idx="270">
                  <c:v>45384</c:v>
                </c:pt>
                <c:pt idx="271">
                  <c:v>45385</c:v>
                </c:pt>
                <c:pt idx="272">
                  <c:v>45386</c:v>
                </c:pt>
                <c:pt idx="273">
                  <c:v>45387</c:v>
                </c:pt>
                <c:pt idx="274">
                  <c:v>45390</c:v>
                </c:pt>
                <c:pt idx="275">
                  <c:v>45391</c:v>
                </c:pt>
                <c:pt idx="276">
                  <c:v>45392</c:v>
                </c:pt>
                <c:pt idx="277">
                  <c:v>45393</c:v>
                </c:pt>
                <c:pt idx="278">
                  <c:v>45394</c:v>
                </c:pt>
                <c:pt idx="279">
                  <c:v>45397</c:v>
                </c:pt>
                <c:pt idx="280">
                  <c:v>45398</c:v>
                </c:pt>
                <c:pt idx="281">
                  <c:v>45399</c:v>
                </c:pt>
                <c:pt idx="282">
                  <c:v>45400</c:v>
                </c:pt>
                <c:pt idx="283">
                  <c:v>45401</c:v>
                </c:pt>
                <c:pt idx="284">
                  <c:v>45404</c:v>
                </c:pt>
                <c:pt idx="285">
                  <c:v>45405</c:v>
                </c:pt>
                <c:pt idx="286">
                  <c:v>45406</c:v>
                </c:pt>
                <c:pt idx="287">
                  <c:v>45407</c:v>
                </c:pt>
                <c:pt idx="288">
                  <c:v>45408</c:v>
                </c:pt>
                <c:pt idx="289">
                  <c:v>45411</c:v>
                </c:pt>
                <c:pt idx="290">
                  <c:v>45412</c:v>
                </c:pt>
                <c:pt idx="291">
                  <c:v>45413</c:v>
                </c:pt>
                <c:pt idx="292">
                  <c:v>45414</c:v>
                </c:pt>
                <c:pt idx="293">
                  <c:v>45415</c:v>
                </c:pt>
                <c:pt idx="294">
                  <c:v>45418</c:v>
                </c:pt>
                <c:pt idx="295">
                  <c:v>45419</c:v>
                </c:pt>
                <c:pt idx="296">
                  <c:v>45420</c:v>
                </c:pt>
                <c:pt idx="297">
                  <c:v>45421</c:v>
                </c:pt>
                <c:pt idx="298">
                  <c:v>45422</c:v>
                </c:pt>
                <c:pt idx="299">
                  <c:v>45425</c:v>
                </c:pt>
                <c:pt idx="300">
                  <c:v>45426</c:v>
                </c:pt>
                <c:pt idx="301">
                  <c:v>45427</c:v>
                </c:pt>
                <c:pt idx="302">
                  <c:v>45428</c:v>
                </c:pt>
                <c:pt idx="303">
                  <c:v>45429</c:v>
                </c:pt>
                <c:pt idx="304">
                  <c:v>45432</c:v>
                </c:pt>
                <c:pt idx="305">
                  <c:v>45433</c:v>
                </c:pt>
                <c:pt idx="306">
                  <c:v>45434</c:v>
                </c:pt>
                <c:pt idx="307">
                  <c:v>45435</c:v>
                </c:pt>
                <c:pt idx="308">
                  <c:v>45436</c:v>
                </c:pt>
                <c:pt idx="309">
                  <c:v>45440</c:v>
                </c:pt>
                <c:pt idx="310">
                  <c:v>45441</c:v>
                </c:pt>
                <c:pt idx="311">
                  <c:v>45442</c:v>
                </c:pt>
                <c:pt idx="312">
                  <c:v>45443</c:v>
                </c:pt>
                <c:pt idx="313">
                  <c:v>45446</c:v>
                </c:pt>
                <c:pt idx="314">
                  <c:v>45447</c:v>
                </c:pt>
                <c:pt idx="315">
                  <c:v>45448</c:v>
                </c:pt>
                <c:pt idx="316">
                  <c:v>45449</c:v>
                </c:pt>
                <c:pt idx="317">
                  <c:v>45450</c:v>
                </c:pt>
                <c:pt idx="318">
                  <c:v>45453</c:v>
                </c:pt>
                <c:pt idx="319">
                  <c:v>45454</c:v>
                </c:pt>
                <c:pt idx="320">
                  <c:v>45455</c:v>
                </c:pt>
                <c:pt idx="321">
                  <c:v>45456</c:v>
                </c:pt>
                <c:pt idx="322">
                  <c:v>45457</c:v>
                </c:pt>
                <c:pt idx="323">
                  <c:v>45460</c:v>
                </c:pt>
                <c:pt idx="324">
                  <c:v>45461</c:v>
                </c:pt>
                <c:pt idx="325">
                  <c:v>45463</c:v>
                </c:pt>
                <c:pt idx="326">
                  <c:v>45464</c:v>
                </c:pt>
                <c:pt idx="327">
                  <c:v>45467</c:v>
                </c:pt>
                <c:pt idx="328">
                  <c:v>45468</c:v>
                </c:pt>
                <c:pt idx="329">
                  <c:v>45469</c:v>
                </c:pt>
                <c:pt idx="330">
                  <c:v>45470</c:v>
                </c:pt>
                <c:pt idx="331">
                  <c:v>45471</c:v>
                </c:pt>
                <c:pt idx="332">
                  <c:v>45474</c:v>
                </c:pt>
                <c:pt idx="333">
                  <c:v>45475</c:v>
                </c:pt>
                <c:pt idx="334">
                  <c:v>45476</c:v>
                </c:pt>
                <c:pt idx="335">
                  <c:v>45478</c:v>
                </c:pt>
                <c:pt idx="336">
                  <c:v>45481</c:v>
                </c:pt>
                <c:pt idx="337">
                  <c:v>45482</c:v>
                </c:pt>
                <c:pt idx="338">
                  <c:v>45483</c:v>
                </c:pt>
                <c:pt idx="339">
                  <c:v>45484</c:v>
                </c:pt>
                <c:pt idx="340">
                  <c:v>45485</c:v>
                </c:pt>
                <c:pt idx="341">
                  <c:v>45488</c:v>
                </c:pt>
                <c:pt idx="342">
                  <c:v>45489</c:v>
                </c:pt>
                <c:pt idx="343">
                  <c:v>45490</c:v>
                </c:pt>
                <c:pt idx="344">
                  <c:v>45491</c:v>
                </c:pt>
                <c:pt idx="345">
                  <c:v>45492</c:v>
                </c:pt>
                <c:pt idx="346">
                  <c:v>45495</c:v>
                </c:pt>
                <c:pt idx="347">
                  <c:v>45496</c:v>
                </c:pt>
                <c:pt idx="348">
                  <c:v>45497</c:v>
                </c:pt>
                <c:pt idx="349">
                  <c:v>45498</c:v>
                </c:pt>
                <c:pt idx="350">
                  <c:v>45499</c:v>
                </c:pt>
                <c:pt idx="351">
                  <c:v>45502</c:v>
                </c:pt>
                <c:pt idx="352">
                  <c:v>45503</c:v>
                </c:pt>
                <c:pt idx="353">
                  <c:v>45504</c:v>
                </c:pt>
                <c:pt idx="354">
                  <c:v>45505</c:v>
                </c:pt>
                <c:pt idx="355">
                  <c:v>45506</c:v>
                </c:pt>
                <c:pt idx="356">
                  <c:v>45509</c:v>
                </c:pt>
                <c:pt idx="357">
                  <c:v>45510</c:v>
                </c:pt>
                <c:pt idx="358">
                  <c:v>45511</c:v>
                </c:pt>
                <c:pt idx="359">
                  <c:v>45512</c:v>
                </c:pt>
                <c:pt idx="360">
                  <c:v>45513</c:v>
                </c:pt>
                <c:pt idx="361">
                  <c:v>45516</c:v>
                </c:pt>
                <c:pt idx="362">
                  <c:v>45517</c:v>
                </c:pt>
                <c:pt idx="363">
                  <c:v>45518</c:v>
                </c:pt>
                <c:pt idx="364">
                  <c:v>45519</c:v>
                </c:pt>
                <c:pt idx="365">
                  <c:v>45520</c:v>
                </c:pt>
                <c:pt idx="366">
                  <c:v>45523</c:v>
                </c:pt>
                <c:pt idx="367">
                  <c:v>45524</c:v>
                </c:pt>
                <c:pt idx="368">
                  <c:v>45525</c:v>
                </c:pt>
                <c:pt idx="369">
                  <c:v>45526</c:v>
                </c:pt>
                <c:pt idx="370">
                  <c:v>45527</c:v>
                </c:pt>
                <c:pt idx="371">
                  <c:v>45530</c:v>
                </c:pt>
                <c:pt idx="372">
                  <c:v>45531</c:v>
                </c:pt>
                <c:pt idx="373">
                  <c:v>45532</c:v>
                </c:pt>
                <c:pt idx="374">
                  <c:v>45533</c:v>
                </c:pt>
                <c:pt idx="375">
                  <c:v>45534</c:v>
                </c:pt>
                <c:pt idx="376">
                  <c:v>45538</c:v>
                </c:pt>
                <c:pt idx="377">
                  <c:v>45539</c:v>
                </c:pt>
                <c:pt idx="378">
                  <c:v>45540</c:v>
                </c:pt>
                <c:pt idx="379">
                  <c:v>45541</c:v>
                </c:pt>
                <c:pt idx="380">
                  <c:v>45544</c:v>
                </c:pt>
                <c:pt idx="381">
                  <c:v>45545</c:v>
                </c:pt>
                <c:pt idx="382">
                  <c:v>45546</c:v>
                </c:pt>
                <c:pt idx="383">
                  <c:v>45547</c:v>
                </c:pt>
                <c:pt idx="384">
                  <c:v>45548</c:v>
                </c:pt>
                <c:pt idx="385">
                  <c:v>45551</c:v>
                </c:pt>
                <c:pt idx="386">
                  <c:v>45552</c:v>
                </c:pt>
                <c:pt idx="387">
                  <c:v>45553</c:v>
                </c:pt>
                <c:pt idx="388">
                  <c:v>45554</c:v>
                </c:pt>
                <c:pt idx="389">
                  <c:v>45555</c:v>
                </c:pt>
                <c:pt idx="390">
                  <c:v>45558</c:v>
                </c:pt>
                <c:pt idx="391">
                  <c:v>45559</c:v>
                </c:pt>
                <c:pt idx="392">
                  <c:v>45560</c:v>
                </c:pt>
                <c:pt idx="393">
                  <c:v>45561</c:v>
                </c:pt>
                <c:pt idx="394">
                  <c:v>45562</c:v>
                </c:pt>
                <c:pt idx="395">
                  <c:v>45565</c:v>
                </c:pt>
                <c:pt idx="396">
                  <c:v>45566</c:v>
                </c:pt>
                <c:pt idx="397">
                  <c:v>45567</c:v>
                </c:pt>
                <c:pt idx="398">
                  <c:v>45568</c:v>
                </c:pt>
                <c:pt idx="399">
                  <c:v>45569</c:v>
                </c:pt>
                <c:pt idx="400">
                  <c:v>45572</c:v>
                </c:pt>
                <c:pt idx="401">
                  <c:v>45573</c:v>
                </c:pt>
                <c:pt idx="402">
                  <c:v>45574</c:v>
                </c:pt>
                <c:pt idx="403">
                  <c:v>45575</c:v>
                </c:pt>
                <c:pt idx="404">
                  <c:v>45576</c:v>
                </c:pt>
                <c:pt idx="405">
                  <c:v>45579</c:v>
                </c:pt>
                <c:pt idx="406">
                  <c:v>45580</c:v>
                </c:pt>
                <c:pt idx="407">
                  <c:v>45581</c:v>
                </c:pt>
                <c:pt idx="408">
                  <c:v>45582</c:v>
                </c:pt>
                <c:pt idx="409">
                  <c:v>45583</c:v>
                </c:pt>
                <c:pt idx="410">
                  <c:v>45586</c:v>
                </c:pt>
                <c:pt idx="411">
                  <c:v>45587</c:v>
                </c:pt>
                <c:pt idx="412">
                  <c:v>45588</c:v>
                </c:pt>
                <c:pt idx="413">
                  <c:v>45589</c:v>
                </c:pt>
                <c:pt idx="414">
                  <c:v>45590</c:v>
                </c:pt>
                <c:pt idx="415">
                  <c:v>45593</c:v>
                </c:pt>
                <c:pt idx="416">
                  <c:v>45594</c:v>
                </c:pt>
                <c:pt idx="417">
                  <c:v>45595</c:v>
                </c:pt>
                <c:pt idx="418">
                  <c:v>45596</c:v>
                </c:pt>
                <c:pt idx="419">
                  <c:v>45597</c:v>
                </c:pt>
                <c:pt idx="420">
                  <c:v>45600</c:v>
                </c:pt>
                <c:pt idx="421">
                  <c:v>45601</c:v>
                </c:pt>
                <c:pt idx="422">
                  <c:v>45602</c:v>
                </c:pt>
                <c:pt idx="423">
                  <c:v>45603</c:v>
                </c:pt>
                <c:pt idx="424">
                  <c:v>45604</c:v>
                </c:pt>
                <c:pt idx="425">
                  <c:v>45607</c:v>
                </c:pt>
                <c:pt idx="426">
                  <c:v>45608</c:v>
                </c:pt>
                <c:pt idx="427">
                  <c:v>45609</c:v>
                </c:pt>
                <c:pt idx="428">
                  <c:v>45610</c:v>
                </c:pt>
                <c:pt idx="429">
                  <c:v>45611</c:v>
                </c:pt>
                <c:pt idx="430">
                  <c:v>45614</c:v>
                </c:pt>
                <c:pt idx="431">
                  <c:v>45615</c:v>
                </c:pt>
                <c:pt idx="432">
                  <c:v>45616</c:v>
                </c:pt>
                <c:pt idx="433">
                  <c:v>45617</c:v>
                </c:pt>
                <c:pt idx="434">
                  <c:v>45618</c:v>
                </c:pt>
                <c:pt idx="435">
                  <c:v>45621</c:v>
                </c:pt>
                <c:pt idx="436">
                  <c:v>45622</c:v>
                </c:pt>
                <c:pt idx="437">
                  <c:v>45623</c:v>
                </c:pt>
                <c:pt idx="438">
                  <c:v>45625</c:v>
                </c:pt>
                <c:pt idx="439">
                  <c:v>45628</c:v>
                </c:pt>
                <c:pt idx="440">
                  <c:v>45629</c:v>
                </c:pt>
                <c:pt idx="441">
                  <c:v>45630</c:v>
                </c:pt>
                <c:pt idx="442">
                  <c:v>45631</c:v>
                </c:pt>
                <c:pt idx="443">
                  <c:v>45632</c:v>
                </c:pt>
                <c:pt idx="444">
                  <c:v>45635</c:v>
                </c:pt>
                <c:pt idx="445">
                  <c:v>45636</c:v>
                </c:pt>
                <c:pt idx="446">
                  <c:v>45637</c:v>
                </c:pt>
                <c:pt idx="447">
                  <c:v>45638</c:v>
                </c:pt>
                <c:pt idx="448">
                  <c:v>45639</c:v>
                </c:pt>
                <c:pt idx="449">
                  <c:v>45642</c:v>
                </c:pt>
                <c:pt idx="450">
                  <c:v>45643</c:v>
                </c:pt>
                <c:pt idx="451">
                  <c:v>45644</c:v>
                </c:pt>
                <c:pt idx="452">
                  <c:v>45645</c:v>
                </c:pt>
                <c:pt idx="453">
                  <c:v>45646</c:v>
                </c:pt>
                <c:pt idx="454">
                  <c:v>45649</c:v>
                </c:pt>
                <c:pt idx="455">
                  <c:v>45650</c:v>
                </c:pt>
                <c:pt idx="456">
                  <c:v>45652</c:v>
                </c:pt>
                <c:pt idx="457">
                  <c:v>45653</c:v>
                </c:pt>
                <c:pt idx="458">
                  <c:v>45656</c:v>
                </c:pt>
                <c:pt idx="459">
                  <c:v>45657</c:v>
                </c:pt>
                <c:pt idx="460">
                  <c:v>45659</c:v>
                </c:pt>
                <c:pt idx="461">
                  <c:v>45660</c:v>
                </c:pt>
                <c:pt idx="462">
                  <c:v>45663</c:v>
                </c:pt>
                <c:pt idx="463">
                  <c:v>45664</c:v>
                </c:pt>
                <c:pt idx="464">
                  <c:v>45665</c:v>
                </c:pt>
                <c:pt idx="465">
                  <c:v>45667</c:v>
                </c:pt>
                <c:pt idx="466">
                  <c:v>45670</c:v>
                </c:pt>
                <c:pt idx="467">
                  <c:v>45671</c:v>
                </c:pt>
                <c:pt idx="468">
                  <c:v>45672</c:v>
                </c:pt>
                <c:pt idx="469">
                  <c:v>45673</c:v>
                </c:pt>
                <c:pt idx="470">
                  <c:v>45674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45684</c:v>
                </c:pt>
                <c:pt idx="476">
                  <c:v>45685</c:v>
                </c:pt>
                <c:pt idx="477">
                  <c:v>45686</c:v>
                </c:pt>
                <c:pt idx="478">
                  <c:v>45687</c:v>
                </c:pt>
                <c:pt idx="479">
                  <c:v>45688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45706</c:v>
                </c:pt>
                <c:pt idx="491">
                  <c:v>45707</c:v>
                </c:pt>
                <c:pt idx="492">
                  <c:v>45708</c:v>
                </c:pt>
                <c:pt idx="493">
                  <c:v>45709</c:v>
                </c:pt>
                <c:pt idx="494">
                  <c:v>45712</c:v>
                </c:pt>
                <c:pt idx="495">
                  <c:v>45713</c:v>
                </c:pt>
                <c:pt idx="496">
                  <c:v>45714</c:v>
                </c:pt>
                <c:pt idx="497">
                  <c:v>45715</c:v>
                </c:pt>
                <c:pt idx="498">
                  <c:v>45716</c:v>
                </c:pt>
                <c:pt idx="499">
                  <c:v>45719</c:v>
                </c:pt>
                <c:pt idx="500">
                  <c:v>45720</c:v>
                </c:pt>
                <c:pt idx="501">
                  <c:v>45721</c:v>
                </c:pt>
                <c:pt idx="502">
                  <c:v>45722</c:v>
                </c:pt>
                <c:pt idx="503">
                  <c:v>45723</c:v>
                </c:pt>
                <c:pt idx="504">
                  <c:v>45726</c:v>
                </c:pt>
                <c:pt idx="505">
                  <c:v>45727</c:v>
                </c:pt>
                <c:pt idx="506">
                  <c:v>45728</c:v>
                </c:pt>
                <c:pt idx="507">
                  <c:v>45729</c:v>
                </c:pt>
                <c:pt idx="508">
                  <c:v>45730</c:v>
                </c:pt>
                <c:pt idx="509">
                  <c:v>45733</c:v>
                </c:pt>
                <c:pt idx="510">
                  <c:v>45734</c:v>
                </c:pt>
                <c:pt idx="511">
                  <c:v>45735</c:v>
                </c:pt>
                <c:pt idx="512">
                  <c:v>45736</c:v>
                </c:pt>
                <c:pt idx="513">
                  <c:v>45737</c:v>
                </c:pt>
                <c:pt idx="514">
                  <c:v>45740</c:v>
                </c:pt>
                <c:pt idx="515">
                  <c:v>45741</c:v>
                </c:pt>
                <c:pt idx="516">
                  <c:v>45742</c:v>
                </c:pt>
                <c:pt idx="517">
                  <c:v>45743</c:v>
                </c:pt>
                <c:pt idx="518">
                  <c:v>45744</c:v>
                </c:pt>
                <c:pt idx="519">
                  <c:v>45747</c:v>
                </c:pt>
                <c:pt idx="520">
                  <c:v>45748</c:v>
                </c:pt>
                <c:pt idx="521">
                  <c:v>45749</c:v>
                </c:pt>
                <c:pt idx="522">
                  <c:v>45750</c:v>
                </c:pt>
                <c:pt idx="523">
                  <c:v>45751</c:v>
                </c:pt>
                <c:pt idx="524">
                  <c:v>45754</c:v>
                </c:pt>
                <c:pt idx="525">
                  <c:v>45755</c:v>
                </c:pt>
                <c:pt idx="526">
                  <c:v>45756</c:v>
                </c:pt>
                <c:pt idx="527">
                  <c:v>45757</c:v>
                </c:pt>
                <c:pt idx="528">
                  <c:v>45758</c:v>
                </c:pt>
                <c:pt idx="529">
                  <c:v>45761</c:v>
                </c:pt>
                <c:pt idx="530">
                  <c:v>45762</c:v>
                </c:pt>
                <c:pt idx="531">
                  <c:v>45763</c:v>
                </c:pt>
                <c:pt idx="532">
                  <c:v>45764</c:v>
                </c:pt>
                <c:pt idx="533">
                  <c:v>45768</c:v>
                </c:pt>
                <c:pt idx="534">
                  <c:v>45769</c:v>
                </c:pt>
                <c:pt idx="535">
                  <c:v>45770</c:v>
                </c:pt>
                <c:pt idx="536">
                  <c:v>45771</c:v>
                </c:pt>
                <c:pt idx="537">
                  <c:v>45772</c:v>
                </c:pt>
                <c:pt idx="538">
                  <c:v>45775</c:v>
                </c:pt>
                <c:pt idx="539">
                  <c:v>45776</c:v>
                </c:pt>
                <c:pt idx="540">
                  <c:v>45777</c:v>
                </c:pt>
                <c:pt idx="541">
                  <c:v>45778</c:v>
                </c:pt>
                <c:pt idx="542">
                  <c:v>45779</c:v>
                </c:pt>
                <c:pt idx="543">
                  <c:v>45782</c:v>
                </c:pt>
                <c:pt idx="544">
                  <c:v>45783</c:v>
                </c:pt>
                <c:pt idx="545">
                  <c:v>45784</c:v>
                </c:pt>
                <c:pt idx="546">
                  <c:v>45785</c:v>
                </c:pt>
                <c:pt idx="547">
                  <c:v>45786</c:v>
                </c:pt>
                <c:pt idx="548">
                  <c:v>45789</c:v>
                </c:pt>
                <c:pt idx="549">
                  <c:v>45790</c:v>
                </c:pt>
                <c:pt idx="550">
                  <c:v>45791</c:v>
                </c:pt>
                <c:pt idx="551">
                  <c:v>45792</c:v>
                </c:pt>
                <c:pt idx="552">
                  <c:v>45793</c:v>
                </c:pt>
                <c:pt idx="553">
                  <c:v>45796</c:v>
                </c:pt>
                <c:pt idx="554">
                  <c:v>45797</c:v>
                </c:pt>
                <c:pt idx="555">
                  <c:v>45798</c:v>
                </c:pt>
                <c:pt idx="556">
                  <c:v>45799</c:v>
                </c:pt>
                <c:pt idx="557">
                  <c:v>45800</c:v>
                </c:pt>
                <c:pt idx="558">
                  <c:v>45804</c:v>
                </c:pt>
                <c:pt idx="559">
                  <c:v>45805</c:v>
                </c:pt>
                <c:pt idx="560">
                  <c:v>45806</c:v>
                </c:pt>
                <c:pt idx="561">
                  <c:v>45807</c:v>
                </c:pt>
                <c:pt idx="562">
                  <c:v>45810</c:v>
                </c:pt>
                <c:pt idx="563">
                  <c:v>45811</c:v>
                </c:pt>
                <c:pt idx="564">
                  <c:v>45812</c:v>
                </c:pt>
                <c:pt idx="565">
                  <c:v>45813</c:v>
                </c:pt>
                <c:pt idx="566">
                  <c:v>45814</c:v>
                </c:pt>
                <c:pt idx="567">
                  <c:v>45817</c:v>
                </c:pt>
                <c:pt idx="568">
                  <c:v>45818</c:v>
                </c:pt>
                <c:pt idx="569">
                  <c:v>45819</c:v>
                </c:pt>
                <c:pt idx="570">
                  <c:v>45820</c:v>
                </c:pt>
                <c:pt idx="571">
                  <c:v>45821</c:v>
                </c:pt>
                <c:pt idx="572">
                  <c:v>45824</c:v>
                </c:pt>
                <c:pt idx="573">
                  <c:v>45825</c:v>
                </c:pt>
                <c:pt idx="574">
                  <c:v>45826</c:v>
                </c:pt>
                <c:pt idx="575">
                  <c:v>45828</c:v>
                </c:pt>
                <c:pt idx="576">
                  <c:v>45831</c:v>
                </c:pt>
                <c:pt idx="577">
                  <c:v>45832</c:v>
                </c:pt>
                <c:pt idx="578">
                  <c:v>45833</c:v>
                </c:pt>
                <c:pt idx="579">
                  <c:v>45834</c:v>
                </c:pt>
                <c:pt idx="580">
                  <c:v>45835</c:v>
                </c:pt>
                <c:pt idx="581">
                  <c:v>45838</c:v>
                </c:pt>
                <c:pt idx="582">
                  <c:v>45839</c:v>
                </c:pt>
                <c:pt idx="583">
                  <c:v>45840</c:v>
                </c:pt>
                <c:pt idx="584">
                  <c:v>45841</c:v>
                </c:pt>
                <c:pt idx="585">
                  <c:v>45845</c:v>
                </c:pt>
                <c:pt idx="586">
                  <c:v>45846</c:v>
                </c:pt>
                <c:pt idx="587">
                  <c:v>45847</c:v>
                </c:pt>
                <c:pt idx="588">
                  <c:v>45848</c:v>
                </c:pt>
                <c:pt idx="589">
                  <c:v>45849</c:v>
                </c:pt>
                <c:pt idx="590">
                  <c:v>45852</c:v>
                </c:pt>
                <c:pt idx="591">
                  <c:v>45853</c:v>
                </c:pt>
                <c:pt idx="592">
                  <c:v>45854</c:v>
                </c:pt>
                <c:pt idx="593">
                  <c:v>45855</c:v>
                </c:pt>
                <c:pt idx="594">
                  <c:v>45856</c:v>
                </c:pt>
                <c:pt idx="595">
                  <c:v>45859</c:v>
                </c:pt>
                <c:pt idx="596">
                  <c:v>45860</c:v>
                </c:pt>
                <c:pt idx="597">
                  <c:v>45861</c:v>
                </c:pt>
                <c:pt idx="598">
                  <c:v>45862</c:v>
                </c:pt>
                <c:pt idx="599">
                  <c:v>45863</c:v>
                </c:pt>
                <c:pt idx="600">
                  <c:v>45866</c:v>
                </c:pt>
                <c:pt idx="601">
                  <c:v>45867</c:v>
                </c:pt>
                <c:pt idx="602">
                  <c:v>45868</c:v>
                </c:pt>
                <c:pt idx="603">
                  <c:v>45869</c:v>
                </c:pt>
                <c:pt idx="604">
                  <c:v>45870</c:v>
                </c:pt>
                <c:pt idx="605">
                  <c:v>45873</c:v>
                </c:pt>
                <c:pt idx="606">
                  <c:v>45874</c:v>
                </c:pt>
                <c:pt idx="607">
                  <c:v>45875</c:v>
                </c:pt>
                <c:pt idx="608">
                  <c:v>45876</c:v>
                </c:pt>
                <c:pt idx="609">
                  <c:v>45877</c:v>
                </c:pt>
                <c:pt idx="610">
                  <c:v>45880</c:v>
                </c:pt>
                <c:pt idx="611">
                  <c:v>45881</c:v>
                </c:pt>
                <c:pt idx="612">
                  <c:v>45882</c:v>
                </c:pt>
                <c:pt idx="613">
                  <c:v>45883</c:v>
                </c:pt>
                <c:pt idx="614">
                  <c:v>45884</c:v>
                </c:pt>
                <c:pt idx="615">
                  <c:v>45887</c:v>
                </c:pt>
                <c:pt idx="616">
                  <c:v>45888</c:v>
                </c:pt>
                <c:pt idx="617">
                  <c:v>45889</c:v>
                </c:pt>
                <c:pt idx="618">
                  <c:v>45890</c:v>
                </c:pt>
                <c:pt idx="619">
                  <c:v>45891</c:v>
                </c:pt>
                <c:pt idx="620">
                  <c:v>45894</c:v>
                </c:pt>
                <c:pt idx="621">
                  <c:v>45895</c:v>
                </c:pt>
                <c:pt idx="622">
                  <c:v>45896</c:v>
                </c:pt>
                <c:pt idx="623">
                  <c:v>45897</c:v>
                </c:pt>
                <c:pt idx="624">
                  <c:v>45898</c:v>
                </c:pt>
                <c:pt idx="625">
                  <c:v>45902</c:v>
                </c:pt>
                <c:pt idx="626">
                  <c:v>45903</c:v>
                </c:pt>
                <c:pt idx="627">
                  <c:v>45904</c:v>
                </c:pt>
                <c:pt idx="628">
                  <c:v>45905</c:v>
                </c:pt>
                <c:pt idx="629">
                  <c:v>45908</c:v>
                </c:pt>
                <c:pt idx="630">
                  <c:v>45909</c:v>
                </c:pt>
                <c:pt idx="631">
                  <c:v>45910</c:v>
                </c:pt>
                <c:pt idx="632">
                  <c:v>45911</c:v>
                </c:pt>
                <c:pt idx="633">
                  <c:v>45912</c:v>
                </c:pt>
                <c:pt idx="634">
                  <c:v>45915</c:v>
                </c:pt>
                <c:pt idx="635">
                  <c:v>45916</c:v>
                </c:pt>
                <c:pt idx="636">
                  <c:v>45917</c:v>
                </c:pt>
                <c:pt idx="637">
                  <c:v>45918</c:v>
                </c:pt>
                <c:pt idx="638">
                  <c:v>45919</c:v>
                </c:pt>
                <c:pt idx="639">
                  <c:v>45922</c:v>
                </c:pt>
                <c:pt idx="640">
                  <c:v>45923</c:v>
                </c:pt>
                <c:pt idx="641">
                  <c:v>45924</c:v>
                </c:pt>
                <c:pt idx="642">
                  <c:v>45925</c:v>
                </c:pt>
                <c:pt idx="643">
                  <c:v>45926</c:v>
                </c:pt>
                <c:pt idx="644">
                  <c:v>45929</c:v>
                </c:pt>
                <c:pt idx="645">
                  <c:v>45930</c:v>
                </c:pt>
                <c:pt idx="646">
                  <c:v>45931</c:v>
                </c:pt>
                <c:pt idx="647">
                  <c:v>45932</c:v>
                </c:pt>
                <c:pt idx="648">
                  <c:v>45933</c:v>
                </c:pt>
                <c:pt idx="649">
                  <c:v>45936</c:v>
                </c:pt>
                <c:pt idx="650">
                  <c:v>45937</c:v>
                </c:pt>
                <c:pt idx="651">
                  <c:v>45938</c:v>
                </c:pt>
                <c:pt idx="652">
                  <c:v>45939</c:v>
                </c:pt>
                <c:pt idx="653">
                  <c:v>45940</c:v>
                </c:pt>
                <c:pt idx="654">
                  <c:v>45943</c:v>
                </c:pt>
                <c:pt idx="655">
                  <c:v>45944</c:v>
                </c:pt>
                <c:pt idx="656">
                  <c:v>45945</c:v>
                </c:pt>
                <c:pt idx="657">
                  <c:v>45946</c:v>
                </c:pt>
                <c:pt idx="658">
                  <c:v>45947</c:v>
                </c:pt>
                <c:pt idx="659">
                  <c:v>45950</c:v>
                </c:pt>
                <c:pt idx="660">
                  <c:v>45951</c:v>
                </c:pt>
                <c:pt idx="661">
                  <c:v>45952</c:v>
                </c:pt>
                <c:pt idx="662">
                  <c:v>45953</c:v>
                </c:pt>
                <c:pt idx="663">
                  <c:v>45954</c:v>
                </c:pt>
                <c:pt idx="664">
                  <c:v>45957</c:v>
                </c:pt>
                <c:pt idx="665">
                  <c:v>45958</c:v>
                </c:pt>
                <c:pt idx="666">
                  <c:v>45959</c:v>
                </c:pt>
                <c:pt idx="667">
                  <c:v>45960</c:v>
                </c:pt>
                <c:pt idx="668">
                  <c:v>45961</c:v>
                </c:pt>
                <c:pt idx="669">
                  <c:v>45964</c:v>
                </c:pt>
                <c:pt idx="670">
                  <c:v>45965</c:v>
                </c:pt>
                <c:pt idx="671">
                  <c:v>45966</c:v>
                </c:pt>
                <c:pt idx="672">
                  <c:v>45967</c:v>
                </c:pt>
                <c:pt idx="673">
                  <c:v>45968</c:v>
                </c:pt>
                <c:pt idx="674">
                  <c:v>45971</c:v>
                </c:pt>
                <c:pt idx="675">
                  <c:v>45972</c:v>
                </c:pt>
                <c:pt idx="676">
                  <c:v>45973</c:v>
                </c:pt>
                <c:pt idx="677">
                  <c:v>45974</c:v>
                </c:pt>
                <c:pt idx="678">
                  <c:v>45975</c:v>
                </c:pt>
                <c:pt idx="679">
                  <c:v>45978</c:v>
                </c:pt>
                <c:pt idx="680">
                  <c:v>45979</c:v>
                </c:pt>
                <c:pt idx="681">
                  <c:v>45980</c:v>
                </c:pt>
                <c:pt idx="682">
                  <c:v>45981</c:v>
                </c:pt>
                <c:pt idx="683">
                  <c:v>45982</c:v>
                </c:pt>
                <c:pt idx="684">
                  <c:v>45985</c:v>
                </c:pt>
                <c:pt idx="685">
                  <c:v>45986</c:v>
                </c:pt>
                <c:pt idx="686">
                  <c:v>45987</c:v>
                </c:pt>
                <c:pt idx="687">
                  <c:v>45989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45999</c:v>
                </c:pt>
                <c:pt idx="694">
                  <c:v>46000</c:v>
                </c:pt>
                <c:pt idx="695">
                  <c:v>46001</c:v>
                </c:pt>
                <c:pt idx="696">
                  <c:v>46002</c:v>
                </c:pt>
                <c:pt idx="697">
                  <c:v>46003</c:v>
                </c:pt>
                <c:pt idx="698">
                  <c:v>46006</c:v>
                </c:pt>
                <c:pt idx="699">
                  <c:v>46007</c:v>
                </c:pt>
                <c:pt idx="700">
                  <c:v>46008</c:v>
                </c:pt>
                <c:pt idx="701">
                  <c:v>46009</c:v>
                </c:pt>
                <c:pt idx="702">
                  <c:v>46010</c:v>
                </c:pt>
                <c:pt idx="703">
                  <c:v>46013</c:v>
                </c:pt>
                <c:pt idx="704">
                  <c:v>46014</c:v>
                </c:pt>
                <c:pt idx="705">
                  <c:v>46015</c:v>
                </c:pt>
                <c:pt idx="706">
                  <c:v>46017</c:v>
                </c:pt>
                <c:pt idx="707">
                  <c:v>46020</c:v>
                </c:pt>
                <c:pt idx="708">
                  <c:v>46021</c:v>
                </c:pt>
                <c:pt idx="709">
                  <c:v>46022</c:v>
                </c:pt>
                <c:pt idx="710">
                  <c:v>46024</c:v>
                </c:pt>
                <c:pt idx="711">
                  <c:v>46027</c:v>
                </c:pt>
                <c:pt idx="712">
                  <c:v>46028</c:v>
                </c:pt>
                <c:pt idx="713">
                  <c:v>46029</c:v>
                </c:pt>
                <c:pt idx="714">
                  <c:v>46030</c:v>
                </c:pt>
                <c:pt idx="715">
                  <c:v>46031</c:v>
                </c:pt>
                <c:pt idx="716">
                  <c:v>46034</c:v>
                </c:pt>
                <c:pt idx="717">
                  <c:v>46035</c:v>
                </c:pt>
                <c:pt idx="718">
                  <c:v>46036</c:v>
                </c:pt>
                <c:pt idx="719">
                  <c:v>46037</c:v>
                </c:pt>
                <c:pt idx="720">
                  <c:v>46038</c:v>
                </c:pt>
                <c:pt idx="721">
                  <c:v>46042</c:v>
                </c:pt>
                <c:pt idx="722">
                  <c:v>46043</c:v>
                </c:pt>
                <c:pt idx="723">
                  <c:v>46044</c:v>
                </c:pt>
                <c:pt idx="724">
                  <c:v>46045</c:v>
                </c:pt>
                <c:pt idx="725">
                  <c:v>46048</c:v>
                </c:pt>
                <c:pt idx="726">
                  <c:v>46049</c:v>
                </c:pt>
                <c:pt idx="727">
                  <c:v>46050</c:v>
                </c:pt>
                <c:pt idx="728">
                  <c:v>46051</c:v>
                </c:pt>
                <c:pt idx="729">
                  <c:v>46052</c:v>
                </c:pt>
                <c:pt idx="730">
                  <c:v>46055</c:v>
                </c:pt>
                <c:pt idx="731">
                  <c:v>46056</c:v>
                </c:pt>
                <c:pt idx="732">
                  <c:v>46057</c:v>
                </c:pt>
                <c:pt idx="733">
                  <c:v>46058</c:v>
                </c:pt>
                <c:pt idx="734">
                  <c:v>46059</c:v>
                </c:pt>
                <c:pt idx="735">
                  <c:v>46062</c:v>
                </c:pt>
                <c:pt idx="736">
                  <c:v>46063</c:v>
                </c:pt>
                <c:pt idx="737">
                  <c:v>46064</c:v>
                </c:pt>
                <c:pt idx="738">
                  <c:v>46065</c:v>
                </c:pt>
                <c:pt idx="739">
                  <c:v>46066</c:v>
                </c:pt>
                <c:pt idx="740">
                  <c:v>46070</c:v>
                </c:pt>
                <c:pt idx="741">
                  <c:v>46071</c:v>
                </c:pt>
                <c:pt idx="742">
                  <c:v>46072</c:v>
                </c:pt>
                <c:pt idx="743">
                  <c:v>46073</c:v>
                </c:pt>
                <c:pt idx="744">
                  <c:v>46076</c:v>
                </c:pt>
                <c:pt idx="745">
                  <c:v>46077</c:v>
                </c:pt>
                <c:pt idx="746">
                  <c:v>46078</c:v>
                </c:pt>
                <c:pt idx="747">
                  <c:v>46079</c:v>
                </c:pt>
                <c:pt idx="748">
                  <c:v>46080</c:v>
                </c:pt>
                <c:pt idx="749">
                  <c:v>46083</c:v>
                </c:pt>
                <c:pt idx="750">
                  <c:v>46084</c:v>
                </c:pt>
                <c:pt idx="751">
                  <c:v>46085</c:v>
                </c:pt>
              </c:numCache>
            </c:numRef>
          </c:cat>
          <c:val>
            <c:numRef>
              <c:f>'Share Price Analysis'!$M$36:$M$787</c:f>
              <c:numCache>
                <c:formatCode>#,##0.0</c:formatCode>
                <c:ptCount val="752"/>
                <c:pt idx="0">
                  <c:v>100</c:v>
                </c:pt>
                <c:pt idx="1">
                  <c:v>98.029556650246306</c:v>
                </c:pt>
                <c:pt idx="2">
                  <c:v>98.510152589210605</c:v>
                </c:pt>
                <c:pt idx="3">
                  <c:v>95.975009011173853</c:v>
                </c:pt>
                <c:pt idx="4">
                  <c:v>93.932476270575521</c:v>
                </c:pt>
                <c:pt idx="5">
                  <c:v>92.971284392646865</c:v>
                </c:pt>
                <c:pt idx="6">
                  <c:v>94.160759341583571</c:v>
                </c:pt>
                <c:pt idx="7">
                  <c:v>91.108975129160157</c:v>
                </c:pt>
                <c:pt idx="8">
                  <c:v>92.154271296407543</c:v>
                </c:pt>
                <c:pt idx="9">
                  <c:v>90.724498377988709</c:v>
                </c:pt>
                <c:pt idx="10">
                  <c:v>92.190315991829877</c:v>
                </c:pt>
                <c:pt idx="11">
                  <c:v>93.307701549921902</c:v>
                </c:pt>
                <c:pt idx="12">
                  <c:v>91.649645560495003</c:v>
                </c:pt>
                <c:pt idx="13">
                  <c:v>91.541511474228031</c:v>
                </c:pt>
                <c:pt idx="14">
                  <c:v>92.286435179622728</c:v>
                </c:pt>
                <c:pt idx="15">
                  <c:v>92.971284392646865</c:v>
                </c:pt>
                <c:pt idx="16">
                  <c:v>93.415835636188874</c:v>
                </c:pt>
                <c:pt idx="17">
                  <c:v>94.713444671392523</c:v>
                </c:pt>
                <c:pt idx="18">
                  <c:v>95.362249188994355</c:v>
                </c:pt>
                <c:pt idx="19">
                  <c:v>96.912171092154267</c:v>
                </c:pt>
                <c:pt idx="20">
                  <c:v>97.52493091433378</c:v>
                </c:pt>
                <c:pt idx="21">
                  <c:v>96.119187792863144</c:v>
                </c:pt>
                <c:pt idx="22">
                  <c:v>95.9029196203292</c:v>
                </c:pt>
                <c:pt idx="23">
                  <c:v>95.67463654932115</c:v>
                </c:pt>
                <c:pt idx="24">
                  <c:v>96.131202691337265</c:v>
                </c:pt>
                <c:pt idx="25">
                  <c:v>96.876126396731948</c:v>
                </c:pt>
                <c:pt idx="26">
                  <c:v>96.948215787576586</c:v>
                </c:pt>
                <c:pt idx="27">
                  <c:v>97.945452360927547</c:v>
                </c:pt>
                <c:pt idx="28">
                  <c:v>97.236573350955197</c:v>
                </c:pt>
                <c:pt idx="29">
                  <c:v>97.801273579238256</c:v>
                </c:pt>
                <c:pt idx="30">
                  <c:v>98.209780127357917</c:v>
                </c:pt>
                <c:pt idx="31">
                  <c:v>97.933437462453441</c:v>
                </c:pt>
                <c:pt idx="32">
                  <c:v>97.825303376186469</c:v>
                </c:pt>
                <c:pt idx="33">
                  <c:v>96.960230686050693</c:v>
                </c:pt>
                <c:pt idx="34">
                  <c:v>97.621050102126631</c:v>
                </c:pt>
                <c:pt idx="35">
                  <c:v>95.506427970683632</c:v>
                </c:pt>
                <c:pt idx="36">
                  <c:v>94.377027514117501</c:v>
                </c:pt>
                <c:pt idx="37">
                  <c:v>95.662621650847043</c:v>
                </c:pt>
                <c:pt idx="38">
                  <c:v>96.780007208939082</c:v>
                </c:pt>
                <c:pt idx="39">
                  <c:v>96.731947615042657</c:v>
                </c:pt>
                <c:pt idx="40">
                  <c:v>95.794785534062228</c:v>
                </c:pt>
                <c:pt idx="41">
                  <c:v>94.737474468340736</c:v>
                </c:pt>
                <c:pt idx="42">
                  <c:v>94.124714646161252</c:v>
                </c:pt>
                <c:pt idx="43">
                  <c:v>95.710681244743483</c:v>
                </c:pt>
                <c:pt idx="44">
                  <c:v>95.398293884416674</c:v>
                </c:pt>
                <c:pt idx="45">
                  <c:v>94.533221194280912</c:v>
                </c:pt>
                <c:pt idx="46">
                  <c:v>94.593295686651444</c:v>
                </c:pt>
                <c:pt idx="47">
                  <c:v>93.668148504145137</c:v>
                </c:pt>
                <c:pt idx="48">
                  <c:v>93.836357082782641</c:v>
                </c:pt>
                <c:pt idx="49">
                  <c:v>94.629340382073764</c:v>
                </c:pt>
                <c:pt idx="50">
                  <c:v>93.067403580439731</c:v>
                </c:pt>
                <c:pt idx="51">
                  <c:v>93.680163402619243</c:v>
                </c:pt>
                <c:pt idx="52">
                  <c:v>94.232848732428209</c:v>
                </c:pt>
                <c:pt idx="53">
                  <c:v>94.473146701910366</c:v>
                </c:pt>
                <c:pt idx="54">
                  <c:v>93.980535864471932</c:v>
                </c:pt>
                <c:pt idx="55">
                  <c:v>92.526733149104885</c:v>
                </c:pt>
                <c:pt idx="56">
                  <c:v>91.469422083383392</c:v>
                </c:pt>
                <c:pt idx="57">
                  <c:v>91.145019824582477</c:v>
                </c:pt>
                <c:pt idx="58">
                  <c:v>91.601585966598577</c:v>
                </c:pt>
                <c:pt idx="59">
                  <c:v>91.108975129160157</c:v>
                </c:pt>
                <c:pt idx="60">
                  <c:v>90.13576835275741</c:v>
                </c:pt>
                <c:pt idx="61">
                  <c:v>91.337258200168208</c:v>
                </c:pt>
                <c:pt idx="62">
                  <c:v>94.401057311065699</c:v>
                </c:pt>
                <c:pt idx="63">
                  <c:v>94.328967920221075</c:v>
                </c:pt>
                <c:pt idx="64">
                  <c:v>94.929712843926467</c:v>
                </c:pt>
                <c:pt idx="65">
                  <c:v>96.059113300492598</c:v>
                </c:pt>
                <c:pt idx="66">
                  <c:v>95.710681244743483</c:v>
                </c:pt>
                <c:pt idx="67">
                  <c:v>94.91769794545236</c:v>
                </c:pt>
                <c:pt idx="68">
                  <c:v>95.350234290520248</c:v>
                </c:pt>
                <c:pt idx="69">
                  <c:v>97.560975609756099</c:v>
                </c:pt>
                <c:pt idx="70">
                  <c:v>97.152469061636424</c:v>
                </c:pt>
                <c:pt idx="71">
                  <c:v>97.981497056349866</c:v>
                </c:pt>
                <c:pt idx="72">
                  <c:v>98.221795025832023</c:v>
                </c:pt>
                <c:pt idx="73">
                  <c:v>96.419560254715847</c:v>
                </c:pt>
                <c:pt idx="74">
                  <c:v>96.731947615042657</c:v>
                </c:pt>
                <c:pt idx="75">
                  <c:v>96.503664544034592</c:v>
                </c:pt>
                <c:pt idx="76">
                  <c:v>95.72269614321759</c:v>
                </c:pt>
                <c:pt idx="77">
                  <c:v>96.719932716568536</c:v>
                </c:pt>
                <c:pt idx="78">
                  <c:v>98.089631142616838</c:v>
                </c:pt>
                <c:pt idx="79">
                  <c:v>97.416796828066794</c:v>
                </c:pt>
                <c:pt idx="80">
                  <c:v>98.64231647242579</c:v>
                </c:pt>
                <c:pt idx="81">
                  <c:v>99.567463654932126</c:v>
                </c:pt>
                <c:pt idx="82">
                  <c:v>99.939925507629468</c:v>
                </c:pt>
                <c:pt idx="83">
                  <c:v>97.476871320437326</c:v>
                </c:pt>
                <c:pt idx="84">
                  <c:v>96.767992310464976</c:v>
                </c:pt>
                <c:pt idx="85">
                  <c:v>97.60903520365251</c:v>
                </c:pt>
                <c:pt idx="86">
                  <c:v>97.585005406704312</c:v>
                </c:pt>
                <c:pt idx="87">
                  <c:v>98.546197284632925</c:v>
                </c:pt>
                <c:pt idx="88">
                  <c:v>99.843806319836574</c:v>
                </c:pt>
                <c:pt idx="89">
                  <c:v>100.6247747206536</c:v>
                </c:pt>
                <c:pt idx="90">
                  <c:v>100.03604469542233</c:v>
                </c:pt>
                <c:pt idx="91">
                  <c:v>100.1321638832152</c:v>
                </c:pt>
                <c:pt idx="92">
                  <c:v>100.91313228403219</c:v>
                </c:pt>
                <c:pt idx="93">
                  <c:v>100.37246185269734</c:v>
                </c:pt>
                <c:pt idx="94">
                  <c:v>100.6127598221795</c:v>
                </c:pt>
                <c:pt idx="95">
                  <c:v>100.6247747206536</c:v>
                </c:pt>
                <c:pt idx="96">
                  <c:v>100.93716208098043</c:v>
                </c:pt>
                <c:pt idx="97">
                  <c:v>102.7514117505707</c:v>
                </c:pt>
                <c:pt idx="98">
                  <c:v>102.40297969482157</c:v>
                </c:pt>
                <c:pt idx="99">
                  <c:v>101.74216027874566</c:v>
                </c:pt>
                <c:pt idx="100">
                  <c:v>102.45103928871799</c:v>
                </c:pt>
                <c:pt idx="101">
                  <c:v>102.99170972005285</c:v>
                </c:pt>
                <c:pt idx="102">
                  <c:v>102.53514357803677</c:v>
                </c:pt>
                <c:pt idx="103">
                  <c:v>101.26156433978133</c:v>
                </c:pt>
                <c:pt idx="104">
                  <c:v>100.63678961912773</c:v>
                </c:pt>
                <c:pt idx="105">
                  <c:v>100.40850654811966</c:v>
                </c:pt>
                <c:pt idx="106">
                  <c:v>101.0693259641956</c:v>
                </c:pt>
                <c:pt idx="107">
                  <c:v>100</c:v>
                </c:pt>
                <c:pt idx="108">
                  <c:v>99.591493451880325</c:v>
                </c:pt>
                <c:pt idx="109">
                  <c:v>99.663582842724978</c:v>
                </c:pt>
                <c:pt idx="110">
                  <c:v>99.387240177820487</c:v>
                </c:pt>
                <c:pt idx="111">
                  <c:v>99.603508350354446</c:v>
                </c:pt>
                <c:pt idx="112">
                  <c:v>97.981497056349866</c:v>
                </c:pt>
                <c:pt idx="113">
                  <c:v>97.320677640273928</c:v>
                </c:pt>
                <c:pt idx="114">
                  <c:v>97.128439264688211</c:v>
                </c:pt>
                <c:pt idx="115">
                  <c:v>97.11642436621409</c:v>
                </c:pt>
                <c:pt idx="116">
                  <c:v>97.128439264688211</c:v>
                </c:pt>
                <c:pt idx="117">
                  <c:v>97.044334975369452</c:v>
                </c:pt>
                <c:pt idx="118">
                  <c:v>97.200528655532864</c:v>
                </c:pt>
                <c:pt idx="119">
                  <c:v>96.792022107413189</c:v>
                </c:pt>
                <c:pt idx="120">
                  <c:v>97.080379670791771</c:v>
                </c:pt>
                <c:pt idx="121">
                  <c:v>97.789258680764149</c:v>
                </c:pt>
                <c:pt idx="122">
                  <c:v>99.4112699747687</c:v>
                </c:pt>
                <c:pt idx="123">
                  <c:v>99.639553045776765</c:v>
                </c:pt>
                <c:pt idx="124">
                  <c:v>99.591493451880325</c:v>
                </c:pt>
                <c:pt idx="125">
                  <c:v>100.70887900997236</c:v>
                </c:pt>
                <c:pt idx="126">
                  <c:v>98.846569746485642</c:v>
                </c:pt>
                <c:pt idx="127">
                  <c:v>98.630301573951698</c:v>
                </c:pt>
                <c:pt idx="128">
                  <c:v>98.185750330409704</c:v>
                </c:pt>
                <c:pt idx="129">
                  <c:v>98.281869518202555</c:v>
                </c:pt>
                <c:pt idx="130">
                  <c:v>98.702390964796351</c:v>
                </c:pt>
                <c:pt idx="131">
                  <c:v>98.474107893788286</c:v>
                </c:pt>
                <c:pt idx="132">
                  <c:v>97.897392767031121</c:v>
                </c:pt>
                <c:pt idx="133">
                  <c:v>99.279106091553516</c:v>
                </c:pt>
                <c:pt idx="134">
                  <c:v>98.173735431935583</c:v>
                </c:pt>
                <c:pt idx="135">
                  <c:v>97.296647843325729</c:v>
                </c:pt>
                <c:pt idx="136">
                  <c:v>97.212543554006956</c:v>
                </c:pt>
                <c:pt idx="137">
                  <c:v>96.191277183707797</c:v>
                </c:pt>
                <c:pt idx="138">
                  <c:v>94.256878529376436</c:v>
                </c:pt>
                <c:pt idx="139">
                  <c:v>94.160759341583571</c:v>
                </c:pt>
                <c:pt idx="140">
                  <c:v>94.90568304697824</c:v>
                </c:pt>
                <c:pt idx="141">
                  <c:v>93.535984620929952</c:v>
                </c:pt>
                <c:pt idx="142">
                  <c:v>93.523969722455845</c:v>
                </c:pt>
                <c:pt idx="143">
                  <c:v>94.533221194280912</c:v>
                </c:pt>
                <c:pt idx="144">
                  <c:v>94.377027514117501</c:v>
                </c:pt>
                <c:pt idx="145">
                  <c:v>93.127478072810291</c:v>
                </c:pt>
                <c:pt idx="146">
                  <c:v>92.875165204854014</c:v>
                </c:pt>
                <c:pt idx="147">
                  <c:v>93.968520965997826</c:v>
                </c:pt>
                <c:pt idx="148">
                  <c:v>92.827105610957588</c:v>
                </c:pt>
                <c:pt idx="149">
                  <c:v>93.704193199567456</c:v>
                </c:pt>
                <c:pt idx="150">
                  <c:v>93.824342184308534</c:v>
                </c:pt>
                <c:pt idx="151">
                  <c:v>94.821578757659495</c:v>
                </c:pt>
                <c:pt idx="152">
                  <c:v>95.049861828667545</c:v>
                </c:pt>
                <c:pt idx="153">
                  <c:v>93.632103808722817</c:v>
                </c:pt>
                <c:pt idx="154">
                  <c:v>93.283671752973689</c:v>
                </c:pt>
                <c:pt idx="155">
                  <c:v>94.19680403700589</c:v>
                </c:pt>
                <c:pt idx="156">
                  <c:v>95.121951219512198</c:v>
                </c:pt>
                <c:pt idx="157">
                  <c:v>92.65889703232007</c:v>
                </c:pt>
                <c:pt idx="158">
                  <c:v>91.577556169650364</c:v>
                </c:pt>
                <c:pt idx="159">
                  <c:v>90.472185510032432</c:v>
                </c:pt>
                <c:pt idx="160">
                  <c:v>89.462934038207365</c:v>
                </c:pt>
                <c:pt idx="161">
                  <c:v>90.520245103928872</c:v>
                </c:pt>
                <c:pt idx="162">
                  <c:v>89.462934038207365</c:v>
                </c:pt>
                <c:pt idx="163">
                  <c:v>90.087708758860984</c:v>
                </c:pt>
                <c:pt idx="164">
                  <c:v>90.051664063438665</c:v>
                </c:pt>
                <c:pt idx="165">
                  <c:v>90.976811245944972</c:v>
                </c:pt>
                <c:pt idx="166">
                  <c:v>91.385317794064633</c:v>
                </c:pt>
                <c:pt idx="167">
                  <c:v>91.433377387961059</c:v>
                </c:pt>
                <c:pt idx="168">
                  <c:v>93.199567463654915</c:v>
                </c:pt>
                <c:pt idx="169">
                  <c:v>94.665385077496097</c:v>
                </c:pt>
                <c:pt idx="170">
                  <c:v>94.19680403700589</c:v>
                </c:pt>
                <c:pt idx="171">
                  <c:v>92.370539468941487</c:v>
                </c:pt>
                <c:pt idx="172">
                  <c:v>92.65889703232007</c:v>
                </c:pt>
                <c:pt idx="173">
                  <c:v>91.865913733028947</c:v>
                </c:pt>
                <c:pt idx="174">
                  <c:v>92.947254595698652</c:v>
                </c:pt>
                <c:pt idx="175">
                  <c:v>92.815090712483467</c:v>
                </c:pt>
                <c:pt idx="176">
                  <c:v>95.554487564580072</c:v>
                </c:pt>
                <c:pt idx="177">
                  <c:v>95.975009011173853</c:v>
                </c:pt>
                <c:pt idx="178">
                  <c:v>96.26336657455245</c:v>
                </c:pt>
                <c:pt idx="179">
                  <c:v>96.443590051664046</c:v>
                </c:pt>
                <c:pt idx="180">
                  <c:v>96.611798630301564</c:v>
                </c:pt>
                <c:pt idx="181">
                  <c:v>96.984260482998906</c:v>
                </c:pt>
                <c:pt idx="182">
                  <c:v>97.044334975369452</c:v>
                </c:pt>
                <c:pt idx="183">
                  <c:v>97.464856421963233</c:v>
                </c:pt>
                <c:pt idx="184">
                  <c:v>97.344707437222141</c:v>
                </c:pt>
                <c:pt idx="185">
                  <c:v>97.536945812807886</c:v>
                </c:pt>
                <c:pt idx="186">
                  <c:v>98.041571548720398</c:v>
                </c:pt>
                <c:pt idx="187">
                  <c:v>99.014778325123146</c:v>
                </c:pt>
                <c:pt idx="188">
                  <c:v>100.14417878168929</c:v>
                </c:pt>
                <c:pt idx="189">
                  <c:v>98.978733629700827</c:v>
                </c:pt>
                <c:pt idx="190">
                  <c:v>97.621050102126631</c:v>
                </c:pt>
                <c:pt idx="191">
                  <c:v>97.416796828066794</c:v>
                </c:pt>
                <c:pt idx="192">
                  <c:v>98.077616244142732</c:v>
                </c:pt>
                <c:pt idx="193">
                  <c:v>98.438063198365981</c:v>
                </c:pt>
                <c:pt idx="194">
                  <c:v>99.134927309864224</c:v>
                </c:pt>
                <c:pt idx="195">
                  <c:v>99.711642436621389</c:v>
                </c:pt>
                <c:pt idx="196">
                  <c:v>100.92514718250631</c:v>
                </c:pt>
                <c:pt idx="197">
                  <c:v>102.5952180704073</c:v>
                </c:pt>
                <c:pt idx="198">
                  <c:v>102.33089030397693</c:v>
                </c:pt>
                <c:pt idx="199">
                  <c:v>101.77820497416796</c:v>
                </c:pt>
                <c:pt idx="200">
                  <c:v>102.71536705514836</c:v>
                </c:pt>
                <c:pt idx="201">
                  <c:v>101.14141535504024</c:v>
                </c:pt>
                <c:pt idx="202">
                  <c:v>102.21074131923584</c:v>
                </c:pt>
                <c:pt idx="203">
                  <c:v>102.84753093836356</c:v>
                </c:pt>
                <c:pt idx="204">
                  <c:v>103.32812687732789</c:v>
                </c:pt>
                <c:pt idx="205">
                  <c:v>103.58043974528415</c:v>
                </c:pt>
                <c:pt idx="206">
                  <c:v>103.18394809563858</c:v>
                </c:pt>
                <c:pt idx="207">
                  <c:v>102.77544154751892</c:v>
                </c:pt>
                <c:pt idx="208">
                  <c:v>102.5952180704073</c:v>
                </c:pt>
                <c:pt idx="209">
                  <c:v>101.48984741078937</c:v>
                </c:pt>
                <c:pt idx="210">
                  <c:v>101.16544515198846</c:v>
                </c:pt>
                <c:pt idx="211">
                  <c:v>101.33365373062597</c:v>
                </c:pt>
                <c:pt idx="212">
                  <c:v>101.76619007569386</c:v>
                </c:pt>
                <c:pt idx="213">
                  <c:v>100.60074492370539</c:v>
                </c:pt>
                <c:pt idx="214">
                  <c:v>100.46858104049021</c:v>
                </c:pt>
                <c:pt idx="215">
                  <c:v>100.1682085786375</c:v>
                </c:pt>
                <c:pt idx="216">
                  <c:v>100.26432776643037</c:v>
                </c:pt>
                <c:pt idx="217">
                  <c:v>99.110897512916011</c:v>
                </c:pt>
                <c:pt idx="218">
                  <c:v>98.390003604469527</c:v>
                </c:pt>
                <c:pt idx="219">
                  <c:v>98.702390964796351</c:v>
                </c:pt>
                <c:pt idx="220">
                  <c:v>98.798510152589216</c:v>
                </c:pt>
                <c:pt idx="221">
                  <c:v>99.086867715967799</c:v>
                </c:pt>
                <c:pt idx="222">
                  <c:v>99.4112699747687</c:v>
                </c:pt>
                <c:pt idx="223">
                  <c:v>98.065601345668625</c:v>
                </c:pt>
                <c:pt idx="224">
                  <c:v>99.098882614441905</c:v>
                </c:pt>
                <c:pt idx="225">
                  <c:v>99.134927309864224</c:v>
                </c:pt>
                <c:pt idx="226">
                  <c:v>99.627538147302658</c:v>
                </c:pt>
                <c:pt idx="227">
                  <c:v>100.08410428931876</c:v>
                </c:pt>
                <c:pt idx="228">
                  <c:v>98.774480355640975</c:v>
                </c:pt>
                <c:pt idx="229">
                  <c:v>100.42052144659377</c:v>
                </c:pt>
                <c:pt idx="230">
                  <c:v>99.831791421362496</c:v>
                </c:pt>
                <c:pt idx="231">
                  <c:v>97.296647843325729</c:v>
                </c:pt>
                <c:pt idx="232">
                  <c:v>99.014778325123146</c:v>
                </c:pt>
                <c:pt idx="233">
                  <c:v>99.807761624414255</c:v>
                </c:pt>
                <c:pt idx="234">
                  <c:v>99.67559774119907</c:v>
                </c:pt>
                <c:pt idx="235">
                  <c:v>99.891865913733028</c:v>
                </c:pt>
                <c:pt idx="236">
                  <c:v>100.68484921302414</c:v>
                </c:pt>
                <c:pt idx="237">
                  <c:v>99.267091193079409</c:v>
                </c:pt>
                <c:pt idx="238">
                  <c:v>99.903880812207134</c:v>
                </c:pt>
                <c:pt idx="239">
                  <c:v>101.79021987264207</c:v>
                </c:pt>
                <c:pt idx="240">
                  <c:v>102.33089030397693</c:v>
                </c:pt>
                <c:pt idx="241">
                  <c:v>102.11462213144299</c:v>
                </c:pt>
                <c:pt idx="242">
                  <c:v>102.67932235972606</c:v>
                </c:pt>
                <c:pt idx="243">
                  <c:v>103.71260362849932</c:v>
                </c:pt>
                <c:pt idx="244">
                  <c:v>104.32536345067885</c:v>
                </c:pt>
                <c:pt idx="245">
                  <c:v>103.70058873002523</c:v>
                </c:pt>
                <c:pt idx="246">
                  <c:v>104.08506548119666</c:v>
                </c:pt>
                <c:pt idx="247">
                  <c:v>104.4094677399976</c:v>
                </c:pt>
                <c:pt idx="248">
                  <c:v>105.20245103928872</c:v>
                </c:pt>
                <c:pt idx="249">
                  <c:v>105.68304697825302</c:v>
                </c:pt>
                <c:pt idx="250">
                  <c:v>106.45200048059593</c:v>
                </c:pt>
                <c:pt idx="251">
                  <c:v>105.88730025231285</c:v>
                </c:pt>
                <c:pt idx="252">
                  <c:v>106.66826865312989</c:v>
                </c:pt>
                <c:pt idx="253">
                  <c:v>107.97789258680763</c:v>
                </c:pt>
                <c:pt idx="254">
                  <c:v>107.35311786615402</c:v>
                </c:pt>
                <c:pt idx="255">
                  <c:v>108.56662261203893</c:v>
                </c:pt>
                <c:pt idx="256">
                  <c:v>108.55460771356479</c:v>
                </c:pt>
                <c:pt idx="257">
                  <c:v>109.62393367776042</c:v>
                </c:pt>
                <c:pt idx="258">
                  <c:v>109.04721855100325</c:v>
                </c:pt>
                <c:pt idx="259">
                  <c:v>109.09527814489968</c:v>
                </c:pt>
                <c:pt idx="260">
                  <c:v>108.90303976931395</c:v>
                </c:pt>
                <c:pt idx="261">
                  <c:v>108.91505466778806</c:v>
                </c:pt>
                <c:pt idx="262">
                  <c:v>110.00841042893188</c:v>
                </c:pt>
                <c:pt idx="263">
                  <c:v>110.46497657094795</c:v>
                </c:pt>
                <c:pt idx="264">
                  <c:v>109.78012735792382</c:v>
                </c:pt>
                <c:pt idx="265">
                  <c:v>109.81617205334615</c:v>
                </c:pt>
                <c:pt idx="266">
                  <c:v>109.73206776402739</c:v>
                </c:pt>
                <c:pt idx="267">
                  <c:v>111.30601946413552</c:v>
                </c:pt>
                <c:pt idx="268">
                  <c:v>111.60639192598822</c:v>
                </c:pt>
                <c:pt idx="269">
                  <c:v>111.34206415955785</c:v>
                </c:pt>
                <c:pt idx="270">
                  <c:v>110.93355761143818</c:v>
                </c:pt>
                <c:pt idx="271">
                  <c:v>111.59437702751411</c:v>
                </c:pt>
                <c:pt idx="272">
                  <c:v>110.46497657094795</c:v>
                </c:pt>
                <c:pt idx="273">
                  <c:v>111.46221314429891</c:v>
                </c:pt>
                <c:pt idx="274">
                  <c:v>111.54631743361769</c:v>
                </c:pt>
                <c:pt idx="275">
                  <c:v>111.81064520004807</c:v>
                </c:pt>
                <c:pt idx="276">
                  <c:v>110.06848492130241</c:v>
                </c:pt>
                <c:pt idx="277">
                  <c:v>109.98438063198365</c:v>
                </c:pt>
                <c:pt idx="278">
                  <c:v>108.03796707917819</c:v>
                </c:pt>
                <c:pt idx="279">
                  <c:v>107.52132644479153</c:v>
                </c:pt>
                <c:pt idx="280">
                  <c:v>106.69229845007808</c:v>
                </c:pt>
                <c:pt idx="281">
                  <c:v>106.93259641956026</c:v>
                </c:pt>
                <c:pt idx="282">
                  <c:v>106.96864111498256</c:v>
                </c:pt>
                <c:pt idx="283">
                  <c:v>106.88453682566382</c:v>
                </c:pt>
                <c:pt idx="284">
                  <c:v>106.99267091193079</c:v>
                </c:pt>
                <c:pt idx="285">
                  <c:v>106.06752372942448</c:v>
                </c:pt>
                <c:pt idx="286">
                  <c:v>106.13961312026913</c:v>
                </c:pt>
                <c:pt idx="287">
                  <c:v>106.89655172413792</c:v>
                </c:pt>
                <c:pt idx="288">
                  <c:v>107.55737114021386</c:v>
                </c:pt>
                <c:pt idx="289">
                  <c:v>108.45848852577195</c:v>
                </c:pt>
                <c:pt idx="290">
                  <c:v>106.48804517601825</c:v>
                </c:pt>
                <c:pt idx="291">
                  <c:v>107.04073050582723</c:v>
                </c:pt>
                <c:pt idx="292">
                  <c:v>106.48804517601825</c:v>
                </c:pt>
                <c:pt idx="293">
                  <c:v>107.56938603868798</c:v>
                </c:pt>
                <c:pt idx="294">
                  <c:v>108.21819055628978</c:v>
                </c:pt>
                <c:pt idx="295">
                  <c:v>109.50378469301934</c:v>
                </c:pt>
                <c:pt idx="296">
                  <c:v>108.99915895710681</c:v>
                </c:pt>
                <c:pt idx="297">
                  <c:v>110.21266370299172</c:v>
                </c:pt>
                <c:pt idx="298">
                  <c:v>110.34482758620689</c:v>
                </c:pt>
                <c:pt idx="299">
                  <c:v>110.27273819536225</c:v>
                </c:pt>
                <c:pt idx="300">
                  <c:v>110.38087228162922</c:v>
                </c:pt>
                <c:pt idx="301">
                  <c:v>110.57311065721494</c:v>
                </c:pt>
                <c:pt idx="302">
                  <c:v>109.78012735792382</c:v>
                </c:pt>
                <c:pt idx="303">
                  <c:v>110.71728943890425</c:v>
                </c:pt>
                <c:pt idx="304">
                  <c:v>110.87348311906764</c:v>
                </c:pt>
                <c:pt idx="305">
                  <c:v>110.87348311906764</c:v>
                </c:pt>
                <c:pt idx="306">
                  <c:v>109.79214225639792</c:v>
                </c:pt>
                <c:pt idx="307">
                  <c:v>108.81893547999518</c:v>
                </c:pt>
                <c:pt idx="308">
                  <c:v>109.76811245944971</c:v>
                </c:pt>
                <c:pt idx="309">
                  <c:v>109.34759101285594</c:v>
                </c:pt>
                <c:pt idx="310">
                  <c:v>107.78565421122191</c:v>
                </c:pt>
                <c:pt idx="311">
                  <c:v>108.66274179983178</c:v>
                </c:pt>
                <c:pt idx="312">
                  <c:v>109.97236573350955</c:v>
                </c:pt>
                <c:pt idx="313">
                  <c:v>109.32356121590772</c:v>
                </c:pt>
                <c:pt idx="314">
                  <c:v>108.11005647002283</c:v>
                </c:pt>
                <c:pt idx="315">
                  <c:v>108.85498017541751</c:v>
                </c:pt>
                <c:pt idx="316">
                  <c:v>108.97512916015859</c:v>
                </c:pt>
                <c:pt idx="317">
                  <c:v>107.88177339901479</c:v>
                </c:pt>
                <c:pt idx="318">
                  <c:v>107.77363931274782</c:v>
                </c:pt>
                <c:pt idx="319">
                  <c:v>107.73759461732548</c:v>
                </c:pt>
                <c:pt idx="320">
                  <c:v>107.94184789138532</c:v>
                </c:pt>
                <c:pt idx="321">
                  <c:v>107.90580319596299</c:v>
                </c:pt>
                <c:pt idx="322">
                  <c:v>106.90856662261203</c:v>
                </c:pt>
                <c:pt idx="323">
                  <c:v>107.70154992190315</c:v>
                </c:pt>
                <c:pt idx="324">
                  <c:v>107.58140093716209</c:v>
                </c:pt>
                <c:pt idx="325">
                  <c:v>107.68953502342904</c:v>
                </c:pt>
                <c:pt idx="326">
                  <c:v>107.70154992190315</c:v>
                </c:pt>
                <c:pt idx="327">
                  <c:v>107.88177339901479</c:v>
                </c:pt>
                <c:pt idx="328">
                  <c:v>106.51207497296649</c:v>
                </c:pt>
                <c:pt idx="329">
                  <c:v>106.43998558212182</c:v>
                </c:pt>
                <c:pt idx="330">
                  <c:v>106.13961312026913</c:v>
                </c:pt>
                <c:pt idx="331">
                  <c:v>106.1035684248468</c:v>
                </c:pt>
                <c:pt idx="332">
                  <c:v>104.46954223236813</c:v>
                </c:pt>
                <c:pt idx="333">
                  <c:v>104.66178060795386</c:v>
                </c:pt>
                <c:pt idx="334">
                  <c:v>105.44274900877089</c:v>
                </c:pt>
                <c:pt idx="335">
                  <c:v>105.61095758740839</c:v>
                </c:pt>
                <c:pt idx="336">
                  <c:v>105.92334494773519</c:v>
                </c:pt>
                <c:pt idx="337">
                  <c:v>104.84200408506548</c:v>
                </c:pt>
                <c:pt idx="338">
                  <c:v>106.24774720653612</c:v>
                </c:pt>
                <c:pt idx="339">
                  <c:v>107.70154992190315</c:v>
                </c:pt>
                <c:pt idx="340">
                  <c:v>108.73483119067645</c:v>
                </c:pt>
                <c:pt idx="341">
                  <c:v>108.45848852577195</c:v>
                </c:pt>
                <c:pt idx="342">
                  <c:v>110.56109575874082</c:v>
                </c:pt>
                <c:pt idx="343">
                  <c:v>110.33281268773278</c:v>
                </c:pt>
                <c:pt idx="344">
                  <c:v>109.23945692658896</c:v>
                </c:pt>
                <c:pt idx="345">
                  <c:v>108.26625015018622</c:v>
                </c:pt>
                <c:pt idx="346">
                  <c:v>108.62669710440946</c:v>
                </c:pt>
                <c:pt idx="347">
                  <c:v>109.05923344947735</c:v>
                </c:pt>
                <c:pt idx="348">
                  <c:v>107.66550522648085</c:v>
                </c:pt>
                <c:pt idx="349">
                  <c:v>107.96587768833352</c:v>
                </c:pt>
                <c:pt idx="350">
                  <c:v>109.73206776402739</c:v>
                </c:pt>
                <c:pt idx="351">
                  <c:v>109.92430613961311</c:v>
                </c:pt>
                <c:pt idx="352">
                  <c:v>109.56385918538987</c:v>
                </c:pt>
                <c:pt idx="353">
                  <c:v>110.70527454043014</c:v>
                </c:pt>
                <c:pt idx="354">
                  <c:v>110.26072329688814</c:v>
                </c:pt>
                <c:pt idx="355">
                  <c:v>108.18214586086748</c:v>
                </c:pt>
                <c:pt idx="356">
                  <c:v>105.76715126757179</c:v>
                </c:pt>
                <c:pt idx="357">
                  <c:v>106.30782169890665</c:v>
                </c:pt>
                <c:pt idx="358">
                  <c:v>104.8660338820137</c:v>
                </c:pt>
                <c:pt idx="359">
                  <c:v>106.48804517601825</c:v>
                </c:pt>
                <c:pt idx="360">
                  <c:v>106.40394088669952</c:v>
                </c:pt>
                <c:pt idx="361">
                  <c:v>105.93535984620929</c:v>
                </c:pt>
                <c:pt idx="362">
                  <c:v>106.99267091193079</c:v>
                </c:pt>
                <c:pt idx="363">
                  <c:v>106.99267091193079</c:v>
                </c:pt>
                <c:pt idx="364">
                  <c:v>108.68677159677999</c:v>
                </c:pt>
                <c:pt idx="365">
                  <c:v>108.81893547999518</c:v>
                </c:pt>
                <c:pt idx="366">
                  <c:v>109.33557611438182</c:v>
                </c:pt>
                <c:pt idx="367">
                  <c:v>108.93908446473628</c:v>
                </c:pt>
                <c:pt idx="368">
                  <c:v>110.18863390604348</c:v>
                </c:pt>
                <c:pt idx="369">
                  <c:v>109.96035083503544</c:v>
                </c:pt>
                <c:pt idx="370">
                  <c:v>111.41415355040249</c:v>
                </c:pt>
                <c:pt idx="371">
                  <c:v>111.90676438784092</c:v>
                </c:pt>
                <c:pt idx="372">
                  <c:v>111.91877928631504</c:v>
                </c:pt>
                <c:pt idx="373">
                  <c:v>111.43818334735072</c:v>
                </c:pt>
                <c:pt idx="374">
                  <c:v>112.05094316953021</c:v>
                </c:pt>
                <c:pt idx="375">
                  <c:v>113.27646281388921</c:v>
                </c:pt>
                <c:pt idx="376">
                  <c:v>110.70527454043014</c:v>
                </c:pt>
                <c:pt idx="377">
                  <c:v>110.24870839841402</c:v>
                </c:pt>
                <c:pt idx="378">
                  <c:v>109.38363570827828</c:v>
                </c:pt>
                <c:pt idx="379">
                  <c:v>108.00192238375585</c:v>
                </c:pt>
                <c:pt idx="380">
                  <c:v>109.04721855100325</c:v>
                </c:pt>
                <c:pt idx="381">
                  <c:v>109.09527814489968</c:v>
                </c:pt>
                <c:pt idx="382">
                  <c:v>109.35960591133005</c:v>
                </c:pt>
                <c:pt idx="383">
                  <c:v>110.36885738315512</c:v>
                </c:pt>
                <c:pt idx="384">
                  <c:v>111.36609395650605</c:v>
                </c:pt>
                <c:pt idx="385">
                  <c:v>112.39937522527934</c:v>
                </c:pt>
                <c:pt idx="386">
                  <c:v>112.61564339781329</c:v>
                </c:pt>
                <c:pt idx="387">
                  <c:v>112.13504745884897</c:v>
                </c:pt>
                <c:pt idx="388">
                  <c:v>113.82914814369818</c:v>
                </c:pt>
                <c:pt idx="389">
                  <c:v>113.02414994593295</c:v>
                </c:pt>
                <c:pt idx="390">
                  <c:v>113.50474588489728</c:v>
                </c:pt>
                <c:pt idx="391">
                  <c:v>115.0546677880572</c:v>
                </c:pt>
                <c:pt idx="392">
                  <c:v>114.28571428571428</c:v>
                </c:pt>
                <c:pt idx="393">
                  <c:v>116.65264928511354</c:v>
                </c:pt>
                <c:pt idx="394">
                  <c:v>116.4483960110537</c:v>
                </c:pt>
                <c:pt idx="395">
                  <c:v>115.79959149345187</c:v>
                </c:pt>
                <c:pt idx="396">
                  <c:v>115.51123393007327</c:v>
                </c:pt>
                <c:pt idx="397">
                  <c:v>115.06668268653128</c:v>
                </c:pt>
                <c:pt idx="398">
                  <c:v>113.79310344827584</c:v>
                </c:pt>
                <c:pt idx="399">
                  <c:v>114.34578877808481</c:v>
                </c:pt>
                <c:pt idx="400">
                  <c:v>114.0093716208098</c:v>
                </c:pt>
                <c:pt idx="401">
                  <c:v>113.48071608794905</c:v>
                </c:pt>
                <c:pt idx="402">
                  <c:v>114.20160999639552</c:v>
                </c:pt>
                <c:pt idx="403">
                  <c:v>114.4659377628259</c:v>
                </c:pt>
                <c:pt idx="404">
                  <c:v>115.2108614682206</c:v>
                </c:pt>
                <c:pt idx="405">
                  <c:v>115.87168088429651</c:v>
                </c:pt>
                <c:pt idx="406">
                  <c:v>115.75153189955545</c:v>
                </c:pt>
                <c:pt idx="407">
                  <c:v>116.65264928511354</c:v>
                </c:pt>
                <c:pt idx="408">
                  <c:v>116.83287276222514</c:v>
                </c:pt>
                <c:pt idx="409">
                  <c:v>117.30145380271534</c:v>
                </c:pt>
                <c:pt idx="410">
                  <c:v>116.40033641715726</c:v>
                </c:pt>
                <c:pt idx="411">
                  <c:v>115.33101045296166</c:v>
                </c:pt>
                <c:pt idx="412">
                  <c:v>115.01862309263487</c:v>
                </c:pt>
                <c:pt idx="413">
                  <c:v>113.61287997116425</c:v>
                </c:pt>
                <c:pt idx="414">
                  <c:v>112.89198606271775</c:v>
                </c:pt>
                <c:pt idx="415">
                  <c:v>113.82914814369818</c:v>
                </c:pt>
                <c:pt idx="416">
                  <c:v>113.09623933677759</c:v>
                </c:pt>
                <c:pt idx="417">
                  <c:v>113.70899915895708</c:v>
                </c:pt>
                <c:pt idx="418">
                  <c:v>112.20713684969361</c:v>
                </c:pt>
                <c:pt idx="419">
                  <c:v>111.8947494893668</c:v>
                </c:pt>
                <c:pt idx="420">
                  <c:v>112.38736032680524</c:v>
                </c:pt>
                <c:pt idx="421">
                  <c:v>112.55556890544275</c:v>
                </c:pt>
                <c:pt idx="422">
                  <c:v>114.10549080860267</c:v>
                </c:pt>
                <c:pt idx="423">
                  <c:v>114.55004205214465</c:v>
                </c:pt>
                <c:pt idx="424">
                  <c:v>113.50474588489728</c:v>
                </c:pt>
                <c:pt idx="425">
                  <c:v>113.01213504745884</c:v>
                </c:pt>
                <c:pt idx="426">
                  <c:v>111.08975129160157</c:v>
                </c:pt>
                <c:pt idx="427">
                  <c:v>111.35407905803196</c:v>
                </c:pt>
                <c:pt idx="428">
                  <c:v>110.44094677399976</c:v>
                </c:pt>
                <c:pt idx="429">
                  <c:v>109.67199327165685</c:v>
                </c:pt>
                <c:pt idx="430">
                  <c:v>110.52505106331851</c:v>
                </c:pt>
                <c:pt idx="431">
                  <c:v>110.16460410909528</c:v>
                </c:pt>
                <c:pt idx="432">
                  <c:v>111.06572149465337</c:v>
                </c:pt>
                <c:pt idx="433">
                  <c:v>112.42340502222754</c:v>
                </c:pt>
                <c:pt idx="434">
                  <c:v>113.04817974288117</c:v>
                </c:pt>
                <c:pt idx="435">
                  <c:v>114.21362489486964</c:v>
                </c:pt>
                <c:pt idx="436">
                  <c:v>113.36056710320797</c:v>
                </c:pt>
                <c:pt idx="437">
                  <c:v>113.30049261083744</c:v>
                </c:pt>
                <c:pt idx="438">
                  <c:v>113.87720773759462</c:v>
                </c:pt>
                <c:pt idx="439">
                  <c:v>113.80511834674995</c:v>
                </c:pt>
                <c:pt idx="440">
                  <c:v>113.44467139252671</c:v>
                </c:pt>
                <c:pt idx="441">
                  <c:v>112.33930073290881</c:v>
                </c:pt>
                <c:pt idx="442">
                  <c:v>110.86146822059352</c:v>
                </c:pt>
                <c:pt idx="443">
                  <c:v>110.42893187552565</c:v>
                </c:pt>
                <c:pt idx="444">
                  <c:v>110.40490207857742</c:v>
                </c:pt>
                <c:pt idx="445">
                  <c:v>109.27550162201129</c:v>
                </c:pt>
                <c:pt idx="446">
                  <c:v>108.89102487083984</c:v>
                </c:pt>
                <c:pt idx="447">
                  <c:v>108.13408626697102</c:v>
                </c:pt>
                <c:pt idx="448">
                  <c:v>107.20893908446473</c:v>
                </c:pt>
                <c:pt idx="449">
                  <c:v>106.2597621050102</c:v>
                </c:pt>
                <c:pt idx="450">
                  <c:v>105.67103207977893</c:v>
                </c:pt>
                <c:pt idx="451">
                  <c:v>102.66730746125194</c:v>
                </c:pt>
                <c:pt idx="452">
                  <c:v>101.561936801634</c:v>
                </c:pt>
                <c:pt idx="453">
                  <c:v>102.82350114141533</c:v>
                </c:pt>
                <c:pt idx="454">
                  <c:v>102.21074131923584</c:v>
                </c:pt>
                <c:pt idx="455">
                  <c:v>102.7634266490448</c:v>
                </c:pt>
                <c:pt idx="456">
                  <c:v>102.60723296888142</c:v>
                </c:pt>
                <c:pt idx="457">
                  <c:v>102.05454763907244</c:v>
                </c:pt>
                <c:pt idx="458">
                  <c:v>100.68484921302414</c:v>
                </c:pt>
                <c:pt idx="459">
                  <c:v>101.09335576114383</c:v>
                </c:pt>
                <c:pt idx="460">
                  <c:v>99.975970203051773</c:v>
                </c:pt>
                <c:pt idx="461">
                  <c:v>99.95194040610356</c:v>
                </c:pt>
                <c:pt idx="462">
                  <c:v>100.6247747206536</c:v>
                </c:pt>
                <c:pt idx="463">
                  <c:v>100.56470022828307</c:v>
                </c:pt>
                <c:pt idx="464">
                  <c:v>101.11738555809202</c:v>
                </c:pt>
                <c:pt idx="465">
                  <c:v>100.08410428931876</c:v>
                </c:pt>
                <c:pt idx="466">
                  <c:v>102.31887540550282</c:v>
                </c:pt>
                <c:pt idx="467">
                  <c:v>103.59245464375826</c:v>
                </c:pt>
                <c:pt idx="468">
                  <c:v>104.5776763186351</c:v>
                </c:pt>
                <c:pt idx="469">
                  <c:v>105.44274900877089</c:v>
                </c:pt>
                <c:pt idx="470">
                  <c:v>106.12759822179503</c:v>
                </c:pt>
                <c:pt idx="471">
                  <c:v>107.48528174936919</c:v>
                </c:pt>
                <c:pt idx="472">
                  <c:v>106.62020905923345</c:v>
                </c:pt>
                <c:pt idx="473">
                  <c:v>107.20893908446473</c:v>
                </c:pt>
                <c:pt idx="474">
                  <c:v>106.93259641956026</c:v>
                </c:pt>
                <c:pt idx="475">
                  <c:v>106.99267091193079</c:v>
                </c:pt>
                <c:pt idx="476">
                  <c:v>106.64423885618166</c:v>
                </c:pt>
                <c:pt idx="477">
                  <c:v>106.45200048059593</c:v>
                </c:pt>
                <c:pt idx="478">
                  <c:v>107.46125195242099</c:v>
                </c:pt>
                <c:pt idx="479">
                  <c:v>106.68028355160399</c:v>
                </c:pt>
                <c:pt idx="480">
                  <c:v>106.78841763787095</c:v>
                </c:pt>
                <c:pt idx="481">
                  <c:v>107.10080499819776</c:v>
                </c:pt>
                <c:pt idx="482">
                  <c:v>107.01670070887899</c:v>
                </c:pt>
                <c:pt idx="483">
                  <c:v>107.38916256157634</c:v>
                </c:pt>
                <c:pt idx="484">
                  <c:v>106.0795386278986</c:v>
                </c:pt>
                <c:pt idx="485">
                  <c:v>106.62020905923345</c:v>
                </c:pt>
                <c:pt idx="486">
                  <c:v>107.24498377988706</c:v>
                </c:pt>
                <c:pt idx="487">
                  <c:v>106.47603027754415</c:v>
                </c:pt>
                <c:pt idx="488">
                  <c:v>108.32632464255676</c:v>
                </c:pt>
                <c:pt idx="489">
                  <c:v>107.95386278985941</c:v>
                </c:pt>
                <c:pt idx="490">
                  <c:v>109.32356121590772</c:v>
                </c:pt>
                <c:pt idx="491">
                  <c:v>108.03796707917819</c:v>
                </c:pt>
                <c:pt idx="492">
                  <c:v>107.78565421122191</c:v>
                </c:pt>
                <c:pt idx="493">
                  <c:v>105.81521086146822</c:v>
                </c:pt>
                <c:pt idx="494">
                  <c:v>105.69506187672712</c:v>
                </c:pt>
                <c:pt idx="495">
                  <c:v>106.51207497296649</c:v>
                </c:pt>
                <c:pt idx="496">
                  <c:v>106.46401537907005</c:v>
                </c:pt>
                <c:pt idx="497">
                  <c:v>105.74312147062356</c:v>
                </c:pt>
                <c:pt idx="498">
                  <c:v>106.64423885618166</c:v>
                </c:pt>
                <c:pt idx="499">
                  <c:v>104.50558692779046</c:v>
                </c:pt>
                <c:pt idx="500">
                  <c:v>103.08782890784572</c:v>
                </c:pt>
                <c:pt idx="501">
                  <c:v>105.7791661660459</c:v>
                </c:pt>
                <c:pt idx="502">
                  <c:v>105.22648083623693</c:v>
                </c:pt>
                <c:pt idx="503">
                  <c:v>105.51483839961551</c:v>
                </c:pt>
                <c:pt idx="504">
                  <c:v>103.31611197885377</c:v>
                </c:pt>
                <c:pt idx="505">
                  <c:v>102.52312867956266</c:v>
                </c:pt>
                <c:pt idx="506">
                  <c:v>102.04253274059833</c:v>
                </c:pt>
                <c:pt idx="507">
                  <c:v>101.97044334975369</c:v>
                </c:pt>
                <c:pt idx="508">
                  <c:v>103.30409708037966</c:v>
                </c:pt>
                <c:pt idx="509">
                  <c:v>104.60170611558333</c:v>
                </c:pt>
                <c:pt idx="510">
                  <c:v>104.42148263847169</c:v>
                </c:pt>
                <c:pt idx="511">
                  <c:v>104.76991469422083</c:v>
                </c:pt>
                <c:pt idx="512">
                  <c:v>104.10909527814489</c:v>
                </c:pt>
                <c:pt idx="513">
                  <c:v>103.07581400937163</c:v>
                </c:pt>
                <c:pt idx="514">
                  <c:v>103.97693139492972</c:v>
                </c:pt>
                <c:pt idx="515">
                  <c:v>103.95290159798149</c:v>
                </c:pt>
                <c:pt idx="516">
                  <c:v>104.14513997356723</c:v>
                </c:pt>
                <c:pt idx="517">
                  <c:v>104.09708037967079</c:v>
                </c:pt>
                <c:pt idx="518">
                  <c:v>102.18671152228762</c:v>
                </c:pt>
                <c:pt idx="519">
                  <c:v>103.30409708037966</c:v>
                </c:pt>
                <c:pt idx="520">
                  <c:v>103.68857383155112</c:v>
                </c:pt>
                <c:pt idx="521">
                  <c:v>104.54163162321279</c:v>
                </c:pt>
                <c:pt idx="522">
                  <c:v>99.819776522888375</c:v>
                </c:pt>
                <c:pt idx="523">
                  <c:v>93.572029316352271</c:v>
                </c:pt>
                <c:pt idx="524">
                  <c:v>92.07016700708877</c:v>
                </c:pt>
                <c:pt idx="525">
                  <c:v>89.234650967199315</c:v>
                </c:pt>
                <c:pt idx="526">
                  <c:v>97.032320076895346</c:v>
                </c:pt>
                <c:pt idx="527">
                  <c:v>93.932476270575521</c:v>
                </c:pt>
                <c:pt idx="528">
                  <c:v>96.719932716568536</c:v>
                </c:pt>
                <c:pt idx="529">
                  <c:v>97.885377868557001</c:v>
                </c:pt>
                <c:pt idx="530">
                  <c:v>97.11642436621409</c:v>
                </c:pt>
                <c:pt idx="531">
                  <c:v>96.359485762345315</c:v>
                </c:pt>
                <c:pt idx="532">
                  <c:v>97.020305178421239</c:v>
                </c:pt>
                <c:pt idx="533">
                  <c:v>95.542472666105965</c:v>
                </c:pt>
                <c:pt idx="534">
                  <c:v>97.777243782290029</c:v>
                </c:pt>
                <c:pt idx="535">
                  <c:v>97.897392767031121</c:v>
                </c:pt>
                <c:pt idx="536">
                  <c:v>100.01201489847409</c:v>
                </c:pt>
                <c:pt idx="537">
                  <c:v>99.267091193079409</c:v>
                </c:pt>
                <c:pt idx="538">
                  <c:v>99.44731467019102</c:v>
                </c:pt>
                <c:pt idx="539">
                  <c:v>100.27634266490446</c:v>
                </c:pt>
                <c:pt idx="540">
                  <c:v>100.79298329929112</c:v>
                </c:pt>
                <c:pt idx="541">
                  <c:v>100.34843205574913</c:v>
                </c:pt>
                <c:pt idx="542">
                  <c:v>102.04253274059833</c:v>
                </c:pt>
                <c:pt idx="543">
                  <c:v>101.28559413672953</c:v>
                </c:pt>
                <c:pt idx="544">
                  <c:v>100.55268532980897</c:v>
                </c:pt>
                <c:pt idx="545">
                  <c:v>100</c:v>
                </c:pt>
                <c:pt idx="546">
                  <c:v>101.33365373062597</c:v>
                </c:pt>
                <c:pt idx="547">
                  <c:v>101.59798149705634</c:v>
                </c:pt>
                <c:pt idx="548">
                  <c:v>103.95290159798149</c:v>
                </c:pt>
                <c:pt idx="549">
                  <c:v>103.43626096359486</c:v>
                </c:pt>
                <c:pt idx="550">
                  <c:v>102.48708398414033</c:v>
                </c:pt>
                <c:pt idx="551">
                  <c:v>103.53238015138773</c:v>
                </c:pt>
                <c:pt idx="552">
                  <c:v>104.58969121710922</c:v>
                </c:pt>
                <c:pt idx="553">
                  <c:v>104.85401898353959</c:v>
                </c:pt>
                <c:pt idx="554">
                  <c:v>104.67379550642796</c:v>
                </c:pt>
                <c:pt idx="555">
                  <c:v>103.28006728343144</c:v>
                </c:pt>
                <c:pt idx="556">
                  <c:v>103.17193319716449</c:v>
                </c:pt>
                <c:pt idx="557">
                  <c:v>102.96767992310465</c:v>
                </c:pt>
                <c:pt idx="558">
                  <c:v>104.76991469422083</c:v>
                </c:pt>
                <c:pt idx="559">
                  <c:v>103.340141775802</c:v>
                </c:pt>
                <c:pt idx="560">
                  <c:v>103.72461852697343</c:v>
                </c:pt>
                <c:pt idx="561">
                  <c:v>103.73663342544755</c:v>
                </c:pt>
                <c:pt idx="562">
                  <c:v>104.34939324762705</c:v>
                </c:pt>
                <c:pt idx="563">
                  <c:v>105.41871921182265</c:v>
                </c:pt>
                <c:pt idx="564">
                  <c:v>105.81521086146822</c:v>
                </c:pt>
                <c:pt idx="565">
                  <c:v>105.1904361408146</c:v>
                </c:pt>
                <c:pt idx="566">
                  <c:v>105.46677880571909</c:v>
                </c:pt>
                <c:pt idx="567">
                  <c:v>106.17565781569145</c:v>
                </c:pt>
                <c:pt idx="568">
                  <c:v>106.83647723176739</c:v>
                </c:pt>
                <c:pt idx="569">
                  <c:v>105.7791661660459</c:v>
                </c:pt>
                <c:pt idx="570">
                  <c:v>106.22371740958786</c:v>
                </c:pt>
                <c:pt idx="571">
                  <c:v>104.98618286675476</c:v>
                </c:pt>
                <c:pt idx="572">
                  <c:v>105.87528535383876</c:v>
                </c:pt>
                <c:pt idx="573">
                  <c:v>104.84200408506548</c:v>
                </c:pt>
                <c:pt idx="574">
                  <c:v>104.54163162321279</c:v>
                </c:pt>
                <c:pt idx="575">
                  <c:v>103.83275261324042</c:v>
                </c:pt>
                <c:pt idx="576">
                  <c:v>104.45752733389402</c:v>
                </c:pt>
                <c:pt idx="577">
                  <c:v>105.32260002402978</c:v>
                </c:pt>
                <c:pt idx="578">
                  <c:v>104.31334855220472</c:v>
                </c:pt>
                <c:pt idx="579">
                  <c:v>105.46677880571909</c:v>
                </c:pt>
                <c:pt idx="580">
                  <c:v>105.59894268893429</c:v>
                </c:pt>
                <c:pt idx="581">
                  <c:v>105.50282350114142</c:v>
                </c:pt>
                <c:pt idx="582">
                  <c:v>108.23020545476389</c:v>
                </c:pt>
                <c:pt idx="583">
                  <c:v>109.85221674876848</c:v>
                </c:pt>
                <c:pt idx="584">
                  <c:v>109.78012735792382</c:v>
                </c:pt>
                <c:pt idx="585">
                  <c:v>108.72281629220232</c:v>
                </c:pt>
                <c:pt idx="586">
                  <c:v>109.61191877928631</c:v>
                </c:pt>
                <c:pt idx="587">
                  <c:v>110.27273819536225</c:v>
                </c:pt>
                <c:pt idx="588">
                  <c:v>110.86146822059352</c:v>
                </c:pt>
                <c:pt idx="589">
                  <c:v>109.96035083503544</c:v>
                </c:pt>
                <c:pt idx="590">
                  <c:v>109.34759101285594</c:v>
                </c:pt>
                <c:pt idx="591">
                  <c:v>107.10080499819776</c:v>
                </c:pt>
                <c:pt idx="592">
                  <c:v>107.38916256157634</c:v>
                </c:pt>
                <c:pt idx="593">
                  <c:v>108.14610116544516</c:v>
                </c:pt>
                <c:pt idx="594">
                  <c:v>108.39841403340141</c:v>
                </c:pt>
                <c:pt idx="595">
                  <c:v>108.95109936321039</c:v>
                </c:pt>
                <c:pt idx="596">
                  <c:v>110.45296167247388</c:v>
                </c:pt>
                <c:pt idx="597">
                  <c:v>110.8254235251712</c:v>
                </c:pt>
                <c:pt idx="598">
                  <c:v>109.68400817013098</c:v>
                </c:pt>
                <c:pt idx="599">
                  <c:v>110.98161720533462</c:v>
                </c:pt>
                <c:pt idx="600">
                  <c:v>109.37162080980416</c:v>
                </c:pt>
                <c:pt idx="601">
                  <c:v>108.95109936321039</c:v>
                </c:pt>
                <c:pt idx="602">
                  <c:v>106.75237294244862</c:v>
                </c:pt>
                <c:pt idx="603">
                  <c:v>105.40670431334856</c:v>
                </c:pt>
                <c:pt idx="604">
                  <c:v>104.19319956746365</c:v>
                </c:pt>
                <c:pt idx="605">
                  <c:v>105.57491289198606</c:v>
                </c:pt>
                <c:pt idx="606">
                  <c:v>106.31983659738073</c:v>
                </c:pt>
                <c:pt idx="607">
                  <c:v>105.16640634386638</c:v>
                </c:pt>
                <c:pt idx="608">
                  <c:v>105.62297248588249</c:v>
                </c:pt>
                <c:pt idx="609">
                  <c:v>106.15162801874322</c:v>
                </c:pt>
                <c:pt idx="610">
                  <c:v>105.91133004926108</c:v>
                </c:pt>
                <c:pt idx="611">
                  <c:v>107.29304337378349</c:v>
                </c:pt>
                <c:pt idx="612">
                  <c:v>109.31154631743362</c:v>
                </c:pt>
                <c:pt idx="613">
                  <c:v>108.17013096239336</c:v>
                </c:pt>
                <c:pt idx="614">
                  <c:v>108.17013096239336</c:v>
                </c:pt>
                <c:pt idx="615">
                  <c:v>107.54535624173975</c:v>
                </c:pt>
                <c:pt idx="616">
                  <c:v>108.19416075934159</c:v>
                </c:pt>
                <c:pt idx="617">
                  <c:v>108.27826504866034</c:v>
                </c:pt>
                <c:pt idx="618">
                  <c:v>108.60266730746125</c:v>
                </c:pt>
                <c:pt idx="619">
                  <c:v>110.75333413432658</c:v>
                </c:pt>
                <c:pt idx="620">
                  <c:v>110.14057431214705</c:v>
                </c:pt>
                <c:pt idx="621">
                  <c:v>110.44094677399976</c:v>
                </c:pt>
                <c:pt idx="622">
                  <c:v>110.71728943890425</c:v>
                </c:pt>
                <c:pt idx="623">
                  <c:v>110.71728943890425</c:v>
                </c:pt>
                <c:pt idx="624">
                  <c:v>110.87348311906764</c:v>
                </c:pt>
                <c:pt idx="625">
                  <c:v>110.04445512435419</c:v>
                </c:pt>
                <c:pt idx="626">
                  <c:v>109.29953141895949</c:v>
                </c:pt>
                <c:pt idx="627">
                  <c:v>109.72005286555327</c:v>
                </c:pt>
                <c:pt idx="628">
                  <c:v>110.48900636789618</c:v>
                </c:pt>
                <c:pt idx="629">
                  <c:v>110.58512555568905</c:v>
                </c:pt>
                <c:pt idx="630">
                  <c:v>108.78289078457288</c:v>
                </c:pt>
                <c:pt idx="631">
                  <c:v>108.98714405863271</c:v>
                </c:pt>
                <c:pt idx="632">
                  <c:v>111.26997476871321</c:v>
                </c:pt>
                <c:pt idx="633">
                  <c:v>110.15258921062116</c:v>
                </c:pt>
                <c:pt idx="634">
                  <c:v>109.26348672353718</c:v>
                </c:pt>
                <c:pt idx="635">
                  <c:v>108.92706956626215</c:v>
                </c:pt>
                <c:pt idx="636">
                  <c:v>109.17938243421843</c:v>
                </c:pt>
                <c:pt idx="637">
                  <c:v>109.17938243421843</c:v>
                </c:pt>
                <c:pt idx="638">
                  <c:v>109.13132284032199</c:v>
                </c:pt>
                <c:pt idx="639">
                  <c:v>108.57863751051305</c:v>
                </c:pt>
                <c:pt idx="640">
                  <c:v>108.23020545476389</c:v>
                </c:pt>
                <c:pt idx="641">
                  <c:v>106.90856662261203</c:v>
                </c:pt>
                <c:pt idx="642">
                  <c:v>105.51483839961551</c:v>
                </c:pt>
                <c:pt idx="643">
                  <c:v>106.74035804397452</c:v>
                </c:pt>
                <c:pt idx="644">
                  <c:v>107.14886459209421</c:v>
                </c:pt>
                <c:pt idx="645">
                  <c:v>107.67752012495495</c:v>
                </c:pt>
                <c:pt idx="646">
                  <c:v>106.54811966838879</c:v>
                </c:pt>
                <c:pt idx="647">
                  <c:v>107.78565421122191</c:v>
                </c:pt>
                <c:pt idx="648">
                  <c:v>107.96587768833352</c:v>
                </c:pt>
                <c:pt idx="649">
                  <c:v>107.86975850054066</c:v>
                </c:pt>
                <c:pt idx="650">
                  <c:v>107.43722215547278</c:v>
                </c:pt>
                <c:pt idx="651">
                  <c:v>108.01393728222996</c:v>
                </c:pt>
                <c:pt idx="652">
                  <c:v>106.53610476991469</c:v>
                </c:pt>
                <c:pt idx="653">
                  <c:v>104.34939324762705</c:v>
                </c:pt>
                <c:pt idx="654">
                  <c:v>106.00744923705395</c:v>
                </c:pt>
                <c:pt idx="655">
                  <c:v>107.06476030277543</c:v>
                </c:pt>
                <c:pt idx="656">
                  <c:v>106.58416436381111</c:v>
                </c:pt>
                <c:pt idx="657">
                  <c:v>105.79118106451999</c:v>
                </c:pt>
                <c:pt idx="658">
                  <c:v>105.58692779046015</c:v>
                </c:pt>
                <c:pt idx="659">
                  <c:v>106.8484921302415</c:v>
                </c:pt>
                <c:pt idx="660">
                  <c:v>106.43998558212182</c:v>
                </c:pt>
                <c:pt idx="661">
                  <c:v>106.11558332332089</c:v>
                </c:pt>
                <c:pt idx="662">
                  <c:v>107.38916256157634</c:v>
                </c:pt>
                <c:pt idx="663">
                  <c:v>106.94461131803436</c:v>
                </c:pt>
                <c:pt idx="664">
                  <c:v>106.89655172413792</c:v>
                </c:pt>
                <c:pt idx="665">
                  <c:v>107.04073050582723</c:v>
                </c:pt>
                <c:pt idx="666">
                  <c:v>104.93812327285835</c:v>
                </c:pt>
                <c:pt idx="667">
                  <c:v>103.53238015138773</c:v>
                </c:pt>
                <c:pt idx="668">
                  <c:v>102.93163522768232</c:v>
                </c:pt>
                <c:pt idx="669">
                  <c:v>102.2948456085546</c:v>
                </c:pt>
                <c:pt idx="670">
                  <c:v>101.79021987264207</c:v>
                </c:pt>
                <c:pt idx="671">
                  <c:v>102.39096479634746</c:v>
                </c:pt>
                <c:pt idx="672">
                  <c:v>101.88633906043493</c:v>
                </c:pt>
                <c:pt idx="673">
                  <c:v>103.11185870479393</c:v>
                </c:pt>
                <c:pt idx="674">
                  <c:v>104.08506548119666</c:v>
                </c:pt>
                <c:pt idx="675">
                  <c:v>105.16640634386638</c:v>
                </c:pt>
                <c:pt idx="676">
                  <c:v>105.91133004926108</c:v>
                </c:pt>
                <c:pt idx="677">
                  <c:v>105.2144659377628</c:v>
                </c:pt>
                <c:pt idx="678">
                  <c:v>104.25327405983418</c:v>
                </c:pt>
                <c:pt idx="679">
                  <c:v>102.66730746125194</c:v>
                </c:pt>
                <c:pt idx="680">
                  <c:v>102.7514117505707</c:v>
                </c:pt>
                <c:pt idx="681">
                  <c:v>103.01573951700107</c:v>
                </c:pt>
                <c:pt idx="682">
                  <c:v>101.47783251231526</c:v>
                </c:pt>
                <c:pt idx="683">
                  <c:v>103.74864832392166</c:v>
                </c:pt>
                <c:pt idx="684">
                  <c:v>103.95290159798149</c:v>
                </c:pt>
                <c:pt idx="685">
                  <c:v>105.50282350114142</c:v>
                </c:pt>
                <c:pt idx="686">
                  <c:v>106.80043253634506</c:v>
                </c:pt>
                <c:pt idx="687">
                  <c:v>107.41319235852458</c:v>
                </c:pt>
                <c:pt idx="688">
                  <c:v>107.14886459209421</c:v>
                </c:pt>
                <c:pt idx="689">
                  <c:v>106.17565781569145</c:v>
                </c:pt>
                <c:pt idx="690">
                  <c:v>106.92058152108615</c:v>
                </c:pt>
                <c:pt idx="691">
                  <c:v>106.29580680043253</c:v>
                </c:pt>
                <c:pt idx="692">
                  <c:v>105.94737474468342</c:v>
                </c:pt>
                <c:pt idx="693">
                  <c:v>104.48155713084223</c:v>
                </c:pt>
                <c:pt idx="694">
                  <c:v>104.26528895830829</c:v>
                </c:pt>
                <c:pt idx="695">
                  <c:v>106.30782169890665</c:v>
                </c:pt>
                <c:pt idx="696">
                  <c:v>108.42244383034962</c:v>
                </c:pt>
                <c:pt idx="697">
                  <c:v>108.49453322119427</c:v>
                </c:pt>
                <c:pt idx="698">
                  <c:v>108.42244383034962</c:v>
                </c:pt>
                <c:pt idx="699">
                  <c:v>108.13408626697102</c:v>
                </c:pt>
                <c:pt idx="700">
                  <c:v>108.59065240898713</c:v>
                </c:pt>
                <c:pt idx="701">
                  <c:v>108.54259281509071</c:v>
                </c:pt>
                <c:pt idx="702">
                  <c:v>109.02318875405501</c:v>
                </c:pt>
                <c:pt idx="703">
                  <c:v>109.74408266250151</c:v>
                </c:pt>
                <c:pt idx="704">
                  <c:v>109.93632103808721</c:v>
                </c:pt>
                <c:pt idx="705">
                  <c:v>110.15258921062116</c:v>
                </c:pt>
                <c:pt idx="706">
                  <c:v>110.80139372822299</c:v>
                </c:pt>
                <c:pt idx="707">
                  <c:v>109.91229124113902</c:v>
                </c:pt>
                <c:pt idx="708">
                  <c:v>109.88826144419079</c:v>
                </c:pt>
                <c:pt idx="709">
                  <c:v>108.97512916015859</c:v>
                </c:pt>
                <c:pt idx="710">
                  <c:v>110.8254235251712</c:v>
                </c:pt>
                <c:pt idx="711">
                  <c:v>111.93079418478914</c:v>
                </c:pt>
                <c:pt idx="712">
                  <c:v>114.141535504025</c:v>
                </c:pt>
                <c:pt idx="713">
                  <c:v>112.17109215427131</c:v>
                </c:pt>
                <c:pt idx="714">
                  <c:v>114.141535504025</c:v>
                </c:pt>
                <c:pt idx="715">
                  <c:v>115.96780007208937</c:v>
                </c:pt>
                <c:pt idx="716">
                  <c:v>116.59257479274301</c:v>
                </c:pt>
                <c:pt idx="717">
                  <c:v>117.09720052865551</c:v>
                </c:pt>
                <c:pt idx="718">
                  <c:v>117.14526012255195</c:v>
                </c:pt>
                <c:pt idx="719">
                  <c:v>117.6498858584645</c:v>
                </c:pt>
                <c:pt idx="720">
                  <c:v>116.97705154391444</c:v>
                </c:pt>
                <c:pt idx="721">
                  <c:v>115.79959149345187</c:v>
                </c:pt>
                <c:pt idx="722">
                  <c:v>118.32272017301453</c:v>
                </c:pt>
                <c:pt idx="723">
                  <c:v>118.99555448756458</c:v>
                </c:pt>
                <c:pt idx="724">
                  <c:v>120.0768953502343</c:v>
                </c:pt>
                <c:pt idx="725">
                  <c:v>120.22107413192357</c:v>
                </c:pt>
                <c:pt idx="726">
                  <c:v>120.10092514718249</c:v>
                </c:pt>
                <c:pt idx="727">
                  <c:v>120.02883575633787</c:v>
                </c:pt>
                <c:pt idx="728">
                  <c:v>120.14898474107893</c:v>
                </c:pt>
                <c:pt idx="729">
                  <c:v>118.3948095638592</c:v>
                </c:pt>
                <c:pt idx="730">
                  <c:v>119.30794184789137</c:v>
                </c:pt>
                <c:pt idx="731">
                  <c:v>121.83107052745406</c:v>
                </c:pt>
                <c:pt idx="732">
                  <c:v>124.69061636429171</c:v>
                </c:pt>
                <c:pt idx="733">
                  <c:v>121.35047458848973</c:v>
                </c:pt>
                <c:pt idx="734">
                  <c:v>123.7774840802595</c:v>
                </c:pt>
                <c:pt idx="735">
                  <c:v>125.38748047578999</c:v>
                </c:pt>
                <c:pt idx="736">
                  <c:v>127.14165565300972</c:v>
                </c:pt>
                <c:pt idx="737">
                  <c:v>128.84777123633305</c:v>
                </c:pt>
                <c:pt idx="738">
                  <c:v>126.94941727742399</c:v>
                </c:pt>
                <c:pt idx="739">
                  <c:v>128.10284753093836</c:v>
                </c:pt>
                <c:pt idx="740">
                  <c:v>126.63702991709719</c:v>
                </c:pt>
                <c:pt idx="741">
                  <c:v>127.40598341944012</c:v>
                </c:pt>
                <c:pt idx="742">
                  <c:v>126.94941727742399</c:v>
                </c:pt>
                <c:pt idx="743">
                  <c:v>127.26180463775081</c:v>
                </c:pt>
                <c:pt idx="744">
                  <c:v>127.26180463775081</c:v>
                </c:pt>
                <c:pt idx="745">
                  <c:v>128.22299651567943</c:v>
                </c:pt>
                <c:pt idx="746">
                  <c:v>127.50210260723296</c:v>
                </c:pt>
                <c:pt idx="747">
                  <c:v>127.35792382554368</c:v>
                </c:pt>
                <c:pt idx="748">
                  <c:v>128.34314550042049</c:v>
                </c:pt>
                <c:pt idx="749">
                  <c:v>127.95866874924906</c:v>
                </c:pt>
                <c:pt idx="750">
                  <c:v>124.81076534903279</c:v>
                </c:pt>
                <c:pt idx="751">
                  <c:v>124.76270575513637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30-0B4C-B30E-0E1485AFB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dateAx>
        <c:axId val="50020001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VN"/>
          </a:p>
        </c:txPr>
        <c:crossAx val="50020002"/>
        <c:crosses val="autoZero"/>
        <c:auto val="1"/>
        <c:lblOffset val="100"/>
        <c:baseTimeUnit val="days"/>
        <c:majorUnit val="2"/>
        <c:majorTimeUnit val="months"/>
        <c:minorUnit val="2"/>
        <c:minorTimeUnit val="months"/>
      </c:dateAx>
      <c:valAx>
        <c:axId val="50020002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5.7753287157158342E-2"/>
          <c:y val="3.1305899542558337E-2"/>
          <c:w val="0.13769595059720452"/>
          <c:h val="0.1563363914914358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Return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'Share Price Analysis'!$H$35</c:f>
              <c:strCache>
                <c:ptCount val="1"/>
                <c:pt idx="0">
                  <c:v>VMC Cumulative Return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'Share Price Analysis'!$A$36:$A$787</c:f>
              <c:numCache>
                <c:formatCode>yyyy\-mm\-dd</c:formatCode>
                <c:ptCount val="752"/>
                <c:pt idx="0">
                  <c:v>44991</c:v>
                </c:pt>
                <c:pt idx="1">
                  <c:v>44992</c:v>
                </c:pt>
                <c:pt idx="2">
                  <c:v>44993</c:v>
                </c:pt>
                <c:pt idx="3">
                  <c:v>44994</c:v>
                </c:pt>
                <c:pt idx="4">
                  <c:v>44995</c:v>
                </c:pt>
                <c:pt idx="5">
                  <c:v>44998</c:v>
                </c:pt>
                <c:pt idx="6">
                  <c:v>44999</c:v>
                </c:pt>
                <c:pt idx="7">
                  <c:v>45000</c:v>
                </c:pt>
                <c:pt idx="8">
                  <c:v>45001</c:v>
                </c:pt>
                <c:pt idx="9">
                  <c:v>45002</c:v>
                </c:pt>
                <c:pt idx="10">
                  <c:v>45005</c:v>
                </c:pt>
                <c:pt idx="11">
                  <c:v>45006</c:v>
                </c:pt>
                <c:pt idx="12">
                  <c:v>45007</c:v>
                </c:pt>
                <c:pt idx="13">
                  <c:v>45008</c:v>
                </c:pt>
                <c:pt idx="14">
                  <c:v>45009</c:v>
                </c:pt>
                <c:pt idx="15">
                  <c:v>45012</c:v>
                </c:pt>
                <c:pt idx="16">
                  <c:v>45013</c:v>
                </c:pt>
                <c:pt idx="17">
                  <c:v>45014</c:v>
                </c:pt>
                <c:pt idx="18">
                  <c:v>45015</c:v>
                </c:pt>
                <c:pt idx="19">
                  <c:v>45016</c:v>
                </c:pt>
                <c:pt idx="20">
                  <c:v>45019</c:v>
                </c:pt>
                <c:pt idx="21">
                  <c:v>45020</c:v>
                </c:pt>
                <c:pt idx="22">
                  <c:v>45021</c:v>
                </c:pt>
                <c:pt idx="23">
                  <c:v>45022</c:v>
                </c:pt>
                <c:pt idx="24">
                  <c:v>45026</c:v>
                </c:pt>
                <c:pt idx="25">
                  <c:v>45027</c:v>
                </c:pt>
                <c:pt idx="26">
                  <c:v>45028</c:v>
                </c:pt>
                <c:pt idx="27">
                  <c:v>45029</c:v>
                </c:pt>
                <c:pt idx="28">
                  <c:v>45030</c:v>
                </c:pt>
                <c:pt idx="29">
                  <c:v>45033</c:v>
                </c:pt>
                <c:pt idx="30">
                  <c:v>45034</c:v>
                </c:pt>
                <c:pt idx="31">
                  <c:v>45035</c:v>
                </c:pt>
                <c:pt idx="32">
                  <c:v>45036</c:v>
                </c:pt>
                <c:pt idx="33">
                  <c:v>45037</c:v>
                </c:pt>
                <c:pt idx="34">
                  <c:v>45040</c:v>
                </c:pt>
                <c:pt idx="35">
                  <c:v>45041</c:v>
                </c:pt>
                <c:pt idx="36">
                  <c:v>45042</c:v>
                </c:pt>
                <c:pt idx="37">
                  <c:v>45043</c:v>
                </c:pt>
                <c:pt idx="38">
                  <c:v>45044</c:v>
                </c:pt>
                <c:pt idx="39">
                  <c:v>45047</c:v>
                </c:pt>
                <c:pt idx="40">
                  <c:v>45048</c:v>
                </c:pt>
                <c:pt idx="41">
                  <c:v>45049</c:v>
                </c:pt>
                <c:pt idx="42">
                  <c:v>45050</c:v>
                </c:pt>
                <c:pt idx="43">
                  <c:v>45051</c:v>
                </c:pt>
                <c:pt idx="44">
                  <c:v>45054</c:v>
                </c:pt>
                <c:pt idx="45">
                  <c:v>45055</c:v>
                </c:pt>
                <c:pt idx="46">
                  <c:v>45056</c:v>
                </c:pt>
                <c:pt idx="47">
                  <c:v>45057</c:v>
                </c:pt>
                <c:pt idx="48">
                  <c:v>45058</c:v>
                </c:pt>
                <c:pt idx="49">
                  <c:v>45061</c:v>
                </c:pt>
                <c:pt idx="50">
                  <c:v>45062</c:v>
                </c:pt>
                <c:pt idx="51">
                  <c:v>45063</c:v>
                </c:pt>
                <c:pt idx="52">
                  <c:v>45064</c:v>
                </c:pt>
                <c:pt idx="53">
                  <c:v>45065</c:v>
                </c:pt>
                <c:pt idx="54">
                  <c:v>45068</c:v>
                </c:pt>
                <c:pt idx="55">
                  <c:v>45069</c:v>
                </c:pt>
                <c:pt idx="56">
                  <c:v>45070</c:v>
                </c:pt>
                <c:pt idx="57">
                  <c:v>45071</c:v>
                </c:pt>
                <c:pt idx="58">
                  <c:v>45072</c:v>
                </c:pt>
                <c:pt idx="59">
                  <c:v>45076</c:v>
                </c:pt>
                <c:pt idx="60">
                  <c:v>45077</c:v>
                </c:pt>
                <c:pt idx="61">
                  <c:v>45078</c:v>
                </c:pt>
                <c:pt idx="62">
                  <c:v>45079</c:v>
                </c:pt>
                <c:pt idx="63">
                  <c:v>45082</c:v>
                </c:pt>
                <c:pt idx="64">
                  <c:v>45083</c:v>
                </c:pt>
                <c:pt idx="65">
                  <c:v>45084</c:v>
                </c:pt>
                <c:pt idx="66">
                  <c:v>45085</c:v>
                </c:pt>
                <c:pt idx="67">
                  <c:v>45086</c:v>
                </c:pt>
                <c:pt idx="68">
                  <c:v>45089</c:v>
                </c:pt>
                <c:pt idx="69">
                  <c:v>45090</c:v>
                </c:pt>
                <c:pt idx="70">
                  <c:v>45091</c:v>
                </c:pt>
                <c:pt idx="71">
                  <c:v>45092</c:v>
                </c:pt>
                <c:pt idx="72">
                  <c:v>45093</c:v>
                </c:pt>
                <c:pt idx="73">
                  <c:v>45097</c:v>
                </c:pt>
                <c:pt idx="74">
                  <c:v>45098</c:v>
                </c:pt>
                <c:pt idx="75">
                  <c:v>45099</c:v>
                </c:pt>
                <c:pt idx="76">
                  <c:v>45100</c:v>
                </c:pt>
                <c:pt idx="77">
                  <c:v>45103</c:v>
                </c:pt>
                <c:pt idx="78">
                  <c:v>45104</c:v>
                </c:pt>
                <c:pt idx="79">
                  <c:v>45105</c:v>
                </c:pt>
                <c:pt idx="80">
                  <c:v>45106</c:v>
                </c:pt>
                <c:pt idx="81">
                  <c:v>45107</c:v>
                </c:pt>
                <c:pt idx="82">
                  <c:v>45110</c:v>
                </c:pt>
                <c:pt idx="83">
                  <c:v>45112</c:v>
                </c:pt>
                <c:pt idx="84">
                  <c:v>45113</c:v>
                </c:pt>
                <c:pt idx="85">
                  <c:v>45114</c:v>
                </c:pt>
                <c:pt idx="86">
                  <c:v>45117</c:v>
                </c:pt>
                <c:pt idx="87">
                  <c:v>45118</c:v>
                </c:pt>
                <c:pt idx="88">
                  <c:v>45119</c:v>
                </c:pt>
                <c:pt idx="89">
                  <c:v>45120</c:v>
                </c:pt>
                <c:pt idx="90">
                  <c:v>45121</c:v>
                </c:pt>
                <c:pt idx="91">
                  <c:v>45124</c:v>
                </c:pt>
                <c:pt idx="92">
                  <c:v>45125</c:v>
                </c:pt>
                <c:pt idx="93">
                  <c:v>45126</c:v>
                </c:pt>
                <c:pt idx="94">
                  <c:v>45127</c:v>
                </c:pt>
                <c:pt idx="95">
                  <c:v>45128</c:v>
                </c:pt>
                <c:pt idx="96">
                  <c:v>45131</c:v>
                </c:pt>
                <c:pt idx="97">
                  <c:v>45132</c:v>
                </c:pt>
                <c:pt idx="98">
                  <c:v>45133</c:v>
                </c:pt>
                <c:pt idx="99">
                  <c:v>45134</c:v>
                </c:pt>
                <c:pt idx="100">
                  <c:v>45135</c:v>
                </c:pt>
                <c:pt idx="101">
                  <c:v>45138</c:v>
                </c:pt>
                <c:pt idx="102">
                  <c:v>45139</c:v>
                </c:pt>
                <c:pt idx="103">
                  <c:v>45140</c:v>
                </c:pt>
                <c:pt idx="104">
                  <c:v>45141</c:v>
                </c:pt>
                <c:pt idx="105">
                  <c:v>45142</c:v>
                </c:pt>
                <c:pt idx="106">
                  <c:v>45145</c:v>
                </c:pt>
                <c:pt idx="107">
                  <c:v>45146</c:v>
                </c:pt>
                <c:pt idx="108">
                  <c:v>45147</c:v>
                </c:pt>
                <c:pt idx="109">
                  <c:v>45148</c:v>
                </c:pt>
                <c:pt idx="110">
                  <c:v>45149</c:v>
                </c:pt>
                <c:pt idx="111">
                  <c:v>45152</c:v>
                </c:pt>
                <c:pt idx="112">
                  <c:v>45153</c:v>
                </c:pt>
                <c:pt idx="113">
                  <c:v>45154</c:v>
                </c:pt>
                <c:pt idx="114">
                  <c:v>45155</c:v>
                </c:pt>
                <c:pt idx="115">
                  <c:v>45156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45166</c:v>
                </c:pt>
                <c:pt idx="122">
                  <c:v>45167</c:v>
                </c:pt>
                <c:pt idx="123">
                  <c:v>45168</c:v>
                </c:pt>
                <c:pt idx="124">
                  <c:v>45169</c:v>
                </c:pt>
                <c:pt idx="125">
                  <c:v>45170</c:v>
                </c:pt>
                <c:pt idx="126">
                  <c:v>45174</c:v>
                </c:pt>
                <c:pt idx="127">
                  <c:v>45175</c:v>
                </c:pt>
                <c:pt idx="128">
                  <c:v>45176</c:v>
                </c:pt>
                <c:pt idx="129">
                  <c:v>45177</c:v>
                </c:pt>
                <c:pt idx="130">
                  <c:v>45180</c:v>
                </c:pt>
                <c:pt idx="131">
                  <c:v>45181</c:v>
                </c:pt>
                <c:pt idx="132">
                  <c:v>45182</c:v>
                </c:pt>
                <c:pt idx="133">
                  <c:v>45183</c:v>
                </c:pt>
                <c:pt idx="134">
                  <c:v>45184</c:v>
                </c:pt>
                <c:pt idx="135">
                  <c:v>45187</c:v>
                </c:pt>
                <c:pt idx="136">
                  <c:v>45188</c:v>
                </c:pt>
                <c:pt idx="137">
                  <c:v>45189</c:v>
                </c:pt>
                <c:pt idx="138">
                  <c:v>45190</c:v>
                </c:pt>
                <c:pt idx="139">
                  <c:v>45191</c:v>
                </c:pt>
                <c:pt idx="140">
                  <c:v>45194</c:v>
                </c:pt>
                <c:pt idx="141">
                  <c:v>45195</c:v>
                </c:pt>
                <c:pt idx="142">
                  <c:v>45196</c:v>
                </c:pt>
                <c:pt idx="143">
                  <c:v>45197</c:v>
                </c:pt>
                <c:pt idx="144">
                  <c:v>45198</c:v>
                </c:pt>
                <c:pt idx="145">
                  <c:v>45201</c:v>
                </c:pt>
                <c:pt idx="146">
                  <c:v>45202</c:v>
                </c:pt>
                <c:pt idx="147">
                  <c:v>45203</c:v>
                </c:pt>
                <c:pt idx="148">
                  <c:v>45204</c:v>
                </c:pt>
                <c:pt idx="149">
                  <c:v>45205</c:v>
                </c:pt>
                <c:pt idx="150">
                  <c:v>45208</c:v>
                </c:pt>
                <c:pt idx="151">
                  <c:v>45209</c:v>
                </c:pt>
                <c:pt idx="152">
                  <c:v>45210</c:v>
                </c:pt>
                <c:pt idx="153">
                  <c:v>45211</c:v>
                </c:pt>
                <c:pt idx="154">
                  <c:v>45212</c:v>
                </c:pt>
                <c:pt idx="155">
                  <c:v>45215</c:v>
                </c:pt>
                <c:pt idx="156">
                  <c:v>45216</c:v>
                </c:pt>
                <c:pt idx="157">
                  <c:v>45217</c:v>
                </c:pt>
                <c:pt idx="158">
                  <c:v>45218</c:v>
                </c:pt>
                <c:pt idx="159">
                  <c:v>45219</c:v>
                </c:pt>
                <c:pt idx="160">
                  <c:v>45222</c:v>
                </c:pt>
                <c:pt idx="161">
                  <c:v>45223</c:v>
                </c:pt>
                <c:pt idx="162">
                  <c:v>45224</c:v>
                </c:pt>
                <c:pt idx="163">
                  <c:v>45225</c:v>
                </c:pt>
                <c:pt idx="164">
                  <c:v>45226</c:v>
                </c:pt>
                <c:pt idx="165">
                  <c:v>45229</c:v>
                </c:pt>
                <c:pt idx="166">
                  <c:v>45230</c:v>
                </c:pt>
                <c:pt idx="167">
                  <c:v>45231</c:v>
                </c:pt>
                <c:pt idx="168">
                  <c:v>45232</c:v>
                </c:pt>
                <c:pt idx="169">
                  <c:v>45233</c:v>
                </c:pt>
                <c:pt idx="170">
                  <c:v>45236</c:v>
                </c:pt>
                <c:pt idx="171">
                  <c:v>45237</c:v>
                </c:pt>
                <c:pt idx="172">
                  <c:v>45238</c:v>
                </c:pt>
                <c:pt idx="173">
                  <c:v>45239</c:v>
                </c:pt>
                <c:pt idx="174">
                  <c:v>45240</c:v>
                </c:pt>
                <c:pt idx="175">
                  <c:v>45243</c:v>
                </c:pt>
                <c:pt idx="176">
                  <c:v>45244</c:v>
                </c:pt>
                <c:pt idx="177">
                  <c:v>45245</c:v>
                </c:pt>
                <c:pt idx="178">
                  <c:v>45246</c:v>
                </c:pt>
                <c:pt idx="179">
                  <c:v>45247</c:v>
                </c:pt>
                <c:pt idx="180">
                  <c:v>45250</c:v>
                </c:pt>
                <c:pt idx="181">
                  <c:v>45251</c:v>
                </c:pt>
                <c:pt idx="182">
                  <c:v>45252</c:v>
                </c:pt>
                <c:pt idx="183">
                  <c:v>45254</c:v>
                </c:pt>
                <c:pt idx="184">
                  <c:v>45257</c:v>
                </c:pt>
                <c:pt idx="185">
                  <c:v>45258</c:v>
                </c:pt>
                <c:pt idx="186">
                  <c:v>45259</c:v>
                </c:pt>
                <c:pt idx="187">
                  <c:v>45260</c:v>
                </c:pt>
                <c:pt idx="188">
                  <c:v>45261</c:v>
                </c:pt>
                <c:pt idx="189">
                  <c:v>45264</c:v>
                </c:pt>
                <c:pt idx="190">
                  <c:v>45265</c:v>
                </c:pt>
                <c:pt idx="191">
                  <c:v>45266</c:v>
                </c:pt>
                <c:pt idx="192">
                  <c:v>45267</c:v>
                </c:pt>
                <c:pt idx="193">
                  <c:v>45268</c:v>
                </c:pt>
                <c:pt idx="194">
                  <c:v>45271</c:v>
                </c:pt>
                <c:pt idx="195">
                  <c:v>45272</c:v>
                </c:pt>
                <c:pt idx="196">
                  <c:v>45273</c:v>
                </c:pt>
                <c:pt idx="197">
                  <c:v>45274</c:v>
                </c:pt>
                <c:pt idx="198">
                  <c:v>45275</c:v>
                </c:pt>
                <c:pt idx="199">
                  <c:v>45278</c:v>
                </c:pt>
                <c:pt idx="200">
                  <c:v>45279</c:v>
                </c:pt>
                <c:pt idx="201">
                  <c:v>45280</c:v>
                </c:pt>
                <c:pt idx="202">
                  <c:v>45281</c:v>
                </c:pt>
                <c:pt idx="203">
                  <c:v>45282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45307</c:v>
                </c:pt>
                <c:pt idx="218">
                  <c:v>45308</c:v>
                </c:pt>
                <c:pt idx="219">
                  <c:v>45309</c:v>
                </c:pt>
                <c:pt idx="220">
                  <c:v>45310</c:v>
                </c:pt>
                <c:pt idx="221">
                  <c:v>45313</c:v>
                </c:pt>
                <c:pt idx="222">
                  <c:v>45314</c:v>
                </c:pt>
                <c:pt idx="223">
                  <c:v>45315</c:v>
                </c:pt>
                <c:pt idx="224">
                  <c:v>45316</c:v>
                </c:pt>
                <c:pt idx="225">
                  <c:v>45317</c:v>
                </c:pt>
                <c:pt idx="226">
                  <c:v>45320</c:v>
                </c:pt>
                <c:pt idx="227">
                  <c:v>45321</c:v>
                </c:pt>
                <c:pt idx="228">
                  <c:v>45322</c:v>
                </c:pt>
                <c:pt idx="229">
                  <c:v>45323</c:v>
                </c:pt>
                <c:pt idx="230">
                  <c:v>45324</c:v>
                </c:pt>
                <c:pt idx="231">
                  <c:v>45327</c:v>
                </c:pt>
                <c:pt idx="232">
                  <c:v>45328</c:v>
                </c:pt>
                <c:pt idx="233">
                  <c:v>45329</c:v>
                </c:pt>
                <c:pt idx="234">
                  <c:v>45330</c:v>
                </c:pt>
                <c:pt idx="235">
                  <c:v>45331</c:v>
                </c:pt>
                <c:pt idx="236">
                  <c:v>45334</c:v>
                </c:pt>
                <c:pt idx="237">
                  <c:v>45335</c:v>
                </c:pt>
                <c:pt idx="238">
                  <c:v>45336</c:v>
                </c:pt>
                <c:pt idx="239">
                  <c:v>45337</c:v>
                </c:pt>
                <c:pt idx="240">
                  <c:v>45338</c:v>
                </c:pt>
                <c:pt idx="241">
                  <c:v>45342</c:v>
                </c:pt>
                <c:pt idx="242">
                  <c:v>45343</c:v>
                </c:pt>
                <c:pt idx="243">
                  <c:v>45344</c:v>
                </c:pt>
                <c:pt idx="244">
                  <c:v>45345</c:v>
                </c:pt>
                <c:pt idx="245">
                  <c:v>45348</c:v>
                </c:pt>
                <c:pt idx="246">
                  <c:v>45349</c:v>
                </c:pt>
                <c:pt idx="247">
                  <c:v>45350</c:v>
                </c:pt>
                <c:pt idx="248">
                  <c:v>45351</c:v>
                </c:pt>
                <c:pt idx="249">
                  <c:v>45352</c:v>
                </c:pt>
                <c:pt idx="250">
                  <c:v>45355</c:v>
                </c:pt>
                <c:pt idx="251">
                  <c:v>45356</c:v>
                </c:pt>
                <c:pt idx="252">
                  <c:v>45357</c:v>
                </c:pt>
                <c:pt idx="253">
                  <c:v>45358</c:v>
                </c:pt>
                <c:pt idx="254">
                  <c:v>45359</c:v>
                </c:pt>
                <c:pt idx="255">
                  <c:v>45362</c:v>
                </c:pt>
                <c:pt idx="256">
                  <c:v>45363</c:v>
                </c:pt>
                <c:pt idx="257">
                  <c:v>45364</c:v>
                </c:pt>
                <c:pt idx="258">
                  <c:v>45365</c:v>
                </c:pt>
                <c:pt idx="259">
                  <c:v>45366</c:v>
                </c:pt>
                <c:pt idx="260">
                  <c:v>45369</c:v>
                </c:pt>
                <c:pt idx="261">
                  <c:v>45370</c:v>
                </c:pt>
                <c:pt idx="262">
                  <c:v>45371</c:v>
                </c:pt>
                <c:pt idx="263">
                  <c:v>45372</c:v>
                </c:pt>
                <c:pt idx="264">
                  <c:v>45373</c:v>
                </c:pt>
                <c:pt idx="265">
                  <c:v>45376</c:v>
                </c:pt>
                <c:pt idx="266">
                  <c:v>45377</c:v>
                </c:pt>
                <c:pt idx="267">
                  <c:v>45378</c:v>
                </c:pt>
                <c:pt idx="268">
                  <c:v>45379</c:v>
                </c:pt>
                <c:pt idx="269">
                  <c:v>45383</c:v>
                </c:pt>
                <c:pt idx="270">
                  <c:v>45384</c:v>
                </c:pt>
                <c:pt idx="271">
                  <c:v>45385</c:v>
                </c:pt>
                <c:pt idx="272">
                  <c:v>45386</c:v>
                </c:pt>
                <c:pt idx="273">
                  <c:v>45387</c:v>
                </c:pt>
                <c:pt idx="274">
                  <c:v>45390</c:v>
                </c:pt>
                <c:pt idx="275">
                  <c:v>45391</c:v>
                </c:pt>
                <c:pt idx="276">
                  <c:v>45392</c:v>
                </c:pt>
                <c:pt idx="277">
                  <c:v>45393</c:v>
                </c:pt>
                <c:pt idx="278">
                  <c:v>45394</c:v>
                </c:pt>
                <c:pt idx="279">
                  <c:v>45397</c:v>
                </c:pt>
                <c:pt idx="280">
                  <c:v>45398</c:v>
                </c:pt>
                <c:pt idx="281">
                  <c:v>45399</c:v>
                </c:pt>
                <c:pt idx="282">
                  <c:v>45400</c:v>
                </c:pt>
                <c:pt idx="283">
                  <c:v>45401</c:v>
                </c:pt>
                <c:pt idx="284">
                  <c:v>45404</c:v>
                </c:pt>
                <c:pt idx="285">
                  <c:v>45405</c:v>
                </c:pt>
                <c:pt idx="286">
                  <c:v>45406</c:v>
                </c:pt>
                <c:pt idx="287">
                  <c:v>45407</c:v>
                </c:pt>
                <c:pt idx="288">
                  <c:v>45408</c:v>
                </c:pt>
                <c:pt idx="289">
                  <c:v>45411</c:v>
                </c:pt>
                <c:pt idx="290">
                  <c:v>45412</c:v>
                </c:pt>
                <c:pt idx="291">
                  <c:v>45413</c:v>
                </c:pt>
                <c:pt idx="292">
                  <c:v>45414</c:v>
                </c:pt>
                <c:pt idx="293">
                  <c:v>45415</c:v>
                </c:pt>
                <c:pt idx="294">
                  <c:v>45418</c:v>
                </c:pt>
                <c:pt idx="295">
                  <c:v>45419</c:v>
                </c:pt>
                <c:pt idx="296">
                  <c:v>45420</c:v>
                </c:pt>
                <c:pt idx="297">
                  <c:v>45421</c:v>
                </c:pt>
                <c:pt idx="298">
                  <c:v>45422</c:v>
                </c:pt>
                <c:pt idx="299">
                  <c:v>45425</c:v>
                </c:pt>
                <c:pt idx="300">
                  <c:v>45426</c:v>
                </c:pt>
                <c:pt idx="301">
                  <c:v>45427</c:v>
                </c:pt>
                <c:pt idx="302">
                  <c:v>45428</c:v>
                </c:pt>
                <c:pt idx="303">
                  <c:v>45429</c:v>
                </c:pt>
                <c:pt idx="304">
                  <c:v>45432</c:v>
                </c:pt>
                <c:pt idx="305">
                  <c:v>45433</c:v>
                </c:pt>
                <c:pt idx="306">
                  <c:v>45434</c:v>
                </c:pt>
                <c:pt idx="307">
                  <c:v>45435</c:v>
                </c:pt>
                <c:pt idx="308">
                  <c:v>45436</c:v>
                </c:pt>
                <c:pt idx="309">
                  <c:v>45440</c:v>
                </c:pt>
                <c:pt idx="310">
                  <c:v>45441</c:v>
                </c:pt>
                <c:pt idx="311">
                  <c:v>45442</c:v>
                </c:pt>
                <c:pt idx="312">
                  <c:v>45443</c:v>
                </c:pt>
                <c:pt idx="313">
                  <c:v>45446</c:v>
                </c:pt>
                <c:pt idx="314">
                  <c:v>45447</c:v>
                </c:pt>
                <c:pt idx="315">
                  <c:v>45448</c:v>
                </c:pt>
                <c:pt idx="316">
                  <c:v>45449</c:v>
                </c:pt>
                <c:pt idx="317">
                  <c:v>45450</c:v>
                </c:pt>
                <c:pt idx="318">
                  <c:v>45453</c:v>
                </c:pt>
                <c:pt idx="319">
                  <c:v>45454</c:v>
                </c:pt>
                <c:pt idx="320">
                  <c:v>45455</c:v>
                </c:pt>
                <c:pt idx="321">
                  <c:v>45456</c:v>
                </c:pt>
                <c:pt idx="322">
                  <c:v>45457</c:v>
                </c:pt>
                <c:pt idx="323">
                  <c:v>45460</c:v>
                </c:pt>
                <c:pt idx="324">
                  <c:v>45461</c:v>
                </c:pt>
                <c:pt idx="325">
                  <c:v>45463</c:v>
                </c:pt>
                <c:pt idx="326">
                  <c:v>45464</c:v>
                </c:pt>
                <c:pt idx="327">
                  <c:v>45467</c:v>
                </c:pt>
                <c:pt idx="328">
                  <c:v>45468</c:v>
                </c:pt>
                <c:pt idx="329">
                  <c:v>45469</c:v>
                </c:pt>
                <c:pt idx="330">
                  <c:v>45470</c:v>
                </c:pt>
                <c:pt idx="331">
                  <c:v>45471</c:v>
                </c:pt>
                <c:pt idx="332">
                  <c:v>45474</c:v>
                </c:pt>
                <c:pt idx="333">
                  <c:v>45475</c:v>
                </c:pt>
                <c:pt idx="334">
                  <c:v>45476</c:v>
                </c:pt>
                <c:pt idx="335">
                  <c:v>45478</c:v>
                </c:pt>
                <c:pt idx="336">
                  <c:v>45481</c:v>
                </c:pt>
                <c:pt idx="337">
                  <c:v>45482</c:v>
                </c:pt>
                <c:pt idx="338">
                  <c:v>45483</c:v>
                </c:pt>
                <c:pt idx="339">
                  <c:v>45484</c:v>
                </c:pt>
                <c:pt idx="340">
                  <c:v>45485</c:v>
                </c:pt>
                <c:pt idx="341">
                  <c:v>45488</c:v>
                </c:pt>
                <c:pt idx="342">
                  <c:v>45489</c:v>
                </c:pt>
                <c:pt idx="343">
                  <c:v>45490</c:v>
                </c:pt>
                <c:pt idx="344">
                  <c:v>45491</c:v>
                </c:pt>
                <c:pt idx="345">
                  <c:v>45492</c:v>
                </c:pt>
                <c:pt idx="346">
                  <c:v>45495</c:v>
                </c:pt>
                <c:pt idx="347">
                  <c:v>45496</c:v>
                </c:pt>
                <c:pt idx="348">
                  <c:v>45497</c:v>
                </c:pt>
                <c:pt idx="349">
                  <c:v>45498</c:v>
                </c:pt>
                <c:pt idx="350">
                  <c:v>45499</c:v>
                </c:pt>
                <c:pt idx="351">
                  <c:v>45502</c:v>
                </c:pt>
                <c:pt idx="352">
                  <c:v>45503</c:v>
                </c:pt>
                <c:pt idx="353">
                  <c:v>45504</c:v>
                </c:pt>
                <c:pt idx="354">
                  <c:v>45505</c:v>
                </c:pt>
                <c:pt idx="355">
                  <c:v>45506</c:v>
                </c:pt>
                <c:pt idx="356">
                  <c:v>45509</c:v>
                </c:pt>
                <c:pt idx="357">
                  <c:v>45510</c:v>
                </c:pt>
                <c:pt idx="358">
                  <c:v>45511</c:v>
                </c:pt>
                <c:pt idx="359">
                  <c:v>45512</c:v>
                </c:pt>
                <c:pt idx="360">
                  <c:v>45513</c:v>
                </c:pt>
                <c:pt idx="361">
                  <c:v>45516</c:v>
                </c:pt>
                <c:pt idx="362">
                  <c:v>45517</c:v>
                </c:pt>
                <c:pt idx="363">
                  <c:v>45518</c:v>
                </c:pt>
                <c:pt idx="364">
                  <c:v>45519</c:v>
                </c:pt>
                <c:pt idx="365">
                  <c:v>45520</c:v>
                </c:pt>
                <c:pt idx="366">
                  <c:v>45523</c:v>
                </c:pt>
                <c:pt idx="367">
                  <c:v>45524</c:v>
                </c:pt>
                <c:pt idx="368">
                  <c:v>45525</c:v>
                </c:pt>
                <c:pt idx="369">
                  <c:v>45526</c:v>
                </c:pt>
                <c:pt idx="370">
                  <c:v>45527</c:v>
                </c:pt>
                <c:pt idx="371">
                  <c:v>45530</c:v>
                </c:pt>
                <c:pt idx="372">
                  <c:v>45531</c:v>
                </c:pt>
                <c:pt idx="373">
                  <c:v>45532</c:v>
                </c:pt>
                <c:pt idx="374">
                  <c:v>45533</c:v>
                </c:pt>
                <c:pt idx="375">
                  <c:v>45534</c:v>
                </c:pt>
                <c:pt idx="376">
                  <c:v>45538</c:v>
                </c:pt>
                <c:pt idx="377">
                  <c:v>45539</c:v>
                </c:pt>
                <c:pt idx="378">
                  <c:v>45540</c:v>
                </c:pt>
                <c:pt idx="379">
                  <c:v>45541</c:v>
                </c:pt>
                <c:pt idx="380">
                  <c:v>45544</c:v>
                </c:pt>
                <c:pt idx="381">
                  <c:v>45545</c:v>
                </c:pt>
                <c:pt idx="382">
                  <c:v>45546</c:v>
                </c:pt>
                <c:pt idx="383">
                  <c:v>45547</c:v>
                </c:pt>
                <c:pt idx="384">
                  <c:v>45548</c:v>
                </c:pt>
                <c:pt idx="385">
                  <c:v>45551</c:v>
                </c:pt>
                <c:pt idx="386">
                  <c:v>45552</c:v>
                </c:pt>
                <c:pt idx="387">
                  <c:v>45553</c:v>
                </c:pt>
                <c:pt idx="388">
                  <c:v>45554</c:v>
                </c:pt>
                <c:pt idx="389">
                  <c:v>45555</c:v>
                </c:pt>
                <c:pt idx="390">
                  <c:v>45558</c:v>
                </c:pt>
                <c:pt idx="391">
                  <c:v>45559</c:v>
                </c:pt>
                <c:pt idx="392">
                  <c:v>45560</c:v>
                </c:pt>
                <c:pt idx="393">
                  <c:v>45561</c:v>
                </c:pt>
                <c:pt idx="394">
                  <c:v>45562</c:v>
                </c:pt>
                <c:pt idx="395">
                  <c:v>45565</c:v>
                </c:pt>
                <c:pt idx="396">
                  <c:v>45566</c:v>
                </c:pt>
                <c:pt idx="397">
                  <c:v>45567</c:v>
                </c:pt>
                <c:pt idx="398">
                  <c:v>45568</c:v>
                </c:pt>
                <c:pt idx="399">
                  <c:v>45569</c:v>
                </c:pt>
                <c:pt idx="400">
                  <c:v>45572</c:v>
                </c:pt>
                <c:pt idx="401">
                  <c:v>45573</c:v>
                </c:pt>
                <c:pt idx="402">
                  <c:v>45574</c:v>
                </c:pt>
                <c:pt idx="403">
                  <c:v>45575</c:v>
                </c:pt>
                <c:pt idx="404">
                  <c:v>45576</c:v>
                </c:pt>
                <c:pt idx="405">
                  <c:v>45579</c:v>
                </c:pt>
                <c:pt idx="406">
                  <c:v>45580</c:v>
                </c:pt>
                <c:pt idx="407">
                  <c:v>45581</c:v>
                </c:pt>
                <c:pt idx="408">
                  <c:v>45582</c:v>
                </c:pt>
                <c:pt idx="409">
                  <c:v>45583</c:v>
                </c:pt>
                <c:pt idx="410">
                  <c:v>45586</c:v>
                </c:pt>
                <c:pt idx="411">
                  <c:v>45587</c:v>
                </c:pt>
                <c:pt idx="412">
                  <c:v>45588</c:v>
                </c:pt>
                <c:pt idx="413">
                  <c:v>45589</c:v>
                </c:pt>
                <c:pt idx="414">
                  <c:v>45590</c:v>
                </c:pt>
                <c:pt idx="415">
                  <c:v>45593</c:v>
                </c:pt>
                <c:pt idx="416">
                  <c:v>45594</c:v>
                </c:pt>
                <c:pt idx="417">
                  <c:v>45595</c:v>
                </c:pt>
                <c:pt idx="418">
                  <c:v>45596</c:v>
                </c:pt>
                <c:pt idx="419">
                  <c:v>45597</c:v>
                </c:pt>
                <c:pt idx="420">
                  <c:v>45600</c:v>
                </c:pt>
                <c:pt idx="421">
                  <c:v>45601</c:v>
                </c:pt>
                <c:pt idx="422">
                  <c:v>45602</c:v>
                </c:pt>
                <c:pt idx="423">
                  <c:v>45603</c:v>
                </c:pt>
                <c:pt idx="424">
                  <c:v>45604</c:v>
                </c:pt>
                <c:pt idx="425">
                  <c:v>45607</c:v>
                </c:pt>
                <c:pt idx="426">
                  <c:v>45608</c:v>
                </c:pt>
                <c:pt idx="427">
                  <c:v>45609</c:v>
                </c:pt>
                <c:pt idx="428">
                  <c:v>45610</c:v>
                </c:pt>
                <c:pt idx="429">
                  <c:v>45611</c:v>
                </c:pt>
                <c:pt idx="430">
                  <c:v>45614</c:v>
                </c:pt>
                <c:pt idx="431">
                  <c:v>45615</c:v>
                </c:pt>
                <c:pt idx="432">
                  <c:v>45616</c:v>
                </c:pt>
                <c:pt idx="433">
                  <c:v>45617</c:v>
                </c:pt>
                <c:pt idx="434">
                  <c:v>45618</c:v>
                </c:pt>
                <c:pt idx="435">
                  <c:v>45621</c:v>
                </c:pt>
                <c:pt idx="436">
                  <c:v>45622</c:v>
                </c:pt>
                <c:pt idx="437">
                  <c:v>45623</c:v>
                </c:pt>
                <c:pt idx="438">
                  <c:v>45625</c:v>
                </c:pt>
                <c:pt idx="439">
                  <c:v>45628</c:v>
                </c:pt>
                <c:pt idx="440">
                  <c:v>45629</c:v>
                </c:pt>
                <c:pt idx="441">
                  <c:v>45630</c:v>
                </c:pt>
                <c:pt idx="442">
                  <c:v>45631</c:v>
                </c:pt>
                <c:pt idx="443">
                  <c:v>45632</c:v>
                </c:pt>
                <c:pt idx="444">
                  <c:v>45635</c:v>
                </c:pt>
                <c:pt idx="445">
                  <c:v>45636</c:v>
                </c:pt>
                <c:pt idx="446">
                  <c:v>45637</c:v>
                </c:pt>
                <c:pt idx="447">
                  <c:v>45638</c:v>
                </c:pt>
                <c:pt idx="448">
                  <c:v>45639</c:v>
                </c:pt>
                <c:pt idx="449">
                  <c:v>45642</c:v>
                </c:pt>
                <c:pt idx="450">
                  <c:v>45643</c:v>
                </c:pt>
                <c:pt idx="451">
                  <c:v>45644</c:v>
                </c:pt>
                <c:pt idx="452">
                  <c:v>45645</c:v>
                </c:pt>
                <c:pt idx="453">
                  <c:v>45646</c:v>
                </c:pt>
                <c:pt idx="454">
                  <c:v>45649</c:v>
                </c:pt>
                <c:pt idx="455">
                  <c:v>45650</c:v>
                </c:pt>
                <c:pt idx="456">
                  <c:v>45652</c:v>
                </c:pt>
                <c:pt idx="457">
                  <c:v>45653</c:v>
                </c:pt>
                <c:pt idx="458">
                  <c:v>45656</c:v>
                </c:pt>
                <c:pt idx="459">
                  <c:v>45657</c:v>
                </c:pt>
                <c:pt idx="460">
                  <c:v>45659</c:v>
                </c:pt>
                <c:pt idx="461">
                  <c:v>45660</c:v>
                </c:pt>
                <c:pt idx="462">
                  <c:v>45663</c:v>
                </c:pt>
                <c:pt idx="463">
                  <c:v>45664</c:v>
                </c:pt>
                <c:pt idx="464">
                  <c:v>45665</c:v>
                </c:pt>
                <c:pt idx="465">
                  <c:v>45667</c:v>
                </c:pt>
                <c:pt idx="466">
                  <c:v>45670</c:v>
                </c:pt>
                <c:pt idx="467">
                  <c:v>45671</c:v>
                </c:pt>
                <c:pt idx="468">
                  <c:v>45672</c:v>
                </c:pt>
                <c:pt idx="469">
                  <c:v>45673</c:v>
                </c:pt>
                <c:pt idx="470">
                  <c:v>45674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45684</c:v>
                </c:pt>
                <c:pt idx="476">
                  <c:v>45685</c:v>
                </c:pt>
                <c:pt idx="477">
                  <c:v>45686</c:v>
                </c:pt>
                <c:pt idx="478">
                  <c:v>45687</c:v>
                </c:pt>
                <c:pt idx="479">
                  <c:v>45688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45706</c:v>
                </c:pt>
                <c:pt idx="491">
                  <c:v>45707</c:v>
                </c:pt>
                <c:pt idx="492">
                  <c:v>45708</c:v>
                </c:pt>
                <c:pt idx="493">
                  <c:v>45709</c:v>
                </c:pt>
                <c:pt idx="494">
                  <c:v>45712</c:v>
                </c:pt>
                <c:pt idx="495">
                  <c:v>45713</c:v>
                </c:pt>
                <c:pt idx="496">
                  <c:v>45714</c:v>
                </c:pt>
                <c:pt idx="497">
                  <c:v>45715</c:v>
                </c:pt>
                <c:pt idx="498">
                  <c:v>45716</c:v>
                </c:pt>
                <c:pt idx="499">
                  <c:v>45719</c:v>
                </c:pt>
                <c:pt idx="500">
                  <c:v>45720</c:v>
                </c:pt>
                <c:pt idx="501">
                  <c:v>45721</c:v>
                </c:pt>
                <c:pt idx="502">
                  <c:v>45722</c:v>
                </c:pt>
                <c:pt idx="503">
                  <c:v>45723</c:v>
                </c:pt>
                <c:pt idx="504">
                  <c:v>45726</c:v>
                </c:pt>
                <c:pt idx="505">
                  <c:v>45727</c:v>
                </c:pt>
                <c:pt idx="506">
                  <c:v>45728</c:v>
                </c:pt>
                <c:pt idx="507">
                  <c:v>45729</c:v>
                </c:pt>
                <c:pt idx="508">
                  <c:v>45730</c:v>
                </c:pt>
                <c:pt idx="509">
                  <c:v>45733</c:v>
                </c:pt>
                <c:pt idx="510">
                  <c:v>45734</c:v>
                </c:pt>
                <c:pt idx="511">
                  <c:v>45735</c:v>
                </c:pt>
                <c:pt idx="512">
                  <c:v>45736</c:v>
                </c:pt>
                <c:pt idx="513">
                  <c:v>45737</c:v>
                </c:pt>
                <c:pt idx="514">
                  <c:v>45740</c:v>
                </c:pt>
                <c:pt idx="515">
                  <c:v>45741</c:v>
                </c:pt>
                <c:pt idx="516">
                  <c:v>45742</c:v>
                </c:pt>
                <c:pt idx="517">
                  <c:v>45743</c:v>
                </c:pt>
                <c:pt idx="518">
                  <c:v>45744</c:v>
                </c:pt>
                <c:pt idx="519">
                  <c:v>45747</c:v>
                </c:pt>
                <c:pt idx="520">
                  <c:v>45748</c:v>
                </c:pt>
                <c:pt idx="521">
                  <c:v>45749</c:v>
                </c:pt>
                <c:pt idx="522">
                  <c:v>45750</c:v>
                </c:pt>
                <c:pt idx="523">
                  <c:v>45751</c:v>
                </c:pt>
                <c:pt idx="524">
                  <c:v>45754</c:v>
                </c:pt>
                <c:pt idx="525">
                  <c:v>45755</c:v>
                </c:pt>
                <c:pt idx="526">
                  <c:v>45756</c:v>
                </c:pt>
                <c:pt idx="527">
                  <c:v>45757</c:v>
                </c:pt>
                <c:pt idx="528">
                  <c:v>45758</c:v>
                </c:pt>
                <c:pt idx="529">
                  <c:v>45761</c:v>
                </c:pt>
                <c:pt idx="530">
                  <c:v>45762</c:v>
                </c:pt>
                <c:pt idx="531">
                  <c:v>45763</c:v>
                </c:pt>
                <c:pt idx="532">
                  <c:v>45764</c:v>
                </c:pt>
                <c:pt idx="533">
                  <c:v>45768</c:v>
                </c:pt>
                <c:pt idx="534">
                  <c:v>45769</c:v>
                </c:pt>
                <c:pt idx="535">
                  <c:v>45770</c:v>
                </c:pt>
                <c:pt idx="536">
                  <c:v>45771</c:v>
                </c:pt>
                <c:pt idx="537">
                  <c:v>45772</c:v>
                </c:pt>
                <c:pt idx="538">
                  <c:v>45775</c:v>
                </c:pt>
                <c:pt idx="539">
                  <c:v>45776</c:v>
                </c:pt>
                <c:pt idx="540">
                  <c:v>45777</c:v>
                </c:pt>
                <c:pt idx="541">
                  <c:v>45778</c:v>
                </c:pt>
                <c:pt idx="542">
                  <c:v>45779</c:v>
                </c:pt>
                <c:pt idx="543">
                  <c:v>45782</c:v>
                </c:pt>
                <c:pt idx="544">
                  <c:v>45783</c:v>
                </c:pt>
                <c:pt idx="545">
                  <c:v>45784</c:v>
                </c:pt>
                <c:pt idx="546">
                  <c:v>45785</c:v>
                </c:pt>
                <c:pt idx="547">
                  <c:v>45786</c:v>
                </c:pt>
                <c:pt idx="548">
                  <c:v>45789</c:v>
                </c:pt>
                <c:pt idx="549">
                  <c:v>45790</c:v>
                </c:pt>
                <c:pt idx="550">
                  <c:v>45791</c:v>
                </c:pt>
                <c:pt idx="551">
                  <c:v>45792</c:v>
                </c:pt>
                <c:pt idx="552">
                  <c:v>45793</c:v>
                </c:pt>
                <c:pt idx="553">
                  <c:v>45796</c:v>
                </c:pt>
                <c:pt idx="554">
                  <c:v>45797</c:v>
                </c:pt>
                <c:pt idx="555">
                  <c:v>45798</c:v>
                </c:pt>
                <c:pt idx="556">
                  <c:v>45799</c:v>
                </c:pt>
                <c:pt idx="557">
                  <c:v>45800</c:v>
                </c:pt>
                <c:pt idx="558">
                  <c:v>45804</c:v>
                </c:pt>
                <c:pt idx="559">
                  <c:v>45805</c:v>
                </c:pt>
                <c:pt idx="560">
                  <c:v>45806</c:v>
                </c:pt>
                <c:pt idx="561">
                  <c:v>45807</c:v>
                </c:pt>
                <c:pt idx="562">
                  <c:v>45810</c:v>
                </c:pt>
                <c:pt idx="563">
                  <c:v>45811</c:v>
                </c:pt>
                <c:pt idx="564">
                  <c:v>45812</c:v>
                </c:pt>
                <c:pt idx="565">
                  <c:v>45813</c:v>
                </c:pt>
                <c:pt idx="566">
                  <c:v>45814</c:v>
                </c:pt>
                <c:pt idx="567">
                  <c:v>45817</c:v>
                </c:pt>
                <c:pt idx="568">
                  <c:v>45818</c:v>
                </c:pt>
                <c:pt idx="569">
                  <c:v>45819</c:v>
                </c:pt>
                <c:pt idx="570">
                  <c:v>45820</c:v>
                </c:pt>
                <c:pt idx="571">
                  <c:v>45821</c:v>
                </c:pt>
                <c:pt idx="572">
                  <c:v>45824</c:v>
                </c:pt>
                <c:pt idx="573">
                  <c:v>45825</c:v>
                </c:pt>
                <c:pt idx="574">
                  <c:v>45826</c:v>
                </c:pt>
                <c:pt idx="575">
                  <c:v>45828</c:v>
                </c:pt>
                <c:pt idx="576">
                  <c:v>45831</c:v>
                </c:pt>
                <c:pt idx="577">
                  <c:v>45832</c:v>
                </c:pt>
                <c:pt idx="578">
                  <c:v>45833</c:v>
                </c:pt>
                <c:pt idx="579">
                  <c:v>45834</c:v>
                </c:pt>
                <c:pt idx="580">
                  <c:v>45835</c:v>
                </c:pt>
                <c:pt idx="581">
                  <c:v>45838</c:v>
                </c:pt>
                <c:pt idx="582">
                  <c:v>45839</c:v>
                </c:pt>
                <c:pt idx="583">
                  <c:v>45840</c:v>
                </c:pt>
                <c:pt idx="584">
                  <c:v>45841</c:v>
                </c:pt>
                <c:pt idx="585">
                  <c:v>45845</c:v>
                </c:pt>
                <c:pt idx="586">
                  <c:v>45846</c:v>
                </c:pt>
                <c:pt idx="587">
                  <c:v>45847</c:v>
                </c:pt>
                <c:pt idx="588">
                  <c:v>45848</c:v>
                </c:pt>
                <c:pt idx="589">
                  <c:v>45849</c:v>
                </c:pt>
                <c:pt idx="590">
                  <c:v>45852</c:v>
                </c:pt>
                <c:pt idx="591">
                  <c:v>45853</c:v>
                </c:pt>
                <c:pt idx="592">
                  <c:v>45854</c:v>
                </c:pt>
                <c:pt idx="593">
                  <c:v>45855</c:v>
                </c:pt>
                <c:pt idx="594">
                  <c:v>45856</c:v>
                </c:pt>
                <c:pt idx="595">
                  <c:v>45859</c:v>
                </c:pt>
                <c:pt idx="596">
                  <c:v>45860</c:v>
                </c:pt>
                <c:pt idx="597">
                  <c:v>45861</c:v>
                </c:pt>
                <c:pt idx="598">
                  <c:v>45862</c:v>
                </c:pt>
                <c:pt idx="599">
                  <c:v>45863</c:v>
                </c:pt>
                <c:pt idx="600">
                  <c:v>45866</c:v>
                </c:pt>
                <c:pt idx="601">
                  <c:v>45867</c:v>
                </c:pt>
                <c:pt idx="602">
                  <c:v>45868</c:v>
                </c:pt>
                <c:pt idx="603">
                  <c:v>45869</c:v>
                </c:pt>
                <c:pt idx="604">
                  <c:v>45870</c:v>
                </c:pt>
                <c:pt idx="605">
                  <c:v>45873</c:v>
                </c:pt>
                <c:pt idx="606">
                  <c:v>45874</c:v>
                </c:pt>
                <c:pt idx="607">
                  <c:v>45875</c:v>
                </c:pt>
                <c:pt idx="608">
                  <c:v>45876</c:v>
                </c:pt>
                <c:pt idx="609">
                  <c:v>45877</c:v>
                </c:pt>
                <c:pt idx="610">
                  <c:v>45880</c:v>
                </c:pt>
                <c:pt idx="611">
                  <c:v>45881</c:v>
                </c:pt>
                <c:pt idx="612">
                  <c:v>45882</c:v>
                </c:pt>
                <c:pt idx="613">
                  <c:v>45883</c:v>
                </c:pt>
                <c:pt idx="614">
                  <c:v>45884</c:v>
                </c:pt>
                <c:pt idx="615">
                  <c:v>45887</c:v>
                </c:pt>
                <c:pt idx="616">
                  <c:v>45888</c:v>
                </c:pt>
                <c:pt idx="617">
                  <c:v>45889</c:v>
                </c:pt>
                <c:pt idx="618">
                  <c:v>45890</c:v>
                </c:pt>
                <c:pt idx="619">
                  <c:v>45891</c:v>
                </c:pt>
                <c:pt idx="620">
                  <c:v>45894</c:v>
                </c:pt>
                <c:pt idx="621">
                  <c:v>45895</c:v>
                </c:pt>
                <c:pt idx="622">
                  <c:v>45896</c:v>
                </c:pt>
                <c:pt idx="623">
                  <c:v>45897</c:v>
                </c:pt>
                <c:pt idx="624">
                  <c:v>45898</c:v>
                </c:pt>
                <c:pt idx="625">
                  <c:v>45902</c:v>
                </c:pt>
                <c:pt idx="626">
                  <c:v>45903</c:v>
                </c:pt>
                <c:pt idx="627">
                  <c:v>45904</c:v>
                </c:pt>
                <c:pt idx="628">
                  <c:v>45905</c:v>
                </c:pt>
                <c:pt idx="629">
                  <c:v>45908</c:v>
                </c:pt>
                <c:pt idx="630">
                  <c:v>45909</c:v>
                </c:pt>
                <c:pt idx="631">
                  <c:v>45910</c:v>
                </c:pt>
                <c:pt idx="632">
                  <c:v>45911</c:v>
                </c:pt>
                <c:pt idx="633">
                  <c:v>45912</c:v>
                </c:pt>
                <c:pt idx="634">
                  <c:v>45915</c:v>
                </c:pt>
                <c:pt idx="635">
                  <c:v>45916</c:v>
                </c:pt>
                <c:pt idx="636">
                  <c:v>45917</c:v>
                </c:pt>
                <c:pt idx="637">
                  <c:v>45918</c:v>
                </c:pt>
                <c:pt idx="638">
                  <c:v>45919</c:v>
                </c:pt>
                <c:pt idx="639">
                  <c:v>45922</c:v>
                </c:pt>
                <c:pt idx="640">
                  <c:v>45923</c:v>
                </c:pt>
                <c:pt idx="641">
                  <c:v>45924</c:v>
                </c:pt>
                <c:pt idx="642">
                  <c:v>45925</c:v>
                </c:pt>
                <c:pt idx="643">
                  <c:v>45926</c:v>
                </c:pt>
                <c:pt idx="644">
                  <c:v>45929</c:v>
                </c:pt>
                <c:pt idx="645">
                  <c:v>45930</c:v>
                </c:pt>
                <c:pt idx="646">
                  <c:v>45931</c:v>
                </c:pt>
                <c:pt idx="647">
                  <c:v>45932</c:v>
                </c:pt>
                <c:pt idx="648">
                  <c:v>45933</c:v>
                </c:pt>
                <c:pt idx="649">
                  <c:v>45936</c:v>
                </c:pt>
                <c:pt idx="650">
                  <c:v>45937</c:v>
                </c:pt>
                <c:pt idx="651">
                  <c:v>45938</c:v>
                </c:pt>
                <c:pt idx="652">
                  <c:v>45939</c:v>
                </c:pt>
                <c:pt idx="653">
                  <c:v>45940</c:v>
                </c:pt>
                <c:pt idx="654">
                  <c:v>45943</c:v>
                </c:pt>
                <c:pt idx="655">
                  <c:v>45944</c:v>
                </c:pt>
                <c:pt idx="656">
                  <c:v>45945</c:v>
                </c:pt>
                <c:pt idx="657">
                  <c:v>45946</c:v>
                </c:pt>
                <c:pt idx="658">
                  <c:v>45947</c:v>
                </c:pt>
                <c:pt idx="659">
                  <c:v>45950</c:v>
                </c:pt>
                <c:pt idx="660">
                  <c:v>45951</c:v>
                </c:pt>
                <c:pt idx="661">
                  <c:v>45952</c:v>
                </c:pt>
                <c:pt idx="662">
                  <c:v>45953</c:v>
                </c:pt>
                <c:pt idx="663">
                  <c:v>45954</c:v>
                </c:pt>
                <c:pt idx="664">
                  <c:v>45957</c:v>
                </c:pt>
                <c:pt idx="665">
                  <c:v>45958</c:v>
                </c:pt>
                <c:pt idx="666">
                  <c:v>45959</c:v>
                </c:pt>
                <c:pt idx="667">
                  <c:v>45960</c:v>
                </c:pt>
                <c:pt idx="668">
                  <c:v>45961</c:v>
                </c:pt>
                <c:pt idx="669">
                  <c:v>45964</c:v>
                </c:pt>
                <c:pt idx="670">
                  <c:v>45965</c:v>
                </c:pt>
                <c:pt idx="671">
                  <c:v>45966</c:v>
                </c:pt>
                <c:pt idx="672">
                  <c:v>45967</c:v>
                </c:pt>
                <c:pt idx="673">
                  <c:v>45968</c:v>
                </c:pt>
                <c:pt idx="674">
                  <c:v>45971</c:v>
                </c:pt>
                <c:pt idx="675">
                  <c:v>45972</c:v>
                </c:pt>
                <c:pt idx="676">
                  <c:v>45973</c:v>
                </c:pt>
                <c:pt idx="677">
                  <c:v>45974</c:v>
                </c:pt>
                <c:pt idx="678">
                  <c:v>45975</c:v>
                </c:pt>
                <c:pt idx="679">
                  <c:v>45978</c:v>
                </c:pt>
                <c:pt idx="680">
                  <c:v>45979</c:v>
                </c:pt>
                <c:pt idx="681">
                  <c:v>45980</c:v>
                </c:pt>
                <c:pt idx="682">
                  <c:v>45981</c:v>
                </c:pt>
                <c:pt idx="683">
                  <c:v>45982</c:v>
                </c:pt>
                <c:pt idx="684">
                  <c:v>45985</c:v>
                </c:pt>
                <c:pt idx="685">
                  <c:v>45986</c:v>
                </c:pt>
                <c:pt idx="686">
                  <c:v>45987</c:v>
                </c:pt>
                <c:pt idx="687">
                  <c:v>45989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45999</c:v>
                </c:pt>
                <c:pt idx="694">
                  <c:v>46000</c:v>
                </c:pt>
                <c:pt idx="695">
                  <c:v>46001</c:v>
                </c:pt>
                <c:pt idx="696">
                  <c:v>46002</c:v>
                </c:pt>
                <c:pt idx="697">
                  <c:v>46003</c:v>
                </c:pt>
                <c:pt idx="698">
                  <c:v>46006</c:v>
                </c:pt>
                <c:pt idx="699">
                  <c:v>46007</c:v>
                </c:pt>
                <c:pt idx="700">
                  <c:v>46008</c:v>
                </c:pt>
                <c:pt idx="701">
                  <c:v>46009</c:v>
                </c:pt>
                <c:pt idx="702">
                  <c:v>46010</c:v>
                </c:pt>
                <c:pt idx="703">
                  <c:v>46013</c:v>
                </c:pt>
                <c:pt idx="704">
                  <c:v>46014</c:v>
                </c:pt>
                <c:pt idx="705">
                  <c:v>46015</c:v>
                </c:pt>
                <c:pt idx="706">
                  <c:v>46017</c:v>
                </c:pt>
                <c:pt idx="707">
                  <c:v>46020</c:v>
                </c:pt>
                <c:pt idx="708">
                  <c:v>46021</c:v>
                </c:pt>
                <c:pt idx="709">
                  <c:v>46022</c:v>
                </c:pt>
                <c:pt idx="710">
                  <c:v>46024</c:v>
                </c:pt>
                <c:pt idx="711">
                  <c:v>46027</c:v>
                </c:pt>
                <c:pt idx="712">
                  <c:v>46028</c:v>
                </c:pt>
                <c:pt idx="713">
                  <c:v>46029</c:v>
                </c:pt>
                <c:pt idx="714">
                  <c:v>46030</c:v>
                </c:pt>
                <c:pt idx="715">
                  <c:v>46031</c:v>
                </c:pt>
                <c:pt idx="716">
                  <c:v>46034</c:v>
                </c:pt>
                <c:pt idx="717">
                  <c:v>46035</c:v>
                </c:pt>
                <c:pt idx="718">
                  <c:v>46036</c:v>
                </c:pt>
                <c:pt idx="719">
                  <c:v>46037</c:v>
                </c:pt>
                <c:pt idx="720">
                  <c:v>46038</c:v>
                </c:pt>
                <c:pt idx="721">
                  <c:v>46042</c:v>
                </c:pt>
                <c:pt idx="722">
                  <c:v>46043</c:v>
                </c:pt>
                <c:pt idx="723">
                  <c:v>46044</c:v>
                </c:pt>
                <c:pt idx="724">
                  <c:v>46045</c:v>
                </c:pt>
                <c:pt idx="725">
                  <c:v>46048</c:v>
                </c:pt>
                <c:pt idx="726">
                  <c:v>46049</c:v>
                </c:pt>
                <c:pt idx="727">
                  <c:v>46050</c:v>
                </c:pt>
                <c:pt idx="728">
                  <c:v>46051</c:v>
                </c:pt>
                <c:pt idx="729">
                  <c:v>46052</c:v>
                </c:pt>
                <c:pt idx="730">
                  <c:v>46055</c:v>
                </c:pt>
                <c:pt idx="731">
                  <c:v>46056</c:v>
                </c:pt>
                <c:pt idx="732">
                  <c:v>46057</c:v>
                </c:pt>
                <c:pt idx="733">
                  <c:v>46058</c:v>
                </c:pt>
                <c:pt idx="734">
                  <c:v>46059</c:v>
                </c:pt>
                <c:pt idx="735">
                  <c:v>46062</c:v>
                </c:pt>
                <c:pt idx="736">
                  <c:v>46063</c:v>
                </c:pt>
                <c:pt idx="737">
                  <c:v>46064</c:v>
                </c:pt>
                <c:pt idx="738">
                  <c:v>46065</c:v>
                </c:pt>
                <c:pt idx="739">
                  <c:v>46066</c:v>
                </c:pt>
                <c:pt idx="740">
                  <c:v>46070</c:v>
                </c:pt>
                <c:pt idx="741">
                  <c:v>46071</c:v>
                </c:pt>
                <c:pt idx="742">
                  <c:v>46072</c:v>
                </c:pt>
                <c:pt idx="743">
                  <c:v>46073</c:v>
                </c:pt>
                <c:pt idx="744">
                  <c:v>46076</c:v>
                </c:pt>
                <c:pt idx="745">
                  <c:v>46077</c:v>
                </c:pt>
                <c:pt idx="746">
                  <c:v>46078</c:v>
                </c:pt>
                <c:pt idx="747">
                  <c:v>46079</c:v>
                </c:pt>
                <c:pt idx="748">
                  <c:v>46080</c:v>
                </c:pt>
                <c:pt idx="749">
                  <c:v>46083</c:v>
                </c:pt>
                <c:pt idx="750">
                  <c:v>46084</c:v>
                </c:pt>
                <c:pt idx="751">
                  <c:v>46085</c:v>
                </c:pt>
              </c:numCache>
            </c:numRef>
          </c:cat>
          <c:val>
            <c:numRef>
              <c:f>'Share Price Analysis'!$H$36:$H$787</c:f>
              <c:numCache>
                <c:formatCode>0.00%</c:formatCode>
                <c:ptCount val="752"/>
                <c:pt idx="0">
                  <c:v>0</c:v>
                </c:pt>
                <c:pt idx="1">
                  <c:v>-1.4238834195450245E-2</c:v>
                </c:pt>
                <c:pt idx="2">
                  <c:v>-4.8389788086101726E-3</c:v>
                </c:pt>
                <c:pt idx="3">
                  <c:v>-3.1814895155459211E-2</c:v>
                </c:pt>
                <c:pt idx="4">
                  <c:v>-5.8401468379776444E-2</c:v>
                </c:pt>
                <c:pt idx="5">
                  <c:v>-7.6811836030925007E-2</c:v>
                </c:pt>
                <c:pt idx="6">
                  <c:v>-6.8301907781300519E-2</c:v>
                </c:pt>
                <c:pt idx="7">
                  <c:v>-9.4443517437009961E-2</c:v>
                </c:pt>
                <c:pt idx="8">
                  <c:v>-7.5532565771177507E-2</c:v>
                </c:pt>
                <c:pt idx="9">
                  <c:v>-0.1043995772846098</c:v>
                </c:pt>
                <c:pt idx="10">
                  <c:v>-9.1884976917514849E-2</c:v>
                </c:pt>
                <c:pt idx="11">
                  <c:v>-7.5921908893709422E-2</c:v>
                </c:pt>
                <c:pt idx="12">
                  <c:v>-8.9437677290171824E-2</c:v>
                </c:pt>
                <c:pt idx="13">
                  <c:v>-8.5043662050169666E-2</c:v>
                </c:pt>
                <c:pt idx="14">
                  <c:v>-7.5588186217253606E-2</c:v>
                </c:pt>
                <c:pt idx="15">
                  <c:v>-7.7813004060292568E-2</c:v>
                </c:pt>
                <c:pt idx="16">
                  <c:v>-6.5354024139273714E-2</c:v>
                </c:pt>
                <c:pt idx="17">
                  <c:v>-5.4508037154457956E-2</c:v>
                </c:pt>
                <c:pt idx="18">
                  <c:v>-5.3673730463318359E-2</c:v>
                </c:pt>
                <c:pt idx="19">
                  <c:v>-4.5775627120529516E-2</c:v>
                </c:pt>
                <c:pt idx="20">
                  <c:v>-3.8155626008120613E-2</c:v>
                </c:pt>
                <c:pt idx="21">
                  <c:v>-6.0793147561043481E-2</c:v>
                </c:pt>
                <c:pt idx="22">
                  <c:v>-8.7490961677512802E-2</c:v>
                </c:pt>
                <c:pt idx="23">
                  <c:v>-8.265198286890274E-2</c:v>
                </c:pt>
                <c:pt idx="24">
                  <c:v>-7.6644974692697265E-2</c:v>
                </c:pt>
                <c:pt idx="25">
                  <c:v>-7.3530229712442496E-2</c:v>
                </c:pt>
                <c:pt idx="26">
                  <c:v>-6.935869625674429E-2</c:v>
                </c:pt>
                <c:pt idx="27">
                  <c:v>-5.7455920796485094E-2</c:v>
                </c:pt>
                <c:pt idx="28">
                  <c:v>-5.9569497747372191E-2</c:v>
                </c:pt>
                <c:pt idx="29">
                  <c:v>-4.3995772846098458E-2</c:v>
                </c:pt>
                <c:pt idx="30">
                  <c:v>-4.1325991434451481E-2</c:v>
                </c:pt>
                <c:pt idx="31">
                  <c:v>-3.4762778797486349E-2</c:v>
                </c:pt>
                <c:pt idx="32">
                  <c:v>-4.0881027865843911E-2</c:v>
                </c:pt>
                <c:pt idx="33">
                  <c:v>-4.8111685855721009E-2</c:v>
                </c:pt>
                <c:pt idx="34">
                  <c:v>-4.6609933811669668E-2</c:v>
                </c:pt>
                <c:pt idx="35">
                  <c:v>-5.6287891428889791E-2</c:v>
                </c:pt>
                <c:pt idx="36">
                  <c:v>-7.3085266143834815E-2</c:v>
                </c:pt>
                <c:pt idx="37">
                  <c:v>-3.7877523777741118E-2</c:v>
                </c:pt>
                <c:pt idx="38">
                  <c:v>-2.59747483174817E-2</c:v>
                </c:pt>
                <c:pt idx="39">
                  <c:v>-1.2681461705323138E-2</c:v>
                </c:pt>
                <c:pt idx="40">
                  <c:v>-2.8922631959509282E-3</c:v>
                </c:pt>
                <c:pt idx="41">
                  <c:v>-6.5075921908894774E-3</c:v>
                </c:pt>
                <c:pt idx="42">
                  <c:v>5.8067745703320295E-2</c:v>
                </c:pt>
                <c:pt idx="43">
                  <c:v>7.664497469269671E-2</c:v>
                </c:pt>
                <c:pt idx="44">
                  <c:v>7.2529061683074492E-2</c:v>
                </c:pt>
                <c:pt idx="45">
                  <c:v>7.4086434173201932E-2</c:v>
                </c:pt>
                <c:pt idx="46">
                  <c:v>9.0661327103843004E-2</c:v>
                </c:pt>
                <c:pt idx="47">
                  <c:v>8.3653150898269857E-2</c:v>
                </c:pt>
                <c:pt idx="48">
                  <c:v>8.6712275432448527E-2</c:v>
                </c:pt>
                <c:pt idx="49">
                  <c:v>9.1106290672450685E-2</c:v>
                </c:pt>
                <c:pt idx="50">
                  <c:v>8.4654318927637195E-2</c:v>
                </c:pt>
                <c:pt idx="51">
                  <c:v>9.299738583903383E-2</c:v>
                </c:pt>
                <c:pt idx="52">
                  <c:v>9.2441181378274173E-2</c:v>
                </c:pt>
                <c:pt idx="53">
                  <c:v>9.6946437510428307E-2</c:v>
                </c:pt>
                <c:pt idx="54">
                  <c:v>9.7168919294732037E-2</c:v>
                </c:pt>
                <c:pt idx="55">
                  <c:v>8.5711107403080522E-2</c:v>
                </c:pt>
                <c:pt idx="56">
                  <c:v>7.959285833472296E-2</c:v>
                </c:pt>
                <c:pt idx="57">
                  <c:v>8.5154902942320643E-2</c:v>
                </c:pt>
                <c:pt idx="58">
                  <c:v>9.0160743089158668E-2</c:v>
                </c:pt>
                <c:pt idx="59">
                  <c:v>9.0438845319538608E-2</c:v>
                </c:pt>
                <c:pt idx="60">
                  <c:v>8.7379720785359716E-2</c:v>
                </c:pt>
                <c:pt idx="61">
                  <c:v>0.1057344679904324</c:v>
                </c:pt>
                <c:pt idx="62">
                  <c:v>0.12759330329829144</c:v>
                </c:pt>
                <c:pt idx="63">
                  <c:v>0.1248679014405687</c:v>
                </c:pt>
                <c:pt idx="64">
                  <c:v>0.12976250069525475</c:v>
                </c:pt>
                <c:pt idx="65">
                  <c:v>0.14016352411146271</c:v>
                </c:pt>
                <c:pt idx="66">
                  <c:v>0.14678235719450394</c:v>
                </c:pt>
                <c:pt idx="67">
                  <c:v>0.14934089771399894</c:v>
                </c:pt>
                <c:pt idx="68">
                  <c:v>0.14516936425830074</c:v>
                </c:pt>
                <c:pt idx="69">
                  <c:v>0.15523666499805278</c:v>
                </c:pt>
                <c:pt idx="70">
                  <c:v>0.15351243116969759</c:v>
                </c:pt>
                <c:pt idx="71">
                  <c:v>0.16213360031147395</c:v>
                </c:pt>
                <c:pt idx="72">
                  <c:v>0.15306746760108969</c:v>
                </c:pt>
                <c:pt idx="73">
                  <c:v>0.16068746871349848</c:v>
                </c:pt>
                <c:pt idx="74">
                  <c:v>0.1711997330218582</c:v>
                </c:pt>
                <c:pt idx="75">
                  <c:v>0.18721842149173984</c:v>
                </c:pt>
                <c:pt idx="76">
                  <c:v>0.19266922520718577</c:v>
                </c:pt>
                <c:pt idx="77">
                  <c:v>0.19456032037376891</c:v>
                </c:pt>
                <c:pt idx="78">
                  <c:v>0.2259858724066961</c:v>
                </c:pt>
                <c:pt idx="79">
                  <c:v>0.22843317203403912</c:v>
                </c:pt>
                <c:pt idx="80">
                  <c:v>0.25057010957227832</c:v>
                </c:pt>
                <c:pt idx="81">
                  <c:v>0.25390733633683693</c:v>
                </c:pt>
                <c:pt idx="82">
                  <c:v>0.24222704266088169</c:v>
                </c:pt>
                <c:pt idx="83">
                  <c:v>0.22715390177429184</c:v>
                </c:pt>
                <c:pt idx="84">
                  <c:v>0.21247010401023392</c:v>
                </c:pt>
                <c:pt idx="85">
                  <c:v>0.20907725679959932</c:v>
                </c:pt>
                <c:pt idx="86">
                  <c:v>0.2202569664608709</c:v>
                </c:pt>
                <c:pt idx="87">
                  <c:v>0.24372879470493358</c:v>
                </c:pt>
                <c:pt idx="88">
                  <c:v>0.22520718616163293</c:v>
                </c:pt>
                <c:pt idx="89">
                  <c:v>0.24233828355303388</c:v>
                </c:pt>
                <c:pt idx="90">
                  <c:v>0.25006952555759465</c:v>
                </c:pt>
                <c:pt idx="91">
                  <c:v>0.24428499916569302</c:v>
                </c:pt>
                <c:pt idx="92">
                  <c:v>0.24534178764113657</c:v>
                </c:pt>
                <c:pt idx="93">
                  <c:v>0.23110295344568632</c:v>
                </c:pt>
                <c:pt idx="94">
                  <c:v>0.23271594638188975</c:v>
                </c:pt>
                <c:pt idx="95">
                  <c:v>0.2364425162689805</c:v>
                </c:pt>
                <c:pt idx="96">
                  <c:v>0.23811112965125969</c:v>
                </c:pt>
                <c:pt idx="97">
                  <c:v>0.23616441403860056</c:v>
                </c:pt>
                <c:pt idx="98">
                  <c:v>0.24289448801379376</c:v>
                </c:pt>
                <c:pt idx="99">
                  <c:v>0.21413871739251333</c:v>
                </c:pt>
                <c:pt idx="100">
                  <c:v>0.22470660214694904</c:v>
                </c:pt>
                <c:pt idx="101">
                  <c:v>0.22643083597530445</c:v>
                </c:pt>
                <c:pt idx="102">
                  <c:v>0.2457311307636687</c:v>
                </c:pt>
                <c:pt idx="103">
                  <c:v>0.24078091106290689</c:v>
                </c:pt>
                <c:pt idx="104">
                  <c:v>0.2580788697925358</c:v>
                </c:pt>
                <c:pt idx="105">
                  <c:v>0.25702208131709225</c:v>
                </c:pt>
                <c:pt idx="106">
                  <c:v>0.27215084264975808</c:v>
                </c:pt>
                <c:pt idx="107">
                  <c:v>0.26169419878747435</c:v>
                </c:pt>
                <c:pt idx="108">
                  <c:v>0.24244952444518608</c:v>
                </c:pt>
                <c:pt idx="109">
                  <c:v>0.24762222593025185</c:v>
                </c:pt>
                <c:pt idx="110">
                  <c:v>0.24545302853328876</c:v>
                </c:pt>
                <c:pt idx="111">
                  <c:v>0.25218310250848219</c:v>
                </c:pt>
                <c:pt idx="112">
                  <c:v>0.24667667834696028</c:v>
                </c:pt>
                <c:pt idx="113">
                  <c:v>0.23755492519050003</c:v>
                </c:pt>
                <c:pt idx="114">
                  <c:v>0.18655097613882865</c:v>
                </c:pt>
                <c:pt idx="115">
                  <c:v>0.17804104788920405</c:v>
                </c:pt>
                <c:pt idx="116">
                  <c:v>0.18232382223705423</c:v>
                </c:pt>
                <c:pt idx="117">
                  <c:v>0.19350353189832581</c:v>
                </c:pt>
                <c:pt idx="118">
                  <c:v>0.20729740252516815</c:v>
                </c:pt>
                <c:pt idx="119">
                  <c:v>0.19572834974136466</c:v>
                </c:pt>
                <c:pt idx="120">
                  <c:v>0.19489404305022506</c:v>
                </c:pt>
                <c:pt idx="121">
                  <c:v>0.1964514155403525</c:v>
                </c:pt>
                <c:pt idx="122">
                  <c:v>0.21580733077479275</c:v>
                </c:pt>
                <c:pt idx="123">
                  <c:v>0.21386061516213362</c:v>
                </c:pt>
                <c:pt idx="124">
                  <c:v>0.2139162356082096</c:v>
                </c:pt>
                <c:pt idx="125">
                  <c:v>0.23989098392569108</c:v>
                </c:pt>
                <c:pt idx="126">
                  <c:v>0.20273652594693825</c:v>
                </c:pt>
                <c:pt idx="127">
                  <c:v>0.19695199955503639</c:v>
                </c:pt>
                <c:pt idx="128">
                  <c:v>0.19895433561377152</c:v>
                </c:pt>
                <c:pt idx="129">
                  <c:v>0.20279214639301402</c:v>
                </c:pt>
                <c:pt idx="130">
                  <c:v>0.20468324155959716</c:v>
                </c:pt>
                <c:pt idx="131">
                  <c:v>0.19456032037376936</c:v>
                </c:pt>
                <c:pt idx="132">
                  <c:v>0.18883141442794371</c:v>
                </c:pt>
                <c:pt idx="133">
                  <c:v>0.19567272929528889</c:v>
                </c:pt>
                <c:pt idx="134">
                  <c:v>0.17131097391401062</c:v>
                </c:pt>
                <c:pt idx="135">
                  <c:v>0.17742922298236796</c:v>
                </c:pt>
                <c:pt idx="136">
                  <c:v>0.16736192224261615</c:v>
                </c:pt>
                <c:pt idx="137">
                  <c:v>0.16552644752210899</c:v>
                </c:pt>
                <c:pt idx="138">
                  <c:v>0.12547972634740523</c:v>
                </c:pt>
                <c:pt idx="139">
                  <c:v>0.11585738917626109</c:v>
                </c:pt>
                <c:pt idx="140">
                  <c:v>0.12375549251904983</c:v>
                </c:pt>
                <c:pt idx="141">
                  <c:v>0.11991768173980732</c:v>
                </c:pt>
                <c:pt idx="142">
                  <c:v>0.13243228210690239</c:v>
                </c:pt>
                <c:pt idx="143">
                  <c:v>0.14038600589576711</c:v>
                </c:pt>
                <c:pt idx="144">
                  <c:v>0.12364425162689785</c:v>
                </c:pt>
                <c:pt idx="145">
                  <c:v>0.11758162300461628</c:v>
                </c:pt>
                <c:pt idx="146">
                  <c:v>0.1123533010734743</c:v>
                </c:pt>
                <c:pt idx="147">
                  <c:v>0.14038600589576689</c:v>
                </c:pt>
                <c:pt idx="148">
                  <c:v>0.15106513154235457</c:v>
                </c:pt>
                <c:pt idx="149">
                  <c:v>0.18137827465376244</c:v>
                </c:pt>
                <c:pt idx="150">
                  <c:v>0.16941987874742725</c:v>
                </c:pt>
                <c:pt idx="151">
                  <c:v>0.17359141220312546</c:v>
                </c:pt>
                <c:pt idx="152">
                  <c:v>0.19450469992769293</c:v>
                </c:pt>
                <c:pt idx="153">
                  <c:v>0.17153345569831435</c:v>
                </c:pt>
                <c:pt idx="154">
                  <c:v>0.1640803159241333</c:v>
                </c:pt>
                <c:pt idx="155">
                  <c:v>0.184937983202625</c:v>
                </c:pt>
                <c:pt idx="156">
                  <c:v>0.19467156126592111</c:v>
                </c:pt>
                <c:pt idx="157">
                  <c:v>0.133210968351966</c:v>
                </c:pt>
                <c:pt idx="158">
                  <c:v>0.12737082151398815</c:v>
                </c:pt>
                <c:pt idx="159">
                  <c:v>0.12103009066132686</c:v>
                </c:pt>
                <c:pt idx="160">
                  <c:v>0.1263140330385446</c:v>
                </c:pt>
                <c:pt idx="161">
                  <c:v>0.14105345124867874</c:v>
                </c:pt>
                <c:pt idx="162">
                  <c:v>0.13115301184715467</c:v>
                </c:pt>
                <c:pt idx="163">
                  <c:v>7.8869792535735783E-2</c:v>
                </c:pt>
                <c:pt idx="164">
                  <c:v>7.7312420045608343E-2</c:v>
                </c:pt>
                <c:pt idx="165">
                  <c:v>9.0105122643083124E-2</c:v>
                </c:pt>
                <c:pt idx="166">
                  <c:v>9.2886144946882077E-2</c:v>
                </c:pt>
                <c:pt idx="167">
                  <c:v>0.13354469102842148</c:v>
                </c:pt>
                <c:pt idx="168">
                  <c:v>0.1503420657433665</c:v>
                </c:pt>
                <c:pt idx="169">
                  <c:v>0.15568162856666046</c:v>
                </c:pt>
                <c:pt idx="170">
                  <c:v>0.15212192001779767</c:v>
                </c:pt>
                <c:pt idx="171">
                  <c:v>0.15251126314032981</c:v>
                </c:pt>
                <c:pt idx="172">
                  <c:v>0.15929695756159901</c:v>
                </c:pt>
                <c:pt idx="173">
                  <c:v>0.16374659324767693</c:v>
                </c:pt>
                <c:pt idx="174">
                  <c:v>0.17726236164413955</c:v>
                </c:pt>
                <c:pt idx="175">
                  <c:v>0.1707547694532503</c:v>
                </c:pt>
                <c:pt idx="176">
                  <c:v>0.20440513932921656</c:v>
                </c:pt>
                <c:pt idx="177">
                  <c:v>0.1728683464041374</c:v>
                </c:pt>
                <c:pt idx="178">
                  <c:v>0.18065520885477437</c:v>
                </c:pt>
                <c:pt idx="179">
                  <c:v>0.18110017242338206</c:v>
                </c:pt>
                <c:pt idx="180">
                  <c:v>0.17014294454641443</c:v>
                </c:pt>
                <c:pt idx="181">
                  <c:v>0.16713944045831175</c:v>
                </c:pt>
                <c:pt idx="182">
                  <c:v>0.17859725234996326</c:v>
                </c:pt>
                <c:pt idx="183">
                  <c:v>0.17737360253629175</c:v>
                </c:pt>
                <c:pt idx="184">
                  <c:v>0.18388119472718101</c:v>
                </c:pt>
                <c:pt idx="185">
                  <c:v>0.17448133934034082</c:v>
                </c:pt>
                <c:pt idx="186">
                  <c:v>0.18293564714388943</c:v>
                </c:pt>
                <c:pt idx="187">
                  <c:v>0.18783024639857548</c:v>
                </c:pt>
                <c:pt idx="188">
                  <c:v>0.19934367873630277</c:v>
                </c:pt>
                <c:pt idx="189">
                  <c:v>0.19472718171199666</c:v>
                </c:pt>
                <c:pt idx="190">
                  <c:v>0.1792646977028749</c:v>
                </c:pt>
                <c:pt idx="191">
                  <c:v>0.17876411368819101</c:v>
                </c:pt>
                <c:pt idx="192">
                  <c:v>0.19122309360920986</c:v>
                </c:pt>
                <c:pt idx="193">
                  <c:v>0.20156849657934162</c:v>
                </c:pt>
                <c:pt idx="194">
                  <c:v>0.21730908281884331</c:v>
                </c:pt>
                <c:pt idx="195">
                  <c:v>0.22865565381834285</c:v>
                </c:pt>
                <c:pt idx="196">
                  <c:v>0.2440625173813884</c:v>
                </c:pt>
                <c:pt idx="197">
                  <c:v>0.25012514600366997</c:v>
                </c:pt>
                <c:pt idx="198">
                  <c:v>0.24784470771455491</c:v>
                </c:pt>
                <c:pt idx="199">
                  <c:v>0.23866733411201846</c:v>
                </c:pt>
                <c:pt idx="200">
                  <c:v>0.24973580288113806</c:v>
                </c:pt>
                <c:pt idx="201">
                  <c:v>0.23021302630846985</c:v>
                </c:pt>
                <c:pt idx="202">
                  <c:v>0.24189331998442487</c:v>
                </c:pt>
                <c:pt idx="203">
                  <c:v>0.25107069358696132</c:v>
                </c:pt>
                <c:pt idx="204">
                  <c:v>0.25507536570443157</c:v>
                </c:pt>
                <c:pt idx="205">
                  <c:v>0.25602091328772314</c:v>
                </c:pt>
                <c:pt idx="206">
                  <c:v>0.25390733633683604</c:v>
                </c:pt>
                <c:pt idx="207">
                  <c:v>0.26263974637076437</c:v>
                </c:pt>
                <c:pt idx="208">
                  <c:v>0.24367317425885604</c:v>
                </c:pt>
                <c:pt idx="209">
                  <c:v>0.21992324378441364</c:v>
                </c:pt>
                <c:pt idx="210">
                  <c:v>0.22743200400467067</c:v>
                </c:pt>
                <c:pt idx="211">
                  <c:v>0.23266032593581265</c:v>
                </c:pt>
                <c:pt idx="212">
                  <c:v>0.24589799210189511</c:v>
                </c:pt>
                <c:pt idx="213">
                  <c:v>0.24267200622948848</c:v>
                </c:pt>
                <c:pt idx="214">
                  <c:v>0.25763390622392657</c:v>
                </c:pt>
                <c:pt idx="215">
                  <c:v>0.24790032816063046</c:v>
                </c:pt>
                <c:pt idx="216">
                  <c:v>0.24567551031759138</c:v>
                </c:pt>
                <c:pt idx="217">
                  <c:v>0.23688747983758685</c:v>
                </c:pt>
                <c:pt idx="218">
                  <c:v>0.23065798987707731</c:v>
                </c:pt>
                <c:pt idx="219">
                  <c:v>0.25212748206240465</c:v>
                </c:pt>
                <c:pt idx="220">
                  <c:v>0.2574670448856986</c:v>
                </c:pt>
                <c:pt idx="221">
                  <c:v>0.26414149841481582</c:v>
                </c:pt>
                <c:pt idx="222">
                  <c:v>0.23922353857277789</c:v>
                </c:pt>
                <c:pt idx="223">
                  <c:v>0.22253740474998462</c:v>
                </c:pt>
                <c:pt idx="224">
                  <c:v>0.24261638578341227</c:v>
                </c:pt>
                <c:pt idx="225">
                  <c:v>0.23677623894543487</c:v>
                </c:pt>
                <c:pt idx="226">
                  <c:v>0.27576617164469486</c:v>
                </c:pt>
                <c:pt idx="227">
                  <c:v>0.28511040658545905</c:v>
                </c:pt>
                <c:pt idx="228">
                  <c:v>0.25707770176316624</c:v>
                </c:pt>
                <c:pt idx="229">
                  <c:v>0.28127259580621655</c:v>
                </c:pt>
                <c:pt idx="230">
                  <c:v>0.30396573780521541</c:v>
                </c:pt>
                <c:pt idx="231">
                  <c:v>0.27732354413482208</c:v>
                </c:pt>
                <c:pt idx="232">
                  <c:v>0.28805829022748575</c:v>
                </c:pt>
                <c:pt idx="233">
                  <c:v>0.31553479058901868</c:v>
                </c:pt>
                <c:pt idx="234">
                  <c:v>0.32621391623560636</c:v>
                </c:pt>
                <c:pt idx="235">
                  <c:v>0.33489070582345892</c:v>
                </c:pt>
                <c:pt idx="236">
                  <c:v>0.33561377162244654</c:v>
                </c:pt>
                <c:pt idx="237">
                  <c:v>0.31887201735357729</c:v>
                </c:pt>
                <c:pt idx="238">
                  <c:v>0.34100895489181626</c:v>
                </c:pt>
                <c:pt idx="239">
                  <c:v>0.34857333555814929</c:v>
                </c:pt>
                <c:pt idx="240">
                  <c:v>0.41915568162856465</c:v>
                </c:pt>
                <c:pt idx="241">
                  <c:v>0.39818677345792119</c:v>
                </c:pt>
                <c:pt idx="242">
                  <c:v>0.4095889649034965</c:v>
                </c:pt>
                <c:pt idx="243">
                  <c:v>0.42911174147616449</c:v>
                </c:pt>
                <c:pt idx="244">
                  <c:v>0.43072473441236792</c:v>
                </c:pt>
                <c:pt idx="245">
                  <c:v>0.45213860615161905</c:v>
                </c:pt>
                <c:pt idx="246">
                  <c:v>0.46593247677846161</c:v>
                </c:pt>
                <c:pt idx="247">
                  <c:v>0.45892430057288847</c:v>
                </c:pt>
                <c:pt idx="248">
                  <c:v>0.47866955892986063</c:v>
                </c:pt>
                <c:pt idx="249">
                  <c:v>0.48745758940986494</c:v>
                </c:pt>
                <c:pt idx="250">
                  <c:v>0.48979364814505599</c:v>
                </c:pt>
                <c:pt idx="251">
                  <c:v>0.47383058012125034</c:v>
                </c:pt>
                <c:pt idx="252">
                  <c:v>0.48695700539518061</c:v>
                </c:pt>
                <c:pt idx="253">
                  <c:v>0.50825963624228021</c:v>
                </c:pt>
                <c:pt idx="254">
                  <c:v>0.48339729684631805</c:v>
                </c:pt>
                <c:pt idx="255">
                  <c:v>0.47366371878302216</c:v>
                </c:pt>
                <c:pt idx="256">
                  <c:v>0.49941598531619968</c:v>
                </c:pt>
                <c:pt idx="257">
                  <c:v>0.49796985371822422</c:v>
                </c:pt>
                <c:pt idx="258">
                  <c:v>0.50581233661493719</c:v>
                </c:pt>
                <c:pt idx="259">
                  <c:v>0.48428722398353385</c:v>
                </c:pt>
                <c:pt idx="260">
                  <c:v>0.4985260581789841</c:v>
                </c:pt>
                <c:pt idx="261">
                  <c:v>0.49624561988986882</c:v>
                </c:pt>
                <c:pt idx="262">
                  <c:v>0.51143000166861063</c:v>
                </c:pt>
                <c:pt idx="263">
                  <c:v>0.53284387340786199</c:v>
                </c:pt>
                <c:pt idx="264">
                  <c:v>0.52600255854051703</c:v>
                </c:pt>
                <c:pt idx="265">
                  <c:v>0.51632460092329691</c:v>
                </c:pt>
                <c:pt idx="266">
                  <c:v>0.52327715668279406</c:v>
                </c:pt>
                <c:pt idx="267">
                  <c:v>0.5172701485065887</c:v>
                </c:pt>
                <c:pt idx="268">
                  <c:v>0.51799321430557632</c:v>
                </c:pt>
                <c:pt idx="269">
                  <c:v>0.50002781022303555</c:v>
                </c:pt>
                <c:pt idx="270">
                  <c:v>0.48089437677289926</c:v>
                </c:pt>
                <c:pt idx="271">
                  <c:v>0.49491072918404533</c:v>
                </c:pt>
                <c:pt idx="272">
                  <c:v>0.47889204071416391</c:v>
                </c:pt>
                <c:pt idx="273">
                  <c:v>0.50258635074253033</c:v>
                </c:pt>
                <c:pt idx="274">
                  <c:v>0.50019467156126352</c:v>
                </c:pt>
                <c:pt idx="275">
                  <c:v>0.47739028867011268</c:v>
                </c:pt>
                <c:pt idx="276">
                  <c:v>0.47149452138605907</c:v>
                </c:pt>
                <c:pt idx="277">
                  <c:v>0.47672284331720105</c:v>
                </c:pt>
                <c:pt idx="278">
                  <c:v>0.461594081984535</c:v>
                </c:pt>
                <c:pt idx="279">
                  <c:v>0.44874575894098445</c:v>
                </c:pt>
                <c:pt idx="280">
                  <c:v>0.43801101284832078</c:v>
                </c:pt>
                <c:pt idx="281">
                  <c:v>0.43645364035819312</c:v>
                </c:pt>
                <c:pt idx="282">
                  <c:v>0.4187107180599563</c:v>
                </c:pt>
                <c:pt idx="283">
                  <c:v>0.40196896379108704</c:v>
                </c:pt>
                <c:pt idx="284">
                  <c:v>0.41542911174147346</c:v>
                </c:pt>
                <c:pt idx="285">
                  <c:v>0.44246064853439848</c:v>
                </c:pt>
                <c:pt idx="286">
                  <c:v>0.42610823738806114</c:v>
                </c:pt>
                <c:pt idx="287">
                  <c:v>0.43801101284832056</c:v>
                </c:pt>
                <c:pt idx="288">
                  <c:v>0.45302853328883441</c:v>
                </c:pt>
                <c:pt idx="289">
                  <c:v>0.45419656265642994</c:v>
                </c:pt>
                <c:pt idx="290">
                  <c:v>0.43294955225540654</c:v>
                </c:pt>
                <c:pt idx="291">
                  <c:v>0.44462984593136179</c:v>
                </c:pt>
                <c:pt idx="292">
                  <c:v>0.47066021469491925</c:v>
                </c:pt>
                <c:pt idx="293">
                  <c:v>0.470827076033147</c:v>
                </c:pt>
                <c:pt idx="294">
                  <c:v>0.48289671283163416</c:v>
                </c:pt>
                <c:pt idx="295">
                  <c:v>0.49257467044885428</c:v>
                </c:pt>
                <c:pt idx="296">
                  <c:v>0.49023861171366323</c:v>
                </c:pt>
                <c:pt idx="297">
                  <c:v>0.50558985483063301</c:v>
                </c:pt>
                <c:pt idx="298">
                  <c:v>0.51326547638911801</c:v>
                </c:pt>
                <c:pt idx="299">
                  <c:v>0.5022526280660744</c:v>
                </c:pt>
                <c:pt idx="300">
                  <c:v>0.48923744368429589</c:v>
                </c:pt>
                <c:pt idx="301">
                  <c:v>0.50453306635518969</c:v>
                </c:pt>
                <c:pt idx="302">
                  <c:v>0.44613159797541324</c:v>
                </c:pt>
                <c:pt idx="303">
                  <c:v>0.44112575782857544</c:v>
                </c:pt>
                <c:pt idx="304">
                  <c:v>0.44729962734300854</c:v>
                </c:pt>
                <c:pt idx="305">
                  <c:v>0.45825685521997617</c:v>
                </c:pt>
                <c:pt idx="306">
                  <c:v>0.45097057678402308</c:v>
                </c:pt>
                <c:pt idx="307">
                  <c:v>0.43061349352021527</c:v>
                </c:pt>
                <c:pt idx="308">
                  <c:v>0.44196006451971481</c:v>
                </c:pt>
                <c:pt idx="309">
                  <c:v>0.41264808943767473</c:v>
                </c:pt>
                <c:pt idx="310">
                  <c:v>0.40113465709994744</c:v>
                </c:pt>
                <c:pt idx="311">
                  <c:v>0.4132042938984346</c:v>
                </c:pt>
                <c:pt idx="312">
                  <c:v>0.42260414928527479</c:v>
                </c:pt>
                <c:pt idx="313">
                  <c:v>0.40269202959007488</c:v>
                </c:pt>
                <c:pt idx="314">
                  <c:v>0.39306969241893075</c:v>
                </c:pt>
                <c:pt idx="315">
                  <c:v>0.39707436453640099</c:v>
                </c:pt>
                <c:pt idx="316">
                  <c:v>0.38261304855664702</c:v>
                </c:pt>
                <c:pt idx="317">
                  <c:v>0.3771066243951251</c:v>
                </c:pt>
                <c:pt idx="318">
                  <c:v>0.37833027420879684</c:v>
                </c:pt>
                <c:pt idx="319">
                  <c:v>0.36069859280271199</c:v>
                </c:pt>
                <c:pt idx="320">
                  <c:v>0.38561655264474992</c:v>
                </c:pt>
                <c:pt idx="321">
                  <c:v>0.41248122809944698</c:v>
                </c:pt>
                <c:pt idx="322">
                  <c:v>0.4051949496634939</c:v>
                </c:pt>
                <c:pt idx="323">
                  <c:v>0.42583013515768187</c:v>
                </c:pt>
                <c:pt idx="324">
                  <c:v>0.42171422214805965</c:v>
                </c:pt>
                <c:pt idx="325">
                  <c:v>0.37082151398854024</c:v>
                </c:pt>
                <c:pt idx="326">
                  <c:v>0.37833027420879728</c:v>
                </c:pt>
                <c:pt idx="327">
                  <c:v>0.37705100394904978</c:v>
                </c:pt>
                <c:pt idx="328">
                  <c:v>0.36909728016018506</c:v>
                </c:pt>
                <c:pt idx="329">
                  <c:v>0.36759552811613361</c:v>
                </c:pt>
                <c:pt idx="330">
                  <c:v>0.37805217197841734</c:v>
                </c:pt>
                <c:pt idx="331">
                  <c:v>0.38316925301740734</c:v>
                </c:pt>
                <c:pt idx="332">
                  <c:v>0.35558151176372244</c:v>
                </c:pt>
                <c:pt idx="333">
                  <c:v>0.36309027198397925</c:v>
                </c:pt>
                <c:pt idx="334">
                  <c:v>0.35669392068524175</c:v>
                </c:pt>
                <c:pt idx="335">
                  <c:v>0.35830691362144518</c:v>
                </c:pt>
                <c:pt idx="336">
                  <c:v>0.3458479337004261</c:v>
                </c:pt>
                <c:pt idx="337">
                  <c:v>0.34740530619055354</c:v>
                </c:pt>
                <c:pt idx="338">
                  <c:v>0.37782969019411317</c:v>
                </c:pt>
                <c:pt idx="339">
                  <c:v>0.41659714110906942</c:v>
                </c:pt>
                <c:pt idx="340">
                  <c:v>0.40447188386450628</c:v>
                </c:pt>
                <c:pt idx="341">
                  <c:v>0.41220312586906727</c:v>
                </c:pt>
                <c:pt idx="342">
                  <c:v>0.46176094332276318</c:v>
                </c:pt>
                <c:pt idx="343">
                  <c:v>0.4227710106235032</c:v>
                </c:pt>
                <c:pt idx="344">
                  <c:v>0.4243840035597064</c:v>
                </c:pt>
                <c:pt idx="345">
                  <c:v>0.42466210579008634</c:v>
                </c:pt>
                <c:pt idx="346">
                  <c:v>0.44952444518604828</c:v>
                </c:pt>
                <c:pt idx="347">
                  <c:v>0.44696590466655306</c:v>
                </c:pt>
                <c:pt idx="348">
                  <c:v>0.39334779464931091</c:v>
                </c:pt>
                <c:pt idx="349">
                  <c:v>0.41148006007007965</c:v>
                </c:pt>
                <c:pt idx="350">
                  <c:v>0.45564269425440562</c:v>
                </c:pt>
                <c:pt idx="351">
                  <c:v>0.47132766004783111</c:v>
                </c:pt>
                <c:pt idx="352">
                  <c:v>0.50175204405139096</c:v>
                </c:pt>
                <c:pt idx="353">
                  <c:v>0.52683686523165663</c:v>
                </c:pt>
                <c:pt idx="354">
                  <c:v>0.50803715445797626</c:v>
                </c:pt>
                <c:pt idx="355">
                  <c:v>0.48139496078758293</c:v>
                </c:pt>
                <c:pt idx="356">
                  <c:v>0.43183714333388723</c:v>
                </c:pt>
                <c:pt idx="357">
                  <c:v>0.36904165971410863</c:v>
                </c:pt>
                <c:pt idx="358">
                  <c:v>0.3416764002447279</c:v>
                </c:pt>
                <c:pt idx="359">
                  <c:v>0.3700984481895524</c:v>
                </c:pt>
                <c:pt idx="360">
                  <c:v>0.3590299794204328</c:v>
                </c:pt>
                <c:pt idx="361">
                  <c:v>0.34545859057789441</c:v>
                </c:pt>
                <c:pt idx="362">
                  <c:v>0.35624895711663407</c:v>
                </c:pt>
                <c:pt idx="363">
                  <c:v>0.34879581734245302</c:v>
                </c:pt>
                <c:pt idx="364">
                  <c:v>0.37143333889537589</c:v>
                </c:pt>
                <c:pt idx="365">
                  <c:v>0.35953056343511669</c:v>
                </c:pt>
                <c:pt idx="366">
                  <c:v>0.35875187719005286</c:v>
                </c:pt>
                <c:pt idx="367">
                  <c:v>0.36603815562600595</c:v>
                </c:pt>
                <c:pt idx="368">
                  <c:v>0.3784971355470248</c:v>
                </c:pt>
                <c:pt idx="369">
                  <c:v>0.37927582179208841</c:v>
                </c:pt>
                <c:pt idx="370">
                  <c:v>0.41770955003058874</c:v>
                </c:pt>
                <c:pt idx="371">
                  <c:v>0.39429334223260226</c:v>
                </c:pt>
                <c:pt idx="372">
                  <c:v>0.33717114411257332</c:v>
                </c:pt>
                <c:pt idx="373">
                  <c:v>0.31136325713332003</c:v>
                </c:pt>
                <c:pt idx="374">
                  <c:v>0.34201012292118338</c:v>
                </c:pt>
                <c:pt idx="375">
                  <c:v>0.36386895822904242</c:v>
                </c:pt>
                <c:pt idx="376">
                  <c:v>0.32943990210801233</c:v>
                </c:pt>
                <c:pt idx="377">
                  <c:v>0.30613493520217783</c:v>
                </c:pt>
                <c:pt idx="378">
                  <c:v>0.29128427609989171</c:v>
                </c:pt>
                <c:pt idx="379">
                  <c:v>0.29022748762444817</c:v>
                </c:pt>
                <c:pt idx="380">
                  <c:v>0.28944880137938456</c:v>
                </c:pt>
                <c:pt idx="381">
                  <c:v>0.29567829133989387</c:v>
                </c:pt>
                <c:pt idx="382">
                  <c:v>0.29567829133989387</c:v>
                </c:pt>
                <c:pt idx="383">
                  <c:v>0.31414427943711831</c:v>
                </c:pt>
                <c:pt idx="384">
                  <c:v>0.32081873296623553</c:v>
                </c:pt>
                <c:pt idx="385">
                  <c:v>0.35085377384726346</c:v>
                </c:pt>
                <c:pt idx="386">
                  <c:v>0.3633683742143583</c:v>
                </c:pt>
                <c:pt idx="387">
                  <c:v>0.35936370209688806</c:v>
                </c:pt>
                <c:pt idx="388">
                  <c:v>0.4109238556093191</c:v>
                </c:pt>
                <c:pt idx="389">
                  <c:v>0.40191334334501083</c:v>
                </c:pt>
                <c:pt idx="390">
                  <c:v>0.40347071583513827</c:v>
                </c:pt>
                <c:pt idx="391">
                  <c:v>0.38978808610044791</c:v>
                </c:pt>
                <c:pt idx="392">
                  <c:v>0.38845319539462442</c:v>
                </c:pt>
                <c:pt idx="393">
                  <c:v>0.39373713777184238</c:v>
                </c:pt>
                <c:pt idx="394">
                  <c:v>0.39184604260525924</c:v>
                </c:pt>
                <c:pt idx="395">
                  <c:v>0.39290283108070279</c:v>
                </c:pt>
                <c:pt idx="396">
                  <c:v>0.37655041993436544</c:v>
                </c:pt>
                <c:pt idx="397">
                  <c:v>0.33744924634295326</c:v>
                </c:pt>
                <c:pt idx="398">
                  <c:v>0.34100895489181582</c:v>
                </c:pt>
                <c:pt idx="399">
                  <c:v>0.34284442961232298</c:v>
                </c:pt>
                <c:pt idx="400">
                  <c:v>0.32393347794649063</c:v>
                </c:pt>
                <c:pt idx="401">
                  <c:v>0.32482340508370622</c:v>
                </c:pt>
                <c:pt idx="402">
                  <c:v>0.3440124589799185</c:v>
                </c:pt>
                <c:pt idx="403">
                  <c:v>0.35658267979308955</c:v>
                </c:pt>
                <c:pt idx="404">
                  <c:v>0.3766616608265172</c:v>
                </c:pt>
                <c:pt idx="405">
                  <c:v>0.38328049390955843</c:v>
                </c:pt>
                <c:pt idx="406">
                  <c:v>0.40602925635463327</c:v>
                </c:pt>
                <c:pt idx="407">
                  <c:v>0.42655320095666904</c:v>
                </c:pt>
                <c:pt idx="408">
                  <c:v>0.43856721730907999</c:v>
                </c:pt>
                <c:pt idx="409">
                  <c:v>0.45569831470048117</c:v>
                </c:pt>
                <c:pt idx="410">
                  <c:v>0.44579787529895709</c:v>
                </c:pt>
                <c:pt idx="411">
                  <c:v>0.41120195783969926</c:v>
                </c:pt>
                <c:pt idx="412">
                  <c:v>0.41036765114855966</c:v>
                </c:pt>
                <c:pt idx="413">
                  <c:v>0.4246621057900859</c:v>
                </c:pt>
                <c:pt idx="414">
                  <c:v>0.42688692363312497</c:v>
                </c:pt>
                <c:pt idx="415">
                  <c:v>0.43778853106401638</c:v>
                </c:pt>
                <c:pt idx="416">
                  <c:v>0.44362867790199401</c:v>
                </c:pt>
                <c:pt idx="417">
                  <c:v>0.53640358195672433</c:v>
                </c:pt>
                <c:pt idx="418">
                  <c:v>0.52361087935924955</c:v>
                </c:pt>
                <c:pt idx="419">
                  <c:v>0.50392124144835337</c:v>
                </c:pt>
                <c:pt idx="420">
                  <c:v>0.495411313198729</c:v>
                </c:pt>
                <c:pt idx="421">
                  <c:v>0.51660270315367618</c:v>
                </c:pt>
                <c:pt idx="422">
                  <c:v>0.61549585627676384</c:v>
                </c:pt>
                <c:pt idx="423">
                  <c:v>0.61627454252182745</c:v>
                </c:pt>
                <c:pt idx="424">
                  <c:v>0.6258412592468956</c:v>
                </c:pt>
                <c:pt idx="425">
                  <c:v>0.62433950720284437</c:v>
                </c:pt>
                <c:pt idx="426">
                  <c:v>0.60398242393903656</c:v>
                </c:pt>
                <c:pt idx="427">
                  <c:v>0.60025585405194604</c:v>
                </c:pt>
                <c:pt idx="428">
                  <c:v>0.57227876967572944</c:v>
                </c:pt>
                <c:pt idx="429">
                  <c:v>0.55336781800989709</c:v>
                </c:pt>
                <c:pt idx="430">
                  <c:v>0.55036431392179463</c:v>
                </c:pt>
                <c:pt idx="431">
                  <c:v>0.54630402135824818</c:v>
                </c:pt>
                <c:pt idx="432">
                  <c:v>0.54519161243672865</c:v>
                </c:pt>
                <c:pt idx="433">
                  <c:v>0.56393570276433302</c:v>
                </c:pt>
                <c:pt idx="434">
                  <c:v>0.58301351576839311</c:v>
                </c:pt>
                <c:pt idx="435">
                  <c:v>0.61505089270815594</c:v>
                </c:pt>
                <c:pt idx="436">
                  <c:v>0.60409366483118832</c:v>
                </c:pt>
                <c:pt idx="437">
                  <c:v>0.59291395516991696</c:v>
                </c:pt>
                <c:pt idx="438">
                  <c:v>0.60259191278713709</c:v>
                </c:pt>
                <c:pt idx="439">
                  <c:v>0.5965849046109315</c:v>
                </c:pt>
                <c:pt idx="440">
                  <c:v>0.59352578007675283</c:v>
                </c:pt>
                <c:pt idx="441">
                  <c:v>0.58879804216029474</c:v>
                </c:pt>
                <c:pt idx="442">
                  <c:v>0.59981089048333835</c:v>
                </c:pt>
                <c:pt idx="443">
                  <c:v>0.59552811613548817</c:v>
                </c:pt>
                <c:pt idx="444">
                  <c:v>0.56421380499471296</c:v>
                </c:pt>
                <c:pt idx="445">
                  <c:v>0.53684854552533201</c:v>
                </c:pt>
                <c:pt idx="446">
                  <c:v>0.55492519050002476</c:v>
                </c:pt>
                <c:pt idx="447">
                  <c:v>0.54686022581900806</c:v>
                </c:pt>
                <c:pt idx="448">
                  <c:v>0.53384504143722911</c:v>
                </c:pt>
                <c:pt idx="449">
                  <c:v>0.54068635630457451</c:v>
                </c:pt>
                <c:pt idx="450">
                  <c:v>0.5164914622615242</c:v>
                </c:pt>
                <c:pt idx="451">
                  <c:v>0.47332999610656579</c:v>
                </c:pt>
                <c:pt idx="452">
                  <c:v>0.4512486790144028</c:v>
                </c:pt>
                <c:pt idx="453">
                  <c:v>0.46354079759719391</c:v>
                </c:pt>
                <c:pt idx="454">
                  <c:v>0.46209466599921867</c:v>
                </c:pt>
                <c:pt idx="455">
                  <c:v>0.4701040102341596</c:v>
                </c:pt>
                <c:pt idx="456">
                  <c:v>0.47143890093998309</c:v>
                </c:pt>
                <c:pt idx="457">
                  <c:v>0.45925802324934417</c:v>
                </c:pt>
                <c:pt idx="458">
                  <c:v>0.43589743589743368</c:v>
                </c:pt>
                <c:pt idx="459">
                  <c:v>0.43072473441236769</c:v>
                </c:pt>
                <c:pt idx="460">
                  <c:v>0.42149174036375547</c:v>
                </c:pt>
                <c:pt idx="461">
                  <c:v>0.43016852995160804</c:v>
                </c:pt>
                <c:pt idx="462">
                  <c:v>0.43155904110350751</c:v>
                </c:pt>
                <c:pt idx="463">
                  <c:v>0.40152400022247958</c:v>
                </c:pt>
                <c:pt idx="464">
                  <c:v>0.41987874742755227</c:v>
                </c:pt>
                <c:pt idx="465">
                  <c:v>0.39991100728627638</c:v>
                </c:pt>
                <c:pt idx="466">
                  <c:v>0.42405028088325047</c:v>
                </c:pt>
                <c:pt idx="467">
                  <c:v>0.4465209410979456</c:v>
                </c:pt>
                <c:pt idx="468">
                  <c:v>0.49168474331163936</c:v>
                </c:pt>
                <c:pt idx="469">
                  <c:v>0.49713554702708529</c:v>
                </c:pt>
                <c:pt idx="470">
                  <c:v>0.50230824851215128</c:v>
                </c:pt>
                <c:pt idx="471">
                  <c:v>0.53251015073140695</c:v>
                </c:pt>
                <c:pt idx="472">
                  <c:v>0.52611379943266967</c:v>
                </c:pt>
                <c:pt idx="473">
                  <c:v>0.52861671950608846</c:v>
                </c:pt>
                <c:pt idx="474">
                  <c:v>0.54368986039267853</c:v>
                </c:pt>
                <c:pt idx="475">
                  <c:v>0.52950664664330405</c:v>
                </c:pt>
                <c:pt idx="476">
                  <c:v>0.53011847155013969</c:v>
                </c:pt>
                <c:pt idx="477">
                  <c:v>0.51398854218810608</c:v>
                </c:pt>
                <c:pt idx="478">
                  <c:v>0.53712664775571262</c:v>
                </c:pt>
                <c:pt idx="479">
                  <c:v>0.5248345291729215</c:v>
                </c:pt>
                <c:pt idx="480">
                  <c:v>0.50820401579620444</c:v>
                </c:pt>
                <c:pt idx="481">
                  <c:v>0.51326547638911824</c:v>
                </c:pt>
                <c:pt idx="482">
                  <c:v>0.52583569720228907</c:v>
                </c:pt>
                <c:pt idx="483">
                  <c:v>0.5418543856721707</c:v>
                </c:pt>
                <c:pt idx="484">
                  <c:v>0.51799321430557654</c:v>
                </c:pt>
                <c:pt idx="485">
                  <c:v>0.49374269981645025</c:v>
                </c:pt>
                <c:pt idx="486">
                  <c:v>0.48934868457644787</c:v>
                </c:pt>
                <c:pt idx="487">
                  <c:v>0.46732298793036087</c:v>
                </c:pt>
                <c:pt idx="488">
                  <c:v>0.49802547416430021</c:v>
                </c:pt>
                <c:pt idx="489">
                  <c:v>0.50431058457088573</c:v>
                </c:pt>
                <c:pt idx="490">
                  <c:v>0.51710328716836051</c:v>
                </c:pt>
                <c:pt idx="491">
                  <c:v>0.47377495967517436</c:v>
                </c:pt>
                <c:pt idx="492">
                  <c:v>0.43828911507870028</c:v>
                </c:pt>
                <c:pt idx="493">
                  <c:v>0.40641859947716541</c:v>
                </c:pt>
                <c:pt idx="494">
                  <c:v>0.39918794148728831</c:v>
                </c:pt>
                <c:pt idx="495">
                  <c:v>0.38934312253184022</c:v>
                </c:pt>
                <c:pt idx="496">
                  <c:v>0.39345903554146244</c:v>
                </c:pt>
                <c:pt idx="497">
                  <c:v>0.36336837421435875</c:v>
                </c:pt>
                <c:pt idx="498">
                  <c:v>0.37554925190499788</c:v>
                </c:pt>
                <c:pt idx="499">
                  <c:v>0.33361143556371098</c:v>
                </c:pt>
                <c:pt idx="500">
                  <c:v>0.30630179654040601</c:v>
                </c:pt>
                <c:pt idx="501">
                  <c:v>0.33683742143611739</c:v>
                </c:pt>
                <c:pt idx="502">
                  <c:v>0.30802603036876097</c:v>
                </c:pt>
                <c:pt idx="503">
                  <c:v>0.2286556538183413</c:v>
                </c:pt>
                <c:pt idx="504">
                  <c:v>0.23110295344568432</c:v>
                </c:pt>
                <c:pt idx="505">
                  <c:v>0.2498470437732887</c:v>
                </c:pt>
                <c:pt idx="506">
                  <c:v>0.26352967350797907</c:v>
                </c:pt>
                <c:pt idx="507">
                  <c:v>0.25168251849379586</c:v>
                </c:pt>
                <c:pt idx="508">
                  <c:v>0.28661215862950962</c:v>
                </c:pt>
                <c:pt idx="509">
                  <c:v>0.3075254463540773</c:v>
                </c:pt>
                <c:pt idx="510">
                  <c:v>0.31542354969686603</c:v>
                </c:pt>
                <c:pt idx="511">
                  <c:v>0.34106457533789181</c:v>
                </c:pt>
                <c:pt idx="512">
                  <c:v>0.32777128872573313</c:v>
                </c:pt>
                <c:pt idx="513">
                  <c:v>0.30196340174647962</c:v>
                </c:pt>
                <c:pt idx="514">
                  <c:v>0.33939596195561239</c:v>
                </c:pt>
                <c:pt idx="515">
                  <c:v>0.34034150953890396</c:v>
                </c:pt>
                <c:pt idx="516">
                  <c:v>0.31853829467712091</c:v>
                </c:pt>
                <c:pt idx="517">
                  <c:v>0.32120807608876789</c:v>
                </c:pt>
                <c:pt idx="518">
                  <c:v>0.29562267089381833</c:v>
                </c:pt>
                <c:pt idx="519">
                  <c:v>0.29762500695255345</c:v>
                </c:pt>
                <c:pt idx="520">
                  <c:v>0.31970632404471644</c:v>
                </c:pt>
                <c:pt idx="521">
                  <c:v>0.33544691028421814</c:v>
                </c:pt>
                <c:pt idx="522">
                  <c:v>0.31920574003003277</c:v>
                </c:pt>
                <c:pt idx="523">
                  <c:v>0.28338617275710343</c:v>
                </c:pt>
                <c:pt idx="524">
                  <c:v>0.27109405417431232</c:v>
                </c:pt>
                <c:pt idx="525">
                  <c:v>0.259747483174813</c:v>
                </c:pt>
                <c:pt idx="526">
                  <c:v>0.33227654485788749</c:v>
                </c:pt>
                <c:pt idx="527">
                  <c:v>0.31030646865787648</c:v>
                </c:pt>
                <c:pt idx="528">
                  <c:v>0.34768340842093326</c:v>
                </c:pt>
                <c:pt idx="529">
                  <c:v>0.3542466210578985</c:v>
                </c:pt>
                <c:pt idx="530">
                  <c:v>0.36008676789587635</c:v>
                </c:pt>
                <c:pt idx="531">
                  <c:v>0.33794983035763737</c:v>
                </c:pt>
                <c:pt idx="532">
                  <c:v>0.34562545191612215</c:v>
                </c:pt>
                <c:pt idx="533">
                  <c:v>0.30246398576116373</c:v>
                </c:pt>
                <c:pt idx="534">
                  <c:v>0.33806107124978935</c:v>
                </c:pt>
                <c:pt idx="535">
                  <c:v>0.36014238834195234</c:v>
                </c:pt>
                <c:pt idx="536">
                  <c:v>0.38778575004171301</c:v>
                </c:pt>
                <c:pt idx="537">
                  <c:v>0.37404749986094665</c:v>
                </c:pt>
                <c:pt idx="538">
                  <c:v>0.36487012625841042</c:v>
                </c:pt>
                <c:pt idx="539">
                  <c:v>0.36464764447410647</c:v>
                </c:pt>
                <c:pt idx="540">
                  <c:v>0.45909116191111599</c:v>
                </c:pt>
                <c:pt idx="541">
                  <c:v>0.46632181990099308</c:v>
                </c:pt>
                <c:pt idx="542">
                  <c:v>0.4853440124589774</c:v>
                </c:pt>
                <c:pt idx="543">
                  <c:v>0.50197452583569468</c:v>
                </c:pt>
                <c:pt idx="544">
                  <c:v>0.48640080093442095</c:v>
                </c:pt>
                <c:pt idx="545">
                  <c:v>0.47861393848378397</c:v>
                </c:pt>
                <c:pt idx="546">
                  <c:v>0.49296401357138619</c:v>
                </c:pt>
                <c:pt idx="547">
                  <c:v>0.49969408754657918</c:v>
                </c:pt>
                <c:pt idx="548">
                  <c:v>0.514878469325321</c:v>
                </c:pt>
                <c:pt idx="549">
                  <c:v>0.49390956115467732</c:v>
                </c:pt>
                <c:pt idx="550">
                  <c:v>0.48128371989543051</c:v>
                </c:pt>
                <c:pt idx="551">
                  <c:v>0.50770343178151967</c:v>
                </c:pt>
                <c:pt idx="552">
                  <c:v>0.53239890983925364</c:v>
                </c:pt>
                <c:pt idx="553">
                  <c:v>0.53517993214305259</c:v>
                </c:pt>
                <c:pt idx="554">
                  <c:v>0.52027365259469072</c:v>
                </c:pt>
                <c:pt idx="555">
                  <c:v>0.50475554813949319</c:v>
                </c:pt>
                <c:pt idx="556">
                  <c:v>0.51109627899215471</c:v>
                </c:pt>
                <c:pt idx="557">
                  <c:v>0.49168474331163869</c:v>
                </c:pt>
                <c:pt idx="558">
                  <c:v>0.50264197118860654</c:v>
                </c:pt>
                <c:pt idx="559">
                  <c:v>0.4602035708326353</c:v>
                </c:pt>
                <c:pt idx="560">
                  <c:v>0.47566605484175728</c:v>
                </c:pt>
                <c:pt idx="561">
                  <c:v>0.47433116413593379</c:v>
                </c:pt>
                <c:pt idx="562">
                  <c:v>0.46493130874909361</c:v>
                </c:pt>
                <c:pt idx="563">
                  <c:v>0.47360809833694617</c:v>
                </c:pt>
                <c:pt idx="564">
                  <c:v>0.47994882918960746</c:v>
                </c:pt>
                <c:pt idx="565">
                  <c:v>0.47766839090049262</c:v>
                </c:pt>
                <c:pt idx="566">
                  <c:v>0.47288503253795855</c:v>
                </c:pt>
                <c:pt idx="567">
                  <c:v>0.47950386562099978</c:v>
                </c:pt>
                <c:pt idx="568">
                  <c:v>0.47449802547416198</c:v>
                </c:pt>
                <c:pt idx="569">
                  <c:v>0.45236108793592278</c:v>
                </c:pt>
                <c:pt idx="570">
                  <c:v>0.47688970465542879</c:v>
                </c:pt>
                <c:pt idx="571">
                  <c:v>0.45041437232326365</c:v>
                </c:pt>
                <c:pt idx="572">
                  <c:v>0.45269481061237871</c:v>
                </c:pt>
                <c:pt idx="573">
                  <c:v>0.44079203515211951</c:v>
                </c:pt>
                <c:pt idx="574">
                  <c:v>0.43578619500528126</c:v>
                </c:pt>
                <c:pt idx="575">
                  <c:v>0.42354969686856636</c:v>
                </c:pt>
                <c:pt idx="576">
                  <c:v>0.4519161243673151</c:v>
                </c:pt>
                <c:pt idx="577">
                  <c:v>0.47104955781745139</c:v>
                </c:pt>
                <c:pt idx="578">
                  <c:v>0.41631903887868948</c:v>
                </c:pt>
                <c:pt idx="579">
                  <c:v>0.42922298236831624</c:v>
                </c:pt>
                <c:pt idx="580">
                  <c:v>0.45825685521997661</c:v>
                </c:pt>
                <c:pt idx="581">
                  <c:v>0.45069247455364359</c:v>
                </c:pt>
                <c:pt idx="582">
                  <c:v>0.47210634629289494</c:v>
                </c:pt>
                <c:pt idx="583">
                  <c:v>0.47789087268479635</c:v>
                </c:pt>
                <c:pt idx="584">
                  <c:v>0.48083875632682349</c:v>
                </c:pt>
                <c:pt idx="585">
                  <c:v>0.48506591022859769</c:v>
                </c:pt>
                <c:pt idx="586">
                  <c:v>0.48200678569441902</c:v>
                </c:pt>
                <c:pt idx="587">
                  <c:v>0.50147394182101124</c:v>
                </c:pt>
                <c:pt idx="588">
                  <c:v>0.50581233661493785</c:v>
                </c:pt>
                <c:pt idx="589">
                  <c:v>0.49618999944379372</c:v>
                </c:pt>
                <c:pt idx="590">
                  <c:v>0.50136270092885948</c:v>
                </c:pt>
                <c:pt idx="591">
                  <c:v>0.45480838756326625</c:v>
                </c:pt>
                <c:pt idx="592">
                  <c:v>0.44958006563212427</c:v>
                </c:pt>
                <c:pt idx="593">
                  <c:v>0.46287335224428272</c:v>
                </c:pt>
                <c:pt idx="594">
                  <c:v>0.48284109238555883</c:v>
                </c:pt>
                <c:pt idx="595">
                  <c:v>0.47399744145947831</c:v>
                </c:pt>
                <c:pt idx="596">
                  <c:v>0.48940430502252386</c:v>
                </c:pt>
                <c:pt idx="597">
                  <c:v>0.49680182435062892</c:v>
                </c:pt>
                <c:pt idx="598">
                  <c:v>0.50965014739417969</c:v>
                </c:pt>
                <c:pt idx="599">
                  <c:v>0.5286167195060878</c:v>
                </c:pt>
                <c:pt idx="600">
                  <c:v>0.5023638689582266</c:v>
                </c:pt>
                <c:pt idx="601">
                  <c:v>0.523555258913174</c:v>
                </c:pt>
                <c:pt idx="602">
                  <c:v>0.5171589076144365</c:v>
                </c:pt>
                <c:pt idx="603">
                  <c:v>0.52772679236887243</c:v>
                </c:pt>
                <c:pt idx="604">
                  <c:v>0.52922854441292366</c:v>
                </c:pt>
                <c:pt idx="605">
                  <c:v>0.56766227265142399</c:v>
                </c:pt>
                <c:pt idx="606">
                  <c:v>0.57500417153345307</c:v>
                </c:pt>
                <c:pt idx="607">
                  <c:v>0.56621614105344831</c:v>
                </c:pt>
                <c:pt idx="608">
                  <c:v>0.56905278380332347</c:v>
                </c:pt>
                <c:pt idx="609">
                  <c:v>0.59363702096890525</c:v>
                </c:pt>
                <c:pt idx="610">
                  <c:v>0.58651760387118013</c:v>
                </c:pt>
                <c:pt idx="611">
                  <c:v>0.62350520051170477</c:v>
                </c:pt>
                <c:pt idx="612">
                  <c:v>0.64436286779019625</c:v>
                </c:pt>
                <c:pt idx="613">
                  <c:v>0.6302352744868982</c:v>
                </c:pt>
                <c:pt idx="614">
                  <c:v>0.62200344846765354</c:v>
                </c:pt>
                <c:pt idx="615">
                  <c:v>0.61232549085043342</c:v>
                </c:pt>
                <c:pt idx="616">
                  <c:v>0.62878914288892274</c:v>
                </c:pt>
                <c:pt idx="617">
                  <c:v>0.59230213026308154</c:v>
                </c:pt>
                <c:pt idx="618">
                  <c:v>0.60342621947827713</c:v>
                </c:pt>
                <c:pt idx="619">
                  <c:v>0.62634184326157993</c:v>
                </c:pt>
                <c:pt idx="620">
                  <c:v>0.61466154958562491</c:v>
                </c:pt>
                <c:pt idx="621">
                  <c:v>0.61966738973246271</c:v>
                </c:pt>
                <c:pt idx="622">
                  <c:v>0.61938928750208277</c:v>
                </c:pt>
                <c:pt idx="623">
                  <c:v>0.61944490794815898</c:v>
                </c:pt>
                <c:pt idx="624">
                  <c:v>0.61944490794815898</c:v>
                </c:pt>
                <c:pt idx="625">
                  <c:v>0.62684242727626405</c:v>
                </c:pt>
                <c:pt idx="626">
                  <c:v>0.60214694921853007</c:v>
                </c:pt>
                <c:pt idx="627">
                  <c:v>0.62595250013904824</c:v>
                </c:pt>
                <c:pt idx="628">
                  <c:v>0.63974637076589058</c:v>
                </c:pt>
                <c:pt idx="629">
                  <c:v>0.66255075365704119</c:v>
                </c:pt>
                <c:pt idx="630">
                  <c:v>0.62656432504588366</c:v>
                </c:pt>
                <c:pt idx="631">
                  <c:v>0.63763279381500304</c:v>
                </c:pt>
                <c:pt idx="632">
                  <c:v>0.67779075588185855</c:v>
                </c:pt>
                <c:pt idx="633">
                  <c:v>0.64046943656487776</c:v>
                </c:pt>
                <c:pt idx="634">
                  <c:v>0.63540797597196375</c:v>
                </c:pt>
                <c:pt idx="635">
                  <c:v>0.62389454363423646</c:v>
                </c:pt>
                <c:pt idx="636">
                  <c:v>0.62550753657043989</c:v>
                </c:pt>
                <c:pt idx="637">
                  <c:v>0.66071527893653359</c:v>
                </c:pt>
                <c:pt idx="638">
                  <c:v>0.65632126369653143</c:v>
                </c:pt>
                <c:pt idx="639">
                  <c:v>0.66243951276488877</c:v>
                </c:pt>
                <c:pt idx="640">
                  <c:v>0.65520885477501167</c:v>
                </c:pt>
                <c:pt idx="641">
                  <c:v>0.63418432615829246</c:v>
                </c:pt>
                <c:pt idx="642">
                  <c:v>0.6394682685355102</c:v>
                </c:pt>
                <c:pt idx="643">
                  <c:v>0.66466433060792829</c:v>
                </c:pt>
                <c:pt idx="644">
                  <c:v>0.68541075699426757</c:v>
                </c:pt>
                <c:pt idx="645">
                  <c:v>0.71099616218921713</c:v>
                </c:pt>
                <c:pt idx="646">
                  <c:v>0.67773513543578257</c:v>
                </c:pt>
                <c:pt idx="647">
                  <c:v>0.68735747260692692</c:v>
                </c:pt>
                <c:pt idx="648">
                  <c:v>0.69475499193503198</c:v>
                </c:pt>
                <c:pt idx="649">
                  <c:v>0.69458813059680424</c:v>
                </c:pt>
                <c:pt idx="650">
                  <c:v>0.67361922242616057</c:v>
                </c:pt>
                <c:pt idx="651">
                  <c:v>0.69325323989098098</c:v>
                </c:pt>
                <c:pt idx="652">
                  <c:v>0.68474331164135638</c:v>
                </c:pt>
                <c:pt idx="653">
                  <c:v>0.67656710606818793</c:v>
                </c:pt>
                <c:pt idx="654">
                  <c:v>0.68390900495021678</c:v>
                </c:pt>
                <c:pt idx="655">
                  <c:v>0.71906112687023471</c:v>
                </c:pt>
                <c:pt idx="656">
                  <c:v>0.68585572056287636</c:v>
                </c:pt>
                <c:pt idx="657">
                  <c:v>0.64764447410867998</c:v>
                </c:pt>
                <c:pt idx="658">
                  <c:v>0.64274987485399393</c:v>
                </c:pt>
                <c:pt idx="659">
                  <c:v>0.64341732020690556</c:v>
                </c:pt>
                <c:pt idx="660">
                  <c:v>0.65509761388286059</c:v>
                </c:pt>
                <c:pt idx="661">
                  <c:v>0.63340563991322951</c:v>
                </c:pt>
                <c:pt idx="662">
                  <c:v>0.62445074809499701</c:v>
                </c:pt>
                <c:pt idx="663">
                  <c:v>0.62823293842816352</c:v>
                </c:pt>
                <c:pt idx="664">
                  <c:v>0.62417264586461707</c:v>
                </c:pt>
                <c:pt idx="665">
                  <c:v>0.62739863173702393</c:v>
                </c:pt>
                <c:pt idx="666">
                  <c:v>0.64063629790310705</c:v>
                </c:pt>
                <c:pt idx="667">
                  <c:v>0.61299293620334594</c:v>
                </c:pt>
                <c:pt idx="668">
                  <c:v>0.61021191389954721</c:v>
                </c:pt>
                <c:pt idx="669">
                  <c:v>0.60492797152232947</c:v>
                </c:pt>
                <c:pt idx="670">
                  <c:v>0.62556315701651699</c:v>
                </c:pt>
                <c:pt idx="671">
                  <c:v>0.58573891762611741</c:v>
                </c:pt>
                <c:pt idx="672">
                  <c:v>0.59241337115523485</c:v>
                </c:pt>
                <c:pt idx="673">
                  <c:v>0.59797541576283253</c:v>
                </c:pt>
                <c:pt idx="674">
                  <c:v>0.62878914288892385</c:v>
                </c:pt>
                <c:pt idx="675">
                  <c:v>0.6413593637020949</c:v>
                </c:pt>
                <c:pt idx="676">
                  <c:v>0.64130374325601869</c:v>
                </c:pt>
                <c:pt idx="677">
                  <c:v>0.58012125257244351</c:v>
                </c:pt>
                <c:pt idx="678">
                  <c:v>0.5605984759997753</c:v>
                </c:pt>
                <c:pt idx="679">
                  <c:v>0.55781745369597635</c:v>
                </c:pt>
                <c:pt idx="680">
                  <c:v>0.56777351354357664</c:v>
                </c:pt>
                <c:pt idx="681">
                  <c:v>0.58089993881750757</c:v>
                </c:pt>
                <c:pt idx="682">
                  <c:v>0.59057789643472747</c:v>
                </c:pt>
                <c:pt idx="683">
                  <c:v>0.60092329940485922</c:v>
                </c:pt>
                <c:pt idx="684">
                  <c:v>0.59736359085599688</c:v>
                </c:pt>
                <c:pt idx="685">
                  <c:v>0.62812169753601266</c:v>
                </c:pt>
                <c:pt idx="686">
                  <c:v>0.64124812280994314</c:v>
                </c:pt>
                <c:pt idx="687">
                  <c:v>0.65326213916235432</c:v>
                </c:pt>
                <c:pt idx="688">
                  <c:v>0.6232827187274026</c:v>
                </c:pt>
                <c:pt idx="689">
                  <c:v>0.6121030090661308</c:v>
                </c:pt>
                <c:pt idx="690">
                  <c:v>0.62739863173702459</c:v>
                </c:pt>
                <c:pt idx="691">
                  <c:v>0.6332943990210782</c:v>
                </c:pt>
                <c:pt idx="692">
                  <c:v>0.64008009344234762</c:v>
                </c:pt>
                <c:pt idx="693">
                  <c:v>0.64514155403526119</c:v>
                </c:pt>
                <c:pt idx="694">
                  <c:v>0.61877746259524802</c:v>
                </c:pt>
                <c:pt idx="695">
                  <c:v>0.65064797819678288</c:v>
                </c:pt>
                <c:pt idx="696">
                  <c:v>0.6645530897157772</c:v>
                </c:pt>
                <c:pt idx="697">
                  <c:v>0.64603148117247677</c:v>
                </c:pt>
                <c:pt idx="698">
                  <c:v>0.65014739418209899</c:v>
                </c:pt>
                <c:pt idx="699">
                  <c:v>0.62417264586461751</c:v>
                </c:pt>
                <c:pt idx="700">
                  <c:v>0.58746315145447259</c:v>
                </c:pt>
                <c:pt idx="701">
                  <c:v>0.60375994215473372</c:v>
                </c:pt>
                <c:pt idx="702">
                  <c:v>0.62339395961955391</c:v>
                </c:pt>
                <c:pt idx="703">
                  <c:v>0.62344958006562989</c:v>
                </c:pt>
                <c:pt idx="704">
                  <c:v>0.62878914288892362</c:v>
                </c:pt>
                <c:pt idx="705">
                  <c:v>0.63323877857500199</c:v>
                </c:pt>
                <c:pt idx="706">
                  <c:v>0.63635352355525687</c:v>
                </c:pt>
                <c:pt idx="707">
                  <c:v>0.62422826631069372</c:v>
                </c:pt>
                <c:pt idx="708">
                  <c:v>0.60676344624283685</c:v>
                </c:pt>
                <c:pt idx="709">
                  <c:v>0.58640636297902926</c:v>
                </c:pt>
                <c:pt idx="710">
                  <c:v>0.62773235441348008</c:v>
                </c:pt>
                <c:pt idx="711">
                  <c:v>0.65009177373602345</c:v>
                </c:pt>
                <c:pt idx="712">
                  <c:v>0.66777907558818428</c:v>
                </c:pt>
                <c:pt idx="713">
                  <c:v>0.6247844707714536</c:v>
                </c:pt>
                <c:pt idx="714">
                  <c:v>0.66377440347071359</c:v>
                </c:pt>
                <c:pt idx="715">
                  <c:v>0.73324434061960941</c:v>
                </c:pt>
                <c:pt idx="716">
                  <c:v>0.72212025140441383</c:v>
                </c:pt>
                <c:pt idx="717">
                  <c:v>0.73001835474720278</c:v>
                </c:pt>
                <c:pt idx="718">
                  <c:v>0.66015907447577504</c:v>
                </c:pt>
                <c:pt idx="719">
                  <c:v>0.67812447855831537</c:v>
                </c:pt>
                <c:pt idx="720">
                  <c:v>0.70181878858668223</c:v>
                </c:pt>
                <c:pt idx="721">
                  <c:v>0.64719951054007208</c:v>
                </c:pt>
                <c:pt idx="722">
                  <c:v>0.66310695811780174</c:v>
                </c:pt>
                <c:pt idx="723">
                  <c:v>0.68680126814616815</c:v>
                </c:pt>
                <c:pt idx="724">
                  <c:v>0.66900272540185535</c:v>
                </c:pt>
                <c:pt idx="725">
                  <c:v>0.67083820012236273</c:v>
                </c:pt>
                <c:pt idx="726">
                  <c:v>0.66121586295121904</c:v>
                </c:pt>
                <c:pt idx="727">
                  <c:v>0.66711163023527287</c:v>
                </c:pt>
                <c:pt idx="728">
                  <c:v>0.6656654986372974</c:v>
                </c:pt>
                <c:pt idx="729">
                  <c:v>0.671616886367427</c:v>
                </c:pt>
                <c:pt idx="730">
                  <c:v>0.70154068635630273</c:v>
                </c:pt>
                <c:pt idx="731">
                  <c:v>0.72985149340897504</c:v>
                </c:pt>
                <c:pt idx="732">
                  <c:v>0.73252127482062224</c:v>
                </c:pt>
                <c:pt idx="733">
                  <c:v>0.72846098225707578</c:v>
                </c:pt>
                <c:pt idx="734">
                  <c:v>0.80054508037154282</c:v>
                </c:pt>
                <c:pt idx="735">
                  <c:v>0.8205684409588947</c:v>
                </c:pt>
                <c:pt idx="736">
                  <c:v>0.83753267701206813</c:v>
                </c:pt>
                <c:pt idx="737">
                  <c:v>0.77863062461760779</c:v>
                </c:pt>
                <c:pt idx="738">
                  <c:v>0.79053340007786743</c:v>
                </c:pt>
                <c:pt idx="739">
                  <c:v>0.82240391567940252</c:v>
                </c:pt>
                <c:pt idx="740">
                  <c:v>0.68096112130819209</c:v>
                </c:pt>
                <c:pt idx="741">
                  <c:v>0.66505367373046242</c:v>
                </c:pt>
                <c:pt idx="742">
                  <c:v>0.68446520941097866</c:v>
                </c:pt>
                <c:pt idx="743">
                  <c:v>0.69803659825351705</c:v>
                </c:pt>
                <c:pt idx="744">
                  <c:v>0.72862784359530486</c:v>
                </c:pt>
                <c:pt idx="745">
                  <c:v>0.76811836030924852</c:v>
                </c:pt>
                <c:pt idx="746">
                  <c:v>0.69937148895934032</c:v>
                </c:pt>
                <c:pt idx="747">
                  <c:v>0.71861616330162881</c:v>
                </c:pt>
                <c:pt idx="748">
                  <c:v>0.72423382835530248</c:v>
                </c:pt>
                <c:pt idx="749">
                  <c:v>0.70309805884643084</c:v>
                </c:pt>
                <c:pt idx="750">
                  <c:v>0.66861338227932499</c:v>
                </c:pt>
                <c:pt idx="751">
                  <c:v>0.64625396295678206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1C-034B-8998-F804FC096EF5}"/>
            </c:ext>
          </c:extLst>
        </c:ser>
        <c:ser>
          <c:idx val="1"/>
          <c:order val="1"/>
          <c:tx>
            <c:strRef>
              <c:f>'Share Price Analysis'!$I$35</c:f>
              <c:strCache>
                <c:ptCount val="1"/>
                <c:pt idx="0">
                  <c:v>SPY Cumulative Return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'Share Price Analysis'!$A$36:$A$787</c:f>
              <c:numCache>
                <c:formatCode>yyyy\-mm\-dd</c:formatCode>
                <c:ptCount val="752"/>
                <c:pt idx="0">
                  <c:v>44991</c:v>
                </c:pt>
                <c:pt idx="1">
                  <c:v>44992</c:v>
                </c:pt>
                <c:pt idx="2">
                  <c:v>44993</c:v>
                </c:pt>
                <c:pt idx="3">
                  <c:v>44994</c:v>
                </c:pt>
                <c:pt idx="4">
                  <c:v>44995</c:v>
                </c:pt>
                <c:pt idx="5">
                  <c:v>44998</c:v>
                </c:pt>
                <c:pt idx="6">
                  <c:v>44999</c:v>
                </c:pt>
                <c:pt idx="7">
                  <c:v>45000</c:v>
                </c:pt>
                <c:pt idx="8">
                  <c:v>45001</c:v>
                </c:pt>
                <c:pt idx="9">
                  <c:v>45002</c:v>
                </c:pt>
                <c:pt idx="10">
                  <c:v>45005</c:v>
                </c:pt>
                <c:pt idx="11">
                  <c:v>45006</c:v>
                </c:pt>
                <c:pt idx="12">
                  <c:v>45007</c:v>
                </c:pt>
                <c:pt idx="13">
                  <c:v>45008</c:v>
                </c:pt>
                <c:pt idx="14">
                  <c:v>45009</c:v>
                </c:pt>
                <c:pt idx="15">
                  <c:v>45012</c:v>
                </c:pt>
                <c:pt idx="16">
                  <c:v>45013</c:v>
                </c:pt>
                <c:pt idx="17">
                  <c:v>45014</c:v>
                </c:pt>
                <c:pt idx="18">
                  <c:v>45015</c:v>
                </c:pt>
                <c:pt idx="19">
                  <c:v>45016</c:v>
                </c:pt>
                <c:pt idx="20">
                  <c:v>45019</c:v>
                </c:pt>
                <c:pt idx="21">
                  <c:v>45020</c:v>
                </c:pt>
                <c:pt idx="22">
                  <c:v>45021</c:v>
                </c:pt>
                <c:pt idx="23">
                  <c:v>45022</c:v>
                </c:pt>
                <c:pt idx="24">
                  <c:v>45026</c:v>
                </c:pt>
                <c:pt idx="25">
                  <c:v>45027</c:v>
                </c:pt>
                <c:pt idx="26">
                  <c:v>45028</c:v>
                </c:pt>
                <c:pt idx="27">
                  <c:v>45029</c:v>
                </c:pt>
                <c:pt idx="28">
                  <c:v>45030</c:v>
                </c:pt>
                <c:pt idx="29">
                  <c:v>45033</c:v>
                </c:pt>
                <c:pt idx="30">
                  <c:v>45034</c:v>
                </c:pt>
                <c:pt idx="31">
                  <c:v>45035</c:v>
                </c:pt>
                <c:pt idx="32">
                  <c:v>45036</c:v>
                </c:pt>
                <c:pt idx="33">
                  <c:v>45037</c:v>
                </c:pt>
                <c:pt idx="34">
                  <c:v>45040</c:v>
                </c:pt>
                <c:pt idx="35">
                  <c:v>45041</c:v>
                </c:pt>
                <c:pt idx="36">
                  <c:v>45042</c:v>
                </c:pt>
                <c:pt idx="37">
                  <c:v>45043</c:v>
                </c:pt>
                <c:pt idx="38">
                  <c:v>45044</c:v>
                </c:pt>
                <c:pt idx="39">
                  <c:v>45047</c:v>
                </c:pt>
                <c:pt idx="40">
                  <c:v>45048</c:v>
                </c:pt>
                <c:pt idx="41">
                  <c:v>45049</c:v>
                </c:pt>
                <c:pt idx="42">
                  <c:v>45050</c:v>
                </c:pt>
                <c:pt idx="43">
                  <c:v>45051</c:v>
                </c:pt>
                <c:pt idx="44">
                  <c:v>45054</c:v>
                </c:pt>
                <c:pt idx="45">
                  <c:v>45055</c:v>
                </c:pt>
                <c:pt idx="46">
                  <c:v>45056</c:v>
                </c:pt>
                <c:pt idx="47">
                  <c:v>45057</c:v>
                </c:pt>
                <c:pt idx="48">
                  <c:v>45058</c:v>
                </c:pt>
                <c:pt idx="49">
                  <c:v>45061</c:v>
                </c:pt>
                <c:pt idx="50">
                  <c:v>45062</c:v>
                </c:pt>
                <c:pt idx="51">
                  <c:v>45063</c:v>
                </c:pt>
                <c:pt idx="52">
                  <c:v>45064</c:v>
                </c:pt>
                <c:pt idx="53">
                  <c:v>45065</c:v>
                </c:pt>
                <c:pt idx="54">
                  <c:v>45068</c:v>
                </c:pt>
                <c:pt idx="55">
                  <c:v>45069</c:v>
                </c:pt>
                <c:pt idx="56">
                  <c:v>45070</c:v>
                </c:pt>
                <c:pt idx="57">
                  <c:v>45071</c:v>
                </c:pt>
                <c:pt idx="58">
                  <c:v>45072</c:v>
                </c:pt>
                <c:pt idx="59">
                  <c:v>45076</c:v>
                </c:pt>
                <c:pt idx="60">
                  <c:v>45077</c:v>
                </c:pt>
                <c:pt idx="61">
                  <c:v>45078</c:v>
                </c:pt>
                <c:pt idx="62">
                  <c:v>45079</c:v>
                </c:pt>
                <c:pt idx="63">
                  <c:v>45082</c:v>
                </c:pt>
                <c:pt idx="64">
                  <c:v>45083</c:v>
                </c:pt>
                <c:pt idx="65">
                  <c:v>45084</c:v>
                </c:pt>
                <c:pt idx="66">
                  <c:v>45085</c:v>
                </c:pt>
                <c:pt idx="67">
                  <c:v>45086</c:v>
                </c:pt>
                <c:pt idx="68">
                  <c:v>45089</c:v>
                </c:pt>
                <c:pt idx="69">
                  <c:v>45090</c:v>
                </c:pt>
                <c:pt idx="70">
                  <c:v>45091</c:v>
                </c:pt>
                <c:pt idx="71">
                  <c:v>45092</c:v>
                </c:pt>
                <c:pt idx="72">
                  <c:v>45093</c:v>
                </c:pt>
                <c:pt idx="73">
                  <c:v>45097</c:v>
                </c:pt>
                <c:pt idx="74">
                  <c:v>45098</c:v>
                </c:pt>
                <c:pt idx="75">
                  <c:v>45099</c:v>
                </c:pt>
                <c:pt idx="76">
                  <c:v>45100</c:v>
                </c:pt>
                <c:pt idx="77">
                  <c:v>45103</c:v>
                </c:pt>
                <c:pt idx="78">
                  <c:v>45104</c:v>
                </c:pt>
                <c:pt idx="79">
                  <c:v>45105</c:v>
                </c:pt>
                <c:pt idx="80">
                  <c:v>45106</c:v>
                </c:pt>
                <c:pt idx="81">
                  <c:v>45107</c:v>
                </c:pt>
                <c:pt idx="82">
                  <c:v>45110</c:v>
                </c:pt>
                <c:pt idx="83">
                  <c:v>45112</c:v>
                </c:pt>
                <c:pt idx="84">
                  <c:v>45113</c:v>
                </c:pt>
                <c:pt idx="85">
                  <c:v>45114</c:v>
                </c:pt>
                <c:pt idx="86">
                  <c:v>45117</c:v>
                </c:pt>
                <c:pt idx="87">
                  <c:v>45118</c:v>
                </c:pt>
                <c:pt idx="88">
                  <c:v>45119</c:v>
                </c:pt>
                <c:pt idx="89">
                  <c:v>45120</c:v>
                </c:pt>
                <c:pt idx="90">
                  <c:v>45121</c:v>
                </c:pt>
                <c:pt idx="91">
                  <c:v>45124</c:v>
                </c:pt>
                <c:pt idx="92">
                  <c:v>45125</c:v>
                </c:pt>
                <c:pt idx="93">
                  <c:v>45126</c:v>
                </c:pt>
                <c:pt idx="94">
                  <c:v>45127</c:v>
                </c:pt>
                <c:pt idx="95">
                  <c:v>45128</c:v>
                </c:pt>
                <c:pt idx="96">
                  <c:v>45131</c:v>
                </c:pt>
                <c:pt idx="97">
                  <c:v>45132</c:v>
                </c:pt>
                <c:pt idx="98">
                  <c:v>45133</c:v>
                </c:pt>
                <c:pt idx="99">
                  <c:v>45134</c:v>
                </c:pt>
                <c:pt idx="100">
                  <c:v>45135</c:v>
                </c:pt>
                <c:pt idx="101">
                  <c:v>45138</c:v>
                </c:pt>
                <c:pt idx="102">
                  <c:v>45139</c:v>
                </c:pt>
                <c:pt idx="103">
                  <c:v>45140</c:v>
                </c:pt>
                <c:pt idx="104">
                  <c:v>45141</c:v>
                </c:pt>
                <c:pt idx="105">
                  <c:v>45142</c:v>
                </c:pt>
                <c:pt idx="106">
                  <c:v>45145</c:v>
                </c:pt>
                <c:pt idx="107">
                  <c:v>45146</c:v>
                </c:pt>
                <c:pt idx="108">
                  <c:v>45147</c:v>
                </c:pt>
                <c:pt idx="109">
                  <c:v>45148</c:v>
                </c:pt>
                <c:pt idx="110">
                  <c:v>45149</c:v>
                </c:pt>
                <c:pt idx="111">
                  <c:v>45152</c:v>
                </c:pt>
                <c:pt idx="112">
                  <c:v>45153</c:v>
                </c:pt>
                <c:pt idx="113">
                  <c:v>45154</c:v>
                </c:pt>
                <c:pt idx="114">
                  <c:v>45155</c:v>
                </c:pt>
                <c:pt idx="115">
                  <c:v>45156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45166</c:v>
                </c:pt>
                <c:pt idx="122">
                  <c:v>45167</c:v>
                </c:pt>
                <c:pt idx="123">
                  <c:v>45168</c:v>
                </c:pt>
                <c:pt idx="124">
                  <c:v>45169</c:v>
                </c:pt>
                <c:pt idx="125">
                  <c:v>45170</c:v>
                </c:pt>
                <c:pt idx="126">
                  <c:v>45174</c:v>
                </c:pt>
                <c:pt idx="127">
                  <c:v>45175</c:v>
                </c:pt>
                <c:pt idx="128">
                  <c:v>45176</c:v>
                </c:pt>
                <c:pt idx="129">
                  <c:v>45177</c:v>
                </c:pt>
                <c:pt idx="130">
                  <c:v>45180</c:v>
                </c:pt>
                <c:pt idx="131">
                  <c:v>45181</c:v>
                </c:pt>
                <c:pt idx="132">
                  <c:v>45182</c:v>
                </c:pt>
                <c:pt idx="133">
                  <c:v>45183</c:v>
                </c:pt>
                <c:pt idx="134">
                  <c:v>45184</c:v>
                </c:pt>
                <c:pt idx="135">
                  <c:v>45187</c:v>
                </c:pt>
                <c:pt idx="136">
                  <c:v>45188</c:v>
                </c:pt>
                <c:pt idx="137">
                  <c:v>45189</c:v>
                </c:pt>
                <c:pt idx="138">
                  <c:v>45190</c:v>
                </c:pt>
                <c:pt idx="139">
                  <c:v>45191</c:v>
                </c:pt>
                <c:pt idx="140">
                  <c:v>45194</c:v>
                </c:pt>
                <c:pt idx="141">
                  <c:v>45195</c:v>
                </c:pt>
                <c:pt idx="142">
                  <c:v>45196</c:v>
                </c:pt>
                <c:pt idx="143">
                  <c:v>45197</c:v>
                </c:pt>
                <c:pt idx="144">
                  <c:v>45198</c:v>
                </c:pt>
                <c:pt idx="145">
                  <c:v>45201</c:v>
                </c:pt>
                <c:pt idx="146">
                  <c:v>45202</c:v>
                </c:pt>
                <c:pt idx="147">
                  <c:v>45203</c:v>
                </c:pt>
                <c:pt idx="148">
                  <c:v>45204</c:v>
                </c:pt>
                <c:pt idx="149">
                  <c:v>45205</c:v>
                </c:pt>
                <c:pt idx="150">
                  <c:v>45208</c:v>
                </c:pt>
                <c:pt idx="151">
                  <c:v>45209</c:v>
                </c:pt>
                <c:pt idx="152">
                  <c:v>45210</c:v>
                </c:pt>
                <c:pt idx="153">
                  <c:v>45211</c:v>
                </c:pt>
                <c:pt idx="154">
                  <c:v>45212</c:v>
                </c:pt>
                <c:pt idx="155">
                  <c:v>45215</c:v>
                </c:pt>
                <c:pt idx="156">
                  <c:v>45216</c:v>
                </c:pt>
                <c:pt idx="157">
                  <c:v>45217</c:v>
                </c:pt>
                <c:pt idx="158">
                  <c:v>45218</c:v>
                </c:pt>
                <c:pt idx="159">
                  <c:v>45219</c:v>
                </c:pt>
                <c:pt idx="160">
                  <c:v>45222</c:v>
                </c:pt>
                <c:pt idx="161">
                  <c:v>45223</c:v>
                </c:pt>
                <c:pt idx="162">
                  <c:v>45224</c:v>
                </c:pt>
                <c:pt idx="163">
                  <c:v>45225</c:v>
                </c:pt>
                <c:pt idx="164">
                  <c:v>45226</c:v>
                </c:pt>
                <c:pt idx="165">
                  <c:v>45229</c:v>
                </c:pt>
                <c:pt idx="166">
                  <c:v>45230</c:v>
                </c:pt>
                <c:pt idx="167">
                  <c:v>45231</c:v>
                </c:pt>
                <c:pt idx="168">
                  <c:v>45232</c:v>
                </c:pt>
                <c:pt idx="169">
                  <c:v>45233</c:v>
                </c:pt>
                <c:pt idx="170">
                  <c:v>45236</c:v>
                </c:pt>
                <c:pt idx="171">
                  <c:v>45237</c:v>
                </c:pt>
                <c:pt idx="172">
                  <c:v>45238</c:v>
                </c:pt>
                <c:pt idx="173">
                  <c:v>45239</c:v>
                </c:pt>
                <c:pt idx="174">
                  <c:v>45240</c:v>
                </c:pt>
                <c:pt idx="175">
                  <c:v>45243</c:v>
                </c:pt>
                <c:pt idx="176">
                  <c:v>45244</c:v>
                </c:pt>
                <c:pt idx="177">
                  <c:v>45245</c:v>
                </c:pt>
                <c:pt idx="178">
                  <c:v>45246</c:v>
                </c:pt>
                <c:pt idx="179">
                  <c:v>45247</c:v>
                </c:pt>
                <c:pt idx="180">
                  <c:v>45250</c:v>
                </c:pt>
                <c:pt idx="181">
                  <c:v>45251</c:v>
                </c:pt>
                <c:pt idx="182">
                  <c:v>45252</c:v>
                </c:pt>
                <c:pt idx="183">
                  <c:v>45254</c:v>
                </c:pt>
                <c:pt idx="184">
                  <c:v>45257</c:v>
                </c:pt>
                <c:pt idx="185">
                  <c:v>45258</c:v>
                </c:pt>
                <c:pt idx="186">
                  <c:v>45259</c:v>
                </c:pt>
                <c:pt idx="187">
                  <c:v>45260</c:v>
                </c:pt>
                <c:pt idx="188">
                  <c:v>45261</c:v>
                </c:pt>
                <c:pt idx="189">
                  <c:v>45264</c:v>
                </c:pt>
                <c:pt idx="190">
                  <c:v>45265</c:v>
                </c:pt>
                <c:pt idx="191">
                  <c:v>45266</c:v>
                </c:pt>
                <c:pt idx="192">
                  <c:v>45267</c:v>
                </c:pt>
                <c:pt idx="193">
                  <c:v>45268</c:v>
                </c:pt>
                <c:pt idx="194">
                  <c:v>45271</c:v>
                </c:pt>
                <c:pt idx="195">
                  <c:v>45272</c:v>
                </c:pt>
                <c:pt idx="196">
                  <c:v>45273</c:v>
                </c:pt>
                <c:pt idx="197">
                  <c:v>45274</c:v>
                </c:pt>
                <c:pt idx="198">
                  <c:v>45275</c:v>
                </c:pt>
                <c:pt idx="199">
                  <c:v>45278</c:v>
                </c:pt>
                <c:pt idx="200">
                  <c:v>45279</c:v>
                </c:pt>
                <c:pt idx="201">
                  <c:v>45280</c:v>
                </c:pt>
                <c:pt idx="202">
                  <c:v>45281</c:v>
                </c:pt>
                <c:pt idx="203">
                  <c:v>45282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45307</c:v>
                </c:pt>
                <c:pt idx="218">
                  <c:v>45308</c:v>
                </c:pt>
                <c:pt idx="219">
                  <c:v>45309</c:v>
                </c:pt>
                <c:pt idx="220">
                  <c:v>45310</c:v>
                </c:pt>
                <c:pt idx="221">
                  <c:v>45313</c:v>
                </c:pt>
                <c:pt idx="222">
                  <c:v>45314</c:v>
                </c:pt>
                <c:pt idx="223">
                  <c:v>45315</c:v>
                </c:pt>
                <c:pt idx="224">
                  <c:v>45316</c:v>
                </c:pt>
                <c:pt idx="225">
                  <c:v>45317</c:v>
                </c:pt>
                <c:pt idx="226">
                  <c:v>45320</c:v>
                </c:pt>
                <c:pt idx="227">
                  <c:v>45321</c:v>
                </c:pt>
                <c:pt idx="228">
                  <c:v>45322</c:v>
                </c:pt>
                <c:pt idx="229">
                  <c:v>45323</c:v>
                </c:pt>
                <c:pt idx="230">
                  <c:v>45324</c:v>
                </c:pt>
                <c:pt idx="231">
                  <c:v>45327</c:v>
                </c:pt>
                <c:pt idx="232">
                  <c:v>45328</c:v>
                </c:pt>
                <c:pt idx="233">
                  <c:v>45329</c:v>
                </c:pt>
                <c:pt idx="234">
                  <c:v>45330</c:v>
                </c:pt>
                <c:pt idx="235">
                  <c:v>45331</c:v>
                </c:pt>
                <c:pt idx="236">
                  <c:v>45334</c:v>
                </c:pt>
                <c:pt idx="237">
                  <c:v>45335</c:v>
                </c:pt>
                <c:pt idx="238">
                  <c:v>45336</c:v>
                </c:pt>
                <c:pt idx="239">
                  <c:v>45337</c:v>
                </c:pt>
                <c:pt idx="240">
                  <c:v>45338</c:v>
                </c:pt>
                <c:pt idx="241">
                  <c:v>45342</c:v>
                </c:pt>
                <c:pt idx="242">
                  <c:v>45343</c:v>
                </c:pt>
                <c:pt idx="243">
                  <c:v>45344</c:v>
                </c:pt>
                <c:pt idx="244">
                  <c:v>45345</c:v>
                </c:pt>
                <c:pt idx="245">
                  <c:v>45348</c:v>
                </c:pt>
                <c:pt idx="246">
                  <c:v>45349</c:v>
                </c:pt>
                <c:pt idx="247">
                  <c:v>45350</c:v>
                </c:pt>
                <c:pt idx="248">
                  <c:v>45351</c:v>
                </c:pt>
                <c:pt idx="249">
                  <c:v>45352</c:v>
                </c:pt>
                <c:pt idx="250">
                  <c:v>45355</c:v>
                </c:pt>
                <c:pt idx="251">
                  <c:v>45356</c:v>
                </c:pt>
                <c:pt idx="252">
                  <c:v>45357</c:v>
                </c:pt>
                <c:pt idx="253">
                  <c:v>45358</c:v>
                </c:pt>
                <c:pt idx="254">
                  <c:v>45359</c:v>
                </c:pt>
                <c:pt idx="255">
                  <c:v>45362</c:v>
                </c:pt>
                <c:pt idx="256">
                  <c:v>45363</c:v>
                </c:pt>
                <c:pt idx="257">
                  <c:v>45364</c:v>
                </c:pt>
                <c:pt idx="258">
                  <c:v>45365</c:v>
                </c:pt>
                <c:pt idx="259">
                  <c:v>45366</c:v>
                </c:pt>
                <c:pt idx="260">
                  <c:v>45369</c:v>
                </c:pt>
                <c:pt idx="261">
                  <c:v>45370</c:v>
                </c:pt>
                <c:pt idx="262">
                  <c:v>45371</c:v>
                </c:pt>
                <c:pt idx="263">
                  <c:v>45372</c:v>
                </c:pt>
                <c:pt idx="264">
                  <c:v>45373</c:v>
                </c:pt>
                <c:pt idx="265">
                  <c:v>45376</c:v>
                </c:pt>
                <c:pt idx="266">
                  <c:v>45377</c:v>
                </c:pt>
                <c:pt idx="267">
                  <c:v>45378</c:v>
                </c:pt>
                <c:pt idx="268">
                  <c:v>45379</c:v>
                </c:pt>
                <c:pt idx="269">
                  <c:v>45383</c:v>
                </c:pt>
                <c:pt idx="270">
                  <c:v>45384</c:v>
                </c:pt>
                <c:pt idx="271">
                  <c:v>45385</c:v>
                </c:pt>
                <c:pt idx="272">
                  <c:v>45386</c:v>
                </c:pt>
                <c:pt idx="273">
                  <c:v>45387</c:v>
                </c:pt>
                <c:pt idx="274">
                  <c:v>45390</c:v>
                </c:pt>
                <c:pt idx="275">
                  <c:v>45391</c:v>
                </c:pt>
                <c:pt idx="276">
                  <c:v>45392</c:v>
                </c:pt>
                <c:pt idx="277">
                  <c:v>45393</c:v>
                </c:pt>
                <c:pt idx="278">
                  <c:v>45394</c:v>
                </c:pt>
                <c:pt idx="279">
                  <c:v>45397</c:v>
                </c:pt>
                <c:pt idx="280">
                  <c:v>45398</c:v>
                </c:pt>
                <c:pt idx="281">
                  <c:v>45399</c:v>
                </c:pt>
                <c:pt idx="282">
                  <c:v>45400</c:v>
                </c:pt>
                <c:pt idx="283">
                  <c:v>45401</c:v>
                </c:pt>
                <c:pt idx="284">
                  <c:v>45404</c:v>
                </c:pt>
                <c:pt idx="285">
                  <c:v>45405</c:v>
                </c:pt>
                <c:pt idx="286">
                  <c:v>45406</c:v>
                </c:pt>
                <c:pt idx="287">
                  <c:v>45407</c:v>
                </c:pt>
                <c:pt idx="288">
                  <c:v>45408</c:v>
                </c:pt>
                <c:pt idx="289">
                  <c:v>45411</c:v>
                </c:pt>
                <c:pt idx="290">
                  <c:v>45412</c:v>
                </c:pt>
                <c:pt idx="291">
                  <c:v>45413</c:v>
                </c:pt>
                <c:pt idx="292">
                  <c:v>45414</c:v>
                </c:pt>
                <c:pt idx="293">
                  <c:v>45415</c:v>
                </c:pt>
                <c:pt idx="294">
                  <c:v>45418</c:v>
                </c:pt>
                <c:pt idx="295">
                  <c:v>45419</c:v>
                </c:pt>
                <c:pt idx="296">
                  <c:v>45420</c:v>
                </c:pt>
                <c:pt idx="297">
                  <c:v>45421</c:v>
                </c:pt>
                <c:pt idx="298">
                  <c:v>45422</c:v>
                </c:pt>
                <c:pt idx="299">
                  <c:v>45425</c:v>
                </c:pt>
                <c:pt idx="300">
                  <c:v>45426</c:v>
                </c:pt>
                <c:pt idx="301">
                  <c:v>45427</c:v>
                </c:pt>
                <c:pt idx="302">
                  <c:v>45428</c:v>
                </c:pt>
                <c:pt idx="303">
                  <c:v>45429</c:v>
                </c:pt>
                <c:pt idx="304">
                  <c:v>45432</c:v>
                </c:pt>
                <c:pt idx="305">
                  <c:v>45433</c:v>
                </c:pt>
                <c:pt idx="306">
                  <c:v>45434</c:v>
                </c:pt>
                <c:pt idx="307">
                  <c:v>45435</c:v>
                </c:pt>
                <c:pt idx="308">
                  <c:v>45436</c:v>
                </c:pt>
                <c:pt idx="309">
                  <c:v>45440</c:v>
                </c:pt>
                <c:pt idx="310">
                  <c:v>45441</c:v>
                </c:pt>
                <c:pt idx="311">
                  <c:v>45442</c:v>
                </c:pt>
                <c:pt idx="312">
                  <c:v>45443</c:v>
                </c:pt>
                <c:pt idx="313">
                  <c:v>45446</c:v>
                </c:pt>
                <c:pt idx="314">
                  <c:v>45447</c:v>
                </c:pt>
                <c:pt idx="315">
                  <c:v>45448</c:v>
                </c:pt>
                <c:pt idx="316">
                  <c:v>45449</c:v>
                </c:pt>
                <c:pt idx="317">
                  <c:v>45450</c:v>
                </c:pt>
                <c:pt idx="318">
                  <c:v>45453</c:v>
                </c:pt>
                <c:pt idx="319">
                  <c:v>45454</c:v>
                </c:pt>
                <c:pt idx="320">
                  <c:v>45455</c:v>
                </c:pt>
                <c:pt idx="321">
                  <c:v>45456</c:v>
                </c:pt>
                <c:pt idx="322">
                  <c:v>45457</c:v>
                </c:pt>
                <c:pt idx="323">
                  <c:v>45460</c:v>
                </c:pt>
                <c:pt idx="324">
                  <c:v>45461</c:v>
                </c:pt>
                <c:pt idx="325">
                  <c:v>45463</c:v>
                </c:pt>
                <c:pt idx="326">
                  <c:v>45464</c:v>
                </c:pt>
                <c:pt idx="327">
                  <c:v>45467</c:v>
                </c:pt>
                <c:pt idx="328">
                  <c:v>45468</c:v>
                </c:pt>
                <c:pt idx="329">
                  <c:v>45469</c:v>
                </c:pt>
                <c:pt idx="330">
                  <c:v>45470</c:v>
                </c:pt>
                <c:pt idx="331">
                  <c:v>45471</c:v>
                </c:pt>
                <c:pt idx="332">
                  <c:v>45474</c:v>
                </c:pt>
                <c:pt idx="333">
                  <c:v>45475</c:v>
                </c:pt>
                <c:pt idx="334">
                  <c:v>45476</c:v>
                </c:pt>
                <c:pt idx="335">
                  <c:v>45478</c:v>
                </c:pt>
                <c:pt idx="336">
                  <c:v>45481</c:v>
                </c:pt>
                <c:pt idx="337">
                  <c:v>45482</c:v>
                </c:pt>
                <c:pt idx="338">
                  <c:v>45483</c:v>
                </c:pt>
                <c:pt idx="339">
                  <c:v>45484</c:v>
                </c:pt>
                <c:pt idx="340">
                  <c:v>45485</c:v>
                </c:pt>
                <c:pt idx="341">
                  <c:v>45488</c:v>
                </c:pt>
                <c:pt idx="342">
                  <c:v>45489</c:v>
                </c:pt>
                <c:pt idx="343">
                  <c:v>45490</c:v>
                </c:pt>
                <c:pt idx="344">
                  <c:v>45491</c:v>
                </c:pt>
                <c:pt idx="345">
                  <c:v>45492</c:v>
                </c:pt>
                <c:pt idx="346">
                  <c:v>45495</c:v>
                </c:pt>
                <c:pt idx="347">
                  <c:v>45496</c:v>
                </c:pt>
                <c:pt idx="348">
                  <c:v>45497</c:v>
                </c:pt>
                <c:pt idx="349">
                  <c:v>45498</c:v>
                </c:pt>
                <c:pt idx="350">
                  <c:v>45499</c:v>
                </c:pt>
                <c:pt idx="351">
                  <c:v>45502</c:v>
                </c:pt>
                <c:pt idx="352">
                  <c:v>45503</c:v>
                </c:pt>
                <c:pt idx="353">
                  <c:v>45504</c:v>
                </c:pt>
                <c:pt idx="354">
                  <c:v>45505</c:v>
                </c:pt>
                <c:pt idx="355">
                  <c:v>45506</c:v>
                </c:pt>
                <c:pt idx="356">
                  <c:v>45509</c:v>
                </c:pt>
                <c:pt idx="357">
                  <c:v>45510</c:v>
                </c:pt>
                <c:pt idx="358">
                  <c:v>45511</c:v>
                </c:pt>
                <c:pt idx="359">
                  <c:v>45512</c:v>
                </c:pt>
                <c:pt idx="360">
                  <c:v>45513</c:v>
                </c:pt>
                <c:pt idx="361">
                  <c:v>45516</c:v>
                </c:pt>
                <c:pt idx="362">
                  <c:v>45517</c:v>
                </c:pt>
                <c:pt idx="363">
                  <c:v>45518</c:v>
                </c:pt>
                <c:pt idx="364">
                  <c:v>45519</c:v>
                </c:pt>
                <c:pt idx="365">
                  <c:v>45520</c:v>
                </c:pt>
                <c:pt idx="366">
                  <c:v>45523</c:v>
                </c:pt>
                <c:pt idx="367">
                  <c:v>45524</c:v>
                </c:pt>
                <c:pt idx="368">
                  <c:v>45525</c:v>
                </c:pt>
                <c:pt idx="369">
                  <c:v>45526</c:v>
                </c:pt>
                <c:pt idx="370">
                  <c:v>45527</c:v>
                </c:pt>
                <c:pt idx="371">
                  <c:v>45530</c:v>
                </c:pt>
                <c:pt idx="372">
                  <c:v>45531</c:v>
                </c:pt>
                <c:pt idx="373">
                  <c:v>45532</c:v>
                </c:pt>
                <c:pt idx="374">
                  <c:v>45533</c:v>
                </c:pt>
                <c:pt idx="375">
                  <c:v>45534</c:v>
                </c:pt>
                <c:pt idx="376">
                  <c:v>45538</c:v>
                </c:pt>
                <c:pt idx="377">
                  <c:v>45539</c:v>
                </c:pt>
                <c:pt idx="378">
                  <c:v>45540</c:v>
                </c:pt>
                <c:pt idx="379">
                  <c:v>45541</c:v>
                </c:pt>
                <c:pt idx="380">
                  <c:v>45544</c:v>
                </c:pt>
                <c:pt idx="381">
                  <c:v>45545</c:v>
                </c:pt>
                <c:pt idx="382">
                  <c:v>45546</c:v>
                </c:pt>
                <c:pt idx="383">
                  <c:v>45547</c:v>
                </c:pt>
                <c:pt idx="384">
                  <c:v>45548</c:v>
                </c:pt>
                <c:pt idx="385">
                  <c:v>45551</c:v>
                </c:pt>
                <c:pt idx="386">
                  <c:v>45552</c:v>
                </c:pt>
                <c:pt idx="387">
                  <c:v>45553</c:v>
                </c:pt>
                <c:pt idx="388">
                  <c:v>45554</c:v>
                </c:pt>
                <c:pt idx="389">
                  <c:v>45555</c:v>
                </c:pt>
                <c:pt idx="390">
                  <c:v>45558</c:v>
                </c:pt>
                <c:pt idx="391">
                  <c:v>45559</c:v>
                </c:pt>
                <c:pt idx="392">
                  <c:v>45560</c:v>
                </c:pt>
                <c:pt idx="393">
                  <c:v>45561</c:v>
                </c:pt>
                <c:pt idx="394">
                  <c:v>45562</c:v>
                </c:pt>
                <c:pt idx="395">
                  <c:v>45565</c:v>
                </c:pt>
                <c:pt idx="396">
                  <c:v>45566</c:v>
                </c:pt>
                <c:pt idx="397">
                  <c:v>45567</c:v>
                </c:pt>
                <c:pt idx="398">
                  <c:v>45568</c:v>
                </c:pt>
                <c:pt idx="399">
                  <c:v>45569</c:v>
                </c:pt>
                <c:pt idx="400">
                  <c:v>45572</c:v>
                </c:pt>
                <c:pt idx="401">
                  <c:v>45573</c:v>
                </c:pt>
                <c:pt idx="402">
                  <c:v>45574</c:v>
                </c:pt>
                <c:pt idx="403">
                  <c:v>45575</c:v>
                </c:pt>
                <c:pt idx="404">
                  <c:v>45576</c:v>
                </c:pt>
                <c:pt idx="405">
                  <c:v>45579</c:v>
                </c:pt>
                <c:pt idx="406">
                  <c:v>45580</c:v>
                </c:pt>
                <c:pt idx="407">
                  <c:v>45581</c:v>
                </c:pt>
                <c:pt idx="408">
                  <c:v>45582</c:v>
                </c:pt>
                <c:pt idx="409">
                  <c:v>45583</c:v>
                </c:pt>
                <c:pt idx="410">
                  <c:v>45586</c:v>
                </c:pt>
                <c:pt idx="411">
                  <c:v>45587</c:v>
                </c:pt>
                <c:pt idx="412">
                  <c:v>45588</c:v>
                </c:pt>
                <c:pt idx="413">
                  <c:v>45589</c:v>
                </c:pt>
                <c:pt idx="414">
                  <c:v>45590</c:v>
                </c:pt>
                <c:pt idx="415">
                  <c:v>45593</c:v>
                </c:pt>
                <c:pt idx="416">
                  <c:v>45594</c:v>
                </c:pt>
                <c:pt idx="417">
                  <c:v>45595</c:v>
                </c:pt>
                <c:pt idx="418">
                  <c:v>45596</c:v>
                </c:pt>
                <c:pt idx="419">
                  <c:v>45597</c:v>
                </c:pt>
                <c:pt idx="420">
                  <c:v>45600</c:v>
                </c:pt>
                <c:pt idx="421">
                  <c:v>45601</c:v>
                </c:pt>
                <c:pt idx="422">
                  <c:v>45602</c:v>
                </c:pt>
                <c:pt idx="423">
                  <c:v>45603</c:v>
                </c:pt>
                <c:pt idx="424">
                  <c:v>45604</c:v>
                </c:pt>
                <c:pt idx="425">
                  <c:v>45607</c:v>
                </c:pt>
                <c:pt idx="426">
                  <c:v>45608</c:v>
                </c:pt>
                <c:pt idx="427">
                  <c:v>45609</c:v>
                </c:pt>
                <c:pt idx="428">
                  <c:v>45610</c:v>
                </c:pt>
                <c:pt idx="429">
                  <c:v>45611</c:v>
                </c:pt>
                <c:pt idx="430">
                  <c:v>45614</c:v>
                </c:pt>
                <c:pt idx="431">
                  <c:v>45615</c:v>
                </c:pt>
                <c:pt idx="432">
                  <c:v>45616</c:v>
                </c:pt>
                <c:pt idx="433">
                  <c:v>45617</c:v>
                </c:pt>
                <c:pt idx="434">
                  <c:v>45618</c:v>
                </c:pt>
                <c:pt idx="435">
                  <c:v>45621</c:v>
                </c:pt>
                <c:pt idx="436">
                  <c:v>45622</c:v>
                </c:pt>
                <c:pt idx="437">
                  <c:v>45623</c:v>
                </c:pt>
                <c:pt idx="438">
                  <c:v>45625</c:v>
                </c:pt>
                <c:pt idx="439">
                  <c:v>45628</c:v>
                </c:pt>
                <c:pt idx="440">
                  <c:v>45629</c:v>
                </c:pt>
                <c:pt idx="441">
                  <c:v>45630</c:v>
                </c:pt>
                <c:pt idx="442">
                  <c:v>45631</c:v>
                </c:pt>
                <c:pt idx="443">
                  <c:v>45632</c:v>
                </c:pt>
                <c:pt idx="444">
                  <c:v>45635</c:v>
                </c:pt>
                <c:pt idx="445">
                  <c:v>45636</c:v>
                </c:pt>
                <c:pt idx="446">
                  <c:v>45637</c:v>
                </c:pt>
                <c:pt idx="447">
                  <c:v>45638</c:v>
                </c:pt>
                <c:pt idx="448">
                  <c:v>45639</c:v>
                </c:pt>
                <c:pt idx="449">
                  <c:v>45642</c:v>
                </c:pt>
                <c:pt idx="450">
                  <c:v>45643</c:v>
                </c:pt>
                <c:pt idx="451">
                  <c:v>45644</c:v>
                </c:pt>
                <c:pt idx="452">
                  <c:v>45645</c:v>
                </c:pt>
                <c:pt idx="453">
                  <c:v>45646</c:v>
                </c:pt>
                <c:pt idx="454">
                  <c:v>45649</c:v>
                </c:pt>
                <c:pt idx="455">
                  <c:v>45650</c:v>
                </c:pt>
                <c:pt idx="456">
                  <c:v>45652</c:v>
                </c:pt>
                <c:pt idx="457">
                  <c:v>45653</c:v>
                </c:pt>
                <c:pt idx="458">
                  <c:v>45656</c:v>
                </c:pt>
                <c:pt idx="459">
                  <c:v>45657</c:v>
                </c:pt>
                <c:pt idx="460">
                  <c:v>45659</c:v>
                </c:pt>
                <c:pt idx="461">
                  <c:v>45660</c:v>
                </c:pt>
                <c:pt idx="462">
                  <c:v>45663</c:v>
                </c:pt>
                <c:pt idx="463">
                  <c:v>45664</c:v>
                </c:pt>
                <c:pt idx="464">
                  <c:v>45665</c:v>
                </c:pt>
                <c:pt idx="465">
                  <c:v>45667</c:v>
                </c:pt>
                <c:pt idx="466">
                  <c:v>45670</c:v>
                </c:pt>
                <c:pt idx="467">
                  <c:v>45671</c:v>
                </c:pt>
                <c:pt idx="468">
                  <c:v>45672</c:v>
                </c:pt>
                <c:pt idx="469">
                  <c:v>45673</c:v>
                </c:pt>
                <c:pt idx="470">
                  <c:v>45674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45684</c:v>
                </c:pt>
                <c:pt idx="476">
                  <c:v>45685</c:v>
                </c:pt>
                <c:pt idx="477">
                  <c:v>45686</c:v>
                </c:pt>
                <c:pt idx="478">
                  <c:v>45687</c:v>
                </c:pt>
                <c:pt idx="479">
                  <c:v>45688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45706</c:v>
                </c:pt>
                <c:pt idx="491">
                  <c:v>45707</c:v>
                </c:pt>
                <c:pt idx="492">
                  <c:v>45708</c:v>
                </c:pt>
                <c:pt idx="493">
                  <c:v>45709</c:v>
                </c:pt>
                <c:pt idx="494">
                  <c:v>45712</c:v>
                </c:pt>
                <c:pt idx="495">
                  <c:v>45713</c:v>
                </c:pt>
                <c:pt idx="496">
                  <c:v>45714</c:v>
                </c:pt>
                <c:pt idx="497">
                  <c:v>45715</c:v>
                </c:pt>
                <c:pt idx="498">
                  <c:v>45716</c:v>
                </c:pt>
                <c:pt idx="499">
                  <c:v>45719</c:v>
                </c:pt>
                <c:pt idx="500">
                  <c:v>45720</c:v>
                </c:pt>
                <c:pt idx="501">
                  <c:v>45721</c:v>
                </c:pt>
                <c:pt idx="502">
                  <c:v>45722</c:v>
                </c:pt>
                <c:pt idx="503">
                  <c:v>45723</c:v>
                </c:pt>
                <c:pt idx="504">
                  <c:v>45726</c:v>
                </c:pt>
                <c:pt idx="505">
                  <c:v>45727</c:v>
                </c:pt>
                <c:pt idx="506">
                  <c:v>45728</c:v>
                </c:pt>
                <c:pt idx="507">
                  <c:v>45729</c:v>
                </c:pt>
                <c:pt idx="508">
                  <c:v>45730</c:v>
                </c:pt>
                <c:pt idx="509">
                  <c:v>45733</c:v>
                </c:pt>
                <c:pt idx="510">
                  <c:v>45734</c:v>
                </c:pt>
                <c:pt idx="511">
                  <c:v>45735</c:v>
                </c:pt>
                <c:pt idx="512">
                  <c:v>45736</c:v>
                </c:pt>
                <c:pt idx="513">
                  <c:v>45737</c:v>
                </c:pt>
                <c:pt idx="514">
                  <c:v>45740</c:v>
                </c:pt>
                <c:pt idx="515">
                  <c:v>45741</c:v>
                </c:pt>
                <c:pt idx="516">
                  <c:v>45742</c:v>
                </c:pt>
                <c:pt idx="517">
                  <c:v>45743</c:v>
                </c:pt>
                <c:pt idx="518">
                  <c:v>45744</c:v>
                </c:pt>
                <c:pt idx="519">
                  <c:v>45747</c:v>
                </c:pt>
                <c:pt idx="520">
                  <c:v>45748</c:v>
                </c:pt>
                <c:pt idx="521">
                  <c:v>45749</c:v>
                </c:pt>
                <c:pt idx="522">
                  <c:v>45750</c:v>
                </c:pt>
                <c:pt idx="523">
                  <c:v>45751</c:v>
                </c:pt>
                <c:pt idx="524">
                  <c:v>45754</c:v>
                </c:pt>
                <c:pt idx="525">
                  <c:v>45755</c:v>
                </c:pt>
                <c:pt idx="526">
                  <c:v>45756</c:v>
                </c:pt>
                <c:pt idx="527">
                  <c:v>45757</c:v>
                </c:pt>
                <c:pt idx="528">
                  <c:v>45758</c:v>
                </c:pt>
                <c:pt idx="529">
                  <c:v>45761</c:v>
                </c:pt>
                <c:pt idx="530">
                  <c:v>45762</c:v>
                </c:pt>
                <c:pt idx="531">
                  <c:v>45763</c:v>
                </c:pt>
                <c:pt idx="532">
                  <c:v>45764</c:v>
                </c:pt>
                <c:pt idx="533">
                  <c:v>45768</c:v>
                </c:pt>
                <c:pt idx="534">
                  <c:v>45769</c:v>
                </c:pt>
                <c:pt idx="535">
                  <c:v>45770</c:v>
                </c:pt>
                <c:pt idx="536">
                  <c:v>45771</c:v>
                </c:pt>
                <c:pt idx="537">
                  <c:v>45772</c:v>
                </c:pt>
                <c:pt idx="538">
                  <c:v>45775</c:v>
                </c:pt>
                <c:pt idx="539">
                  <c:v>45776</c:v>
                </c:pt>
                <c:pt idx="540">
                  <c:v>45777</c:v>
                </c:pt>
                <c:pt idx="541">
                  <c:v>45778</c:v>
                </c:pt>
                <c:pt idx="542">
                  <c:v>45779</c:v>
                </c:pt>
                <c:pt idx="543">
                  <c:v>45782</c:v>
                </c:pt>
                <c:pt idx="544">
                  <c:v>45783</c:v>
                </c:pt>
                <c:pt idx="545">
                  <c:v>45784</c:v>
                </c:pt>
                <c:pt idx="546">
                  <c:v>45785</c:v>
                </c:pt>
                <c:pt idx="547">
                  <c:v>45786</c:v>
                </c:pt>
                <c:pt idx="548">
                  <c:v>45789</c:v>
                </c:pt>
                <c:pt idx="549">
                  <c:v>45790</c:v>
                </c:pt>
                <c:pt idx="550">
                  <c:v>45791</c:v>
                </c:pt>
                <c:pt idx="551">
                  <c:v>45792</c:v>
                </c:pt>
                <c:pt idx="552">
                  <c:v>45793</c:v>
                </c:pt>
                <c:pt idx="553">
                  <c:v>45796</c:v>
                </c:pt>
                <c:pt idx="554">
                  <c:v>45797</c:v>
                </c:pt>
                <c:pt idx="555">
                  <c:v>45798</c:v>
                </c:pt>
                <c:pt idx="556">
                  <c:v>45799</c:v>
                </c:pt>
                <c:pt idx="557">
                  <c:v>45800</c:v>
                </c:pt>
                <c:pt idx="558">
                  <c:v>45804</c:v>
                </c:pt>
                <c:pt idx="559">
                  <c:v>45805</c:v>
                </c:pt>
                <c:pt idx="560">
                  <c:v>45806</c:v>
                </c:pt>
                <c:pt idx="561">
                  <c:v>45807</c:v>
                </c:pt>
                <c:pt idx="562">
                  <c:v>45810</c:v>
                </c:pt>
                <c:pt idx="563">
                  <c:v>45811</c:v>
                </c:pt>
                <c:pt idx="564">
                  <c:v>45812</c:v>
                </c:pt>
                <c:pt idx="565">
                  <c:v>45813</c:v>
                </c:pt>
                <c:pt idx="566">
                  <c:v>45814</c:v>
                </c:pt>
                <c:pt idx="567">
                  <c:v>45817</c:v>
                </c:pt>
                <c:pt idx="568">
                  <c:v>45818</c:v>
                </c:pt>
                <c:pt idx="569">
                  <c:v>45819</c:v>
                </c:pt>
                <c:pt idx="570">
                  <c:v>45820</c:v>
                </c:pt>
                <c:pt idx="571">
                  <c:v>45821</c:v>
                </c:pt>
                <c:pt idx="572">
                  <c:v>45824</c:v>
                </c:pt>
                <c:pt idx="573">
                  <c:v>45825</c:v>
                </c:pt>
                <c:pt idx="574">
                  <c:v>45826</c:v>
                </c:pt>
                <c:pt idx="575">
                  <c:v>45828</c:v>
                </c:pt>
                <c:pt idx="576">
                  <c:v>45831</c:v>
                </c:pt>
                <c:pt idx="577">
                  <c:v>45832</c:v>
                </c:pt>
                <c:pt idx="578">
                  <c:v>45833</c:v>
                </c:pt>
                <c:pt idx="579">
                  <c:v>45834</c:v>
                </c:pt>
                <c:pt idx="580">
                  <c:v>45835</c:v>
                </c:pt>
                <c:pt idx="581">
                  <c:v>45838</c:v>
                </c:pt>
                <c:pt idx="582">
                  <c:v>45839</c:v>
                </c:pt>
                <c:pt idx="583">
                  <c:v>45840</c:v>
                </c:pt>
                <c:pt idx="584">
                  <c:v>45841</c:v>
                </c:pt>
                <c:pt idx="585">
                  <c:v>45845</c:v>
                </c:pt>
                <c:pt idx="586">
                  <c:v>45846</c:v>
                </c:pt>
                <c:pt idx="587">
                  <c:v>45847</c:v>
                </c:pt>
                <c:pt idx="588">
                  <c:v>45848</c:v>
                </c:pt>
                <c:pt idx="589">
                  <c:v>45849</c:v>
                </c:pt>
                <c:pt idx="590">
                  <c:v>45852</c:v>
                </c:pt>
                <c:pt idx="591">
                  <c:v>45853</c:v>
                </c:pt>
                <c:pt idx="592">
                  <c:v>45854</c:v>
                </c:pt>
                <c:pt idx="593">
                  <c:v>45855</c:v>
                </c:pt>
                <c:pt idx="594">
                  <c:v>45856</c:v>
                </c:pt>
                <c:pt idx="595">
                  <c:v>45859</c:v>
                </c:pt>
                <c:pt idx="596">
                  <c:v>45860</c:v>
                </c:pt>
                <c:pt idx="597">
                  <c:v>45861</c:v>
                </c:pt>
                <c:pt idx="598">
                  <c:v>45862</c:v>
                </c:pt>
                <c:pt idx="599">
                  <c:v>45863</c:v>
                </c:pt>
                <c:pt idx="600">
                  <c:v>45866</c:v>
                </c:pt>
                <c:pt idx="601">
                  <c:v>45867</c:v>
                </c:pt>
                <c:pt idx="602">
                  <c:v>45868</c:v>
                </c:pt>
                <c:pt idx="603">
                  <c:v>45869</c:v>
                </c:pt>
                <c:pt idx="604">
                  <c:v>45870</c:v>
                </c:pt>
                <c:pt idx="605">
                  <c:v>45873</c:v>
                </c:pt>
                <c:pt idx="606">
                  <c:v>45874</c:v>
                </c:pt>
                <c:pt idx="607">
                  <c:v>45875</c:v>
                </c:pt>
                <c:pt idx="608">
                  <c:v>45876</c:v>
                </c:pt>
                <c:pt idx="609">
                  <c:v>45877</c:v>
                </c:pt>
                <c:pt idx="610">
                  <c:v>45880</c:v>
                </c:pt>
                <c:pt idx="611">
                  <c:v>45881</c:v>
                </c:pt>
                <c:pt idx="612">
                  <c:v>45882</c:v>
                </c:pt>
                <c:pt idx="613">
                  <c:v>45883</c:v>
                </c:pt>
                <c:pt idx="614">
                  <c:v>45884</c:v>
                </c:pt>
                <c:pt idx="615">
                  <c:v>45887</c:v>
                </c:pt>
                <c:pt idx="616">
                  <c:v>45888</c:v>
                </c:pt>
                <c:pt idx="617">
                  <c:v>45889</c:v>
                </c:pt>
                <c:pt idx="618">
                  <c:v>45890</c:v>
                </c:pt>
                <c:pt idx="619">
                  <c:v>45891</c:v>
                </c:pt>
                <c:pt idx="620">
                  <c:v>45894</c:v>
                </c:pt>
                <c:pt idx="621">
                  <c:v>45895</c:v>
                </c:pt>
                <c:pt idx="622">
                  <c:v>45896</c:v>
                </c:pt>
                <c:pt idx="623">
                  <c:v>45897</c:v>
                </c:pt>
                <c:pt idx="624">
                  <c:v>45898</c:v>
                </c:pt>
                <c:pt idx="625">
                  <c:v>45902</c:v>
                </c:pt>
                <c:pt idx="626">
                  <c:v>45903</c:v>
                </c:pt>
                <c:pt idx="627">
                  <c:v>45904</c:v>
                </c:pt>
                <c:pt idx="628">
                  <c:v>45905</c:v>
                </c:pt>
                <c:pt idx="629">
                  <c:v>45908</c:v>
                </c:pt>
                <c:pt idx="630">
                  <c:v>45909</c:v>
                </c:pt>
                <c:pt idx="631">
                  <c:v>45910</c:v>
                </c:pt>
                <c:pt idx="632">
                  <c:v>45911</c:v>
                </c:pt>
                <c:pt idx="633">
                  <c:v>45912</c:v>
                </c:pt>
                <c:pt idx="634">
                  <c:v>45915</c:v>
                </c:pt>
                <c:pt idx="635">
                  <c:v>45916</c:v>
                </c:pt>
                <c:pt idx="636">
                  <c:v>45917</c:v>
                </c:pt>
                <c:pt idx="637">
                  <c:v>45918</c:v>
                </c:pt>
                <c:pt idx="638">
                  <c:v>45919</c:v>
                </c:pt>
                <c:pt idx="639">
                  <c:v>45922</c:v>
                </c:pt>
                <c:pt idx="640">
                  <c:v>45923</c:v>
                </c:pt>
                <c:pt idx="641">
                  <c:v>45924</c:v>
                </c:pt>
                <c:pt idx="642">
                  <c:v>45925</c:v>
                </c:pt>
                <c:pt idx="643">
                  <c:v>45926</c:v>
                </c:pt>
                <c:pt idx="644">
                  <c:v>45929</c:v>
                </c:pt>
                <c:pt idx="645">
                  <c:v>45930</c:v>
                </c:pt>
                <c:pt idx="646">
                  <c:v>45931</c:v>
                </c:pt>
                <c:pt idx="647">
                  <c:v>45932</c:v>
                </c:pt>
                <c:pt idx="648">
                  <c:v>45933</c:v>
                </c:pt>
                <c:pt idx="649">
                  <c:v>45936</c:v>
                </c:pt>
                <c:pt idx="650">
                  <c:v>45937</c:v>
                </c:pt>
                <c:pt idx="651">
                  <c:v>45938</c:v>
                </c:pt>
                <c:pt idx="652">
                  <c:v>45939</c:v>
                </c:pt>
                <c:pt idx="653">
                  <c:v>45940</c:v>
                </c:pt>
                <c:pt idx="654">
                  <c:v>45943</c:v>
                </c:pt>
                <c:pt idx="655">
                  <c:v>45944</c:v>
                </c:pt>
                <c:pt idx="656">
                  <c:v>45945</c:v>
                </c:pt>
                <c:pt idx="657">
                  <c:v>45946</c:v>
                </c:pt>
                <c:pt idx="658">
                  <c:v>45947</c:v>
                </c:pt>
                <c:pt idx="659">
                  <c:v>45950</c:v>
                </c:pt>
                <c:pt idx="660">
                  <c:v>45951</c:v>
                </c:pt>
                <c:pt idx="661">
                  <c:v>45952</c:v>
                </c:pt>
                <c:pt idx="662">
                  <c:v>45953</c:v>
                </c:pt>
                <c:pt idx="663">
                  <c:v>45954</c:v>
                </c:pt>
                <c:pt idx="664">
                  <c:v>45957</c:v>
                </c:pt>
                <c:pt idx="665">
                  <c:v>45958</c:v>
                </c:pt>
                <c:pt idx="666">
                  <c:v>45959</c:v>
                </c:pt>
                <c:pt idx="667">
                  <c:v>45960</c:v>
                </c:pt>
                <c:pt idx="668">
                  <c:v>45961</c:v>
                </c:pt>
                <c:pt idx="669">
                  <c:v>45964</c:v>
                </c:pt>
                <c:pt idx="670">
                  <c:v>45965</c:v>
                </c:pt>
                <c:pt idx="671">
                  <c:v>45966</c:v>
                </c:pt>
                <c:pt idx="672">
                  <c:v>45967</c:v>
                </c:pt>
                <c:pt idx="673">
                  <c:v>45968</c:v>
                </c:pt>
                <c:pt idx="674">
                  <c:v>45971</c:v>
                </c:pt>
                <c:pt idx="675">
                  <c:v>45972</c:v>
                </c:pt>
                <c:pt idx="676">
                  <c:v>45973</c:v>
                </c:pt>
                <c:pt idx="677">
                  <c:v>45974</c:v>
                </c:pt>
                <c:pt idx="678">
                  <c:v>45975</c:v>
                </c:pt>
                <c:pt idx="679">
                  <c:v>45978</c:v>
                </c:pt>
                <c:pt idx="680">
                  <c:v>45979</c:v>
                </c:pt>
                <c:pt idx="681">
                  <c:v>45980</c:v>
                </c:pt>
                <c:pt idx="682">
                  <c:v>45981</c:v>
                </c:pt>
                <c:pt idx="683">
                  <c:v>45982</c:v>
                </c:pt>
                <c:pt idx="684">
                  <c:v>45985</c:v>
                </c:pt>
                <c:pt idx="685">
                  <c:v>45986</c:v>
                </c:pt>
                <c:pt idx="686">
                  <c:v>45987</c:v>
                </c:pt>
                <c:pt idx="687">
                  <c:v>45989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45999</c:v>
                </c:pt>
                <c:pt idx="694">
                  <c:v>46000</c:v>
                </c:pt>
                <c:pt idx="695">
                  <c:v>46001</c:v>
                </c:pt>
                <c:pt idx="696">
                  <c:v>46002</c:v>
                </c:pt>
                <c:pt idx="697">
                  <c:v>46003</c:v>
                </c:pt>
                <c:pt idx="698">
                  <c:v>46006</c:v>
                </c:pt>
                <c:pt idx="699">
                  <c:v>46007</c:v>
                </c:pt>
                <c:pt idx="700">
                  <c:v>46008</c:v>
                </c:pt>
                <c:pt idx="701">
                  <c:v>46009</c:v>
                </c:pt>
                <c:pt idx="702">
                  <c:v>46010</c:v>
                </c:pt>
                <c:pt idx="703">
                  <c:v>46013</c:v>
                </c:pt>
                <c:pt idx="704">
                  <c:v>46014</c:v>
                </c:pt>
                <c:pt idx="705">
                  <c:v>46015</c:v>
                </c:pt>
                <c:pt idx="706">
                  <c:v>46017</c:v>
                </c:pt>
                <c:pt idx="707">
                  <c:v>46020</c:v>
                </c:pt>
                <c:pt idx="708">
                  <c:v>46021</c:v>
                </c:pt>
                <c:pt idx="709">
                  <c:v>46022</c:v>
                </c:pt>
                <c:pt idx="710">
                  <c:v>46024</c:v>
                </c:pt>
                <c:pt idx="711">
                  <c:v>46027</c:v>
                </c:pt>
                <c:pt idx="712">
                  <c:v>46028</c:v>
                </c:pt>
                <c:pt idx="713">
                  <c:v>46029</c:v>
                </c:pt>
                <c:pt idx="714">
                  <c:v>46030</c:v>
                </c:pt>
                <c:pt idx="715">
                  <c:v>46031</c:v>
                </c:pt>
                <c:pt idx="716">
                  <c:v>46034</c:v>
                </c:pt>
                <c:pt idx="717">
                  <c:v>46035</c:v>
                </c:pt>
                <c:pt idx="718">
                  <c:v>46036</c:v>
                </c:pt>
                <c:pt idx="719">
                  <c:v>46037</c:v>
                </c:pt>
                <c:pt idx="720">
                  <c:v>46038</c:v>
                </c:pt>
                <c:pt idx="721">
                  <c:v>46042</c:v>
                </c:pt>
                <c:pt idx="722">
                  <c:v>46043</c:v>
                </c:pt>
                <c:pt idx="723">
                  <c:v>46044</c:v>
                </c:pt>
                <c:pt idx="724">
                  <c:v>46045</c:v>
                </c:pt>
                <c:pt idx="725">
                  <c:v>46048</c:v>
                </c:pt>
                <c:pt idx="726">
                  <c:v>46049</c:v>
                </c:pt>
                <c:pt idx="727">
                  <c:v>46050</c:v>
                </c:pt>
                <c:pt idx="728">
                  <c:v>46051</c:v>
                </c:pt>
                <c:pt idx="729">
                  <c:v>46052</c:v>
                </c:pt>
                <c:pt idx="730">
                  <c:v>46055</c:v>
                </c:pt>
                <c:pt idx="731">
                  <c:v>46056</c:v>
                </c:pt>
                <c:pt idx="732">
                  <c:v>46057</c:v>
                </c:pt>
                <c:pt idx="733">
                  <c:v>46058</c:v>
                </c:pt>
                <c:pt idx="734">
                  <c:v>46059</c:v>
                </c:pt>
                <c:pt idx="735">
                  <c:v>46062</c:v>
                </c:pt>
                <c:pt idx="736">
                  <c:v>46063</c:v>
                </c:pt>
                <c:pt idx="737">
                  <c:v>46064</c:v>
                </c:pt>
                <c:pt idx="738">
                  <c:v>46065</c:v>
                </c:pt>
                <c:pt idx="739">
                  <c:v>46066</c:v>
                </c:pt>
                <c:pt idx="740">
                  <c:v>46070</c:v>
                </c:pt>
                <c:pt idx="741">
                  <c:v>46071</c:v>
                </c:pt>
                <c:pt idx="742">
                  <c:v>46072</c:v>
                </c:pt>
                <c:pt idx="743">
                  <c:v>46073</c:v>
                </c:pt>
                <c:pt idx="744">
                  <c:v>46076</c:v>
                </c:pt>
                <c:pt idx="745">
                  <c:v>46077</c:v>
                </c:pt>
                <c:pt idx="746">
                  <c:v>46078</c:v>
                </c:pt>
                <c:pt idx="747">
                  <c:v>46079</c:v>
                </c:pt>
                <c:pt idx="748">
                  <c:v>46080</c:v>
                </c:pt>
                <c:pt idx="749">
                  <c:v>46083</c:v>
                </c:pt>
                <c:pt idx="750">
                  <c:v>46084</c:v>
                </c:pt>
                <c:pt idx="751">
                  <c:v>46085</c:v>
                </c:pt>
              </c:numCache>
            </c:numRef>
          </c:cat>
          <c:val>
            <c:numRef>
              <c:f>'Share Price Analysis'!$I$36:$I$787</c:f>
              <c:numCache>
                <c:formatCode>0.00%</c:formatCode>
                <c:ptCount val="752"/>
                <c:pt idx="0">
                  <c:v>0</c:v>
                </c:pt>
                <c:pt idx="1">
                  <c:v>-1.5328701757856056E-2</c:v>
                </c:pt>
                <c:pt idx="2">
                  <c:v>-1.3721660444532269E-2</c:v>
                </c:pt>
                <c:pt idx="3">
                  <c:v>-3.1918312853858044E-2</c:v>
                </c:pt>
                <c:pt idx="4">
                  <c:v>-4.5887210423517066E-2</c:v>
                </c:pt>
                <c:pt idx="5">
                  <c:v>-4.7247014611713989E-2</c:v>
                </c:pt>
                <c:pt idx="6">
                  <c:v>-3.1498009741142474E-2</c:v>
                </c:pt>
                <c:pt idx="7">
                  <c:v>-3.7555319306746937E-2</c:v>
                </c:pt>
                <c:pt idx="8">
                  <c:v>-2.0669023660592534E-2</c:v>
                </c:pt>
                <c:pt idx="9">
                  <c:v>-3.5799935718347164E-2</c:v>
                </c:pt>
                <c:pt idx="10">
                  <c:v>-2.6528543526095572E-2</c:v>
                </c:pt>
                <c:pt idx="11">
                  <c:v>-1.3746384157044655E-2</c:v>
                </c:pt>
                <c:pt idx="12">
                  <c:v>-3.05585086656609E-2</c:v>
                </c:pt>
                <c:pt idx="13">
                  <c:v>-2.7937795139317823E-2</c:v>
                </c:pt>
                <c:pt idx="14">
                  <c:v>-2.155907731104878E-2</c:v>
                </c:pt>
                <c:pt idx="15">
                  <c:v>-1.9729522585111181E-2</c:v>
                </c:pt>
                <c:pt idx="16">
                  <c:v>-2.192993299873891E-2</c:v>
                </c:pt>
                <c:pt idx="17">
                  <c:v>-7.7137983039531344E-3</c:v>
                </c:pt>
                <c:pt idx="18">
                  <c:v>-1.9037258634755361E-3</c:v>
                </c:pt>
                <c:pt idx="19">
                  <c:v>1.2164066556234143E-2</c:v>
                </c:pt>
                <c:pt idx="20">
                  <c:v>1.6020965708210877E-2</c:v>
                </c:pt>
                <c:pt idx="21">
                  <c:v>1.0383959255322095E-2</c:v>
                </c:pt>
                <c:pt idx="22">
                  <c:v>7.7385220164662982E-3</c:v>
                </c:pt>
                <c:pt idx="23">
                  <c:v>1.1669592305980858E-2</c:v>
                </c:pt>
                <c:pt idx="24">
                  <c:v>1.2707988231512868E-2</c:v>
                </c:pt>
                <c:pt idx="25">
                  <c:v>1.297994906915223E-2</c:v>
                </c:pt>
                <c:pt idx="26">
                  <c:v>8.8510890795361341E-3</c:v>
                </c:pt>
                <c:pt idx="27">
                  <c:v>2.2251341261403823E-2</c:v>
                </c:pt>
                <c:pt idx="28">
                  <c:v>1.9754246297623901E-2</c:v>
                </c:pt>
                <c:pt idx="29">
                  <c:v>2.3413355749499098E-2</c:v>
                </c:pt>
                <c:pt idx="30">
                  <c:v>2.4080895987341311E-2</c:v>
                </c:pt>
                <c:pt idx="31">
                  <c:v>2.3907829999752606E-2</c:v>
                </c:pt>
                <c:pt idx="32">
                  <c:v>1.8320270971889041E-2</c:v>
                </c:pt>
                <c:pt idx="33">
                  <c:v>1.9111429772294519E-2</c:v>
                </c:pt>
                <c:pt idx="34">
                  <c:v>2.017454941033936E-2</c:v>
                </c:pt>
                <c:pt idx="35">
                  <c:v>3.9805177145397774E-3</c:v>
                </c:pt>
                <c:pt idx="36">
                  <c:v>-2.7196083763958434E-4</c:v>
                </c:pt>
                <c:pt idx="37">
                  <c:v>1.9630627735060413E-2</c:v>
                </c:pt>
                <c:pt idx="38">
                  <c:v>2.8333374539520451E-2</c:v>
                </c:pt>
                <c:pt idx="39">
                  <c:v>2.7294978613988219E-2</c:v>
                </c:pt>
                <c:pt idx="40">
                  <c:v>1.5749004870570849E-2</c:v>
                </c:pt>
                <c:pt idx="41">
                  <c:v>8.7769179419976417E-3</c:v>
                </c:pt>
                <c:pt idx="42">
                  <c:v>1.6317650258357297E-3</c:v>
                </c:pt>
                <c:pt idx="43">
                  <c:v>2.0174549410338916E-2</c:v>
                </c:pt>
                <c:pt idx="44">
                  <c:v>2.0446510247978278E-2</c:v>
                </c:pt>
                <c:pt idx="45">
                  <c:v>1.5971518283184771E-2</c:v>
                </c:pt>
                <c:pt idx="46">
                  <c:v>2.071847108561764E-2</c:v>
                </c:pt>
                <c:pt idx="47">
                  <c:v>1.893836378470537E-2</c:v>
                </c:pt>
                <c:pt idx="48">
                  <c:v>1.7603283309021167E-2</c:v>
                </c:pt>
                <c:pt idx="49">
                  <c:v>2.111405048582049E-2</c:v>
                </c:pt>
                <c:pt idx="50">
                  <c:v>1.429030583232338E-2</c:v>
                </c:pt>
                <c:pt idx="51">
                  <c:v>2.6602714663633398E-2</c:v>
                </c:pt>
                <c:pt idx="52">
                  <c:v>3.6492199668701764E-2</c:v>
                </c:pt>
                <c:pt idx="53">
                  <c:v>3.4984053205428856E-2</c:v>
                </c:pt>
                <c:pt idx="54">
                  <c:v>3.5404356318144314E-2</c:v>
                </c:pt>
                <c:pt idx="55">
                  <c:v>2.3784211437188896E-2</c:v>
                </c:pt>
                <c:pt idx="56">
                  <c:v>1.6367097683387621E-2</c:v>
                </c:pt>
                <c:pt idx="57">
                  <c:v>2.5168739337898538E-2</c:v>
                </c:pt>
                <c:pt idx="58">
                  <c:v>3.8445372957202739E-2</c:v>
                </c:pt>
                <c:pt idx="59">
                  <c:v>3.8840952357405589E-2</c:v>
                </c:pt>
                <c:pt idx="60">
                  <c:v>3.3080327341953319E-2</c:v>
                </c:pt>
                <c:pt idx="61">
                  <c:v>4.2895641209483637E-2</c:v>
                </c:pt>
                <c:pt idx="62">
                  <c:v>5.7977105842212939E-2</c:v>
                </c:pt>
                <c:pt idx="63">
                  <c:v>5.5949761416173915E-2</c:v>
                </c:pt>
                <c:pt idx="64">
                  <c:v>5.8249066679852302E-2</c:v>
                </c:pt>
                <c:pt idx="65">
                  <c:v>5.4589957227977104E-2</c:v>
                </c:pt>
                <c:pt idx="66">
                  <c:v>6.0968675056246147E-2</c:v>
                </c:pt>
                <c:pt idx="67">
                  <c:v>6.2872400919721683E-2</c:v>
                </c:pt>
                <c:pt idx="68">
                  <c:v>7.2514648799663517E-2</c:v>
                </c:pt>
                <c:pt idx="69">
                  <c:v>7.9585630578287381E-2</c:v>
                </c:pt>
                <c:pt idx="70">
                  <c:v>8.0871263628946144E-2</c:v>
                </c:pt>
                <c:pt idx="71">
                  <c:v>9.4271515810813833E-2</c:v>
                </c:pt>
                <c:pt idx="72">
                  <c:v>8.6508270081835148E-2</c:v>
                </c:pt>
                <c:pt idx="73">
                  <c:v>8.0871263628946144E-2</c:v>
                </c:pt>
                <c:pt idx="74">
                  <c:v>7.5333152026107797E-2</c:v>
                </c:pt>
                <c:pt idx="75">
                  <c:v>7.9214774890597139E-2</c:v>
                </c:pt>
                <c:pt idx="76">
                  <c:v>7.1055949761415826E-2</c:v>
                </c:pt>
                <c:pt idx="77">
                  <c:v>6.6679852646673199E-2</c:v>
                </c:pt>
                <c:pt idx="78">
                  <c:v>7.8374168665166444E-2</c:v>
                </c:pt>
                <c:pt idx="79">
                  <c:v>7.8918090340444946E-2</c:v>
                </c:pt>
                <c:pt idx="80">
                  <c:v>8.3170568892624308E-2</c:v>
                </c:pt>
                <c:pt idx="81">
                  <c:v>9.5952728261675002E-2</c:v>
                </c:pt>
                <c:pt idx="82">
                  <c:v>9.7213637599821157E-2</c:v>
                </c:pt>
                <c:pt idx="83">
                  <c:v>9.5581872573984761E-2</c:v>
                </c:pt>
                <c:pt idx="84">
                  <c:v>8.7002744332087989E-2</c:v>
                </c:pt>
                <c:pt idx="85">
                  <c:v>8.4258412243181535E-2</c:v>
                </c:pt>
                <c:pt idx="86">
                  <c:v>8.7002744332087989E-2</c:v>
                </c:pt>
                <c:pt idx="87">
                  <c:v>9.3925383835635756E-2</c:v>
                </c:pt>
                <c:pt idx="88">
                  <c:v>0.10272702549014645</c:v>
                </c:pt>
                <c:pt idx="89">
                  <c:v>0.11147921971963215</c:v>
                </c:pt>
                <c:pt idx="90">
                  <c:v>0.11078695576927733</c:v>
                </c:pt>
                <c:pt idx="91">
                  <c:v>0.11464385492125406</c:v>
                </c:pt>
                <c:pt idx="92">
                  <c:v>0.12292629861299886</c:v>
                </c:pt>
                <c:pt idx="93">
                  <c:v>0.12542339357677856</c:v>
                </c:pt>
                <c:pt idx="94">
                  <c:v>0.11795683239795207</c:v>
                </c:pt>
                <c:pt idx="95">
                  <c:v>0.11795683239795207</c:v>
                </c:pt>
                <c:pt idx="96">
                  <c:v>0.12295102232551147</c:v>
                </c:pt>
                <c:pt idx="97">
                  <c:v>0.12601676267708273</c:v>
                </c:pt>
                <c:pt idx="98">
                  <c:v>0.12618982866467121</c:v>
                </c:pt>
                <c:pt idx="99">
                  <c:v>0.11872326748584472</c:v>
                </c:pt>
                <c:pt idx="100">
                  <c:v>0.12967587212895793</c:v>
                </c:pt>
                <c:pt idx="101">
                  <c:v>0.13182683511756021</c:v>
                </c:pt>
                <c:pt idx="102">
                  <c:v>0.12858802877840025</c:v>
                </c:pt>
                <c:pt idx="103">
                  <c:v>0.11288847133285418</c:v>
                </c:pt>
                <c:pt idx="104">
                  <c:v>0.10969911241871944</c:v>
                </c:pt>
                <c:pt idx="105">
                  <c:v>0.1046801987786472</c:v>
                </c:pt>
                <c:pt idx="106">
                  <c:v>0.11432244665858882</c:v>
                </c:pt>
                <c:pt idx="107">
                  <c:v>0.10947659900610529</c:v>
                </c:pt>
                <c:pt idx="108">
                  <c:v>0.10205948525230402</c:v>
                </c:pt>
                <c:pt idx="109">
                  <c:v>0.10245506465250664</c:v>
                </c:pt>
                <c:pt idx="110">
                  <c:v>0.10181224812717704</c:v>
                </c:pt>
                <c:pt idx="111">
                  <c:v>0.10789428140529411</c:v>
                </c:pt>
                <c:pt idx="112">
                  <c:v>9.4988503473679931E-2</c:v>
                </c:pt>
                <c:pt idx="113">
                  <c:v>8.6953296907061883E-2</c:v>
                </c:pt>
                <c:pt idx="114">
                  <c:v>7.8670853215317083E-2</c:v>
                </c:pt>
                <c:pt idx="115">
                  <c:v>7.9190051178083198E-2</c:v>
                </c:pt>
                <c:pt idx="116">
                  <c:v>8.6211585531681845E-2</c:v>
                </c:pt>
                <c:pt idx="117">
                  <c:v>8.3269463742674077E-2</c:v>
                </c:pt>
                <c:pt idx="118">
                  <c:v>9.5334635448857563E-2</c:v>
                </c:pt>
                <c:pt idx="119">
                  <c:v>8.0154275966077604E-2</c:v>
                </c:pt>
                <c:pt idx="120">
                  <c:v>8.7769179419980192E-2</c:v>
                </c:pt>
                <c:pt idx="121">
                  <c:v>9.4667095211015351E-2</c:v>
                </c:pt>
                <c:pt idx="122">
                  <c:v>0.11049027121912469</c:v>
                </c:pt>
                <c:pt idx="123">
                  <c:v>0.11506415803396863</c:v>
                </c:pt>
                <c:pt idx="124">
                  <c:v>0.11343239300813246</c:v>
                </c:pt>
                <c:pt idx="125">
                  <c:v>0.11550918485919692</c:v>
                </c:pt>
                <c:pt idx="126">
                  <c:v>0.11068806091922601</c:v>
                </c:pt>
                <c:pt idx="127">
                  <c:v>0.10322149974039951</c:v>
                </c:pt>
                <c:pt idx="128">
                  <c:v>9.9834351126163456E-2</c:v>
                </c:pt>
                <c:pt idx="129">
                  <c:v>0.10149083986451224</c:v>
                </c:pt>
                <c:pt idx="130">
                  <c:v>0.10873488763072481</c:v>
                </c:pt>
                <c:pt idx="131">
                  <c:v>0.10265285435260796</c:v>
                </c:pt>
                <c:pt idx="132">
                  <c:v>0.10393848740326672</c:v>
                </c:pt>
                <c:pt idx="133">
                  <c:v>0.11345711672064507</c:v>
                </c:pt>
                <c:pt idx="134">
                  <c:v>9.6175241674288037E-2</c:v>
                </c:pt>
                <c:pt idx="135">
                  <c:v>9.6818058199617418E-2</c:v>
                </c:pt>
                <c:pt idx="136">
                  <c:v>9.4543476648451641E-2</c:v>
                </c:pt>
                <c:pt idx="137">
                  <c:v>8.448092565579457E-2</c:v>
                </c:pt>
                <c:pt idx="138">
                  <c:v>6.6556234084108157E-2</c:v>
                </c:pt>
                <c:pt idx="139">
                  <c:v>6.4158033970379114E-2</c:v>
                </c:pt>
                <c:pt idx="140">
                  <c:v>6.863302593517262E-2</c:v>
                </c:pt>
                <c:pt idx="141">
                  <c:v>5.2933468489626545E-2</c:v>
                </c:pt>
                <c:pt idx="142">
                  <c:v>5.3353771602342004E-2</c:v>
                </c:pt>
                <c:pt idx="143">
                  <c:v>5.9460528592971684E-2</c:v>
                </c:pt>
                <c:pt idx="144">
                  <c:v>5.6889262491654158E-2</c:v>
                </c:pt>
                <c:pt idx="145">
                  <c:v>5.6468959378938699E-2</c:v>
                </c:pt>
                <c:pt idx="146">
                  <c:v>4.2326995821690971E-2</c:v>
                </c:pt>
                <c:pt idx="147">
                  <c:v>4.9917175563080951E-2</c:v>
                </c:pt>
                <c:pt idx="148">
                  <c:v>4.9521596162878101E-2</c:v>
                </c:pt>
                <c:pt idx="149">
                  <c:v>6.1982347269264437E-2</c:v>
                </c:pt>
                <c:pt idx="150">
                  <c:v>6.8781368210248939E-2</c:v>
                </c:pt>
                <c:pt idx="151">
                  <c:v>7.4344203525599895E-2</c:v>
                </c:pt>
                <c:pt idx="152">
                  <c:v>7.8745024352855131E-2</c:v>
                </c:pt>
                <c:pt idx="153">
                  <c:v>7.2168516824484774E-2</c:v>
                </c:pt>
                <c:pt idx="154">
                  <c:v>6.6828194921747741E-2</c:v>
                </c:pt>
                <c:pt idx="155">
                  <c:v>7.8052760402500532E-2</c:v>
                </c:pt>
                <c:pt idx="156">
                  <c:v>7.8003312977475092E-2</c:v>
                </c:pt>
                <c:pt idx="157">
                  <c:v>6.3638836007613442E-2</c:v>
                </c:pt>
                <c:pt idx="158">
                  <c:v>5.4293272677824023E-2</c:v>
                </c:pt>
                <c:pt idx="159">
                  <c:v>4.1338047321184401E-2</c:v>
                </c:pt>
                <c:pt idx="160">
                  <c:v>3.95332163077593E-2</c:v>
                </c:pt>
                <c:pt idx="161">
                  <c:v>4.7370633174275811E-2</c:v>
                </c:pt>
                <c:pt idx="162">
                  <c:v>3.2338615966571949E-2</c:v>
                </c:pt>
                <c:pt idx="163">
                  <c:v>1.9976759710236491E-2</c:v>
                </c:pt>
                <c:pt idx="164">
                  <c:v>1.535342547036711E-2</c:v>
                </c:pt>
                <c:pt idx="165">
                  <c:v>2.7492768314088423E-2</c:v>
                </c:pt>
                <c:pt idx="166">
                  <c:v>3.3945657279895514E-2</c:v>
                </c:pt>
                <c:pt idx="167">
                  <c:v>4.4972433060546768E-2</c:v>
                </c:pt>
                <c:pt idx="168">
                  <c:v>6.4998640195810031E-2</c:v>
                </c:pt>
                <c:pt idx="169">
                  <c:v>7.4715059213289914E-2</c:v>
                </c:pt>
                <c:pt idx="170">
                  <c:v>7.7187430464556783E-2</c:v>
                </c:pt>
                <c:pt idx="171">
                  <c:v>8.0253170816128039E-2</c:v>
                </c:pt>
                <c:pt idx="172">
                  <c:v>8.1044329616533295E-2</c:v>
                </c:pt>
                <c:pt idx="173">
                  <c:v>7.2613543649712398E-2</c:v>
                </c:pt>
                <c:pt idx="174">
                  <c:v>8.9351497020790704E-2</c:v>
                </c:pt>
                <c:pt idx="175">
                  <c:v>8.8313101095258473E-2</c:v>
                </c:pt>
                <c:pt idx="176">
                  <c:v>0.10942715158107941</c:v>
                </c:pt>
                <c:pt idx="177">
                  <c:v>0.11177590426978323</c:v>
                </c:pt>
                <c:pt idx="178">
                  <c:v>0.11313570845798004</c:v>
                </c:pt>
                <c:pt idx="179">
                  <c:v>0.11452023635868946</c:v>
                </c:pt>
                <c:pt idx="180">
                  <c:v>0.12309936460058624</c:v>
                </c:pt>
                <c:pt idx="181">
                  <c:v>0.12065171706183175</c:v>
                </c:pt>
                <c:pt idx="182">
                  <c:v>0.12497836675154916</c:v>
                </c:pt>
                <c:pt idx="183">
                  <c:v>0.12567063070190421</c:v>
                </c:pt>
                <c:pt idx="184">
                  <c:v>0.12364328627586518</c:v>
                </c:pt>
                <c:pt idx="185">
                  <c:v>0.12475585333893546</c:v>
                </c:pt>
                <c:pt idx="186">
                  <c:v>0.12396469453852998</c:v>
                </c:pt>
                <c:pt idx="187">
                  <c:v>0.12839023907829805</c:v>
                </c:pt>
                <c:pt idx="188">
                  <c:v>0.13506564145671951</c:v>
                </c:pt>
                <c:pt idx="189">
                  <c:v>0.12910722674116593</c:v>
                </c:pt>
                <c:pt idx="190">
                  <c:v>0.128884713328552</c:v>
                </c:pt>
                <c:pt idx="191">
                  <c:v>0.12433555022622045</c:v>
                </c:pt>
                <c:pt idx="192">
                  <c:v>0.13291467846811744</c:v>
                </c:pt>
                <c:pt idx="193">
                  <c:v>0.13778524983311358</c:v>
                </c:pt>
                <c:pt idx="194">
                  <c:v>0.14221079437288164</c:v>
                </c:pt>
                <c:pt idx="195">
                  <c:v>0.14742749771305519</c:v>
                </c:pt>
                <c:pt idx="196">
                  <c:v>0.16325067372116453</c:v>
                </c:pt>
                <c:pt idx="197">
                  <c:v>0.16698395431057778</c:v>
                </c:pt>
                <c:pt idx="198">
                  <c:v>0.16035799935718198</c:v>
                </c:pt>
                <c:pt idx="199">
                  <c:v>0.16688505946052734</c:v>
                </c:pt>
                <c:pt idx="200">
                  <c:v>0.17398076495166381</c:v>
                </c:pt>
                <c:pt idx="201">
                  <c:v>0.1577125621183264</c:v>
                </c:pt>
                <c:pt idx="202">
                  <c:v>0.16868989047395222</c:v>
                </c:pt>
                <c:pt idx="203">
                  <c:v>0.17103864316265605</c:v>
                </c:pt>
                <c:pt idx="204">
                  <c:v>0.17598338566519023</c:v>
                </c:pt>
                <c:pt idx="205">
                  <c:v>0.17810962494127991</c:v>
                </c:pt>
                <c:pt idx="206">
                  <c:v>0.17855465176650798</c:v>
                </c:pt>
                <c:pt idx="207">
                  <c:v>0.17514277943975931</c:v>
                </c:pt>
                <c:pt idx="208">
                  <c:v>0.16856627191138873</c:v>
                </c:pt>
                <c:pt idx="209">
                  <c:v>0.15902291888149778</c:v>
                </c:pt>
                <c:pt idx="210">
                  <c:v>0.15528963829208431</c:v>
                </c:pt>
                <c:pt idx="211">
                  <c:v>0.15687195589289549</c:v>
                </c:pt>
                <c:pt idx="212">
                  <c:v>0.17338739585135965</c:v>
                </c:pt>
                <c:pt idx="213">
                  <c:v>0.17160728855044738</c:v>
                </c:pt>
                <c:pt idx="214">
                  <c:v>0.17823324350384318</c:v>
                </c:pt>
                <c:pt idx="215">
                  <c:v>0.17771404554107706</c:v>
                </c:pt>
                <c:pt idx="216">
                  <c:v>0.17852992805399515</c:v>
                </c:pt>
                <c:pt idx="217">
                  <c:v>0.17420327836427774</c:v>
                </c:pt>
                <c:pt idx="218">
                  <c:v>0.1676762182609326</c:v>
                </c:pt>
                <c:pt idx="219">
                  <c:v>0.17806017751625425</c:v>
                </c:pt>
                <c:pt idx="220">
                  <c:v>0.1927460627487807</c:v>
                </c:pt>
                <c:pt idx="221">
                  <c:v>0.19526788142507301</c:v>
                </c:pt>
                <c:pt idx="222">
                  <c:v>0.19875392488935972</c:v>
                </c:pt>
                <c:pt idx="223">
                  <c:v>0.2000642816525311</c:v>
                </c:pt>
                <c:pt idx="224">
                  <c:v>0.20659134175587623</c:v>
                </c:pt>
                <c:pt idx="225">
                  <c:v>0.20505847158009072</c:v>
                </c:pt>
                <c:pt idx="226">
                  <c:v>0.21460182460998145</c:v>
                </c:pt>
                <c:pt idx="227">
                  <c:v>0.21366232353449988</c:v>
                </c:pt>
                <c:pt idx="228">
                  <c:v>0.19385862981185054</c:v>
                </c:pt>
                <c:pt idx="229">
                  <c:v>0.20948401611985834</c:v>
                </c:pt>
                <c:pt idx="230">
                  <c:v>0.22221672806388404</c:v>
                </c:pt>
                <c:pt idx="231">
                  <c:v>0.21776645981160336</c:v>
                </c:pt>
                <c:pt idx="232">
                  <c:v>0.22130195070091552</c:v>
                </c:pt>
                <c:pt idx="233">
                  <c:v>0.23148812025613585</c:v>
                </c:pt>
                <c:pt idx="234">
                  <c:v>0.23203204193141458</c:v>
                </c:pt>
                <c:pt idx="235">
                  <c:v>0.23915247113506388</c:v>
                </c:pt>
                <c:pt idx="236">
                  <c:v>0.23860854945978516</c:v>
                </c:pt>
                <c:pt idx="237">
                  <c:v>0.22154918782604227</c:v>
                </c:pt>
                <c:pt idx="238">
                  <c:v>0.23265013474423157</c:v>
                </c:pt>
                <c:pt idx="239">
                  <c:v>0.2411550918485903</c:v>
                </c:pt>
                <c:pt idx="240">
                  <c:v>0.23497416372042257</c:v>
                </c:pt>
                <c:pt idx="241">
                  <c:v>0.22817514277943807</c:v>
                </c:pt>
                <c:pt idx="242">
                  <c:v>0.22928770984250835</c:v>
                </c:pt>
                <c:pt idx="243">
                  <c:v>0.25472841001804669</c:v>
                </c:pt>
                <c:pt idx="244">
                  <c:v>0.25559373995599022</c:v>
                </c:pt>
                <c:pt idx="245">
                  <c:v>0.25099512942863345</c:v>
                </c:pt>
                <c:pt idx="246">
                  <c:v>0.25331915840482444</c:v>
                </c:pt>
                <c:pt idx="247">
                  <c:v>0.25166266966647544</c:v>
                </c:pt>
                <c:pt idx="248">
                  <c:v>0.25616238534378155</c:v>
                </c:pt>
                <c:pt idx="249">
                  <c:v>0.2679555962123259</c:v>
                </c:pt>
                <c:pt idx="250">
                  <c:v>0.26659579202412886</c:v>
                </c:pt>
                <c:pt idx="251">
                  <c:v>0.25393725121764144</c:v>
                </c:pt>
                <c:pt idx="252">
                  <c:v>0.26029124533339787</c:v>
                </c:pt>
                <c:pt idx="253">
                  <c:v>0.2728014438648092</c:v>
                </c:pt>
                <c:pt idx="254">
                  <c:v>0.265161816698394</c:v>
                </c:pt>
                <c:pt idx="255">
                  <c:v>0.26407397334783633</c:v>
                </c:pt>
                <c:pt idx="256">
                  <c:v>0.27767201522980534</c:v>
                </c:pt>
                <c:pt idx="257">
                  <c:v>0.27566939451627914</c:v>
                </c:pt>
                <c:pt idx="258">
                  <c:v>0.27314757583998683</c:v>
                </c:pt>
                <c:pt idx="259">
                  <c:v>0.26048903503349918</c:v>
                </c:pt>
                <c:pt idx="260">
                  <c:v>0.26798031992483851</c:v>
                </c:pt>
                <c:pt idx="261">
                  <c:v>0.27502657799094976</c:v>
                </c:pt>
                <c:pt idx="262">
                  <c:v>0.28681978885949366</c:v>
                </c:pt>
                <c:pt idx="263">
                  <c:v>0.29107226741167325</c:v>
                </c:pt>
                <c:pt idx="264">
                  <c:v>0.28862461987291876</c:v>
                </c:pt>
                <c:pt idx="265">
                  <c:v>0.285064405271094</c:v>
                </c:pt>
                <c:pt idx="266">
                  <c:v>0.28269092886987757</c:v>
                </c:pt>
                <c:pt idx="267">
                  <c:v>0.29347046752540229</c:v>
                </c:pt>
                <c:pt idx="268">
                  <c:v>0.29322323040027576</c:v>
                </c:pt>
                <c:pt idx="269">
                  <c:v>0.29097337256162259</c:v>
                </c:pt>
                <c:pt idx="270">
                  <c:v>0.28276510000741606</c:v>
                </c:pt>
                <c:pt idx="271">
                  <c:v>0.28417435162063809</c:v>
                </c:pt>
                <c:pt idx="272">
                  <c:v>0.26849951788760507</c:v>
                </c:pt>
                <c:pt idx="273">
                  <c:v>0.28175142779439644</c:v>
                </c:pt>
                <c:pt idx="274">
                  <c:v>0.28246841545726409</c:v>
                </c:pt>
                <c:pt idx="275">
                  <c:v>0.28395183820802461</c:v>
                </c:pt>
                <c:pt idx="276">
                  <c:v>0.27109550770143565</c:v>
                </c:pt>
                <c:pt idx="277">
                  <c:v>0.28068830815635182</c:v>
                </c:pt>
                <c:pt idx="278">
                  <c:v>0.26301085370979216</c:v>
                </c:pt>
                <c:pt idx="279">
                  <c:v>0.2471876777016826</c:v>
                </c:pt>
                <c:pt idx="280">
                  <c:v>0.24491309615051682</c:v>
                </c:pt>
                <c:pt idx="281">
                  <c:v>0.23754542982174098</c:v>
                </c:pt>
                <c:pt idx="282">
                  <c:v>0.23499888743293584</c:v>
                </c:pt>
                <c:pt idx="283">
                  <c:v>0.22421934877741156</c:v>
                </c:pt>
                <c:pt idx="284">
                  <c:v>0.23549336168318935</c:v>
                </c:pt>
                <c:pt idx="285">
                  <c:v>0.25015452320320297</c:v>
                </c:pt>
                <c:pt idx="286">
                  <c:v>0.24956115410289903</c:v>
                </c:pt>
                <c:pt idx="287">
                  <c:v>0.24481420130046616</c:v>
                </c:pt>
                <c:pt idx="288">
                  <c:v>0.25660741216901006</c:v>
                </c:pt>
                <c:pt idx="289">
                  <c:v>0.26105768042129074</c:v>
                </c:pt>
                <c:pt idx="290">
                  <c:v>0.24108092071105269</c:v>
                </c:pt>
                <c:pt idx="291">
                  <c:v>0.23705095557148748</c:v>
                </c:pt>
                <c:pt idx="292">
                  <c:v>0.24862165302741746</c:v>
                </c:pt>
                <c:pt idx="293">
                  <c:v>0.26409869706034961</c:v>
                </c:pt>
                <c:pt idx="294">
                  <c:v>0.27715281726703989</c:v>
                </c:pt>
                <c:pt idx="295">
                  <c:v>0.27856206888026191</c:v>
                </c:pt>
                <c:pt idx="296">
                  <c:v>0.2786856874428254</c:v>
                </c:pt>
                <c:pt idx="297">
                  <c:v>0.28605335377160124</c:v>
                </c:pt>
                <c:pt idx="298">
                  <c:v>0.28770984250995024</c:v>
                </c:pt>
                <c:pt idx="299">
                  <c:v>0.28788290849753895</c:v>
                </c:pt>
                <c:pt idx="300">
                  <c:v>0.29379187578806731</c:v>
                </c:pt>
                <c:pt idx="301">
                  <c:v>0.30981284149627797</c:v>
                </c:pt>
                <c:pt idx="302">
                  <c:v>0.30711795683239695</c:v>
                </c:pt>
                <c:pt idx="303">
                  <c:v>0.30899695898335988</c:v>
                </c:pt>
                <c:pt idx="304">
                  <c:v>0.31050510544663257</c:v>
                </c:pt>
                <c:pt idx="305">
                  <c:v>0.31371918807327992</c:v>
                </c:pt>
                <c:pt idx="306">
                  <c:v>0.30993646005884146</c:v>
                </c:pt>
                <c:pt idx="307">
                  <c:v>0.30036838331643789</c:v>
                </c:pt>
                <c:pt idx="308">
                  <c:v>0.3089722352708475</c:v>
                </c:pt>
                <c:pt idx="309">
                  <c:v>0.30988701263381602</c:v>
                </c:pt>
                <c:pt idx="310">
                  <c:v>0.3007145152916153</c:v>
                </c:pt>
                <c:pt idx="311">
                  <c:v>0.29208593962469309</c:v>
                </c:pt>
                <c:pt idx="312">
                  <c:v>0.30385442678072438</c:v>
                </c:pt>
                <c:pt idx="313">
                  <c:v>0.304917546418769</c:v>
                </c:pt>
                <c:pt idx="314">
                  <c:v>0.30637624545701669</c:v>
                </c:pt>
                <c:pt idx="315">
                  <c:v>0.32190273691497406</c:v>
                </c:pt>
                <c:pt idx="316">
                  <c:v>0.32187801320246145</c:v>
                </c:pt>
                <c:pt idx="317">
                  <c:v>0.32027097188913789</c:v>
                </c:pt>
                <c:pt idx="318">
                  <c:v>0.32435038445372855</c:v>
                </c:pt>
                <c:pt idx="319">
                  <c:v>0.32753974336786307</c:v>
                </c:pt>
                <c:pt idx="320">
                  <c:v>0.33844290058595083</c:v>
                </c:pt>
                <c:pt idx="321">
                  <c:v>0.34113778524983207</c:v>
                </c:pt>
                <c:pt idx="322">
                  <c:v>0.34195366776274994</c:v>
                </c:pt>
                <c:pt idx="323">
                  <c:v>0.352634311568224</c:v>
                </c:pt>
                <c:pt idx="324">
                  <c:v>0.35607090760748528</c:v>
                </c:pt>
                <c:pt idx="325">
                  <c:v>0.35238707444309725</c:v>
                </c:pt>
                <c:pt idx="326">
                  <c:v>0.34623087002744213</c:v>
                </c:pt>
                <c:pt idx="327">
                  <c:v>0.3418547729126995</c:v>
                </c:pt>
                <c:pt idx="328">
                  <c:v>0.34702202882784783</c:v>
                </c:pt>
                <c:pt idx="329">
                  <c:v>0.34870324127870922</c:v>
                </c:pt>
                <c:pt idx="330">
                  <c:v>0.3508294805547989</c:v>
                </c:pt>
                <c:pt idx="331">
                  <c:v>0.3455138823645747</c:v>
                </c:pt>
                <c:pt idx="332">
                  <c:v>0.34828293816599398</c:v>
                </c:pt>
                <c:pt idx="333">
                  <c:v>0.35735654065814404</c:v>
                </c:pt>
                <c:pt idx="334">
                  <c:v>0.36341385022374872</c:v>
                </c:pt>
                <c:pt idx="335">
                  <c:v>0.37127599080277807</c:v>
                </c:pt>
                <c:pt idx="336">
                  <c:v>0.37285830840358902</c:v>
                </c:pt>
                <c:pt idx="337">
                  <c:v>0.37419338887927323</c:v>
                </c:pt>
                <c:pt idx="338">
                  <c:v>0.38779143076124223</c:v>
                </c:pt>
                <c:pt idx="339">
                  <c:v>0.3758251539051094</c:v>
                </c:pt>
                <c:pt idx="340">
                  <c:v>0.38450317699705661</c:v>
                </c:pt>
                <c:pt idx="341">
                  <c:v>0.38831062872400768</c:v>
                </c:pt>
                <c:pt idx="342">
                  <c:v>0.39654362499072704</c:v>
                </c:pt>
                <c:pt idx="343">
                  <c:v>0.37696244468069184</c:v>
                </c:pt>
                <c:pt idx="344">
                  <c:v>0.36638069572526843</c:v>
                </c:pt>
                <c:pt idx="345">
                  <c:v>0.35730709323311838</c:v>
                </c:pt>
                <c:pt idx="346">
                  <c:v>0.37130071451528979</c:v>
                </c:pt>
                <c:pt idx="347">
                  <c:v>0.36914975152668728</c:v>
                </c:pt>
                <c:pt idx="348">
                  <c:v>0.33812149232328537</c:v>
                </c:pt>
                <c:pt idx="349">
                  <c:v>0.33114940539471194</c:v>
                </c:pt>
                <c:pt idx="350">
                  <c:v>0.34605780403985253</c:v>
                </c:pt>
                <c:pt idx="351">
                  <c:v>0.34684896284025801</c:v>
                </c:pt>
                <c:pt idx="352">
                  <c:v>0.3400252181867609</c:v>
                </c:pt>
                <c:pt idx="353">
                  <c:v>0.36180680891042383</c:v>
                </c:pt>
                <c:pt idx="354">
                  <c:v>0.3425223131505406</c:v>
                </c:pt>
                <c:pt idx="355">
                  <c:v>0.31752663980023033</c:v>
                </c:pt>
                <c:pt idx="356">
                  <c:v>0.27915543798056519</c:v>
                </c:pt>
                <c:pt idx="357">
                  <c:v>0.29094864884910909</c:v>
                </c:pt>
                <c:pt idx="358">
                  <c:v>0.28232007318218688</c:v>
                </c:pt>
                <c:pt idx="359">
                  <c:v>0.31196380448487915</c:v>
                </c:pt>
                <c:pt idx="360">
                  <c:v>0.31774915321284425</c:v>
                </c:pt>
                <c:pt idx="361">
                  <c:v>0.31844141716319885</c:v>
                </c:pt>
                <c:pt idx="362">
                  <c:v>0.34012411303681112</c:v>
                </c:pt>
                <c:pt idx="363">
                  <c:v>0.34435186787647809</c:v>
                </c:pt>
                <c:pt idx="364">
                  <c:v>0.36739436793828739</c:v>
                </c:pt>
                <c:pt idx="365">
                  <c:v>0.37046010828985843</c:v>
                </c:pt>
                <c:pt idx="366">
                  <c:v>0.38356367592157414</c:v>
                </c:pt>
                <c:pt idx="367">
                  <c:v>0.3813138180829212</c:v>
                </c:pt>
                <c:pt idx="368">
                  <c:v>0.38606077088535384</c:v>
                </c:pt>
                <c:pt idx="369">
                  <c:v>0.37518233737977869</c:v>
                </c:pt>
                <c:pt idx="370">
                  <c:v>0.38979405147476709</c:v>
                </c:pt>
                <c:pt idx="371">
                  <c:v>0.38648107399806908</c:v>
                </c:pt>
                <c:pt idx="372">
                  <c:v>0.38838479986154462</c:v>
                </c:pt>
                <c:pt idx="373">
                  <c:v>0.38032486958241396</c:v>
                </c:pt>
                <c:pt idx="374">
                  <c:v>0.38044848814497745</c:v>
                </c:pt>
                <c:pt idx="375">
                  <c:v>0.39362622691423077</c:v>
                </c:pt>
                <c:pt idx="376">
                  <c:v>0.36494672039953269</c:v>
                </c:pt>
                <c:pt idx="377">
                  <c:v>0.36215294088560102</c:v>
                </c:pt>
                <c:pt idx="378">
                  <c:v>0.35883996340890301</c:v>
                </c:pt>
                <c:pt idx="379">
                  <c:v>0.33597052933468241</c:v>
                </c:pt>
                <c:pt idx="380">
                  <c:v>0.35092837540484823</c:v>
                </c:pt>
                <c:pt idx="381">
                  <c:v>0.35681261898286376</c:v>
                </c:pt>
                <c:pt idx="382">
                  <c:v>0.37073206912749757</c:v>
                </c:pt>
                <c:pt idx="383">
                  <c:v>0.38227804287091516</c:v>
                </c:pt>
                <c:pt idx="384">
                  <c:v>0.38949736692461512</c:v>
                </c:pt>
                <c:pt idx="385">
                  <c:v>0.39154943506316675</c:v>
                </c:pt>
                <c:pt idx="386">
                  <c:v>0.39211808045095808</c:v>
                </c:pt>
                <c:pt idx="387">
                  <c:v>0.38798922046134177</c:v>
                </c:pt>
                <c:pt idx="388">
                  <c:v>0.41167453704848045</c:v>
                </c:pt>
                <c:pt idx="389">
                  <c:v>0.40492496353252116</c:v>
                </c:pt>
                <c:pt idx="390">
                  <c:v>0.40843573070932049</c:v>
                </c:pt>
                <c:pt idx="391">
                  <c:v>0.41246569584888593</c:v>
                </c:pt>
                <c:pt idx="392">
                  <c:v>0.40935050807228945</c:v>
                </c:pt>
                <c:pt idx="393">
                  <c:v>0.41493806710015324</c:v>
                </c:pt>
                <c:pt idx="394">
                  <c:v>0.41288599896160161</c:v>
                </c:pt>
                <c:pt idx="395">
                  <c:v>0.41854772912700322</c:v>
                </c:pt>
                <c:pt idx="396">
                  <c:v>0.40583974089549035</c:v>
                </c:pt>
                <c:pt idx="397">
                  <c:v>0.40643310999579429</c:v>
                </c:pt>
                <c:pt idx="398">
                  <c:v>0.40386184389447655</c:v>
                </c:pt>
                <c:pt idx="399">
                  <c:v>0.41661927955101441</c:v>
                </c:pt>
                <c:pt idx="400">
                  <c:v>0.40381239646945066</c:v>
                </c:pt>
                <c:pt idx="401">
                  <c:v>0.41708903008875486</c:v>
                </c:pt>
                <c:pt idx="402">
                  <c:v>0.42690434395628518</c:v>
                </c:pt>
                <c:pt idx="403">
                  <c:v>0.42440724899250548</c:v>
                </c:pt>
                <c:pt idx="404">
                  <c:v>0.43293692980937704</c:v>
                </c:pt>
                <c:pt idx="405">
                  <c:v>0.44465596954038311</c:v>
                </c:pt>
                <c:pt idx="406">
                  <c:v>0.43343140405963032</c:v>
                </c:pt>
                <c:pt idx="407">
                  <c:v>0.43966177961282349</c:v>
                </c:pt>
                <c:pt idx="408">
                  <c:v>0.43978539817538698</c:v>
                </c:pt>
                <c:pt idx="409">
                  <c:v>0.4453235097782251</c:v>
                </c:pt>
                <c:pt idx="410">
                  <c:v>0.44295003337700845</c:v>
                </c:pt>
                <c:pt idx="411">
                  <c:v>0.4421835982891158</c:v>
                </c:pt>
                <c:pt idx="412">
                  <c:v>0.42900585951986203</c:v>
                </c:pt>
                <c:pt idx="413">
                  <c:v>0.4320963235839459</c:v>
                </c:pt>
                <c:pt idx="414">
                  <c:v>0.43160184933369239</c:v>
                </c:pt>
                <c:pt idx="415">
                  <c:v>0.43602739387346068</c:v>
                </c:pt>
                <c:pt idx="416">
                  <c:v>0.43835142284965167</c:v>
                </c:pt>
                <c:pt idx="417">
                  <c:v>0.43400004944742165</c:v>
                </c:pt>
                <c:pt idx="418">
                  <c:v>0.4058891883205149</c:v>
                </c:pt>
                <c:pt idx="419">
                  <c:v>0.4118228793235561</c:v>
                </c:pt>
                <c:pt idx="420">
                  <c:v>0.40878186268449768</c:v>
                </c:pt>
                <c:pt idx="421">
                  <c:v>0.42581650060572818</c:v>
                </c:pt>
                <c:pt idx="422">
                  <c:v>0.46127030434889793</c:v>
                </c:pt>
                <c:pt idx="423">
                  <c:v>0.47256904096718855</c:v>
                </c:pt>
                <c:pt idx="424">
                  <c:v>0.47894775879545781</c:v>
                </c:pt>
                <c:pt idx="425">
                  <c:v>0.48035701040868006</c:v>
                </c:pt>
                <c:pt idx="426">
                  <c:v>0.47575839988132329</c:v>
                </c:pt>
                <c:pt idx="427">
                  <c:v>0.47647538754419094</c:v>
                </c:pt>
                <c:pt idx="428">
                  <c:v>0.4669814819393252</c:v>
                </c:pt>
                <c:pt idx="429">
                  <c:v>0.44819146042969527</c:v>
                </c:pt>
                <c:pt idx="430">
                  <c:v>0.45412515143273624</c:v>
                </c:pt>
                <c:pt idx="431">
                  <c:v>0.45944074962296044</c:v>
                </c:pt>
                <c:pt idx="432">
                  <c:v>0.45993522387321395</c:v>
                </c:pt>
                <c:pt idx="433">
                  <c:v>0.46777264073973046</c:v>
                </c:pt>
                <c:pt idx="434">
                  <c:v>0.47232180384206179</c:v>
                </c:pt>
                <c:pt idx="435">
                  <c:v>0.47731599376962119</c:v>
                </c:pt>
                <c:pt idx="436">
                  <c:v>0.48502979207357444</c:v>
                </c:pt>
                <c:pt idx="437">
                  <c:v>0.48053007639626855</c:v>
                </c:pt>
                <c:pt idx="438">
                  <c:v>0.48972729745098187</c:v>
                </c:pt>
                <c:pt idx="439">
                  <c:v>0.49239745840235027</c:v>
                </c:pt>
                <c:pt idx="440">
                  <c:v>0.4930897223527051</c:v>
                </c:pt>
                <c:pt idx="441">
                  <c:v>0.50236111454495647</c:v>
                </c:pt>
                <c:pt idx="442">
                  <c:v>0.49988874329368937</c:v>
                </c:pt>
                <c:pt idx="443">
                  <c:v>0.50273197023264649</c:v>
                </c:pt>
                <c:pt idx="444">
                  <c:v>0.49499344821618041</c:v>
                </c:pt>
                <c:pt idx="445">
                  <c:v>0.4903453902637982</c:v>
                </c:pt>
                <c:pt idx="446">
                  <c:v>0.50186664029470296</c:v>
                </c:pt>
                <c:pt idx="447">
                  <c:v>0.49412811827823688</c:v>
                </c:pt>
                <c:pt idx="448">
                  <c:v>0.49383143372808491</c:v>
                </c:pt>
                <c:pt idx="449">
                  <c:v>0.50021015155635373</c:v>
                </c:pt>
                <c:pt idx="450">
                  <c:v>0.494029223428186</c:v>
                </c:pt>
                <c:pt idx="451">
                  <c:v>0.44950181719286597</c:v>
                </c:pt>
                <c:pt idx="452">
                  <c:v>0.44905679036763813</c:v>
                </c:pt>
                <c:pt idx="453">
                  <c:v>0.46154226518653663</c:v>
                </c:pt>
                <c:pt idx="454">
                  <c:v>0.4702944594160221</c:v>
                </c:pt>
                <c:pt idx="455">
                  <c:v>0.48663683338689734</c:v>
                </c:pt>
                <c:pt idx="456">
                  <c:v>0.48673572823694822</c:v>
                </c:pt>
                <c:pt idx="457">
                  <c:v>0.47108561821642736</c:v>
                </c:pt>
                <c:pt idx="458">
                  <c:v>0.45429821742032406</c:v>
                </c:pt>
                <c:pt idx="459">
                  <c:v>0.44900734294261269</c:v>
                </c:pt>
                <c:pt idx="460">
                  <c:v>0.44544712834078792</c:v>
                </c:pt>
                <c:pt idx="461">
                  <c:v>0.46352016218755043</c:v>
                </c:pt>
                <c:pt idx="462">
                  <c:v>0.47195094815437089</c:v>
                </c:pt>
                <c:pt idx="463">
                  <c:v>0.45531188963334324</c:v>
                </c:pt>
                <c:pt idx="464">
                  <c:v>0.45743812890943292</c:v>
                </c:pt>
                <c:pt idx="465">
                  <c:v>0.43518678764802909</c:v>
                </c:pt>
                <c:pt idx="466">
                  <c:v>0.43741192177416943</c:v>
                </c:pt>
                <c:pt idx="467">
                  <c:v>0.43938981877518324</c:v>
                </c:pt>
                <c:pt idx="468">
                  <c:v>0.4655722303261014</c:v>
                </c:pt>
                <c:pt idx="469">
                  <c:v>0.4627537270996569</c:v>
                </c:pt>
                <c:pt idx="470">
                  <c:v>0.47743961233218335</c:v>
                </c:pt>
                <c:pt idx="471">
                  <c:v>0.49096348307661386</c:v>
                </c:pt>
                <c:pt idx="472">
                  <c:v>0.49934482161840954</c:v>
                </c:pt>
                <c:pt idx="473">
                  <c:v>0.50752837046010368</c:v>
                </c:pt>
                <c:pt idx="474">
                  <c:v>0.50312754963284823</c:v>
                </c:pt>
                <c:pt idx="475">
                  <c:v>0.48186515687195142</c:v>
                </c:pt>
                <c:pt idx="476">
                  <c:v>0.49459786881597689</c:v>
                </c:pt>
                <c:pt idx="477">
                  <c:v>0.48789774272504305</c:v>
                </c:pt>
                <c:pt idx="478">
                  <c:v>0.49588350186663588</c:v>
                </c:pt>
                <c:pt idx="479">
                  <c:v>0.4879224664375561</c:v>
                </c:pt>
                <c:pt idx="480">
                  <c:v>0.47790936286992425</c:v>
                </c:pt>
                <c:pt idx="481">
                  <c:v>0.48782357158750522</c:v>
                </c:pt>
                <c:pt idx="482">
                  <c:v>0.49385615744059708</c:v>
                </c:pt>
                <c:pt idx="483">
                  <c:v>0.49904813706825779</c:v>
                </c:pt>
                <c:pt idx="484">
                  <c:v>0.4853264766237253</c:v>
                </c:pt>
                <c:pt idx="485">
                  <c:v>0.49541375132889498</c:v>
                </c:pt>
                <c:pt idx="486">
                  <c:v>0.49655104210447765</c:v>
                </c:pt>
                <c:pt idx="487">
                  <c:v>0.49172991816450695</c:v>
                </c:pt>
                <c:pt idx="488">
                  <c:v>0.50747892303507824</c:v>
                </c:pt>
                <c:pt idx="489">
                  <c:v>0.5074047518975402</c:v>
                </c:pt>
                <c:pt idx="490">
                  <c:v>0.51183029643730826</c:v>
                </c:pt>
                <c:pt idx="491">
                  <c:v>0.51539051103913258</c:v>
                </c:pt>
                <c:pt idx="492">
                  <c:v>0.50908596434840159</c:v>
                </c:pt>
                <c:pt idx="493">
                  <c:v>0.48327440848517322</c:v>
                </c:pt>
                <c:pt idx="494">
                  <c:v>0.47652483496921416</c:v>
                </c:pt>
                <c:pt idx="495">
                  <c:v>0.46918189235295094</c:v>
                </c:pt>
                <c:pt idx="496">
                  <c:v>0.46992360372833075</c:v>
                </c:pt>
                <c:pt idx="497">
                  <c:v>0.44646080055380621</c:v>
                </c:pt>
                <c:pt idx="498">
                  <c:v>0.46903355007787462</c:v>
                </c:pt>
                <c:pt idx="499">
                  <c:v>0.4432961653521843</c:v>
                </c:pt>
                <c:pt idx="500">
                  <c:v>0.42621208000592881</c:v>
                </c:pt>
                <c:pt idx="501">
                  <c:v>0.44154078176378464</c:v>
                </c:pt>
                <c:pt idx="502">
                  <c:v>0.41595173931317064</c:v>
                </c:pt>
                <c:pt idx="503">
                  <c:v>0.42388805102973781</c:v>
                </c:pt>
                <c:pt idx="504">
                  <c:v>0.38596187603530097</c:v>
                </c:pt>
                <c:pt idx="505">
                  <c:v>0.3744406260043962</c:v>
                </c:pt>
                <c:pt idx="506">
                  <c:v>0.38173412119563421</c:v>
                </c:pt>
                <c:pt idx="507">
                  <c:v>0.36331495537369429</c:v>
                </c:pt>
                <c:pt idx="508">
                  <c:v>0.39147526392562626</c:v>
                </c:pt>
                <c:pt idx="509">
                  <c:v>0.40220535515612554</c:v>
                </c:pt>
                <c:pt idx="510">
                  <c:v>0.38704971938585842</c:v>
                </c:pt>
                <c:pt idx="511">
                  <c:v>0.40215590773110033</c:v>
                </c:pt>
                <c:pt idx="512">
                  <c:v>0.39810121887902228</c:v>
                </c:pt>
                <c:pt idx="513">
                  <c:v>0.39436793828960903</c:v>
                </c:pt>
                <c:pt idx="514">
                  <c:v>0.4193388879274067</c:v>
                </c:pt>
                <c:pt idx="515">
                  <c:v>0.42275076025415537</c:v>
                </c:pt>
                <c:pt idx="516">
                  <c:v>0.40576556975795053</c:v>
                </c:pt>
                <c:pt idx="517">
                  <c:v>0.40203228916853728</c:v>
                </c:pt>
                <c:pt idx="518">
                  <c:v>0.37379780947906704</c:v>
                </c:pt>
                <c:pt idx="519">
                  <c:v>0.3830197542462932</c:v>
                </c:pt>
                <c:pt idx="520">
                  <c:v>0.38692610082329537</c:v>
                </c:pt>
                <c:pt idx="521">
                  <c:v>0.39570301876529346</c:v>
                </c:pt>
                <c:pt idx="522">
                  <c:v>0.32692165055504341</c:v>
                </c:pt>
                <c:pt idx="523">
                  <c:v>0.24923974584023134</c:v>
                </c:pt>
                <c:pt idx="524">
                  <c:v>0.247014611714091</c:v>
                </c:pt>
                <c:pt idx="525">
                  <c:v>0.22748287882908103</c:v>
                </c:pt>
                <c:pt idx="526">
                  <c:v>0.35639231587014675</c:v>
                </c:pt>
                <c:pt idx="527">
                  <c:v>0.29695651098968612</c:v>
                </c:pt>
                <c:pt idx="528">
                  <c:v>0.32009790590154608</c:v>
                </c:pt>
                <c:pt idx="529">
                  <c:v>0.3329047889831096</c:v>
                </c:pt>
                <c:pt idx="530">
                  <c:v>0.32917150839369635</c:v>
                </c:pt>
                <c:pt idx="531">
                  <c:v>0.29962667194105452</c:v>
                </c:pt>
                <c:pt idx="532">
                  <c:v>0.30148095037950484</c:v>
                </c:pt>
                <c:pt idx="533">
                  <c:v>0.27050213860112837</c:v>
                </c:pt>
                <c:pt idx="534">
                  <c:v>0.30355774223056931</c:v>
                </c:pt>
                <c:pt idx="535">
                  <c:v>0.32375701535342127</c:v>
                </c:pt>
                <c:pt idx="536">
                  <c:v>0.35162063935520149</c:v>
                </c:pt>
                <c:pt idx="537">
                  <c:v>0.36138650579770615</c:v>
                </c:pt>
                <c:pt idx="538">
                  <c:v>0.36190570376047249</c:v>
                </c:pt>
                <c:pt idx="539">
                  <c:v>0.37048483200236926</c:v>
                </c:pt>
                <c:pt idx="540">
                  <c:v>0.37102875367764776</c:v>
                </c:pt>
                <c:pt idx="541">
                  <c:v>0.38074517269512764</c:v>
                </c:pt>
                <c:pt idx="542">
                  <c:v>0.4012411303681318</c:v>
                </c:pt>
                <c:pt idx="543">
                  <c:v>0.39320592380151376</c:v>
                </c:pt>
                <c:pt idx="544">
                  <c:v>0.38156105520804573</c:v>
                </c:pt>
                <c:pt idx="545">
                  <c:v>0.38737112764852344</c:v>
                </c:pt>
                <c:pt idx="546">
                  <c:v>0.39703809924097766</c:v>
                </c:pt>
                <c:pt idx="547">
                  <c:v>0.39525799194006561</c:v>
                </c:pt>
                <c:pt idx="548">
                  <c:v>0.4413677157761966</c:v>
                </c:pt>
                <c:pt idx="549">
                  <c:v>0.45088634509357517</c:v>
                </c:pt>
                <c:pt idx="550">
                  <c:v>0.45274062353202549</c:v>
                </c:pt>
                <c:pt idx="551">
                  <c:v>0.45983632902316218</c:v>
                </c:pt>
                <c:pt idx="552">
                  <c:v>0.46908299750290117</c:v>
                </c:pt>
                <c:pt idx="553">
                  <c:v>0.47069003881622495</c:v>
                </c:pt>
                <c:pt idx="554">
                  <c:v>0.46574529631369077</c:v>
                </c:pt>
                <c:pt idx="555">
                  <c:v>0.44104630751353269</c:v>
                </c:pt>
                <c:pt idx="556">
                  <c:v>0.44161495290132424</c:v>
                </c:pt>
                <c:pt idx="557">
                  <c:v>0.43177491532128109</c:v>
                </c:pt>
                <c:pt idx="558">
                  <c:v>0.46154226518653685</c:v>
                </c:pt>
                <c:pt idx="559">
                  <c:v>0.45308675550720356</c:v>
                </c:pt>
                <c:pt idx="560">
                  <c:v>0.45882265681014323</c:v>
                </c:pt>
                <c:pt idx="561">
                  <c:v>0.45719089178430705</c:v>
                </c:pt>
                <c:pt idx="562">
                  <c:v>0.4653991643385138</c:v>
                </c:pt>
                <c:pt idx="563">
                  <c:v>0.47375577916779665</c:v>
                </c:pt>
                <c:pt idx="564">
                  <c:v>0.47336019976759358</c:v>
                </c:pt>
                <c:pt idx="565">
                  <c:v>0.4662397705639445</c:v>
                </c:pt>
                <c:pt idx="566">
                  <c:v>0.48129651148416097</c:v>
                </c:pt>
                <c:pt idx="567">
                  <c:v>0.48263159195984517</c:v>
                </c:pt>
                <c:pt idx="568">
                  <c:v>0.49103765421415346</c:v>
                </c:pt>
                <c:pt idx="569">
                  <c:v>0.4867851756619741</c:v>
                </c:pt>
                <c:pt idx="570">
                  <c:v>0.49269414295250225</c:v>
                </c:pt>
                <c:pt idx="571">
                  <c:v>0.47600563700644938</c:v>
                </c:pt>
                <c:pt idx="572">
                  <c:v>0.49004870571364623</c:v>
                </c:pt>
                <c:pt idx="573">
                  <c:v>0.47731599376962075</c:v>
                </c:pt>
                <c:pt idx="574">
                  <c:v>0.47709348035700683</c:v>
                </c:pt>
                <c:pt idx="575">
                  <c:v>0.46928078720300248</c:v>
                </c:pt>
                <c:pt idx="576">
                  <c:v>0.48379360644794023</c:v>
                </c:pt>
                <c:pt idx="577">
                  <c:v>0.5001854278438409</c:v>
                </c:pt>
                <c:pt idx="578">
                  <c:v>0.50102603406927182</c:v>
                </c:pt>
                <c:pt idx="579">
                  <c:v>0.51276979751279028</c:v>
                </c:pt>
                <c:pt idx="580">
                  <c:v>0.52028580611664221</c:v>
                </c:pt>
                <c:pt idx="581">
                  <c:v>0.52755457759536739</c:v>
                </c:pt>
                <c:pt idx="582">
                  <c:v>0.52706010334511388</c:v>
                </c:pt>
                <c:pt idx="583">
                  <c:v>0.53398274284866187</c:v>
                </c:pt>
                <c:pt idx="584">
                  <c:v>0.54607263826735775</c:v>
                </c:pt>
                <c:pt idx="585">
                  <c:v>0.53455138823645298</c:v>
                </c:pt>
                <c:pt idx="586">
                  <c:v>0.53371078201102229</c:v>
                </c:pt>
                <c:pt idx="587">
                  <c:v>0.54290800306573539</c:v>
                </c:pt>
                <c:pt idx="588">
                  <c:v>0.54725937646796585</c:v>
                </c:pt>
                <c:pt idx="589">
                  <c:v>0.54182015971517816</c:v>
                </c:pt>
                <c:pt idx="590">
                  <c:v>0.54476228150418571</c:v>
                </c:pt>
                <c:pt idx="591">
                  <c:v>0.53816105026330274</c:v>
                </c:pt>
                <c:pt idx="592">
                  <c:v>0.54330358246593846</c:v>
                </c:pt>
                <c:pt idx="593">
                  <c:v>0.55274804064577854</c:v>
                </c:pt>
                <c:pt idx="594">
                  <c:v>0.55161074987019587</c:v>
                </c:pt>
                <c:pt idx="595">
                  <c:v>0.55455287165920342</c:v>
                </c:pt>
                <c:pt idx="596">
                  <c:v>0.55477538507181756</c:v>
                </c:pt>
                <c:pt idx="597">
                  <c:v>0.56800257126609677</c:v>
                </c:pt>
                <c:pt idx="598">
                  <c:v>0.56852176922886266</c:v>
                </c:pt>
                <c:pt idx="599">
                  <c:v>0.57514772418225846</c:v>
                </c:pt>
                <c:pt idx="600">
                  <c:v>0.57475214478205583</c:v>
                </c:pt>
                <c:pt idx="601">
                  <c:v>0.5705985610799269</c:v>
                </c:pt>
                <c:pt idx="602">
                  <c:v>0.56862066407891332</c:v>
                </c:pt>
                <c:pt idx="603">
                  <c:v>0.56273642050089778</c:v>
                </c:pt>
                <c:pt idx="604">
                  <c:v>0.53712265433777073</c:v>
                </c:pt>
                <c:pt idx="605">
                  <c:v>0.56048656266224439</c:v>
                </c:pt>
                <c:pt idx="606">
                  <c:v>0.55257497465818983</c:v>
                </c:pt>
                <c:pt idx="607">
                  <c:v>0.56446708037678439</c:v>
                </c:pt>
                <c:pt idx="608">
                  <c:v>0.5631567236136128</c:v>
                </c:pt>
                <c:pt idx="609">
                  <c:v>0.57534551388235955</c:v>
                </c:pt>
                <c:pt idx="610">
                  <c:v>0.57223032610576308</c:v>
                </c:pt>
                <c:pt idx="611">
                  <c:v>0.58896827947684161</c:v>
                </c:pt>
                <c:pt idx="612">
                  <c:v>0.59440749622962907</c:v>
                </c:pt>
                <c:pt idx="613">
                  <c:v>0.59455583850470517</c:v>
                </c:pt>
                <c:pt idx="614">
                  <c:v>0.59082255791529192</c:v>
                </c:pt>
                <c:pt idx="615">
                  <c:v>0.59047642594011429</c:v>
                </c:pt>
                <c:pt idx="616">
                  <c:v>0.5818478502731923</c:v>
                </c:pt>
                <c:pt idx="617">
                  <c:v>0.57764481914603838</c:v>
                </c:pt>
                <c:pt idx="618">
                  <c:v>0.57131554874279455</c:v>
                </c:pt>
                <c:pt idx="619">
                  <c:v>0.59544589215516153</c:v>
                </c:pt>
                <c:pt idx="620">
                  <c:v>0.58842435780156332</c:v>
                </c:pt>
                <c:pt idx="621">
                  <c:v>0.59507503646747173</c:v>
                </c:pt>
                <c:pt idx="622">
                  <c:v>0.59870942220683432</c:v>
                </c:pt>
                <c:pt idx="623">
                  <c:v>0.60437115237223571</c:v>
                </c:pt>
                <c:pt idx="624">
                  <c:v>0.59480307562983215</c:v>
                </c:pt>
                <c:pt idx="625">
                  <c:v>0.58298514104877563</c:v>
                </c:pt>
                <c:pt idx="626">
                  <c:v>0.59156426929067263</c:v>
                </c:pt>
                <c:pt idx="627">
                  <c:v>0.60486562662248966</c:v>
                </c:pt>
                <c:pt idx="628">
                  <c:v>0.60021756867010767</c:v>
                </c:pt>
                <c:pt idx="629">
                  <c:v>0.60414863895962245</c:v>
                </c:pt>
                <c:pt idx="630">
                  <c:v>0.60785719583652309</c:v>
                </c:pt>
                <c:pt idx="631">
                  <c:v>0.6125052537889053</c:v>
                </c:pt>
                <c:pt idx="632">
                  <c:v>0.62590550597077277</c:v>
                </c:pt>
                <c:pt idx="633">
                  <c:v>0.62536158429549382</c:v>
                </c:pt>
                <c:pt idx="634">
                  <c:v>0.63401488367492864</c:v>
                </c:pt>
                <c:pt idx="635">
                  <c:v>0.6317650258362757</c:v>
                </c:pt>
                <c:pt idx="636">
                  <c:v>0.62973768141023667</c:v>
                </c:pt>
                <c:pt idx="637">
                  <c:v>0.63735258486413926</c:v>
                </c:pt>
                <c:pt idx="638">
                  <c:v>0.64091279946596402</c:v>
                </c:pt>
                <c:pt idx="639">
                  <c:v>0.64867604519494249</c:v>
                </c:pt>
                <c:pt idx="640">
                  <c:v>0.63970133755284286</c:v>
                </c:pt>
                <c:pt idx="641">
                  <c:v>0.63448463421266932</c:v>
                </c:pt>
                <c:pt idx="642">
                  <c:v>0.62694390189630456</c:v>
                </c:pt>
                <c:pt idx="643">
                  <c:v>0.63626474151358181</c:v>
                </c:pt>
                <c:pt idx="644">
                  <c:v>0.64086335204093836</c:v>
                </c:pt>
                <c:pt idx="645">
                  <c:v>0.64704428016910609</c:v>
                </c:pt>
                <c:pt idx="646">
                  <c:v>0.65265656290948271</c:v>
                </c:pt>
                <c:pt idx="647">
                  <c:v>0.65456028877295824</c:v>
                </c:pt>
                <c:pt idx="648">
                  <c:v>0.65453556506044563</c:v>
                </c:pt>
                <c:pt idx="649">
                  <c:v>0.66046925606348683</c:v>
                </c:pt>
                <c:pt idx="650">
                  <c:v>0.65431305164783171</c:v>
                </c:pt>
                <c:pt idx="651">
                  <c:v>0.66417781294038725</c:v>
                </c:pt>
                <c:pt idx="652">
                  <c:v>0.65935668900041633</c:v>
                </c:pt>
                <c:pt idx="653">
                  <c:v>0.61450787450243149</c:v>
                </c:pt>
                <c:pt idx="654">
                  <c:v>0.63928103444012763</c:v>
                </c:pt>
                <c:pt idx="655">
                  <c:v>0.63727841372660143</c:v>
                </c:pt>
                <c:pt idx="656">
                  <c:v>0.64454718520532661</c:v>
                </c:pt>
                <c:pt idx="657">
                  <c:v>0.63334734343708687</c:v>
                </c:pt>
                <c:pt idx="658">
                  <c:v>0.64261873562933869</c:v>
                </c:pt>
                <c:pt idx="659">
                  <c:v>0.65970282097559418</c:v>
                </c:pt>
                <c:pt idx="660">
                  <c:v>0.65967809726308158</c:v>
                </c:pt>
                <c:pt idx="661">
                  <c:v>0.65104952159615936</c:v>
                </c:pt>
                <c:pt idx="662">
                  <c:v>0.66084011175117729</c:v>
                </c:pt>
                <c:pt idx="663">
                  <c:v>0.67441342992063347</c:v>
                </c:pt>
                <c:pt idx="664">
                  <c:v>0.69416767621825759</c:v>
                </c:pt>
                <c:pt idx="665">
                  <c:v>0.69866739189556371</c:v>
                </c:pt>
                <c:pt idx="666">
                  <c:v>0.69948327440848179</c:v>
                </c:pt>
                <c:pt idx="667">
                  <c:v>0.68079214774890273</c:v>
                </c:pt>
                <c:pt idx="668">
                  <c:v>0.68630553563922825</c:v>
                </c:pt>
                <c:pt idx="669">
                  <c:v>0.68947017084085016</c:v>
                </c:pt>
                <c:pt idx="670">
                  <c:v>0.66944396370558668</c:v>
                </c:pt>
                <c:pt idx="671">
                  <c:v>0.67522931243355155</c:v>
                </c:pt>
                <c:pt idx="672">
                  <c:v>0.6572551734368397</c:v>
                </c:pt>
                <c:pt idx="673">
                  <c:v>0.6588869384626761</c:v>
                </c:pt>
                <c:pt idx="674">
                  <c:v>0.68477266546344251</c:v>
                </c:pt>
                <c:pt idx="675">
                  <c:v>0.68862956461541902</c:v>
                </c:pt>
                <c:pt idx="676">
                  <c:v>0.6895690656909006</c:v>
                </c:pt>
                <c:pt idx="677">
                  <c:v>0.66153237570153167</c:v>
                </c:pt>
                <c:pt idx="678">
                  <c:v>0.66126041486389231</c:v>
                </c:pt>
                <c:pt idx="679">
                  <c:v>0.64578337083096038</c:v>
                </c:pt>
                <c:pt idx="680">
                  <c:v>0.63196281553637745</c:v>
                </c:pt>
                <c:pt idx="681">
                  <c:v>0.63826736222710823</c:v>
                </c:pt>
                <c:pt idx="682">
                  <c:v>0.61329641258931056</c:v>
                </c:pt>
                <c:pt idx="683">
                  <c:v>0.62936682572254643</c:v>
                </c:pt>
                <c:pt idx="684">
                  <c:v>0.65334882685983708</c:v>
                </c:pt>
                <c:pt idx="685">
                  <c:v>0.66890004203030684</c:v>
                </c:pt>
                <c:pt idx="686">
                  <c:v>0.68042129206121138</c:v>
                </c:pt>
                <c:pt idx="687">
                  <c:v>0.68959378940341232</c:v>
                </c:pt>
                <c:pt idx="688">
                  <c:v>0.68187999109945885</c:v>
                </c:pt>
                <c:pt idx="689">
                  <c:v>0.68499517887605532</c:v>
                </c:pt>
                <c:pt idx="690">
                  <c:v>0.69082997502904586</c:v>
                </c:pt>
                <c:pt idx="691">
                  <c:v>0.69206616065467919</c:v>
                </c:pt>
                <c:pt idx="692">
                  <c:v>0.69528024328132654</c:v>
                </c:pt>
                <c:pt idx="693">
                  <c:v>0.69018715850371626</c:v>
                </c:pt>
                <c:pt idx="694">
                  <c:v>0.68872845946546857</c:v>
                </c:pt>
                <c:pt idx="695">
                  <c:v>0.69992830123370853</c:v>
                </c:pt>
                <c:pt idx="696">
                  <c:v>0.7038840952357357</c:v>
                </c:pt>
                <c:pt idx="697">
                  <c:v>0.68556382426384666</c:v>
                </c:pt>
                <c:pt idx="698">
                  <c:v>0.68301728187504152</c:v>
                </c:pt>
                <c:pt idx="699">
                  <c:v>0.67841867134768474</c:v>
                </c:pt>
                <c:pt idx="700">
                  <c:v>0.65995005810071961</c:v>
                </c:pt>
                <c:pt idx="701">
                  <c:v>0.67248498034464377</c:v>
                </c:pt>
                <c:pt idx="702">
                  <c:v>0.6826711498998641</c:v>
                </c:pt>
                <c:pt idx="703">
                  <c:v>0.69315400400523641</c:v>
                </c:pt>
                <c:pt idx="704">
                  <c:v>0.70089252602170249</c:v>
                </c:pt>
                <c:pt idx="705">
                  <c:v>0.7068756644497689</c:v>
                </c:pt>
                <c:pt idx="706">
                  <c:v>0.7067025984621802</c:v>
                </c:pt>
                <c:pt idx="707">
                  <c:v>0.70062056518406335</c:v>
                </c:pt>
                <c:pt idx="708">
                  <c:v>0.69854377333299911</c:v>
                </c:pt>
                <c:pt idx="709">
                  <c:v>0.68595940366404951</c:v>
                </c:pt>
                <c:pt idx="710">
                  <c:v>0.68904986772813337</c:v>
                </c:pt>
                <c:pt idx="711">
                  <c:v>0.70029915692139855</c:v>
                </c:pt>
                <c:pt idx="712">
                  <c:v>0.71041115533908061</c:v>
                </c:pt>
                <c:pt idx="713">
                  <c:v>0.70489776744875532</c:v>
                </c:pt>
                <c:pt idx="714">
                  <c:v>0.70472470146116639</c:v>
                </c:pt>
                <c:pt idx="715">
                  <c:v>0.71599871436694462</c:v>
                </c:pt>
                <c:pt idx="716">
                  <c:v>0.71869359903082541</c:v>
                </c:pt>
                <c:pt idx="717">
                  <c:v>0.71525700299156414</c:v>
                </c:pt>
                <c:pt idx="718">
                  <c:v>0.70682621702474346</c:v>
                </c:pt>
                <c:pt idx="719">
                  <c:v>0.71147427497712568</c:v>
                </c:pt>
                <c:pt idx="720">
                  <c:v>0.71004029965139059</c:v>
                </c:pt>
                <c:pt idx="721">
                  <c:v>0.67522931243355022</c:v>
                </c:pt>
                <c:pt idx="722">
                  <c:v>0.69456325561845866</c:v>
                </c:pt>
                <c:pt idx="723">
                  <c:v>0.70341434469799502</c:v>
                </c:pt>
                <c:pt idx="724">
                  <c:v>0.70403243751081157</c:v>
                </c:pt>
                <c:pt idx="725">
                  <c:v>0.71268573689024617</c:v>
                </c:pt>
                <c:pt idx="726">
                  <c:v>0.7195094815437435</c:v>
                </c:pt>
                <c:pt idx="727">
                  <c:v>0.71933641555615457</c:v>
                </c:pt>
                <c:pt idx="728">
                  <c:v>0.71592454322940613</c:v>
                </c:pt>
                <c:pt idx="729">
                  <c:v>0.71080673473928346</c:v>
                </c:pt>
                <c:pt idx="730">
                  <c:v>0.71931169184364196</c:v>
                </c:pt>
                <c:pt idx="731">
                  <c:v>0.70477414888619161</c:v>
                </c:pt>
                <c:pt idx="732">
                  <c:v>0.69651642890695986</c:v>
                </c:pt>
                <c:pt idx="733">
                  <c:v>0.67532820728360088</c:v>
                </c:pt>
                <c:pt idx="734">
                  <c:v>0.70746903355007307</c:v>
                </c:pt>
                <c:pt idx="735">
                  <c:v>0.71570202981679265</c:v>
                </c:pt>
                <c:pt idx="736">
                  <c:v>0.71117759042697393</c:v>
                </c:pt>
                <c:pt idx="737">
                  <c:v>0.7107820110267713</c:v>
                </c:pt>
                <c:pt idx="738">
                  <c:v>0.68435236235072616</c:v>
                </c:pt>
                <c:pt idx="739">
                  <c:v>0.68553910055133449</c:v>
                </c:pt>
                <c:pt idx="740">
                  <c:v>0.68825870892772834</c:v>
                </c:pt>
                <c:pt idx="741">
                  <c:v>0.69676366603208684</c:v>
                </c:pt>
                <c:pt idx="742">
                  <c:v>0.69228867406729355</c:v>
                </c:pt>
                <c:pt idx="743">
                  <c:v>0.70452691176106552</c:v>
                </c:pt>
                <c:pt idx="744">
                  <c:v>0.68712141815214545</c:v>
                </c:pt>
                <c:pt idx="745">
                  <c:v>0.69938437955843025</c:v>
                </c:pt>
                <c:pt idx="746">
                  <c:v>0.71372413281577929</c:v>
                </c:pt>
                <c:pt idx="747">
                  <c:v>0.70420550349840094</c:v>
                </c:pt>
                <c:pt idx="748">
                  <c:v>0.69602195465670702</c:v>
                </c:pt>
                <c:pt idx="749">
                  <c:v>0.69698617944470143</c:v>
                </c:pt>
                <c:pt idx="750">
                  <c:v>0.68202833337453583</c:v>
                </c:pt>
                <c:pt idx="751">
                  <c:v>0.69389571538061756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1C-034B-8998-F804FC096EF5}"/>
            </c:ext>
          </c:extLst>
        </c:ser>
        <c:ser>
          <c:idx val="2"/>
          <c:order val="2"/>
          <c:tx>
            <c:strRef>
              <c:f>'Share Price Analysis'!$J$35</c:f>
              <c:strCache>
                <c:ptCount val="1"/>
                <c:pt idx="0">
                  <c:v>XLB Cumulative Return</c:v>
                </c:pt>
              </c:strCache>
            </c:strRef>
          </c:tx>
          <c:spPr>
            <a:ln w="19050">
              <a:solidFill>
                <a:srgbClr val="7F7F7F"/>
              </a:solidFill>
            </a:ln>
          </c:spPr>
          <c:marker>
            <c:symbol val="none"/>
          </c:marker>
          <c:cat>
            <c:numRef>
              <c:f>'Share Price Analysis'!$A$36:$A$787</c:f>
              <c:numCache>
                <c:formatCode>yyyy\-mm\-dd</c:formatCode>
                <c:ptCount val="752"/>
                <c:pt idx="0">
                  <c:v>44991</c:v>
                </c:pt>
                <c:pt idx="1">
                  <c:v>44992</c:v>
                </c:pt>
                <c:pt idx="2">
                  <c:v>44993</c:v>
                </c:pt>
                <c:pt idx="3">
                  <c:v>44994</c:v>
                </c:pt>
                <c:pt idx="4">
                  <c:v>44995</c:v>
                </c:pt>
                <c:pt idx="5">
                  <c:v>44998</c:v>
                </c:pt>
                <c:pt idx="6">
                  <c:v>44999</c:v>
                </c:pt>
                <c:pt idx="7">
                  <c:v>45000</c:v>
                </c:pt>
                <c:pt idx="8">
                  <c:v>45001</c:v>
                </c:pt>
                <c:pt idx="9">
                  <c:v>45002</c:v>
                </c:pt>
                <c:pt idx="10">
                  <c:v>45005</c:v>
                </c:pt>
                <c:pt idx="11">
                  <c:v>45006</c:v>
                </c:pt>
                <c:pt idx="12">
                  <c:v>45007</c:v>
                </c:pt>
                <c:pt idx="13">
                  <c:v>45008</c:v>
                </c:pt>
                <c:pt idx="14">
                  <c:v>45009</c:v>
                </c:pt>
                <c:pt idx="15">
                  <c:v>45012</c:v>
                </c:pt>
                <c:pt idx="16">
                  <c:v>45013</c:v>
                </c:pt>
                <c:pt idx="17">
                  <c:v>45014</c:v>
                </c:pt>
                <c:pt idx="18">
                  <c:v>45015</c:v>
                </c:pt>
                <c:pt idx="19">
                  <c:v>45016</c:v>
                </c:pt>
                <c:pt idx="20">
                  <c:v>45019</c:v>
                </c:pt>
                <c:pt idx="21">
                  <c:v>45020</c:v>
                </c:pt>
                <c:pt idx="22">
                  <c:v>45021</c:v>
                </c:pt>
                <c:pt idx="23">
                  <c:v>45022</c:v>
                </c:pt>
                <c:pt idx="24">
                  <c:v>45026</c:v>
                </c:pt>
                <c:pt idx="25">
                  <c:v>45027</c:v>
                </c:pt>
                <c:pt idx="26">
                  <c:v>45028</c:v>
                </c:pt>
                <c:pt idx="27">
                  <c:v>45029</c:v>
                </c:pt>
                <c:pt idx="28">
                  <c:v>45030</c:v>
                </c:pt>
                <c:pt idx="29">
                  <c:v>45033</c:v>
                </c:pt>
                <c:pt idx="30">
                  <c:v>45034</c:v>
                </c:pt>
                <c:pt idx="31">
                  <c:v>45035</c:v>
                </c:pt>
                <c:pt idx="32">
                  <c:v>45036</c:v>
                </c:pt>
                <c:pt idx="33">
                  <c:v>45037</c:v>
                </c:pt>
                <c:pt idx="34">
                  <c:v>45040</c:v>
                </c:pt>
                <c:pt idx="35">
                  <c:v>45041</c:v>
                </c:pt>
                <c:pt idx="36">
                  <c:v>45042</c:v>
                </c:pt>
                <c:pt idx="37">
                  <c:v>45043</c:v>
                </c:pt>
                <c:pt idx="38">
                  <c:v>45044</c:v>
                </c:pt>
                <c:pt idx="39">
                  <c:v>45047</c:v>
                </c:pt>
                <c:pt idx="40">
                  <c:v>45048</c:v>
                </c:pt>
                <c:pt idx="41">
                  <c:v>45049</c:v>
                </c:pt>
                <c:pt idx="42">
                  <c:v>45050</c:v>
                </c:pt>
                <c:pt idx="43">
                  <c:v>45051</c:v>
                </c:pt>
                <c:pt idx="44">
                  <c:v>45054</c:v>
                </c:pt>
                <c:pt idx="45">
                  <c:v>45055</c:v>
                </c:pt>
                <c:pt idx="46">
                  <c:v>45056</c:v>
                </c:pt>
                <c:pt idx="47">
                  <c:v>45057</c:v>
                </c:pt>
                <c:pt idx="48">
                  <c:v>45058</c:v>
                </c:pt>
                <c:pt idx="49">
                  <c:v>45061</c:v>
                </c:pt>
                <c:pt idx="50">
                  <c:v>45062</c:v>
                </c:pt>
                <c:pt idx="51">
                  <c:v>45063</c:v>
                </c:pt>
                <c:pt idx="52">
                  <c:v>45064</c:v>
                </c:pt>
                <c:pt idx="53">
                  <c:v>45065</c:v>
                </c:pt>
                <c:pt idx="54">
                  <c:v>45068</c:v>
                </c:pt>
                <c:pt idx="55">
                  <c:v>45069</c:v>
                </c:pt>
                <c:pt idx="56">
                  <c:v>45070</c:v>
                </c:pt>
                <c:pt idx="57">
                  <c:v>45071</c:v>
                </c:pt>
                <c:pt idx="58">
                  <c:v>45072</c:v>
                </c:pt>
                <c:pt idx="59">
                  <c:v>45076</c:v>
                </c:pt>
                <c:pt idx="60">
                  <c:v>45077</c:v>
                </c:pt>
                <c:pt idx="61">
                  <c:v>45078</c:v>
                </c:pt>
                <c:pt idx="62">
                  <c:v>45079</c:v>
                </c:pt>
                <c:pt idx="63">
                  <c:v>45082</c:v>
                </c:pt>
                <c:pt idx="64">
                  <c:v>45083</c:v>
                </c:pt>
                <c:pt idx="65">
                  <c:v>45084</c:v>
                </c:pt>
                <c:pt idx="66">
                  <c:v>45085</c:v>
                </c:pt>
                <c:pt idx="67">
                  <c:v>45086</c:v>
                </c:pt>
                <c:pt idx="68">
                  <c:v>45089</c:v>
                </c:pt>
                <c:pt idx="69">
                  <c:v>45090</c:v>
                </c:pt>
                <c:pt idx="70">
                  <c:v>45091</c:v>
                </c:pt>
                <c:pt idx="71">
                  <c:v>45092</c:v>
                </c:pt>
                <c:pt idx="72">
                  <c:v>45093</c:v>
                </c:pt>
                <c:pt idx="73">
                  <c:v>45097</c:v>
                </c:pt>
                <c:pt idx="74">
                  <c:v>45098</c:v>
                </c:pt>
                <c:pt idx="75">
                  <c:v>45099</c:v>
                </c:pt>
                <c:pt idx="76">
                  <c:v>45100</c:v>
                </c:pt>
                <c:pt idx="77">
                  <c:v>45103</c:v>
                </c:pt>
                <c:pt idx="78">
                  <c:v>45104</c:v>
                </c:pt>
                <c:pt idx="79">
                  <c:v>45105</c:v>
                </c:pt>
                <c:pt idx="80">
                  <c:v>45106</c:v>
                </c:pt>
                <c:pt idx="81">
                  <c:v>45107</c:v>
                </c:pt>
                <c:pt idx="82">
                  <c:v>45110</c:v>
                </c:pt>
                <c:pt idx="83">
                  <c:v>45112</c:v>
                </c:pt>
                <c:pt idx="84">
                  <c:v>45113</c:v>
                </c:pt>
                <c:pt idx="85">
                  <c:v>45114</c:v>
                </c:pt>
                <c:pt idx="86">
                  <c:v>45117</c:v>
                </c:pt>
                <c:pt idx="87">
                  <c:v>45118</c:v>
                </c:pt>
                <c:pt idx="88">
                  <c:v>45119</c:v>
                </c:pt>
                <c:pt idx="89">
                  <c:v>45120</c:v>
                </c:pt>
                <c:pt idx="90">
                  <c:v>45121</c:v>
                </c:pt>
                <c:pt idx="91">
                  <c:v>45124</c:v>
                </c:pt>
                <c:pt idx="92">
                  <c:v>45125</c:v>
                </c:pt>
                <c:pt idx="93">
                  <c:v>45126</c:v>
                </c:pt>
                <c:pt idx="94">
                  <c:v>45127</c:v>
                </c:pt>
                <c:pt idx="95">
                  <c:v>45128</c:v>
                </c:pt>
                <c:pt idx="96">
                  <c:v>45131</c:v>
                </c:pt>
                <c:pt idx="97">
                  <c:v>45132</c:v>
                </c:pt>
                <c:pt idx="98">
                  <c:v>45133</c:v>
                </c:pt>
                <c:pt idx="99">
                  <c:v>45134</c:v>
                </c:pt>
                <c:pt idx="100">
                  <c:v>45135</c:v>
                </c:pt>
                <c:pt idx="101">
                  <c:v>45138</c:v>
                </c:pt>
                <c:pt idx="102">
                  <c:v>45139</c:v>
                </c:pt>
                <c:pt idx="103">
                  <c:v>45140</c:v>
                </c:pt>
                <c:pt idx="104">
                  <c:v>45141</c:v>
                </c:pt>
                <c:pt idx="105">
                  <c:v>45142</c:v>
                </c:pt>
                <c:pt idx="106">
                  <c:v>45145</c:v>
                </c:pt>
                <c:pt idx="107">
                  <c:v>45146</c:v>
                </c:pt>
                <c:pt idx="108">
                  <c:v>45147</c:v>
                </c:pt>
                <c:pt idx="109">
                  <c:v>45148</c:v>
                </c:pt>
                <c:pt idx="110">
                  <c:v>45149</c:v>
                </c:pt>
                <c:pt idx="111">
                  <c:v>45152</c:v>
                </c:pt>
                <c:pt idx="112">
                  <c:v>45153</c:v>
                </c:pt>
                <c:pt idx="113">
                  <c:v>45154</c:v>
                </c:pt>
                <c:pt idx="114">
                  <c:v>45155</c:v>
                </c:pt>
                <c:pt idx="115">
                  <c:v>45156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45166</c:v>
                </c:pt>
                <c:pt idx="122">
                  <c:v>45167</c:v>
                </c:pt>
                <c:pt idx="123">
                  <c:v>45168</c:v>
                </c:pt>
                <c:pt idx="124">
                  <c:v>45169</c:v>
                </c:pt>
                <c:pt idx="125">
                  <c:v>45170</c:v>
                </c:pt>
                <c:pt idx="126">
                  <c:v>45174</c:v>
                </c:pt>
                <c:pt idx="127">
                  <c:v>45175</c:v>
                </c:pt>
                <c:pt idx="128">
                  <c:v>45176</c:v>
                </c:pt>
                <c:pt idx="129">
                  <c:v>45177</c:v>
                </c:pt>
                <c:pt idx="130">
                  <c:v>45180</c:v>
                </c:pt>
                <c:pt idx="131">
                  <c:v>45181</c:v>
                </c:pt>
                <c:pt idx="132">
                  <c:v>45182</c:v>
                </c:pt>
                <c:pt idx="133">
                  <c:v>45183</c:v>
                </c:pt>
                <c:pt idx="134">
                  <c:v>45184</c:v>
                </c:pt>
                <c:pt idx="135">
                  <c:v>45187</c:v>
                </c:pt>
                <c:pt idx="136">
                  <c:v>45188</c:v>
                </c:pt>
                <c:pt idx="137">
                  <c:v>45189</c:v>
                </c:pt>
                <c:pt idx="138">
                  <c:v>45190</c:v>
                </c:pt>
                <c:pt idx="139">
                  <c:v>45191</c:v>
                </c:pt>
                <c:pt idx="140">
                  <c:v>45194</c:v>
                </c:pt>
                <c:pt idx="141">
                  <c:v>45195</c:v>
                </c:pt>
                <c:pt idx="142">
                  <c:v>45196</c:v>
                </c:pt>
                <c:pt idx="143">
                  <c:v>45197</c:v>
                </c:pt>
                <c:pt idx="144">
                  <c:v>45198</c:v>
                </c:pt>
                <c:pt idx="145">
                  <c:v>45201</c:v>
                </c:pt>
                <c:pt idx="146">
                  <c:v>45202</c:v>
                </c:pt>
                <c:pt idx="147">
                  <c:v>45203</c:v>
                </c:pt>
                <c:pt idx="148">
                  <c:v>45204</c:v>
                </c:pt>
                <c:pt idx="149">
                  <c:v>45205</c:v>
                </c:pt>
                <c:pt idx="150">
                  <c:v>45208</c:v>
                </c:pt>
                <c:pt idx="151">
                  <c:v>45209</c:v>
                </c:pt>
                <c:pt idx="152">
                  <c:v>45210</c:v>
                </c:pt>
                <c:pt idx="153">
                  <c:v>45211</c:v>
                </c:pt>
                <c:pt idx="154">
                  <c:v>45212</c:v>
                </c:pt>
                <c:pt idx="155">
                  <c:v>45215</c:v>
                </c:pt>
                <c:pt idx="156">
                  <c:v>45216</c:v>
                </c:pt>
                <c:pt idx="157">
                  <c:v>45217</c:v>
                </c:pt>
                <c:pt idx="158">
                  <c:v>45218</c:v>
                </c:pt>
                <c:pt idx="159">
                  <c:v>45219</c:v>
                </c:pt>
                <c:pt idx="160">
                  <c:v>45222</c:v>
                </c:pt>
                <c:pt idx="161">
                  <c:v>45223</c:v>
                </c:pt>
                <c:pt idx="162">
                  <c:v>45224</c:v>
                </c:pt>
                <c:pt idx="163">
                  <c:v>45225</c:v>
                </c:pt>
                <c:pt idx="164">
                  <c:v>45226</c:v>
                </c:pt>
                <c:pt idx="165">
                  <c:v>45229</c:v>
                </c:pt>
                <c:pt idx="166">
                  <c:v>45230</c:v>
                </c:pt>
                <c:pt idx="167">
                  <c:v>45231</c:v>
                </c:pt>
                <c:pt idx="168">
                  <c:v>45232</c:v>
                </c:pt>
                <c:pt idx="169">
                  <c:v>45233</c:v>
                </c:pt>
                <c:pt idx="170">
                  <c:v>45236</c:v>
                </c:pt>
                <c:pt idx="171">
                  <c:v>45237</c:v>
                </c:pt>
                <c:pt idx="172">
                  <c:v>45238</c:v>
                </c:pt>
                <c:pt idx="173">
                  <c:v>45239</c:v>
                </c:pt>
                <c:pt idx="174">
                  <c:v>45240</c:v>
                </c:pt>
                <c:pt idx="175">
                  <c:v>45243</c:v>
                </c:pt>
                <c:pt idx="176">
                  <c:v>45244</c:v>
                </c:pt>
                <c:pt idx="177">
                  <c:v>45245</c:v>
                </c:pt>
                <c:pt idx="178">
                  <c:v>45246</c:v>
                </c:pt>
                <c:pt idx="179">
                  <c:v>45247</c:v>
                </c:pt>
                <c:pt idx="180">
                  <c:v>45250</c:v>
                </c:pt>
                <c:pt idx="181">
                  <c:v>45251</c:v>
                </c:pt>
                <c:pt idx="182">
                  <c:v>45252</c:v>
                </c:pt>
                <c:pt idx="183">
                  <c:v>45254</c:v>
                </c:pt>
                <c:pt idx="184">
                  <c:v>45257</c:v>
                </c:pt>
                <c:pt idx="185">
                  <c:v>45258</c:v>
                </c:pt>
                <c:pt idx="186">
                  <c:v>45259</c:v>
                </c:pt>
                <c:pt idx="187">
                  <c:v>45260</c:v>
                </c:pt>
                <c:pt idx="188">
                  <c:v>45261</c:v>
                </c:pt>
                <c:pt idx="189">
                  <c:v>45264</c:v>
                </c:pt>
                <c:pt idx="190">
                  <c:v>45265</c:v>
                </c:pt>
                <c:pt idx="191">
                  <c:v>45266</c:v>
                </c:pt>
                <c:pt idx="192">
                  <c:v>45267</c:v>
                </c:pt>
                <c:pt idx="193">
                  <c:v>45268</c:v>
                </c:pt>
                <c:pt idx="194">
                  <c:v>45271</c:v>
                </c:pt>
                <c:pt idx="195">
                  <c:v>45272</c:v>
                </c:pt>
                <c:pt idx="196">
                  <c:v>45273</c:v>
                </c:pt>
                <c:pt idx="197">
                  <c:v>45274</c:v>
                </c:pt>
                <c:pt idx="198">
                  <c:v>45275</c:v>
                </c:pt>
                <c:pt idx="199">
                  <c:v>45278</c:v>
                </c:pt>
                <c:pt idx="200">
                  <c:v>45279</c:v>
                </c:pt>
                <c:pt idx="201">
                  <c:v>45280</c:v>
                </c:pt>
                <c:pt idx="202">
                  <c:v>45281</c:v>
                </c:pt>
                <c:pt idx="203">
                  <c:v>45282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45307</c:v>
                </c:pt>
                <c:pt idx="218">
                  <c:v>45308</c:v>
                </c:pt>
                <c:pt idx="219">
                  <c:v>45309</c:v>
                </c:pt>
                <c:pt idx="220">
                  <c:v>45310</c:v>
                </c:pt>
                <c:pt idx="221">
                  <c:v>45313</c:v>
                </c:pt>
                <c:pt idx="222">
                  <c:v>45314</c:v>
                </c:pt>
                <c:pt idx="223">
                  <c:v>45315</c:v>
                </c:pt>
                <c:pt idx="224">
                  <c:v>45316</c:v>
                </c:pt>
                <c:pt idx="225">
                  <c:v>45317</c:v>
                </c:pt>
                <c:pt idx="226">
                  <c:v>45320</c:v>
                </c:pt>
                <c:pt idx="227">
                  <c:v>45321</c:v>
                </c:pt>
                <c:pt idx="228">
                  <c:v>45322</c:v>
                </c:pt>
                <c:pt idx="229">
                  <c:v>45323</c:v>
                </c:pt>
                <c:pt idx="230">
                  <c:v>45324</c:v>
                </c:pt>
                <c:pt idx="231">
                  <c:v>45327</c:v>
                </c:pt>
                <c:pt idx="232">
                  <c:v>45328</c:v>
                </c:pt>
                <c:pt idx="233">
                  <c:v>45329</c:v>
                </c:pt>
                <c:pt idx="234">
                  <c:v>45330</c:v>
                </c:pt>
                <c:pt idx="235">
                  <c:v>45331</c:v>
                </c:pt>
                <c:pt idx="236">
                  <c:v>45334</c:v>
                </c:pt>
                <c:pt idx="237">
                  <c:v>45335</c:v>
                </c:pt>
                <c:pt idx="238">
                  <c:v>45336</c:v>
                </c:pt>
                <c:pt idx="239">
                  <c:v>45337</c:v>
                </c:pt>
                <c:pt idx="240">
                  <c:v>45338</c:v>
                </c:pt>
                <c:pt idx="241">
                  <c:v>45342</c:v>
                </c:pt>
                <c:pt idx="242">
                  <c:v>45343</c:v>
                </c:pt>
                <c:pt idx="243">
                  <c:v>45344</c:v>
                </c:pt>
                <c:pt idx="244">
                  <c:v>45345</c:v>
                </c:pt>
                <c:pt idx="245">
                  <c:v>45348</c:v>
                </c:pt>
                <c:pt idx="246">
                  <c:v>45349</c:v>
                </c:pt>
                <c:pt idx="247">
                  <c:v>45350</c:v>
                </c:pt>
                <c:pt idx="248">
                  <c:v>45351</c:v>
                </c:pt>
                <c:pt idx="249">
                  <c:v>45352</c:v>
                </c:pt>
                <c:pt idx="250">
                  <c:v>45355</c:v>
                </c:pt>
                <c:pt idx="251">
                  <c:v>45356</c:v>
                </c:pt>
                <c:pt idx="252">
                  <c:v>45357</c:v>
                </c:pt>
                <c:pt idx="253">
                  <c:v>45358</c:v>
                </c:pt>
                <c:pt idx="254">
                  <c:v>45359</c:v>
                </c:pt>
                <c:pt idx="255">
                  <c:v>45362</c:v>
                </c:pt>
                <c:pt idx="256">
                  <c:v>45363</c:v>
                </c:pt>
                <c:pt idx="257">
                  <c:v>45364</c:v>
                </c:pt>
                <c:pt idx="258">
                  <c:v>45365</c:v>
                </c:pt>
                <c:pt idx="259">
                  <c:v>45366</c:v>
                </c:pt>
                <c:pt idx="260">
                  <c:v>45369</c:v>
                </c:pt>
                <c:pt idx="261">
                  <c:v>45370</c:v>
                </c:pt>
                <c:pt idx="262">
                  <c:v>45371</c:v>
                </c:pt>
                <c:pt idx="263">
                  <c:v>45372</c:v>
                </c:pt>
                <c:pt idx="264">
                  <c:v>45373</c:v>
                </c:pt>
                <c:pt idx="265">
                  <c:v>45376</c:v>
                </c:pt>
                <c:pt idx="266">
                  <c:v>45377</c:v>
                </c:pt>
                <c:pt idx="267">
                  <c:v>45378</c:v>
                </c:pt>
                <c:pt idx="268">
                  <c:v>45379</c:v>
                </c:pt>
                <c:pt idx="269">
                  <c:v>45383</c:v>
                </c:pt>
                <c:pt idx="270">
                  <c:v>45384</c:v>
                </c:pt>
                <c:pt idx="271">
                  <c:v>45385</c:v>
                </c:pt>
                <c:pt idx="272">
                  <c:v>45386</c:v>
                </c:pt>
                <c:pt idx="273">
                  <c:v>45387</c:v>
                </c:pt>
                <c:pt idx="274">
                  <c:v>45390</c:v>
                </c:pt>
                <c:pt idx="275">
                  <c:v>45391</c:v>
                </c:pt>
                <c:pt idx="276">
                  <c:v>45392</c:v>
                </c:pt>
                <c:pt idx="277">
                  <c:v>45393</c:v>
                </c:pt>
                <c:pt idx="278">
                  <c:v>45394</c:v>
                </c:pt>
                <c:pt idx="279">
                  <c:v>45397</c:v>
                </c:pt>
                <c:pt idx="280">
                  <c:v>45398</c:v>
                </c:pt>
                <c:pt idx="281">
                  <c:v>45399</c:v>
                </c:pt>
                <c:pt idx="282">
                  <c:v>45400</c:v>
                </c:pt>
                <c:pt idx="283">
                  <c:v>45401</c:v>
                </c:pt>
                <c:pt idx="284">
                  <c:v>45404</c:v>
                </c:pt>
                <c:pt idx="285">
                  <c:v>45405</c:v>
                </c:pt>
                <c:pt idx="286">
                  <c:v>45406</c:v>
                </c:pt>
                <c:pt idx="287">
                  <c:v>45407</c:v>
                </c:pt>
                <c:pt idx="288">
                  <c:v>45408</c:v>
                </c:pt>
                <c:pt idx="289">
                  <c:v>45411</c:v>
                </c:pt>
                <c:pt idx="290">
                  <c:v>45412</c:v>
                </c:pt>
                <c:pt idx="291">
                  <c:v>45413</c:v>
                </c:pt>
                <c:pt idx="292">
                  <c:v>45414</c:v>
                </c:pt>
                <c:pt idx="293">
                  <c:v>45415</c:v>
                </c:pt>
                <c:pt idx="294">
                  <c:v>45418</c:v>
                </c:pt>
                <c:pt idx="295">
                  <c:v>45419</c:v>
                </c:pt>
                <c:pt idx="296">
                  <c:v>45420</c:v>
                </c:pt>
                <c:pt idx="297">
                  <c:v>45421</c:v>
                </c:pt>
                <c:pt idx="298">
                  <c:v>45422</c:v>
                </c:pt>
                <c:pt idx="299">
                  <c:v>45425</c:v>
                </c:pt>
                <c:pt idx="300">
                  <c:v>45426</c:v>
                </c:pt>
                <c:pt idx="301">
                  <c:v>45427</c:v>
                </c:pt>
                <c:pt idx="302">
                  <c:v>45428</c:v>
                </c:pt>
                <c:pt idx="303">
                  <c:v>45429</c:v>
                </c:pt>
                <c:pt idx="304">
                  <c:v>45432</c:v>
                </c:pt>
                <c:pt idx="305">
                  <c:v>45433</c:v>
                </c:pt>
                <c:pt idx="306">
                  <c:v>45434</c:v>
                </c:pt>
                <c:pt idx="307">
                  <c:v>45435</c:v>
                </c:pt>
                <c:pt idx="308">
                  <c:v>45436</c:v>
                </c:pt>
                <c:pt idx="309">
                  <c:v>45440</c:v>
                </c:pt>
                <c:pt idx="310">
                  <c:v>45441</c:v>
                </c:pt>
                <c:pt idx="311">
                  <c:v>45442</c:v>
                </c:pt>
                <c:pt idx="312">
                  <c:v>45443</c:v>
                </c:pt>
                <c:pt idx="313">
                  <c:v>45446</c:v>
                </c:pt>
                <c:pt idx="314">
                  <c:v>45447</c:v>
                </c:pt>
                <c:pt idx="315">
                  <c:v>45448</c:v>
                </c:pt>
                <c:pt idx="316">
                  <c:v>45449</c:v>
                </c:pt>
                <c:pt idx="317">
                  <c:v>45450</c:v>
                </c:pt>
                <c:pt idx="318">
                  <c:v>45453</c:v>
                </c:pt>
                <c:pt idx="319">
                  <c:v>45454</c:v>
                </c:pt>
                <c:pt idx="320">
                  <c:v>45455</c:v>
                </c:pt>
                <c:pt idx="321">
                  <c:v>45456</c:v>
                </c:pt>
                <c:pt idx="322">
                  <c:v>45457</c:v>
                </c:pt>
                <c:pt idx="323">
                  <c:v>45460</c:v>
                </c:pt>
                <c:pt idx="324">
                  <c:v>45461</c:v>
                </c:pt>
                <c:pt idx="325">
                  <c:v>45463</c:v>
                </c:pt>
                <c:pt idx="326">
                  <c:v>45464</c:v>
                </c:pt>
                <c:pt idx="327">
                  <c:v>45467</c:v>
                </c:pt>
                <c:pt idx="328">
                  <c:v>45468</c:v>
                </c:pt>
                <c:pt idx="329">
                  <c:v>45469</c:v>
                </c:pt>
                <c:pt idx="330">
                  <c:v>45470</c:v>
                </c:pt>
                <c:pt idx="331">
                  <c:v>45471</c:v>
                </c:pt>
                <c:pt idx="332">
                  <c:v>45474</c:v>
                </c:pt>
                <c:pt idx="333">
                  <c:v>45475</c:v>
                </c:pt>
                <c:pt idx="334">
                  <c:v>45476</c:v>
                </c:pt>
                <c:pt idx="335">
                  <c:v>45478</c:v>
                </c:pt>
                <c:pt idx="336">
                  <c:v>45481</c:v>
                </c:pt>
                <c:pt idx="337">
                  <c:v>45482</c:v>
                </c:pt>
                <c:pt idx="338">
                  <c:v>45483</c:v>
                </c:pt>
                <c:pt idx="339">
                  <c:v>45484</c:v>
                </c:pt>
                <c:pt idx="340">
                  <c:v>45485</c:v>
                </c:pt>
                <c:pt idx="341">
                  <c:v>45488</c:v>
                </c:pt>
                <c:pt idx="342">
                  <c:v>45489</c:v>
                </c:pt>
                <c:pt idx="343">
                  <c:v>45490</c:v>
                </c:pt>
                <c:pt idx="344">
                  <c:v>45491</c:v>
                </c:pt>
                <c:pt idx="345">
                  <c:v>45492</c:v>
                </c:pt>
                <c:pt idx="346">
                  <c:v>45495</c:v>
                </c:pt>
                <c:pt idx="347">
                  <c:v>45496</c:v>
                </c:pt>
                <c:pt idx="348">
                  <c:v>45497</c:v>
                </c:pt>
                <c:pt idx="349">
                  <c:v>45498</c:v>
                </c:pt>
                <c:pt idx="350">
                  <c:v>45499</c:v>
                </c:pt>
                <c:pt idx="351">
                  <c:v>45502</c:v>
                </c:pt>
                <c:pt idx="352">
                  <c:v>45503</c:v>
                </c:pt>
                <c:pt idx="353">
                  <c:v>45504</c:v>
                </c:pt>
                <c:pt idx="354">
                  <c:v>45505</c:v>
                </c:pt>
                <c:pt idx="355">
                  <c:v>45506</c:v>
                </c:pt>
                <c:pt idx="356">
                  <c:v>45509</c:v>
                </c:pt>
                <c:pt idx="357">
                  <c:v>45510</c:v>
                </c:pt>
                <c:pt idx="358">
                  <c:v>45511</c:v>
                </c:pt>
                <c:pt idx="359">
                  <c:v>45512</c:v>
                </c:pt>
                <c:pt idx="360">
                  <c:v>45513</c:v>
                </c:pt>
                <c:pt idx="361">
                  <c:v>45516</c:v>
                </c:pt>
                <c:pt idx="362">
                  <c:v>45517</c:v>
                </c:pt>
                <c:pt idx="363">
                  <c:v>45518</c:v>
                </c:pt>
                <c:pt idx="364">
                  <c:v>45519</c:v>
                </c:pt>
                <c:pt idx="365">
                  <c:v>45520</c:v>
                </c:pt>
                <c:pt idx="366">
                  <c:v>45523</c:v>
                </c:pt>
                <c:pt idx="367">
                  <c:v>45524</c:v>
                </c:pt>
                <c:pt idx="368">
                  <c:v>45525</c:v>
                </c:pt>
                <c:pt idx="369">
                  <c:v>45526</c:v>
                </c:pt>
                <c:pt idx="370">
                  <c:v>45527</c:v>
                </c:pt>
                <c:pt idx="371">
                  <c:v>45530</c:v>
                </c:pt>
                <c:pt idx="372">
                  <c:v>45531</c:v>
                </c:pt>
                <c:pt idx="373">
                  <c:v>45532</c:v>
                </c:pt>
                <c:pt idx="374">
                  <c:v>45533</c:v>
                </c:pt>
                <c:pt idx="375">
                  <c:v>45534</c:v>
                </c:pt>
                <c:pt idx="376">
                  <c:v>45538</c:v>
                </c:pt>
                <c:pt idx="377">
                  <c:v>45539</c:v>
                </c:pt>
                <c:pt idx="378">
                  <c:v>45540</c:v>
                </c:pt>
                <c:pt idx="379">
                  <c:v>45541</c:v>
                </c:pt>
                <c:pt idx="380">
                  <c:v>45544</c:v>
                </c:pt>
                <c:pt idx="381">
                  <c:v>45545</c:v>
                </c:pt>
                <c:pt idx="382">
                  <c:v>45546</c:v>
                </c:pt>
                <c:pt idx="383">
                  <c:v>45547</c:v>
                </c:pt>
                <c:pt idx="384">
                  <c:v>45548</c:v>
                </c:pt>
                <c:pt idx="385">
                  <c:v>45551</c:v>
                </c:pt>
                <c:pt idx="386">
                  <c:v>45552</c:v>
                </c:pt>
                <c:pt idx="387">
                  <c:v>45553</c:v>
                </c:pt>
                <c:pt idx="388">
                  <c:v>45554</c:v>
                </c:pt>
                <c:pt idx="389">
                  <c:v>45555</c:v>
                </c:pt>
                <c:pt idx="390">
                  <c:v>45558</c:v>
                </c:pt>
                <c:pt idx="391">
                  <c:v>45559</c:v>
                </c:pt>
                <c:pt idx="392">
                  <c:v>45560</c:v>
                </c:pt>
                <c:pt idx="393">
                  <c:v>45561</c:v>
                </c:pt>
                <c:pt idx="394">
                  <c:v>45562</c:v>
                </c:pt>
                <c:pt idx="395">
                  <c:v>45565</c:v>
                </c:pt>
                <c:pt idx="396">
                  <c:v>45566</c:v>
                </c:pt>
                <c:pt idx="397">
                  <c:v>45567</c:v>
                </c:pt>
                <c:pt idx="398">
                  <c:v>45568</c:v>
                </c:pt>
                <c:pt idx="399">
                  <c:v>45569</c:v>
                </c:pt>
                <c:pt idx="400">
                  <c:v>45572</c:v>
                </c:pt>
                <c:pt idx="401">
                  <c:v>45573</c:v>
                </c:pt>
                <c:pt idx="402">
                  <c:v>45574</c:v>
                </c:pt>
                <c:pt idx="403">
                  <c:v>45575</c:v>
                </c:pt>
                <c:pt idx="404">
                  <c:v>45576</c:v>
                </c:pt>
                <c:pt idx="405">
                  <c:v>45579</c:v>
                </c:pt>
                <c:pt idx="406">
                  <c:v>45580</c:v>
                </c:pt>
                <c:pt idx="407">
                  <c:v>45581</c:v>
                </c:pt>
                <c:pt idx="408">
                  <c:v>45582</c:v>
                </c:pt>
                <c:pt idx="409">
                  <c:v>45583</c:v>
                </c:pt>
                <c:pt idx="410">
                  <c:v>45586</c:v>
                </c:pt>
                <c:pt idx="411">
                  <c:v>45587</c:v>
                </c:pt>
                <c:pt idx="412">
                  <c:v>45588</c:v>
                </c:pt>
                <c:pt idx="413">
                  <c:v>45589</c:v>
                </c:pt>
                <c:pt idx="414">
                  <c:v>45590</c:v>
                </c:pt>
                <c:pt idx="415">
                  <c:v>45593</c:v>
                </c:pt>
                <c:pt idx="416">
                  <c:v>45594</c:v>
                </c:pt>
                <c:pt idx="417">
                  <c:v>45595</c:v>
                </c:pt>
                <c:pt idx="418">
                  <c:v>45596</c:v>
                </c:pt>
                <c:pt idx="419">
                  <c:v>45597</c:v>
                </c:pt>
                <c:pt idx="420">
                  <c:v>45600</c:v>
                </c:pt>
                <c:pt idx="421">
                  <c:v>45601</c:v>
                </c:pt>
                <c:pt idx="422">
                  <c:v>45602</c:v>
                </c:pt>
                <c:pt idx="423">
                  <c:v>45603</c:v>
                </c:pt>
                <c:pt idx="424">
                  <c:v>45604</c:v>
                </c:pt>
                <c:pt idx="425">
                  <c:v>45607</c:v>
                </c:pt>
                <c:pt idx="426">
                  <c:v>45608</c:v>
                </c:pt>
                <c:pt idx="427">
                  <c:v>45609</c:v>
                </c:pt>
                <c:pt idx="428">
                  <c:v>45610</c:v>
                </c:pt>
                <c:pt idx="429">
                  <c:v>45611</c:v>
                </c:pt>
                <c:pt idx="430">
                  <c:v>45614</c:v>
                </c:pt>
                <c:pt idx="431">
                  <c:v>45615</c:v>
                </c:pt>
                <c:pt idx="432">
                  <c:v>45616</c:v>
                </c:pt>
                <c:pt idx="433">
                  <c:v>45617</c:v>
                </c:pt>
                <c:pt idx="434">
                  <c:v>45618</c:v>
                </c:pt>
                <c:pt idx="435">
                  <c:v>45621</c:v>
                </c:pt>
                <c:pt idx="436">
                  <c:v>45622</c:v>
                </c:pt>
                <c:pt idx="437">
                  <c:v>45623</c:v>
                </c:pt>
                <c:pt idx="438">
                  <c:v>45625</c:v>
                </c:pt>
                <c:pt idx="439">
                  <c:v>45628</c:v>
                </c:pt>
                <c:pt idx="440">
                  <c:v>45629</c:v>
                </c:pt>
                <c:pt idx="441">
                  <c:v>45630</c:v>
                </c:pt>
                <c:pt idx="442">
                  <c:v>45631</c:v>
                </c:pt>
                <c:pt idx="443">
                  <c:v>45632</c:v>
                </c:pt>
                <c:pt idx="444">
                  <c:v>45635</c:v>
                </c:pt>
                <c:pt idx="445">
                  <c:v>45636</c:v>
                </c:pt>
                <c:pt idx="446">
                  <c:v>45637</c:v>
                </c:pt>
                <c:pt idx="447">
                  <c:v>45638</c:v>
                </c:pt>
                <c:pt idx="448">
                  <c:v>45639</c:v>
                </c:pt>
                <c:pt idx="449">
                  <c:v>45642</c:v>
                </c:pt>
                <c:pt idx="450">
                  <c:v>45643</c:v>
                </c:pt>
                <c:pt idx="451">
                  <c:v>45644</c:v>
                </c:pt>
                <c:pt idx="452">
                  <c:v>45645</c:v>
                </c:pt>
                <c:pt idx="453">
                  <c:v>45646</c:v>
                </c:pt>
                <c:pt idx="454">
                  <c:v>45649</c:v>
                </c:pt>
                <c:pt idx="455">
                  <c:v>45650</c:v>
                </c:pt>
                <c:pt idx="456">
                  <c:v>45652</c:v>
                </c:pt>
                <c:pt idx="457">
                  <c:v>45653</c:v>
                </c:pt>
                <c:pt idx="458">
                  <c:v>45656</c:v>
                </c:pt>
                <c:pt idx="459">
                  <c:v>45657</c:v>
                </c:pt>
                <c:pt idx="460">
                  <c:v>45659</c:v>
                </c:pt>
                <c:pt idx="461">
                  <c:v>45660</c:v>
                </c:pt>
                <c:pt idx="462">
                  <c:v>45663</c:v>
                </c:pt>
                <c:pt idx="463">
                  <c:v>45664</c:v>
                </c:pt>
                <c:pt idx="464">
                  <c:v>45665</c:v>
                </c:pt>
                <c:pt idx="465">
                  <c:v>45667</c:v>
                </c:pt>
                <c:pt idx="466">
                  <c:v>45670</c:v>
                </c:pt>
                <c:pt idx="467">
                  <c:v>45671</c:v>
                </c:pt>
                <c:pt idx="468">
                  <c:v>45672</c:v>
                </c:pt>
                <c:pt idx="469">
                  <c:v>45673</c:v>
                </c:pt>
                <c:pt idx="470">
                  <c:v>45674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45684</c:v>
                </c:pt>
                <c:pt idx="476">
                  <c:v>45685</c:v>
                </c:pt>
                <c:pt idx="477">
                  <c:v>45686</c:v>
                </c:pt>
                <c:pt idx="478">
                  <c:v>45687</c:v>
                </c:pt>
                <c:pt idx="479">
                  <c:v>45688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45706</c:v>
                </c:pt>
                <c:pt idx="491">
                  <c:v>45707</c:v>
                </c:pt>
                <c:pt idx="492">
                  <c:v>45708</c:v>
                </c:pt>
                <c:pt idx="493">
                  <c:v>45709</c:v>
                </c:pt>
                <c:pt idx="494">
                  <c:v>45712</c:v>
                </c:pt>
                <c:pt idx="495">
                  <c:v>45713</c:v>
                </c:pt>
                <c:pt idx="496">
                  <c:v>45714</c:v>
                </c:pt>
                <c:pt idx="497">
                  <c:v>45715</c:v>
                </c:pt>
                <c:pt idx="498">
                  <c:v>45716</c:v>
                </c:pt>
                <c:pt idx="499">
                  <c:v>45719</c:v>
                </c:pt>
                <c:pt idx="500">
                  <c:v>45720</c:v>
                </c:pt>
                <c:pt idx="501">
                  <c:v>45721</c:v>
                </c:pt>
                <c:pt idx="502">
                  <c:v>45722</c:v>
                </c:pt>
                <c:pt idx="503">
                  <c:v>45723</c:v>
                </c:pt>
                <c:pt idx="504">
                  <c:v>45726</c:v>
                </c:pt>
                <c:pt idx="505">
                  <c:v>45727</c:v>
                </c:pt>
                <c:pt idx="506">
                  <c:v>45728</c:v>
                </c:pt>
                <c:pt idx="507">
                  <c:v>45729</c:v>
                </c:pt>
                <c:pt idx="508">
                  <c:v>45730</c:v>
                </c:pt>
                <c:pt idx="509">
                  <c:v>45733</c:v>
                </c:pt>
                <c:pt idx="510">
                  <c:v>45734</c:v>
                </c:pt>
                <c:pt idx="511">
                  <c:v>45735</c:v>
                </c:pt>
                <c:pt idx="512">
                  <c:v>45736</c:v>
                </c:pt>
                <c:pt idx="513">
                  <c:v>45737</c:v>
                </c:pt>
                <c:pt idx="514">
                  <c:v>45740</c:v>
                </c:pt>
                <c:pt idx="515">
                  <c:v>45741</c:v>
                </c:pt>
                <c:pt idx="516">
                  <c:v>45742</c:v>
                </c:pt>
                <c:pt idx="517">
                  <c:v>45743</c:v>
                </c:pt>
                <c:pt idx="518">
                  <c:v>45744</c:v>
                </c:pt>
                <c:pt idx="519">
                  <c:v>45747</c:v>
                </c:pt>
                <c:pt idx="520">
                  <c:v>45748</c:v>
                </c:pt>
                <c:pt idx="521">
                  <c:v>45749</c:v>
                </c:pt>
                <c:pt idx="522">
                  <c:v>45750</c:v>
                </c:pt>
                <c:pt idx="523">
                  <c:v>45751</c:v>
                </c:pt>
                <c:pt idx="524">
                  <c:v>45754</c:v>
                </c:pt>
                <c:pt idx="525">
                  <c:v>45755</c:v>
                </c:pt>
                <c:pt idx="526">
                  <c:v>45756</c:v>
                </c:pt>
                <c:pt idx="527">
                  <c:v>45757</c:v>
                </c:pt>
                <c:pt idx="528">
                  <c:v>45758</c:v>
                </c:pt>
                <c:pt idx="529">
                  <c:v>45761</c:v>
                </c:pt>
                <c:pt idx="530">
                  <c:v>45762</c:v>
                </c:pt>
                <c:pt idx="531">
                  <c:v>45763</c:v>
                </c:pt>
                <c:pt idx="532">
                  <c:v>45764</c:v>
                </c:pt>
                <c:pt idx="533">
                  <c:v>45768</c:v>
                </c:pt>
                <c:pt idx="534">
                  <c:v>45769</c:v>
                </c:pt>
                <c:pt idx="535">
                  <c:v>45770</c:v>
                </c:pt>
                <c:pt idx="536">
                  <c:v>45771</c:v>
                </c:pt>
                <c:pt idx="537">
                  <c:v>45772</c:v>
                </c:pt>
                <c:pt idx="538">
                  <c:v>45775</c:v>
                </c:pt>
                <c:pt idx="539">
                  <c:v>45776</c:v>
                </c:pt>
                <c:pt idx="540">
                  <c:v>45777</c:v>
                </c:pt>
                <c:pt idx="541">
                  <c:v>45778</c:v>
                </c:pt>
                <c:pt idx="542">
                  <c:v>45779</c:v>
                </c:pt>
                <c:pt idx="543">
                  <c:v>45782</c:v>
                </c:pt>
                <c:pt idx="544">
                  <c:v>45783</c:v>
                </c:pt>
                <c:pt idx="545">
                  <c:v>45784</c:v>
                </c:pt>
                <c:pt idx="546">
                  <c:v>45785</c:v>
                </c:pt>
                <c:pt idx="547">
                  <c:v>45786</c:v>
                </c:pt>
                <c:pt idx="548">
                  <c:v>45789</c:v>
                </c:pt>
                <c:pt idx="549">
                  <c:v>45790</c:v>
                </c:pt>
                <c:pt idx="550">
                  <c:v>45791</c:v>
                </c:pt>
                <c:pt idx="551">
                  <c:v>45792</c:v>
                </c:pt>
                <c:pt idx="552">
                  <c:v>45793</c:v>
                </c:pt>
                <c:pt idx="553">
                  <c:v>45796</c:v>
                </c:pt>
                <c:pt idx="554">
                  <c:v>45797</c:v>
                </c:pt>
                <c:pt idx="555">
                  <c:v>45798</c:v>
                </c:pt>
                <c:pt idx="556">
                  <c:v>45799</c:v>
                </c:pt>
                <c:pt idx="557">
                  <c:v>45800</c:v>
                </c:pt>
                <c:pt idx="558">
                  <c:v>45804</c:v>
                </c:pt>
                <c:pt idx="559">
                  <c:v>45805</c:v>
                </c:pt>
                <c:pt idx="560">
                  <c:v>45806</c:v>
                </c:pt>
                <c:pt idx="561">
                  <c:v>45807</c:v>
                </c:pt>
                <c:pt idx="562">
                  <c:v>45810</c:v>
                </c:pt>
                <c:pt idx="563">
                  <c:v>45811</c:v>
                </c:pt>
                <c:pt idx="564">
                  <c:v>45812</c:v>
                </c:pt>
                <c:pt idx="565">
                  <c:v>45813</c:v>
                </c:pt>
                <c:pt idx="566">
                  <c:v>45814</c:v>
                </c:pt>
                <c:pt idx="567">
                  <c:v>45817</c:v>
                </c:pt>
                <c:pt idx="568">
                  <c:v>45818</c:v>
                </c:pt>
                <c:pt idx="569">
                  <c:v>45819</c:v>
                </c:pt>
                <c:pt idx="570">
                  <c:v>45820</c:v>
                </c:pt>
                <c:pt idx="571">
                  <c:v>45821</c:v>
                </c:pt>
                <c:pt idx="572">
                  <c:v>45824</c:v>
                </c:pt>
                <c:pt idx="573">
                  <c:v>45825</c:v>
                </c:pt>
                <c:pt idx="574">
                  <c:v>45826</c:v>
                </c:pt>
                <c:pt idx="575">
                  <c:v>45828</c:v>
                </c:pt>
                <c:pt idx="576">
                  <c:v>45831</c:v>
                </c:pt>
                <c:pt idx="577">
                  <c:v>45832</c:v>
                </c:pt>
                <c:pt idx="578">
                  <c:v>45833</c:v>
                </c:pt>
                <c:pt idx="579">
                  <c:v>45834</c:v>
                </c:pt>
                <c:pt idx="580">
                  <c:v>45835</c:v>
                </c:pt>
                <c:pt idx="581">
                  <c:v>45838</c:v>
                </c:pt>
                <c:pt idx="582">
                  <c:v>45839</c:v>
                </c:pt>
                <c:pt idx="583">
                  <c:v>45840</c:v>
                </c:pt>
                <c:pt idx="584">
                  <c:v>45841</c:v>
                </c:pt>
                <c:pt idx="585">
                  <c:v>45845</c:v>
                </c:pt>
                <c:pt idx="586">
                  <c:v>45846</c:v>
                </c:pt>
                <c:pt idx="587">
                  <c:v>45847</c:v>
                </c:pt>
                <c:pt idx="588">
                  <c:v>45848</c:v>
                </c:pt>
                <c:pt idx="589">
                  <c:v>45849</c:v>
                </c:pt>
                <c:pt idx="590">
                  <c:v>45852</c:v>
                </c:pt>
                <c:pt idx="591">
                  <c:v>45853</c:v>
                </c:pt>
                <c:pt idx="592">
                  <c:v>45854</c:v>
                </c:pt>
                <c:pt idx="593">
                  <c:v>45855</c:v>
                </c:pt>
                <c:pt idx="594">
                  <c:v>45856</c:v>
                </c:pt>
                <c:pt idx="595">
                  <c:v>45859</c:v>
                </c:pt>
                <c:pt idx="596">
                  <c:v>45860</c:v>
                </c:pt>
                <c:pt idx="597">
                  <c:v>45861</c:v>
                </c:pt>
                <c:pt idx="598">
                  <c:v>45862</c:v>
                </c:pt>
                <c:pt idx="599">
                  <c:v>45863</c:v>
                </c:pt>
                <c:pt idx="600">
                  <c:v>45866</c:v>
                </c:pt>
                <c:pt idx="601">
                  <c:v>45867</c:v>
                </c:pt>
                <c:pt idx="602">
                  <c:v>45868</c:v>
                </c:pt>
                <c:pt idx="603">
                  <c:v>45869</c:v>
                </c:pt>
                <c:pt idx="604">
                  <c:v>45870</c:v>
                </c:pt>
                <c:pt idx="605">
                  <c:v>45873</c:v>
                </c:pt>
                <c:pt idx="606">
                  <c:v>45874</c:v>
                </c:pt>
                <c:pt idx="607">
                  <c:v>45875</c:v>
                </c:pt>
                <c:pt idx="608">
                  <c:v>45876</c:v>
                </c:pt>
                <c:pt idx="609">
                  <c:v>45877</c:v>
                </c:pt>
                <c:pt idx="610">
                  <c:v>45880</c:v>
                </c:pt>
                <c:pt idx="611">
                  <c:v>45881</c:v>
                </c:pt>
                <c:pt idx="612">
                  <c:v>45882</c:v>
                </c:pt>
                <c:pt idx="613">
                  <c:v>45883</c:v>
                </c:pt>
                <c:pt idx="614">
                  <c:v>45884</c:v>
                </c:pt>
                <c:pt idx="615">
                  <c:v>45887</c:v>
                </c:pt>
                <c:pt idx="616">
                  <c:v>45888</c:v>
                </c:pt>
                <c:pt idx="617">
                  <c:v>45889</c:v>
                </c:pt>
                <c:pt idx="618">
                  <c:v>45890</c:v>
                </c:pt>
                <c:pt idx="619">
                  <c:v>45891</c:v>
                </c:pt>
                <c:pt idx="620">
                  <c:v>45894</c:v>
                </c:pt>
                <c:pt idx="621">
                  <c:v>45895</c:v>
                </c:pt>
                <c:pt idx="622">
                  <c:v>45896</c:v>
                </c:pt>
                <c:pt idx="623">
                  <c:v>45897</c:v>
                </c:pt>
                <c:pt idx="624">
                  <c:v>45898</c:v>
                </c:pt>
                <c:pt idx="625">
                  <c:v>45902</c:v>
                </c:pt>
                <c:pt idx="626">
                  <c:v>45903</c:v>
                </c:pt>
                <c:pt idx="627">
                  <c:v>45904</c:v>
                </c:pt>
                <c:pt idx="628">
                  <c:v>45905</c:v>
                </c:pt>
                <c:pt idx="629">
                  <c:v>45908</c:v>
                </c:pt>
                <c:pt idx="630">
                  <c:v>45909</c:v>
                </c:pt>
                <c:pt idx="631">
                  <c:v>45910</c:v>
                </c:pt>
                <c:pt idx="632">
                  <c:v>45911</c:v>
                </c:pt>
                <c:pt idx="633">
                  <c:v>45912</c:v>
                </c:pt>
                <c:pt idx="634">
                  <c:v>45915</c:v>
                </c:pt>
                <c:pt idx="635">
                  <c:v>45916</c:v>
                </c:pt>
                <c:pt idx="636">
                  <c:v>45917</c:v>
                </c:pt>
                <c:pt idx="637">
                  <c:v>45918</c:v>
                </c:pt>
                <c:pt idx="638">
                  <c:v>45919</c:v>
                </c:pt>
                <c:pt idx="639">
                  <c:v>45922</c:v>
                </c:pt>
                <c:pt idx="640">
                  <c:v>45923</c:v>
                </c:pt>
                <c:pt idx="641">
                  <c:v>45924</c:v>
                </c:pt>
                <c:pt idx="642">
                  <c:v>45925</c:v>
                </c:pt>
                <c:pt idx="643">
                  <c:v>45926</c:v>
                </c:pt>
                <c:pt idx="644">
                  <c:v>45929</c:v>
                </c:pt>
                <c:pt idx="645">
                  <c:v>45930</c:v>
                </c:pt>
                <c:pt idx="646">
                  <c:v>45931</c:v>
                </c:pt>
                <c:pt idx="647">
                  <c:v>45932</c:v>
                </c:pt>
                <c:pt idx="648">
                  <c:v>45933</c:v>
                </c:pt>
                <c:pt idx="649">
                  <c:v>45936</c:v>
                </c:pt>
                <c:pt idx="650">
                  <c:v>45937</c:v>
                </c:pt>
                <c:pt idx="651">
                  <c:v>45938</c:v>
                </c:pt>
                <c:pt idx="652">
                  <c:v>45939</c:v>
                </c:pt>
                <c:pt idx="653">
                  <c:v>45940</c:v>
                </c:pt>
                <c:pt idx="654">
                  <c:v>45943</c:v>
                </c:pt>
                <c:pt idx="655">
                  <c:v>45944</c:v>
                </c:pt>
                <c:pt idx="656">
                  <c:v>45945</c:v>
                </c:pt>
                <c:pt idx="657">
                  <c:v>45946</c:v>
                </c:pt>
                <c:pt idx="658">
                  <c:v>45947</c:v>
                </c:pt>
                <c:pt idx="659">
                  <c:v>45950</c:v>
                </c:pt>
                <c:pt idx="660">
                  <c:v>45951</c:v>
                </c:pt>
                <c:pt idx="661">
                  <c:v>45952</c:v>
                </c:pt>
                <c:pt idx="662">
                  <c:v>45953</c:v>
                </c:pt>
                <c:pt idx="663">
                  <c:v>45954</c:v>
                </c:pt>
                <c:pt idx="664">
                  <c:v>45957</c:v>
                </c:pt>
                <c:pt idx="665">
                  <c:v>45958</c:v>
                </c:pt>
                <c:pt idx="666">
                  <c:v>45959</c:v>
                </c:pt>
                <c:pt idx="667">
                  <c:v>45960</c:v>
                </c:pt>
                <c:pt idx="668">
                  <c:v>45961</c:v>
                </c:pt>
                <c:pt idx="669">
                  <c:v>45964</c:v>
                </c:pt>
                <c:pt idx="670">
                  <c:v>45965</c:v>
                </c:pt>
                <c:pt idx="671">
                  <c:v>45966</c:v>
                </c:pt>
                <c:pt idx="672">
                  <c:v>45967</c:v>
                </c:pt>
                <c:pt idx="673">
                  <c:v>45968</c:v>
                </c:pt>
                <c:pt idx="674">
                  <c:v>45971</c:v>
                </c:pt>
                <c:pt idx="675">
                  <c:v>45972</c:v>
                </c:pt>
                <c:pt idx="676">
                  <c:v>45973</c:v>
                </c:pt>
                <c:pt idx="677">
                  <c:v>45974</c:v>
                </c:pt>
                <c:pt idx="678">
                  <c:v>45975</c:v>
                </c:pt>
                <c:pt idx="679">
                  <c:v>45978</c:v>
                </c:pt>
                <c:pt idx="680">
                  <c:v>45979</c:v>
                </c:pt>
                <c:pt idx="681">
                  <c:v>45980</c:v>
                </c:pt>
                <c:pt idx="682">
                  <c:v>45981</c:v>
                </c:pt>
                <c:pt idx="683">
                  <c:v>45982</c:v>
                </c:pt>
                <c:pt idx="684">
                  <c:v>45985</c:v>
                </c:pt>
                <c:pt idx="685">
                  <c:v>45986</c:v>
                </c:pt>
                <c:pt idx="686">
                  <c:v>45987</c:v>
                </c:pt>
                <c:pt idx="687">
                  <c:v>45989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45999</c:v>
                </c:pt>
                <c:pt idx="694">
                  <c:v>46000</c:v>
                </c:pt>
                <c:pt idx="695">
                  <c:v>46001</c:v>
                </c:pt>
                <c:pt idx="696">
                  <c:v>46002</c:v>
                </c:pt>
                <c:pt idx="697">
                  <c:v>46003</c:v>
                </c:pt>
                <c:pt idx="698">
                  <c:v>46006</c:v>
                </c:pt>
                <c:pt idx="699">
                  <c:v>46007</c:v>
                </c:pt>
                <c:pt idx="700">
                  <c:v>46008</c:v>
                </c:pt>
                <c:pt idx="701">
                  <c:v>46009</c:v>
                </c:pt>
                <c:pt idx="702">
                  <c:v>46010</c:v>
                </c:pt>
                <c:pt idx="703">
                  <c:v>46013</c:v>
                </c:pt>
                <c:pt idx="704">
                  <c:v>46014</c:v>
                </c:pt>
                <c:pt idx="705">
                  <c:v>46015</c:v>
                </c:pt>
                <c:pt idx="706">
                  <c:v>46017</c:v>
                </c:pt>
                <c:pt idx="707">
                  <c:v>46020</c:v>
                </c:pt>
                <c:pt idx="708">
                  <c:v>46021</c:v>
                </c:pt>
                <c:pt idx="709">
                  <c:v>46022</c:v>
                </c:pt>
                <c:pt idx="710">
                  <c:v>46024</c:v>
                </c:pt>
                <c:pt idx="711">
                  <c:v>46027</c:v>
                </c:pt>
                <c:pt idx="712">
                  <c:v>46028</c:v>
                </c:pt>
                <c:pt idx="713">
                  <c:v>46029</c:v>
                </c:pt>
                <c:pt idx="714">
                  <c:v>46030</c:v>
                </c:pt>
                <c:pt idx="715">
                  <c:v>46031</c:v>
                </c:pt>
                <c:pt idx="716">
                  <c:v>46034</c:v>
                </c:pt>
                <c:pt idx="717">
                  <c:v>46035</c:v>
                </c:pt>
                <c:pt idx="718">
                  <c:v>46036</c:v>
                </c:pt>
                <c:pt idx="719">
                  <c:v>46037</c:v>
                </c:pt>
                <c:pt idx="720">
                  <c:v>46038</c:v>
                </c:pt>
                <c:pt idx="721">
                  <c:v>46042</c:v>
                </c:pt>
                <c:pt idx="722">
                  <c:v>46043</c:v>
                </c:pt>
                <c:pt idx="723">
                  <c:v>46044</c:v>
                </c:pt>
                <c:pt idx="724">
                  <c:v>46045</c:v>
                </c:pt>
                <c:pt idx="725">
                  <c:v>46048</c:v>
                </c:pt>
                <c:pt idx="726">
                  <c:v>46049</c:v>
                </c:pt>
                <c:pt idx="727">
                  <c:v>46050</c:v>
                </c:pt>
                <c:pt idx="728">
                  <c:v>46051</c:v>
                </c:pt>
                <c:pt idx="729">
                  <c:v>46052</c:v>
                </c:pt>
                <c:pt idx="730">
                  <c:v>46055</c:v>
                </c:pt>
                <c:pt idx="731">
                  <c:v>46056</c:v>
                </c:pt>
                <c:pt idx="732">
                  <c:v>46057</c:v>
                </c:pt>
                <c:pt idx="733">
                  <c:v>46058</c:v>
                </c:pt>
                <c:pt idx="734">
                  <c:v>46059</c:v>
                </c:pt>
                <c:pt idx="735">
                  <c:v>46062</c:v>
                </c:pt>
                <c:pt idx="736">
                  <c:v>46063</c:v>
                </c:pt>
                <c:pt idx="737">
                  <c:v>46064</c:v>
                </c:pt>
                <c:pt idx="738">
                  <c:v>46065</c:v>
                </c:pt>
                <c:pt idx="739">
                  <c:v>46066</c:v>
                </c:pt>
                <c:pt idx="740">
                  <c:v>46070</c:v>
                </c:pt>
                <c:pt idx="741">
                  <c:v>46071</c:v>
                </c:pt>
                <c:pt idx="742">
                  <c:v>46072</c:v>
                </c:pt>
                <c:pt idx="743">
                  <c:v>46073</c:v>
                </c:pt>
                <c:pt idx="744">
                  <c:v>46076</c:v>
                </c:pt>
                <c:pt idx="745">
                  <c:v>46077</c:v>
                </c:pt>
                <c:pt idx="746">
                  <c:v>46078</c:v>
                </c:pt>
                <c:pt idx="747">
                  <c:v>46079</c:v>
                </c:pt>
                <c:pt idx="748">
                  <c:v>46080</c:v>
                </c:pt>
                <c:pt idx="749">
                  <c:v>46083</c:v>
                </c:pt>
                <c:pt idx="750">
                  <c:v>46084</c:v>
                </c:pt>
                <c:pt idx="751">
                  <c:v>46085</c:v>
                </c:pt>
              </c:numCache>
            </c:numRef>
          </c:cat>
          <c:val>
            <c:numRef>
              <c:f>'Share Price Analysis'!$J$36:$J$787</c:f>
              <c:numCache>
                <c:formatCode>0.00%</c:formatCode>
                <c:ptCount val="752"/>
                <c:pt idx="0">
                  <c:v>0</c:v>
                </c:pt>
                <c:pt idx="1">
                  <c:v>-1.9704433497536922E-2</c:v>
                </c:pt>
                <c:pt idx="2">
                  <c:v>-1.48984741078938E-2</c:v>
                </c:pt>
                <c:pt idx="3">
                  <c:v>-4.0249909888261493E-2</c:v>
                </c:pt>
                <c:pt idx="4">
                  <c:v>-6.0675237294244844E-2</c:v>
                </c:pt>
                <c:pt idx="5">
                  <c:v>-7.0287156073531309E-2</c:v>
                </c:pt>
                <c:pt idx="6">
                  <c:v>-5.8392406584164447E-2</c:v>
                </c:pt>
                <c:pt idx="7">
                  <c:v>-8.8910248708398587E-2</c:v>
                </c:pt>
                <c:pt idx="8">
                  <c:v>-7.8457287035924805E-2</c:v>
                </c:pt>
                <c:pt idx="9">
                  <c:v>-9.2755016220113173E-2</c:v>
                </c:pt>
                <c:pt idx="10">
                  <c:v>-7.8096840081701591E-2</c:v>
                </c:pt>
                <c:pt idx="11">
                  <c:v>-6.692298450078138E-2</c:v>
                </c:pt>
                <c:pt idx="12">
                  <c:v>-8.3503544395050144E-2</c:v>
                </c:pt>
                <c:pt idx="13">
                  <c:v>-8.45848852577199E-2</c:v>
                </c:pt>
                <c:pt idx="14">
                  <c:v>-7.7135648203772833E-2</c:v>
                </c:pt>
                <c:pt idx="15">
                  <c:v>-7.0287156073531309E-2</c:v>
                </c:pt>
                <c:pt idx="16">
                  <c:v>-6.5841643638111402E-2</c:v>
                </c:pt>
                <c:pt idx="17">
                  <c:v>-5.2865553286074785E-2</c:v>
                </c:pt>
                <c:pt idx="18">
                  <c:v>-4.6377508110056365E-2</c:v>
                </c:pt>
                <c:pt idx="19">
                  <c:v>-3.0878289078457355E-2</c:v>
                </c:pt>
                <c:pt idx="20">
                  <c:v>-2.475069085666215E-2</c:v>
                </c:pt>
                <c:pt idx="21">
                  <c:v>-3.8808122071368412E-2</c:v>
                </c:pt>
                <c:pt idx="22">
                  <c:v>-4.0970803796707922E-2</c:v>
                </c:pt>
                <c:pt idx="23">
                  <c:v>-4.3253634506788319E-2</c:v>
                </c:pt>
                <c:pt idx="24">
                  <c:v>-3.8687973086627303E-2</c:v>
                </c:pt>
                <c:pt idx="25">
                  <c:v>-3.123873603268057E-2</c:v>
                </c:pt>
                <c:pt idx="26">
                  <c:v>-3.051784212423414E-2</c:v>
                </c:pt>
                <c:pt idx="27">
                  <c:v>-2.0545476390724682E-2</c:v>
                </c:pt>
                <c:pt idx="28">
                  <c:v>-2.76342664904482E-2</c:v>
                </c:pt>
                <c:pt idx="29">
                  <c:v>-2.1987264207617541E-2</c:v>
                </c:pt>
                <c:pt idx="30">
                  <c:v>-1.790219872642107E-2</c:v>
                </c:pt>
                <c:pt idx="31">
                  <c:v>-2.066562537546579E-2</c:v>
                </c:pt>
                <c:pt idx="32">
                  <c:v>-2.1746966238135546E-2</c:v>
                </c:pt>
                <c:pt idx="33">
                  <c:v>-3.0397693139493254E-2</c:v>
                </c:pt>
                <c:pt idx="34">
                  <c:v>-2.3789498978734058E-2</c:v>
                </c:pt>
                <c:pt idx="35">
                  <c:v>-4.493572029316395E-2</c:v>
                </c:pt>
                <c:pt idx="36">
                  <c:v>-5.622972485882527E-2</c:v>
                </c:pt>
                <c:pt idx="37">
                  <c:v>-4.337378349152976E-2</c:v>
                </c:pt>
                <c:pt idx="38">
                  <c:v>-3.2199927910609549E-2</c:v>
                </c:pt>
                <c:pt idx="39">
                  <c:v>-3.2680523849573762E-2</c:v>
                </c:pt>
                <c:pt idx="40">
                  <c:v>-4.2052144659377899E-2</c:v>
                </c:pt>
                <c:pt idx="41">
                  <c:v>-5.26252553165929E-2</c:v>
                </c:pt>
                <c:pt idx="42">
                  <c:v>-5.8752853538387773E-2</c:v>
                </c:pt>
                <c:pt idx="43">
                  <c:v>-4.2893187552565326E-2</c:v>
                </c:pt>
                <c:pt idx="44">
                  <c:v>-4.6017061155833261E-2</c:v>
                </c:pt>
                <c:pt idx="45">
                  <c:v>-5.4667788057190969E-2</c:v>
                </c:pt>
                <c:pt idx="46">
                  <c:v>-5.4067043133485648E-2</c:v>
                </c:pt>
                <c:pt idx="47">
                  <c:v>-6.3318514958548788E-2</c:v>
                </c:pt>
                <c:pt idx="48">
                  <c:v>-6.1636429172173601E-2</c:v>
                </c:pt>
                <c:pt idx="49">
                  <c:v>-5.3706596179262212E-2</c:v>
                </c:pt>
                <c:pt idx="50">
                  <c:v>-6.9325964195602663E-2</c:v>
                </c:pt>
                <c:pt idx="51">
                  <c:v>-6.3198365973807569E-2</c:v>
                </c:pt>
                <c:pt idx="52">
                  <c:v>-5.7671512675717906E-2</c:v>
                </c:pt>
                <c:pt idx="53">
                  <c:v>-5.5268532980896401E-2</c:v>
                </c:pt>
                <c:pt idx="54">
                  <c:v>-6.0194641355280631E-2</c:v>
                </c:pt>
                <c:pt idx="55">
                  <c:v>-7.4732668508951106E-2</c:v>
                </c:pt>
                <c:pt idx="56">
                  <c:v>-8.5305779166166107E-2</c:v>
                </c:pt>
                <c:pt idx="57">
                  <c:v>-8.8549801754175261E-2</c:v>
                </c:pt>
                <c:pt idx="58">
                  <c:v>-8.3984140334014357E-2</c:v>
                </c:pt>
                <c:pt idx="59">
                  <c:v>-8.8910248708398587E-2</c:v>
                </c:pt>
                <c:pt idx="60">
                  <c:v>-9.864231647242605E-2</c:v>
                </c:pt>
                <c:pt idx="61">
                  <c:v>-8.6627417998318079E-2</c:v>
                </c:pt>
                <c:pt idx="62">
                  <c:v>-5.5989426889343052E-2</c:v>
                </c:pt>
                <c:pt idx="63">
                  <c:v>-5.6710320797789371E-2</c:v>
                </c:pt>
                <c:pt idx="64">
                  <c:v>-5.0702871560735496E-2</c:v>
                </c:pt>
                <c:pt idx="65">
                  <c:v>-3.9408866995074066E-2</c:v>
                </c:pt>
                <c:pt idx="66">
                  <c:v>-4.2893187552565437E-2</c:v>
                </c:pt>
                <c:pt idx="67">
                  <c:v>-5.0823020545476605E-2</c:v>
                </c:pt>
                <c:pt idx="68">
                  <c:v>-4.6497657094797695E-2</c:v>
                </c:pt>
                <c:pt idx="69">
                  <c:v>-2.4390243902439157E-2</c:v>
                </c:pt>
                <c:pt idx="70">
                  <c:v>-2.847530938363585E-2</c:v>
                </c:pt>
                <c:pt idx="71">
                  <c:v>-2.0185029436501467E-2</c:v>
                </c:pt>
                <c:pt idx="72">
                  <c:v>-1.778204974167974E-2</c:v>
                </c:pt>
                <c:pt idx="73">
                  <c:v>-3.5804397452841585E-2</c:v>
                </c:pt>
                <c:pt idx="74">
                  <c:v>-3.268052384957354E-2</c:v>
                </c:pt>
                <c:pt idx="75">
                  <c:v>-3.4963354559654269E-2</c:v>
                </c:pt>
                <c:pt idx="76">
                  <c:v>-4.2773038567824218E-2</c:v>
                </c:pt>
                <c:pt idx="77">
                  <c:v>-3.2800672834314759E-2</c:v>
                </c:pt>
                <c:pt idx="78">
                  <c:v>-1.9103688573831712E-2</c:v>
                </c:pt>
                <c:pt idx="79">
                  <c:v>-2.5832031719332238E-2</c:v>
                </c:pt>
                <c:pt idx="80">
                  <c:v>-1.3576835275742272E-2</c:v>
                </c:pt>
                <c:pt idx="81">
                  <c:v>-4.3253634506791316E-3</c:v>
                </c:pt>
                <c:pt idx="82">
                  <c:v>-6.0074492370554289E-4</c:v>
                </c:pt>
                <c:pt idx="83">
                  <c:v>-2.5231286795626917E-2</c:v>
                </c:pt>
                <c:pt idx="84">
                  <c:v>-3.2320076895350547E-2</c:v>
                </c:pt>
                <c:pt idx="85">
                  <c:v>-2.3909647963475278E-2</c:v>
                </c:pt>
                <c:pt idx="86">
                  <c:v>-2.4149945932957384E-2</c:v>
                </c:pt>
                <c:pt idx="87">
                  <c:v>-1.453802715367114E-2</c:v>
                </c:pt>
                <c:pt idx="88">
                  <c:v>-1.5619368016345225E-3</c:v>
                </c:pt>
                <c:pt idx="89">
                  <c:v>6.2477472065356476E-3</c:v>
                </c:pt>
                <c:pt idx="90">
                  <c:v>3.6044695422288164E-4</c:v>
                </c:pt>
                <c:pt idx="91">
                  <c:v>1.3216388321515282E-3</c:v>
                </c:pt>
                <c:pt idx="92">
                  <c:v>9.1313228403215874E-3</c:v>
                </c:pt>
                <c:pt idx="93">
                  <c:v>3.7246185269732557E-3</c:v>
                </c:pt>
                <c:pt idx="94">
                  <c:v>6.1275982217947611E-3</c:v>
                </c:pt>
                <c:pt idx="95">
                  <c:v>6.2477472065358697E-3</c:v>
                </c:pt>
                <c:pt idx="96">
                  <c:v>9.3716208098040266E-3</c:v>
                </c:pt>
                <c:pt idx="97">
                  <c:v>2.7514117505706759E-2</c:v>
                </c:pt>
                <c:pt idx="98">
                  <c:v>2.4029796948215498E-2</c:v>
                </c:pt>
                <c:pt idx="99">
                  <c:v>1.7421602787456303E-2</c:v>
                </c:pt>
                <c:pt idx="100">
                  <c:v>2.4510392887179711E-2</c:v>
                </c:pt>
                <c:pt idx="101">
                  <c:v>2.9917097200528264E-2</c:v>
                </c:pt>
                <c:pt idx="102">
                  <c:v>2.5351435780367249E-2</c:v>
                </c:pt>
                <c:pt idx="103">
                  <c:v>1.2615643397812848E-2</c:v>
                </c:pt>
                <c:pt idx="104">
                  <c:v>6.3678961912767562E-3</c:v>
                </c:pt>
                <c:pt idx="105">
                  <c:v>4.0850654811961373E-3</c:v>
                </c:pt>
                <c:pt idx="106">
                  <c:v>1.0693259641955555E-2</c:v>
                </c:pt>
                <c:pt idx="107">
                  <c:v>-4.4408920985006262E-16</c:v>
                </c:pt>
                <c:pt idx="108">
                  <c:v>-4.0850654811971365E-3</c:v>
                </c:pt>
                <c:pt idx="109">
                  <c:v>-3.3641715727507071E-3</c:v>
                </c:pt>
                <c:pt idx="110">
                  <c:v>-6.1275982217955383E-3</c:v>
                </c:pt>
                <c:pt idx="111">
                  <c:v>-3.964916496456028E-3</c:v>
                </c:pt>
                <c:pt idx="112">
                  <c:v>-2.01850294365018E-2</c:v>
                </c:pt>
                <c:pt idx="113">
                  <c:v>-2.6793223597261107E-2</c:v>
                </c:pt>
                <c:pt idx="114">
                  <c:v>-2.8715607353118289E-2</c:v>
                </c:pt>
                <c:pt idx="115">
                  <c:v>-2.8835756337859397E-2</c:v>
                </c:pt>
                <c:pt idx="116">
                  <c:v>-2.8715607353118178E-2</c:v>
                </c:pt>
                <c:pt idx="117">
                  <c:v>-2.9556650246305716E-2</c:v>
                </c:pt>
                <c:pt idx="118">
                  <c:v>-2.7994713444671526E-2</c:v>
                </c:pt>
                <c:pt idx="119">
                  <c:v>-3.2079778925868219E-2</c:v>
                </c:pt>
                <c:pt idx="120">
                  <c:v>-2.9196203292082279E-2</c:v>
                </c:pt>
                <c:pt idx="121">
                  <c:v>-2.2107413192358538E-2</c:v>
                </c:pt>
                <c:pt idx="122">
                  <c:v>-5.887300252312877E-3</c:v>
                </c:pt>
                <c:pt idx="123">
                  <c:v>-3.6044695422321471E-3</c:v>
                </c:pt>
                <c:pt idx="124">
                  <c:v>-4.0850654811965814E-3</c:v>
                </c:pt>
                <c:pt idx="125">
                  <c:v>7.0887900997238518E-3</c:v>
                </c:pt>
                <c:pt idx="126">
                  <c:v>-1.1534302535143426E-2</c:v>
                </c:pt>
                <c:pt idx="127">
                  <c:v>-1.3696984260482825E-2</c:v>
                </c:pt>
                <c:pt idx="128">
                  <c:v>-1.8142496695902732E-2</c:v>
                </c:pt>
                <c:pt idx="129">
                  <c:v>-1.7181304817973975E-2</c:v>
                </c:pt>
                <c:pt idx="130">
                  <c:v>-1.2976090352036174E-2</c:v>
                </c:pt>
                <c:pt idx="131">
                  <c:v>-1.5258921062116793E-2</c:v>
                </c:pt>
                <c:pt idx="132">
                  <c:v>-2.102607232968845E-2</c:v>
                </c:pt>
                <c:pt idx="133">
                  <c:v>-7.2089390844644052E-3</c:v>
                </c:pt>
                <c:pt idx="134">
                  <c:v>-1.826264568064373E-2</c:v>
                </c:pt>
                <c:pt idx="135">
                  <c:v>-2.7033521566742436E-2</c:v>
                </c:pt>
                <c:pt idx="136">
                  <c:v>-2.7874564459930085E-2</c:v>
                </c:pt>
                <c:pt idx="137">
                  <c:v>-3.8087228162921649E-2</c:v>
                </c:pt>
                <c:pt idx="138">
                  <c:v>-5.7431214706235356E-2</c:v>
                </c:pt>
                <c:pt idx="139">
                  <c:v>-5.8392406584164003E-2</c:v>
                </c:pt>
                <c:pt idx="140">
                  <c:v>-5.0943169530217269E-2</c:v>
                </c:pt>
                <c:pt idx="141">
                  <c:v>-6.4640153790700317E-2</c:v>
                </c:pt>
                <c:pt idx="142">
                  <c:v>-6.4760302775441314E-2</c:v>
                </c:pt>
                <c:pt idx="143">
                  <c:v>-5.4667788057190747E-2</c:v>
                </c:pt>
                <c:pt idx="144">
                  <c:v>-5.6229724858824937E-2</c:v>
                </c:pt>
                <c:pt idx="145">
                  <c:v>-6.872521927189712E-2</c:v>
                </c:pt>
                <c:pt idx="146">
                  <c:v>-7.1248347951459845E-2</c:v>
                </c:pt>
                <c:pt idx="147">
                  <c:v>-6.031479034002174E-2</c:v>
                </c:pt>
                <c:pt idx="148">
                  <c:v>-7.1728943890424057E-2</c:v>
                </c:pt>
                <c:pt idx="149">
                  <c:v>-6.2958068004325463E-2</c:v>
                </c:pt>
                <c:pt idx="150">
                  <c:v>-6.1756578156914599E-2</c:v>
                </c:pt>
                <c:pt idx="151">
                  <c:v>-5.1784212423405029E-2</c:v>
                </c:pt>
                <c:pt idx="152">
                  <c:v>-4.9501381713324633E-2</c:v>
                </c:pt>
                <c:pt idx="153">
                  <c:v>-6.3678961912771781E-2</c:v>
                </c:pt>
                <c:pt idx="154">
                  <c:v>-6.7163282470263153E-2</c:v>
                </c:pt>
                <c:pt idx="155">
                  <c:v>-5.803195962994101E-2</c:v>
                </c:pt>
                <c:pt idx="156">
                  <c:v>-4.8780487804878092E-2</c:v>
                </c:pt>
                <c:pt idx="157">
                  <c:v>-7.3411029676799244E-2</c:v>
                </c:pt>
                <c:pt idx="158">
                  <c:v>-8.4224438303496463E-2</c:v>
                </c:pt>
                <c:pt idx="159">
                  <c:v>-9.5278144899675787E-2</c:v>
                </c:pt>
                <c:pt idx="160">
                  <c:v>-0.10537065961792647</c:v>
                </c:pt>
                <c:pt idx="161">
                  <c:v>-9.4797548960711353E-2</c:v>
                </c:pt>
                <c:pt idx="162">
                  <c:v>-0.10537065961792647</c:v>
                </c:pt>
                <c:pt idx="163">
                  <c:v>-9.9122912411390152E-2</c:v>
                </c:pt>
                <c:pt idx="164">
                  <c:v>-9.9483359365613366E-2</c:v>
                </c:pt>
                <c:pt idx="165">
                  <c:v>-9.0231887540550226E-2</c:v>
                </c:pt>
                <c:pt idx="166">
                  <c:v>-8.6146822059353645E-2</c:v>
                </c:pt>
                <c:pt idx="167">
                  <c:v>-8.5666226120389433E-2</c:v>
                </c:pt>
                <c:pt idx="168">
                  <c:v>-6.8004325363450802E-2</c:v>
                </c:pt>
                <c:pt idx="169">
                  <c:v>-5.3346149225039108E-2</c:v>
                </c:pt>
                <c:pt idx="170">
                  <c:v>-5.8031959629941232E-2</c:v>
                </c:pt>
                <c:pt idx="171">
                  <c:v>-7.6294605310585295E-2</c:v>
                </c:pt>
                <c:pt idx="172">
                  <c:v>-7.3411029676799355E-2</c:v>
                </c:pt>
                <c:pt idx="173">
                  <c:v>-8.1340862669710745E-2</c:v>
                </c:pt>
                <c:pt idx="174">
                  <c:v>-7.0527454043013527E-2</c:v>
                </c:pt>
                <c:pt idx="175">
                  <c:v>-7.1849092875165388E-2</c:v>
                </c:pt>
                <c:pt idx="176">
                  <c:v>-4.4455124354199405E-2</c:v>
                </c:pt>
                <c:pt idx="177">
                  <c:v>-4.0249909888261826E-2</c:v>
                </c:pt>
                <c:pt idx="178">
                  <c:v>-3.7366334254475886E-2</c:v>
                </c:pt>
                <c:pt idx="179">
                  <c:v>-3.5564099483359923E-2</c:v>
                </c:pt>
                <c:pt idx="180">
                  <c:v>-3.3882013696984847E-2</c:v>
                </c:pt>
                <c:pt idx="181">
                  <c:v>-3.015739517001137E-2</c:v>
                </c:pt>
                <c:pt idx="182">
                  <c:v>-2.9556650246305938E-2</c:v>
                </c:pt>
                <c:pt idx="183">
                  <c:v>-2.5351435780368026E-2</c:v>
                </c:pt>
                <c:pt idx="184">
                  <c:v>-2.6552925627778889E-2</c:v>
                </c:pt>
                <c:pt idx="185">
                  <c:v>-2.4630541871921374E-2</c:v>
                </c:pt>
                <c:pt idx="186">
                  <c:v>-1.9584284512796368E-2</c:v>
                </c:pt>
                <c:pt idx="187">
                  <c:v>-9.852216748768905E-3</c:v>
                </c:pt>
                <c:pt idx="188">
                  <c:v>1.4417878168924148E-3</c:v>
                </c:pt>
                <c:pt idx="189">
                  <c:v>-1.0212663702992231E-2</c:v>
                </c:pt>
                <c:pt idx="190">
                  <c:v>-2.3789498978734058E-2</c:v>
                </c:pt>
                <c:pt idx="191">
                  <c:v>-2.583203171933246E-2</c:v>
                </c:pt>
                <c:pt idx="192">
                  <c:v>-1.9223837558573154E-2</c:v>
                </c:pt>
                <c:pt idx="193">
                  <c:v>-1.5619368016340673E-2</c:v>
                </c:pt>
                <c:pt idx="194">
                  <c:v>-8.6507269013581523E-3</c:v>
                </c:pt>
                <c:pt idx="195">
                  <c:v>-2.8835756337864948E-3</c:v>
                </c:pt>
                <c:pt idx="196">
                  <c:v>9.2514718250626959E-3</c:v>
                </c:pt>
                <c:pt idx="197">
                  <c:v>2.5952180704072569E-2</c:v>
                </c:pt>
                <c:pt idx="198">
                  <c:v>2.3308903039768847E-2</c:v>
                </c:pt>
                <c:pt idx="199">
                  <c:v>1.7782049741679185E-2</c:v>
                </c:pt>
                <c:pt idx="200">
                  <c:v>2.7153670551483211E-2</c:v>
                </c:pt>
                <c:pt idx="201">
                  <c:v>1.1414153550401984E-2</c:v>
                </c:pt>
                <c:pt idx="202">
                  <c:v>2.2107413192357761E-2</c:v>
                </c:pt>
                <c:pt idx="203">
                  <c:v>2.8475309383634961E-2</c:v>
                </c:pt>
                <c:pt idx="204">
                  <c:v>3.3281268773278194E-2</c:v>
                </c:pt>
                <c:pt idx="205">
                  <c:v>3.5804397452840808E-2</c:v>
                </c:pt>
                <c:pt idx="206">
                  <c:v>3.1839480956385335E-2</c:v>
                </c:pt>
                <c:pt idx="207">
                  <c:v>2.7754415475188754E-2</c:v>
                </c:pt>
                <c:pt idx="208">
                  <c:v>2.5952180704072347E-2</c:v>
                </c:pt>
                <c:pt idx="209">
                  <c:v>1.4898474107893023E-2</c:v>
                </c:pt>
                <c:pt idx="210">
                  <c:v>1.1654451519883979E-2</c:v>
                </c:pt>
                <c:pt idx="211">
                  <c:v>1.3336537306259055E-2</c:v>
                </c:pt>
                <c:pt idx="212">
                  <c:v>1.7661900756937854E-2</c:v>
                </c:pt>
                <c:pt idx="213">
                  <c:v>6.0074492370532084E-3</c:v>
                </c:pt>
                <c:pt idx="214">
                  <c:v>4.6858104049012361E-3</c:v>
                </c:pt>
                <c:pt idx="215">
                  <c:v>1.6820857863744099E-3</c:v>
                </c:pt>
                <c:pt idx="216">
                  <c:v>2.6432776643030564E-3</c:v>
                </c:pt>
                <c:pt idx="217">
                  <c:v>-8.8910248708407025E-3</c:v>
                </c:pt>
                <c:pt idx="218">
                  <c:v>-1.609996395530533E-2</c:v>
                </c:pt>
                <c:pt idx="219">
                  <c:v>-1.2976090352037173E-2</c:v>
                </c:pt>
                <c:pt idx="220">
                  <c:v>-1.2014898474108637E-2</c:v>
                </c:pt>
                <c:pt idx="221">
                  <c:v>-9.1313228403228086E-3</c:v>
                </c:pt>
                <c:pt idx="222">
                  <c:v>-5.8873002523137652E-3</c:v>
                </c:pt>
                <c:pt idx="223">
                  <c:v>-1.9343986543314484E-2</c:v>
                </c:pt>
                <c:pt idx="224">
                  <c:v>-9.011173855581589E-3</c:v>
                </c:pt>
                <c:pt idx="225">
                  <c:v>-8.6507269013583743E-3</c:v>
                </c:pt>
                <c:pt idx="226">
                  <c:v>-3.7246185269742549E-3</c:v>
                </c:pt>
                <c:pt idx="227">
                  <c:v>8.4104289318664982E-4</c:v>
                </c:pt>
                <c:pt idx="228">
                  <c:v>-1.2255196443590965E-2</c:v>
                </c:pt>
                <c:pt idx="229">
                  <c:v>4.2052144659370239E-3</c:v>
                </c:pt>
                <c:pt idx="230">
                  <c:v>-1.6820857863757421E-3</c:v>
                </c:pt>
                <c:pt idx="231">
                  <c:v>-2.7033521566743435E-2</c:v>
                </c:pt>
                <c:pt idx="232">
                  <c:v>-9.8522167487693491E-3</c:v>
                </c:pt>
                <c:pt idx="233">
                  <c:v>-1.9223837558580703E-3</c:v>
                </c:pt>
                <c:pt idx="234">
                  <c:v>-3.2440225880099316E-3</c:v>
                </c:pt>
                <c:pt idx="235">
                  <c:v>-1.0813408626704213E-3</c:v>
                </c:pt>
                <c:pt idx="236">
                  <c:v>6.8484921302407464E-3</c:v>
                </c:pt>
                <c:pt idx="237">
                  <c:v>-7.329088069206402E-3</c:v>
                </c:pt>
                <c:pt idx="238">
                  <c:v>-9.6119187792920169E-4</c:v>
                </c:pt>
                <c:pt idx="239">
                  <c:v>1.7902198726420071E-2</c:v>
                </c:pt>
                <c:pt idx="240">
                  <c:v>2.3308903039768625E-2</c:v>
                </c:pt>
                <c:pt idx="241">
                  <c:v>2.1146221314429114E-2</c:v>
                </c:pt>
                <c:pt idx="242">
                  <c:v>2.6793223597259885E-2</c:v>
                </c:pt>
                <c:pt idx="243">
                  <c:v>3.7126036284992781E-2</c:v>
                </c:pt>
                <c:pt idx="244">
                  <c:v>4.3253634506787764E-2</c:v>
                </c:pt>
                <c:pt idx="245">
                  <c:v>3.7005887300251672E-2</c:v>
                </c:pt>
                <c:pt idx="246">
                  <c:v>4.0850654811966036E-2</c:v>
                </c:pt>
                <c:pt idx="247">
                  <c:v>4.4094677399975302E-2</c:v>
                </c:pt>
                <c:pt idx="248">
                  <c:v>5.2024510392886469E-2</c:v>
                </c:pt>
                <c:pt idx="249">
                  <c:v>5.683046978252948E-2</c:v>
                </c:pt>
                <c:pt idx="250">
                  <c:v>6.4520004805958653E-2</c:v>
                </c:pt>
                <c:pt idx="251">
                  <c:v>5.8873002523127882E-2</c:v>
                </c:pt>
                <c:pt idx="252">
                  <c:v>6.6682686531297941E-2</c:v>
                </c:pt>
                <c:pt idx="253">
                  <c:v>7.9778925868075445E-2</c:v>
                </c:pt>
                <c:pt idx="254">
                  <c:v>7.3531178661539354E-2</c:v>
                </c:pt>
                <c:pt idx="255">
                  <c:v>8.5666226120388211E-2</c:v>
                </c:pt>
                <c:pt idx="256">
                  <c:v>8.5546077135647103E-2</c:v>
                </c:pt>
                <c:pt idx="257">
                  <c:v>9.6239336777603102E-2</c:v>
                </c:pt>
                <c:pt idx="258">
                  <c:v>9.0472185510031444E-2</c:v>
                </c:pt>
                <c:pt idx="259">
                  <c:v>9.0952781448995657E-2</c:v>
                </c:pt>
                <c:pt idx="260">
                  <c:v>8.9030397693138363E-2</c:v>
                </c:pt>
                <c:pt idx="261">
                  <c:v>8.9150546677879472E-2</c:v>
                </c:pt>
                <c:pt idx="262">
                  <c:v>0.10008410428931769</c:v>
                </c:pt>
                <c:pt idx="263">
                  <c:v>0.1046497657094787</c:v>
                </c:pt>
                <c:pt idx="264">
                  <c:v>9.7801273579237291E-2</c:v>
                </c:pt>
                <c:pt idx="265">
                  <c:v>9.8161720533460617E-2</c:v>
                </c:pt>
                <c:pt idx="266">
                  <c:v>9.7320677640272857E-2</c:v>
                </c:pt>
                <c:pt idx="267">
                  <c:v>0.11306019464135408</c:v>
                </c:pt>
                <c:pt idx="268">
                  <c:v>0.11606391925988113</c:v>
                </c:pt>
                <c:pt idx="269">
                  <c:v>0.11342064159557741</c:v>
                </c:pt>
                <c:pt idx="270">
                  <c:v>0.10933557611438061</c:v>
                </c:pt>
                <c:pt idx="271">
                  <c:v>0.1159437702751398</c:v>
                </c:pt>
                <c:pt idx="272">
                  <c:v>0.10464976570947848</c:v>
                </c:pt>
                <c:pt idx="273">
                  <c:v>0.11462213144298805</c:v>
                </c:pt>
                <c:pt idx="274">
                  <c:v>0.11546317433617559</c:v>
                </c:pt>
                <c:pt idx="275">
                  <c:v>0.11810645200047931</c:v>
                </c:pt>
                <c:pt idx="276">
                  <c:v>0.10068484921302279</c:v>
                </c:pt>
                <c:pt idx="277">
                  <c:v>9.9843806319835471E-2</c:v>
                </c:pt>
                <c:pt idx="278">
                  <c:v>8.0379670791780766E-2</c:v>
                </c:pt>
                <c:pt idx="279">
                  <c:v>7.5213264447914208E-2</c:v>
                </c:pt>
                <c:pt idx="280">
                  <c:v>6.6922984500779714E-2</c:v>
                </c:pt>
                <c:pt idx="281">
                  <c:v>6.9325964195601442E-2</c:v>
                </c:pt>
                <c:pt idx="282">
                  <c:v>6.9686411149824767E-2</c:v>
                </c:pt>
                <c:pt idx="283">
                  <c:v>6.8845368256637229E-2</c:v>
                </c:pt>
                <c:pt idx="284">
                  <c:v>6.9926709119306985E-2</c:v>
                </c:pt>
                <c:pt idx="285">
                  <c:v>6.0675237294244067E-2</c:v>
                </c:pt>
                <c:pt idx="286">
                  <c:v>6.1396131202690718E-2</c:v>
                </c:pt>
                <c:pt idx="287">
                  <c:v>6.8965517241378782E-2</c:v>
                </c:pt>
                <c:pt idx="288">
                  <c:v>7.5573711402138199E-2</c:v>
                </c:pt>
                <c:pt idx="289">
                  <c:v>8.4584885257719122E-2</c:v>
                </c:pt>
                <c:pt idx="290">
                  <c:v>6.4880451760182201E-2</c:v>
                </c:pt>
                <c:pt idx="291">
                  <c:v>7.0407305058271863E-2</c:v>
                </c:pt>
                <c:pt idx="292">
                  <c:v>6.4880451760182201E-2</c:v>
                </c:pt>
                <c:pt idx="293">
                  <c:v>7.5693860386879308E-2</c:v>
                </c:pt>
                <c:pt idx="294">
                  <c:v>8.2181905562897617E-2</c:v>
                </c:pt>
                <c:pt idx="295">
                  <c:v>9.5037846930193126E-2</c:v>
                </c:pt>
                <c:pt idx="296">
                  <c:v>8.9991589571067898E-2</c:v>
                </c:pt>
                <c:pt idx="297">
                  <c:v>0.10212663702991698</c:v>
                </c:pt>
                <c:pt idx="298">
                  <c:v>0.10344827586206873</c:v>
                </c:pt>
                <c:pt idx="299">
                  <c:v>0.1027273819536223</c:v>
                </c:pt>
                <c:pt idx="300">
                  <c:v>0.10380872281629205</c:v>
                </c:pt>
                <c:pt idx="301">
                  <c:v>0.10573110657214913</c:v>
                </c:pt>
                <c:pt idx="302">
                  <c:v>9.7801273579237957E-2</c:v>
                </c:pt>
                <c:pt idx="303">
                  <c:v>0.10717289438904221</c:v>
                </c:pt>
                <c:pt idx="304">
                  <c:v>0.10873483119067617</c:v>
                </c:pt>
                <c:pt idx="305">
                  <c:v>0.10873483119067617</c:v>
                </c:pt>
                <c:pt idx="306">
                  <c:v>9.7921422563978844E-2</c:v>
                </c:pt>
                <c:pt idx="307">
                  <c:v>8.8189354799951492E-2</c:v>
                </c:pt>
                <c:pt idx="308">
                  <c:v>9.7681124594496849E-2</c:v>
                </c:pt>
                <c:pt idx="309">
                  <c:v>9.3475910128559159E-2</c:v>
                </c:pt>
                <c:pt idx="310">
                  <c:v>7.7856542112218818E-2</c:v>
                </c:pt>
                <c:pt idx="311">
                  <c:v>8.6627417998317746E-2</c:v>
                </c:pt>
                <c:pt idx="312">
                  <c:v>9.972365733509525E-2</c:v>
                </c:pt>
                <c:pt idx="313">
                  <c:v>9.3235612159076942E-2</c:v>
                </c:pt>
                <c:pt idx="314">
                  <c:v>8.1100564700228084E-2</c:v>
                </c:pt>
                <c:pt idx="315">
                  <c:v>8.8549801754174817E-2</c:v>
                </c:pt>
                <c:pt idx="316">
                  <c:v>8.9751291601585681E-2</c:v>
                </c:pt>
                <c:pt idx="317">
                  <c:v>7.8817733990147465E-2</c:v>
                </c:pt>
                <c:pt idx="318">
                  <c:v>7.773639312747771E-2</c:v>
                </c:pt>
                <c:pt idx="319">
                  <c:v>7.7375946173254384E-2</c:v>
                </c:pt>
                <c:pt idx="320">
                  <c:v>7.9418478913852786E-2</c:v>
                </c:pt>
                <c:pt idx="321">
                  <c:v>7.905803195962946E-2</c:v>
                </c:pt>
                <c:pt idx="322">
                  <c:v>6.9085666226119891E-2</c:v>
                </c:pt>
                <c:pt idx="323">
                  <c:v>7.7015499219031058E-2</c:v>
                </c:pt>
                <c:pt idx="324">
                  <c:v>7.5814009371620195E-2</c:v>
                </c:pt>
                <c:pt idx="325">
                  <c:v>7.6895350234289728E-2</c:v>
                </c:pt>
                <c:pt idx="326">
                  <c:v>7.7015499219031058E-2</c:v>
                </c:pt>
                <c:pt idx="327">
                  <c:v>7.8817733990147243E-2</c:v>
                </c:pt>
                <c:pt idx="328">
                  <c:v>6.5120749729664196E-2</c:v>
                </c:pt>
                <c:pt idx="329">
                  <c:v>6.4399855821217766E-2</c:v>
                </c:pt>
                <c:pt idx="330">
                  <c:v>6.1396131202690718E-2</c:v>
                </c:pt>
                <c:pt idx="331">
                  <c:v>6.1035684248467392E-2</c:v>
                </c:pt>
                <c:pt idx="332">
                  <c:v>4.4695422323680623E-2</c:v>
                </c:pt>
                <c:pt idx="333">
                  <c:v>4.6617806079537916E-2</c:v>
                </c:pt>
                <c:pt idx="334">
                  <c:v>5.4427490087708197E-2</c:v>
                </c:pt>
                <c:pt idx="335">
                  <c:v>5.6109575874083273E-2</c:v>
                </c:pt>
                <c:pt idx="336">
                  <c:v>5.9233449477351208E-2</c:v>
                </c:pt>
                <c:pt idx="337">
                  <c:v>4.8420040850654322E-2</c:v>
                </c:pt>
                <c:pt idx="338">
                  <c:v>6.2477472065360695E-2</c:v>
                </c:pt>
                <c:pt idx="339">
                  <c:v>7.7015499219031058E-2</c:v>
                </c:pt>
                <c:pt idx="340">
                  <c:v>8.7348311906763954E-2</c:v>
                </c:pt>
                <c:pt idx="341">
                  <c:v>8.4584885257719122E-2</c:v>
                </c:pt>
                <c:pt idx="342">
                  <c:v>0.10561095758740802</c:v>
                </c:pt>
                <c:pt idx="343">
                  <c:v>0.10332812687732762</c:v>
                </c:pt>
                <c:pt idx="344">
                  <c:v>9.2394569265889626E-2</c:v>
                </c:pt>
                <c:pt idx="345">
                  <c:v>8.2662501501862273E-2</c:v>
                </c:pt>
                <c:pt idx="346">
                  <c:v>8.6266971044094642E-2</c:v>
                </c:pt>
                <c:pt idx="347">
                  <c:v>9.0592334494773441E-2</c:v>
                </c:pt>
                <c:pt idx="348">
                  <c:v>7.6655052264808399E-2</c:v>
                </c:pt>
                <c:pt idx="349">
                  <c:v>7.9658776883335447E-2</c:v>
                </c:pt>
                <c:pt idx="350">
                  <c:v>9.7320677640273967E-2</c:v>
                </c:pt>
                <c:pt idx="351">
                  <c:v>9.924306139613126E-2</c:v>
                </c:pt>
                <c:pt idx="352">
                  <c:v>9.5638591853898891E-2</c:v>
                </c:pt>
                <c:pt idx="353">
                  <c:v>0.10705274540430132</c:v>
                </c:pt>
                <c:pt idx="354">
                  <c:v>0.10260723296888141</c:v>
                </c:pt>
                <c:pt idx="355">
                  <c:v>8.1821458608674957E-2</c:v>
                </c:pt>
                <c:pt idx="356">
                  <c:v>5.7671512675718128E-2</c:v>
                </c:pt>
                <c:pt idx="357">
                  <c:v>6.3078216989066682E-2</c:v>
                </c:pt>
                <c:pt idx="358">
                  <c:v>4.8660338820137206E-2</c:v>
                </c:pt>
                <c:pt idx="359">
                  <c:v>6.4880451760182645E-2</c:v>
                </c:pt>
                <c:pt idx="360">
                  <c:v>6.4039408866995107E-2</c:v>
                </c:pt>
                <c:pt idx="361">
                  <c:v>5.9353598462092982E-2</c:v>
                </c:pt>
                <c:pt idx="362">
                  <c:v>6.9926709119307873E-2</c:v>
                </c:pt>
                <c:pt idx="363">
                  <c:v>6.9926709119307873E-2</c:v>
                </c:pt>
                <c:pt idx="364">
                  <c:v>8.6867715967799963E-2</c:v>
                </c:pt>
                <c:pt idx="365">
                  <c:v>8.8189354799951936E-2</c:v>
                </c:pt>
                <c:pt idx="366">
                  <c:v>9.3355761143818272E-2</c:v>
                </c:pt>
                <c:pt idx="367">
                  <c:v>8.9390844647362577E-2</c:v>
                </c:pt>
                <c:pt idx="368">
                  <c:v>0.10188633906043476</c:v>
                </c:pt>
                <c:pt idx="369">
                  <c:v>9.9603508350354364E-2</c:v>
                </c:pt>
                <c:pt idx="370">
                  <c:v>0.11414153550402495</c:v>
                </c:pt>
                <c:pt idx="371">
                  <c:v>0.11906764387840907</c:v>
                </c:pt>
                <c:pt idx="372">
                  <c:v>0.11918779286315018</c:v>
                </c:pt>
                <c:pt idx="373">
                  <c:v>0.11438183347350694</c:v>
                </c:pt>
                <c:pt idx="374">
                  <c:v>0.12050943169530193</c:v>
                </c:pt>
                <c:pt idx="375">
                  <c:v>0.13276462813889189</c:v>
                </c:pt>
                <c:pt idx="376">
                  <c:v>0.1070527454043011</c:v>
                </c:pt>
                <c:pt idx="377">
                  <c:v>0.10248708398414008</c:v>
                </c:pt>
                <c:pt idx="378">
                  <c:v>9.3836357082782262E-2</c:v>
                </c:pt>
                <c:pt idx="379">
                  <c:v>8.0019223837558107E-2</c:v>
                </c:pt>
                <c:pt idx="380">
                  <c:v>9.0472185510031888E-2</c:v>
                </c:pt>
                <c:pt idx="381">
                  <c:v>9.0952781448996101E-2</c:v>
                </c:pt>
                <c:pt idx="382">
                  <c:v>9.3596059113299823E-2</c:v>
                </c:pt>
                <c:pt idx="383">
                  <c:v>0.1036885738315505</c:v>
                </c:pt>
                <c:pt idx="384">
                  <c:v>0.11366093956506007</c:v>
                </c:pt>
                <c:pt idx="385">
                  <c:v>0.12399375225279297</c:v>
                </c:pt>
                <c:pt idx="386">
                  <c:v>0.12615643397813248</c:v>
                </c:pt>
                <c:pt idx="387">
                  <c:v>0.12135047458848924</c:v>
                </c:pt>
                <c:pt idx="388">
                  <c:v>0.13829148143698133</c:v>
                </c:pt>
                <c:pt idx="389">
                  <c:v>0.13024149945932906</c:v>
                </c:pt>
                <c:pt idx="390">
                  <c:v>0.13504745884897229</c:v>
                </c:pt>
                <c:pt idx="391">
                  <c:v>0.15054667788057152</c:v>
                </c:pt>
                <c:pt idx="392">
                  <c:v>0.14285714285714257</c:v>
                </c:pt>
                <c:pt idx="393">
                  <c:v>0.16652649285113519</c:v>
                </c:pt>
                <c:pt idx="394">
                  <c:v>0.16448396011053679</c:v>
                </c:pt>
                <c:pt idx="395">
                  <c:v>0.15799591493451848</c:v>
                </c:pt>
                <c:pt idx="396">
                  <c:v>0.15511233930073276</c:v>
                </c:pt>
                <c:pt idx="397">
                  <c:v>0.15066682686531285</c:v>
                </c:pt>
                <c:pt idx="398">
                  <c:v>0.13793103448275845</c:v>
                </c:pt>
                <c:pt idx="399">
                  <c:v>0.14345788778084834</c:v>
                </c:pt>
                <c:pt idx="400">
                  <c:v>0.14009371620809818</c:v>
                </c:pt>
                <c:pt idx="401">
                  <c:v>0.13480716087949074</c:v>
                </c:pt>
                <c:pt idx="402">
                  <c:v>0.14201609996395548</c:v>
                </c:pt>
                <c:pt idx="403">
                  <c:v>0.1446593776282592</c:v>
                </c:pt>
                <c:pt idx="404">
                  <c:v>0.15210861468220616</c:v>
                </c:pt>
                <c:pt idx="405">
                  <c:v>0.15871680884296535</c:v>
                </c:pt>
                <c:pt idx="406">
                  <c:v>0.15751531899555471</c:v>
                </c:pt>
                <c:pt idx="407">
                  <c:v>0.16652649285113563</c:v>
                </c:pt>
                <c:pt idx="408">
                  <c:v>0.16832872762225182</c:v>
                </c:pt>
                <c:pt idx="409">
                  <c:v>0.17301453802715372</c:v>
                </c:pt>
                <c:pt idx="410">
                  <c:v>0.1640033641715728</c:v>
                </c:pt>
                <c:pt idx="411">
                  <c:v>0.1533101045296168</c:v>
                </c:pt>
                <c:pt idx="412">
                  <c:v>0.15018623092634886</c:v>
                </c:pt>
                <c:pt idx="413">
                  <c:v>0.13612879971164249</c:v>
                </c:pt>
                <c:pt idx="414">
                  <c:v>0.12891986062717775</c:v>
                </c:pt>
                <c:pt idx="415">
                  <c:v>0.13829148143698178</c:v>
                </c:pt>
                <c:pt idx="416">
                  <c:v>0.13096239336777593</c:v>
                </c:pt>
                <c:pt idx="417">
                  <c:v>0.13708999158957114</c:v>
                </c:pt>
                <c:pt idx="418">
                  <c:v>0.12207136849693634</c:v>
                </c:pt>
                <c:pt idx="419">
                  <c:v>0.11894749489366818</c:v>
                </c:pt>
                <c:pt idx="420">
                  <c:v>0.12387360326805252</c:v>
                </c:pt>
                <c:pt idx="421">
                  <c:v>0.1255556890544276</c:v>
                </c:pt>
                <c:pt idx="422">
                  <c:v>0.14105490808602683</c:v>
                </c:pt>
                <c:pt idx="423">
                  <c:v>0.14550042052144674</c:v>
                </c:pt>
                <c:pt idx="424">
                  <c:v>0.13504745884897273</c:v>
                </c:pt>
                <c:pt idx="425">
                  <c:v>0.13012135047458862</c:v>
                </c:pt>
                <c:pt idx="426">
                  <c:v>0.11089751291601591</c:v>
                </c:pt>
                <c:pt idx="427">
                  <c:v>0.11354079058031985</c:v>
                </c:pt>
                <c:pt idx="428">
                  <c:v>0.10440946773999782</c:v>
                </c:pt>
                <c:pt idx="429">
                  <c:v>9.6719932716568868E-2</c:v>
                </c:pt>
                <c:pt idx="430">
                  <c:v>0.10525051063318536</c:v>
                </c:pt>
                <c:pt idx="431">
                  <c:v>0.10164604109095299</c:v>
                </c:pt>
                <c:pt idx="432">
                  <c:v>0.11065721494653391</c:v>
                </c:pt>
                <c:pt idx="433">
                  <c:v>0.12423405022227563</c:v>
                </c:pt>
                <c:pt idx="434">
                  <c:v>0.13048179742881172</c:v>
                </c:pt>
                <c:pt idx="435">
                  <c:v>0.14213624894869636</c:v>
                </c:pt>
                <c:pt idx="436">
                  <c:v>0.13360567103207965</c:v>
                </c:pt>
                <c:pt idx="437">
                  <c:v>0.13300492610837433</c:v>
                </c:pt>
                <c:pt idx="438">
                  <c:v>0.13877207737594621</c:v>
                </c:pt>
                <c:pt idx="439">
                  <c:v>0.13805118346749978</c:v>
                </c:pt>
                <c:pt idx="440">
                  <c:v>0.13444671392526741</c:v>
                </c:pt>
                <c:pt idx="441">
                  <c:v>0.12339300732908809</c:v>
                </c:pt>
                <c:pt idx="442">
                  <c:v>0.10861468220593529</c:v>
                </c:pt>
                <c:pt idx="443">
                  <c:v>0.10428931875525649</c:v>
                </c:pt>
                <c:pt idx="444">
                  <c:v>0.10404902078577427</c:v>
                </c:pt>
                <c:pt idx="445">
                  <c:v>9.2755016220112951E-2</c:v>
                </c:pt>
                <c:pt idx="446">
                  <c:v>8.8910248708398365E-2</c:v>
                </c:pt>
                <c:pt idx="447">
                  <c:v>8.1340862669710523E-2</c:v>
                </c:pt>
                <c:pt idx="448">
                  <c:v>7.2089390844647383E-2</c:v>
                </c:pt>
                <c:pt idx="449">
                  <c:v>6.2597621050102026E-2</c:v>
                </c:pt>
                <c:pt idx="450">
                  <c:v>5.671032079778926E-2</c:v>
                </c:pt>
                <c:pt idx="451">
                  <c:v>2.6673074612519443E-2</c:v>
                </c:pt>
                <c:pt idx="452">
                  <c:v>1.5619368016340118E-2</c:v>
                </c:pt>
                <c:pt idx="453">
                  <c:v>2.823501141415341E-2</c:v>
                </c:pt>
                <c:pt idx="454">
                  <c:v>2.2107413192358205E-2</c:v>
                </c:pt>
                <c:pt idx="455">
                  <c:v>2.7634266490447867E-2</c:v>
                </c:pt>
                <c:pt idx="456">
                  <c:v>2.60723296888139E-2</c:v>
                </c:pt>
                <c:pt idx="457">
                  <c:v>2.0545476390724238E-2</c:v>
                </c:pt>
                <c:pt idx="458">
                  <c:v>6.8484921302411905E-3</c:v>
                </c:pt>
                <c:pt idx="459">
                  <c:v>1.0933557611437994E-2</c:v>
                </c:pt>
                <c:pt idx="460">
                  <c:v>-2.4029796948232818E-4</c:v>
                </c:pt>
                <c:pt idx="461">
                  <c:v>-4.8059593896443431E-4</c:v>
                </c:pt>
                <c:pt idx="462">
                  <c:v>6.2477472065358697E-3</c:v>
                </c:pt>
                <c:pt idx="463">
                  <c:v>5.6470022828305488E-3</c:v>
                </c:pt>
                <c:pt idx="464">
                  <c:v>1.1173855580919989E-2</c:v>
                </c:pt>
                <c:pt idx="465">
                  <c:v>8.4104289318709391E-4</c:v>
                </c:pt>
                <c:pt idx="466">
                  <c:v>2.3188754055027738E-2</c:v>
                </c:pt>
                <c:pt idx="467">
                  <c:v>3.5924546437582139E-2</c:v>
                </c:pt>
                <c:pt idx="468">
                  <c:v>4.57767631863506E-2</c:v>
                </c:pt>
                <c:pt idx="469">
                  <c:v>5.4427490087708197E-2</c:v>
                </c:pt>
                <c:pt idx="470">
                  <c:v>6.1275982217949609E-2</c:v>
                </c:pt>
                <c:pt idx="471">
                  <c:v>7.4852817493691548E-2</c:v>
                </c:pt>
                <c:pt idx="472">
                  <c:v>6.6202090592333951E-2</c:v>
                </c:pt>
                <c:pt idx="473">
                  <c:v>7.2089390844646939E-2</c:v>
                </c:pt>
                <c:pt idx="474">
                  <c:v>6.9325964195602108E-2</c:v>
                </c:pt>
                <c:pt idx="475">
                  <c:v>6.9926709119307429E-2</c:v>
                </c:pt>
                <c:pt idx="476">
                  <c:v>6.6442388561816168E-2</c:v>
                </c:pt>
                <c:pt idx="477">
                  <c:v>6.4520004805958875E-2</c:v>
                </c:pt>
                <c:pt idx="478">
                  <c:v>7.4612519524209553E-2</c:v>
                </c:pt>
                <c:pt idx="479">
                  <c:v>6.6802835516039494E-2</c:v>
                </c:pt>
                <c:pt idx="480">
                  <c:v>6.7884176378709027E-2</c:v>
                </c:pt>
                <c:pt idx="481">
                  <c:v>7.1008049981976962E-2</c:v>
                </c:pt>
                <c:pt idx="482">
                  <c:v>7.0167007088789424E-2</c:v>
                </c:pt>
                <c:pt idx="483">
                  <c:v>7.3891625615762901E-2</c:v>
                </c:pt>
                <c:pt idx="484">
                  <c:v>6.0795386278985397E-2</c:v>
                </c:pt>
                <c:pt idx="485">
                  <c:v>6.6202090592333729E-2</c:v>
                </c:pt>
                <c:pt idx="486">
                  <c:v>7.2449837798870043E-2</c:v>
                </c:pt>
                <c:pt idx="487">
                  <c:v>6.4760302775441092E-2</c:v>
                </c:pt>
                <c:pt idx="488">
                  <c:v>8.326324642556715E-2</c:v>
                </c:pt>
                <c:pt idx="489">
                  <c:v>7.9538627898593672E-2</c:v>
                </c:pt>
                <c:pt idx="490">
                  <c:v>9.3235612159076497E-2</c:v>
                </c:pt>
                <c:pt idx="491">
                  <c:v>8.037967079178121E-2</c:v>
                </c:pt>
                <c:pt idx="492">
                  <c:v>7.7856542112218374E-2</c:v>
                </c:pt>
                <c:pt idx="493">
                  <c:v>5.8152108614681453E-2</c:v>
                </c:pt>
                <c:pt idx="494">
                  <c:v>5.6950618767270811E-2</c:v>
                </c:pt>
                <c:pt idx="495">
                  <c:v>6.5120749729664196E-2</c:v>
                </c:pt>
                <c:pt idx="496">
                  <c:v>6.4640153790699761E-2</c:v>
                </c:pt>
                <c:pt idx="497">
                  <c:v>5.7431214706235023E-2</c:v>
                </c:pt>
                <c:pt idx="498">
                  <c:v>6.6442388561815946E-2</c:v>
                </c:pt>
                <c:pt idx="499">
                  <c:v>4.5055869277903948E-2</c:v>
                </c:pt>
                <c:pt idx="500">
                  <c:v>3.0878289078456689E-2</c:v>
                </c:pt>
                <c:pt idx="501">
                  <c:v>5.7791661660458349E-2</c:v>
                </c:pt>
                <c:pt idx="502">
                  <c:v>5.2264808362368687E-2</c:v>
                </c:pt>
                <c:pt idx="503">
                  <c:v>5.5148383996154626E-2</c:v>
                </c:pt>
                <c:pt idx="504">
                  <c:v>3.3161119788537086E-2</c:v>
                </c:pt>
                <c:pt idx="505">
                  <c:v>2.5231286795625918E-2</c:v>
                </c:pt>
                <c:pt idx="506">
                  <c:v>2.0425327405982907E-2</c:v>
                </c:pt>
                <c:pt idx="507">
                  <c:v>1.9704433497536478E-2</c:v>
                </c:pt>
                <c:pt idx="508">
                  <c:v>3.3040970803796199E-2</c:v>
                </c:pt>
                <c:pt idx="509">
                  <c:v>4.6017061155832595E-2</c:v>
                </c:pt>
                <c:pt idx="510">
                  <c:v>4.421482638471641E-2</c:v>
                </c:pt>
                <c:pt idx="511">
                  <c:v>4.7699146942207671E-2</c:v>
                </c:pt>
                <c:pt idx="512">
                  <c:v>4.1090952781448475E-2</c:v>
                </c:pt>
                <c:pt idx="513">
                  <c:v>3.075814009371558E-2</c:v>
                </c:pt>
                <c:pt idx="514">
                  <c:v>3.9769313949296503E-2</c:v>
                </c:pt>
                <c:pt idx="515">
                  <c:v>3.9529015979814286E-2</c:v>
                </c:pt>
                <c:pt idx="516">
                  <c:v>4.1451399735671579E-2</c:v>
                </c:pt>
                <c:pt idx="517">
                  <c:v>4.0970803796707145E-2</c:v>
                </c:pt>
                <c:pt idx="518">
                  <c:v>2.1867115222875544E-2</c:v>
                </c:pt>
                <c:pt idx="519">
                  <c:v>3.3040970803795977E-2</c:v>
                </c:pt>
                <c:pt idx="520">
                  <c:v>3.6885738315510341E-2</c:v>
                </c:pt>
                <c:pt idx="521">
                  <c:v>4.541631623212683E-2</c:v>
                </c:pt>
                <c:pt idx="522">
                  <c:v>-1.8022347711171838E-3</c:v>
                </c:pt>
                <c:pt idx="523">
                  <c:v>-6.4279706836478212E-2</c:v>
                </c:pt>
                <c:pt idx="524">
                  <c:v>-7.9298329929113009E-2</c:v>
                </c:pt>
                <c:pt idx="525">
                  <c:v>-0.10765349032800753</c:v>
                </c:pt>
                <c:pt idx="526">
                  <c:v>-2.9676799231047268E-2</c:v>
                </c:pt>
                <c:pt idx="527">
                  <c:v>-6.0675237294245621E-2</c:v>
                </c:pt>
                <c:pt idx="528">
                  <c:v>-3.2800672834315425E-2</c:v>
                </c:pt>
                <c:pt idx="529">
                  <c:v>-2.114622131443078E-2</c:v>
                </c:pt>
                <c:pt idx="530">
                  <c:v>-2.8835756337859841E-2</c:v>
                </c:pt>
                <c:pt idx="531">
                  <c:v>-3.6405142376547683E-2</c:v>
                </c:pt>
                <c:pt idx="532">
                  <c:v>-2.9796948215788488E-2</c:v>
                </c:pt>
                <c:pt idx="533">
                  <c:v>-4.457527333894129E-2</c:v>
                </c:pt>
                <c:pt idx="534">
                  <c:v>-2.2227562177100646E-2</c:v>
                </c:pt>
                <c:pt idx="535">
                  <c:v>-2.1026072329689782E-2</c:v>
                </c:pt>
                <c:pt idx="536">
                  <c:v>1.2014898473999835E-4</c:v>
                </c:pt>
                <c:pt idx="537">
                  <c:v>-7.3290880692067351E-3</c:v>
                </c:pt>
                <c:pt idx="538">
                  <c:v>-5.5268532980905505E-3</c:v>
                </c:pt>
                <c:pt idx="539">
                  <c:v>2.763426649043943E-3</c:v>
                </c:pt>
                <c:pt idx="540">
                  <c:v>7.9298329929105016E-3</c:v>
                </c:pt>
                <c:pt idx="541">
                  <c:v>3.4843205574905944E-3</c:v>
                </c:pt>
                <c:pt idx="542">
                  <c:v>2.0425327405982907E-2</c:v>
                </c:pt>
                <c:pt idx="543">
                  <c:v>1.2855941367294843E-2</c:v>
                </c:pt>
                <c:pt idx="544">
                  <c:v>5.5268532980889962E-3</c:v>
                </c:pt>
                <c:pt idx="545">
                  <c:v>-5.5511151231257827E-16</c:v>
                </c:pt>
                <c:pt idx="546">
                  <c:v>1.3336537306259055E-2</c:v>
                </c:pt>
                <c:pt idx="547">
                  <c:v>1.5979814970562778E-2</c:v>
                </c:pt>
                <c:pt idx="548">
                  <c:v>3.9529015979814286E-2</c:v>
                </c:pt>
                <c:pt idx="549">
                  <c:v>3.4362609635947949E-2</c:v>
                </c:pt>
                <c:pt idx="550">
                  <c:v>2.4870839841402592E-2</c:v>
                </c:pt>
                <c:pt idx="551">
                  <c:v>3.5323801513876374E-2</c:v>
                </c:pt>
                <c:pt idx="552">
                  <c:v>4.5896912171091264E-2</c:v>
                </c:pt>
                <c:pt idx="553">
                  <c:v>4.8540189835394987E-2</c:v>
                </c:pt>
                <c:pt idx="554">
                  <c:v>4.6737955064279024E-2</c:v>
                </c:pt>
                <c:pt idx="555">
                  <c:v>3.280067283431376E-2</c:v>
                </c:pt>
                <c:pt idx="556">
                  <c:v>3.1719331971644227E-2</c:v>
                </c:pt>
                <c:pt idx="557">
                  <c:v>2.9676799231045825E-2</c:v>
                </c:pt>
                <c:pt idx="558">
                  <c:v>4.7699146942207671E-2</c:v>
                </c:pt>
                <c:pt idx="559">
                  <c:v>3.3401417758019303E-2</c:v>
                </c:pt>
                <c:pt idx="560">
                  <c:v>3.7246185269733667E-2</c:v>
                </c:pt>
                <c:pt idx="561">
                  <c:v>3.7366334254474998E-2</c:v>
                </c:pt>
                <c:pt idx="562">
                  <c:v>4.3493932476269759E-2</c:v>
                </c:pt>
                <c:pt idx="563">
                  <c:v>5.4187192118225758E-2</c:v>
                </c:pt>
                <c:pt idx="564">
                  <c:v>5.8152108614681453E-2</c:v>
                </c:pt>
                <c:pt idx="565">
                  <c:v>5.1904361408145361E-2</c:v>
                </c:pt>
                <c:pt idx="566">
                  <c:v>5.4667788057190192E-2</c:v>
                </c:pt>
                <c:pt idx="567">
                  <c:v>6.1756578156913822E-2</c:v>
                </c:pt>
                <c:pt idx="568">
                  <c:v>6.8364772317673239E-2</c:v>
                </c:pt>
                <c:pt idx="569">
                  <c:v>5.7791661660458349E-2</c:v>
                </c:pt>
                <c:pt idx="570">
                  <c:v>6.2237174095878034E-2</c:v>
                </c:pt>
                <c:pt idx="571">
                  <c:v>4.9861828667546959E-2</c:v>
                </c:pt>
                <c:pt idx="572">
                  <c:v>5.8752853538386995E-2</c:v>
                </c:pt>
                <c:pt idx="573">
                  <c:v>4.8420040850654322E-2</c:v>
                </c:pt>
                <c:pt idx="574">
                  <c:v>4.5416316232127496E-2</c:v>
                </c:pt>
                <c:pt idx="575">
                  <c:v>3.8327526132403866E-2</c:v>
                </c:pt>
                <c:pt idx="576">
                  <c:v>4.4575273338939958E-2</c:v>
                </c:pt>
                <c:pt idx="577">
                  <c:v>5.3226000240297555E-2</c:v>
                </c:pt>
                <c:pt idx="578">
                  <c:v>4.3133485522046877E-2</c:v>
                </c:pt>
                <c:pt idx="579">
                  <c:v>5.4667788057190414E-2</c:v>
                </c:pt>
                <c:pt idx="580">
                  <c:v>5.5989426889342164E-2</c:v>
                </c:pt>
                <c:pt idx="581">
                  <c:v>5.5028235011413518E-2</c:v>
                </c:pt>
                <c:pt idx="582">
                  <c:v>8.2302054547638281E-2</c:v>
                </c:pt>
                <c:pt idx="583">
                  <c:v>9.8522167487684165E-2</c:v>
                </c:pt>
                <c:pt idx="584">
                  <c:v>9.7801273579237735E-2</c:v>
                </c:pt>
                <c:pt idx="585">
                  <c:v>8.7228162922022623E-2</c:v>
                </c:pt>
                <c:pt idx="586">
                  <c:v>9.6119187792862659E-2</c:v>
                </c:pt>
                <c:pt idx="587">
                  <c:v>0.10272738195362208</c:v>
                </c:pt>
                <c:pt idx="588">
                  <c:v>0.10861468220593506</c:v>
                </c:pt>
                <c:pt idx="589">
                  <c:v>9.9603508350354142E-2</c:v>
                </c:pt>
                <c:pt idx="590">
                  <c:v>9.3475910128559159E-2</c:v>
                </c:pt>
                <c:pt idx="591">
                  <c:v>7.1008049981977406E-2</c:v>
                </c:pt>
                <c:pt idx="592">
                  <c:v>7.3891625615763346E-2</c:v>
                </c:pt>
                <c:pt idx="593">
                  <c:v>8.146101165445141E-2</c:v>
                </c:pt>
                <c:pt idx="594">
                  <c:v>8.3984140334013802E-2</c:v>
                </c:pt>
                <c:pt idx="595">
                  <c:v>8.9510993632103464E-2</c:v>
                </c:pt>
                <c:pt idx="596">
                  <c:v>0.10452961672473848</c:v>
                </c:pt>
                <c:pt idx="597">
                  <c:v>0.10825423525171174</c:v>
                </c:pt>
                <c:pt idx="598">
                  <c:v>9.6840081701309533E-2</c:v>
                </c:pt>
                <c:pt idx="599">
                  <c:v>0.10981617205334615</c:v>
                </c:pt>
                <c:pt idx="600">
                  <c:v>9.3716208098041376E-2</c:v>
                </c:pt>
                <c:pt idx="601">
                  <c:v>8.9510993632103686E-2</c:v>
                </c:pt>
                <c:pt idx="602">
                  <c:v>6.7523729424486145E-2</c:v>
                </c:pt>
                <c:pt idx="603">
                  <c:v>5.4067043133485315E-2</c:v>
                </c:pt>
                <c:pt idx="604">
                  <c:v>4.1931995674636235E-2</c:v>
                </c:pt>
                <c:pt idx="605">
                  <c:v>5.5749128919860391E-2</c:v>
                </c:pt>
                <c:pt idx="606">
                  <c:v>6.3198365973807347E-2</c:v>
                </c:pt>
                <c:pt idx="607">
                  <c:v>5.166406343866381E-2</c:v>
                </c:pt>
                <c:pt idx="608">
                  <c:v>5.6229724858824826E-2</c:v>
                </c:pt>
                <c:pt idx="609">
                  <c:v>6.1516280187432271E-2</c:v>
                </c:pt>
                <c:pt idx="610">
                  <c:v>5.9113300492610765E-2</c:v>
                </c:pt>
                <c:pt idx="611">
                  <c:v>7.2930433737834921E-2</c:v>
                </c:pt>
                <c:pt idx="612">
                  <c:v>9.3115463174336055E-2</c:v>
                </c:pt>
                <c:pt idx="613">
                  <c:v>8.1701309623933627E-2</c:v>
                </c:pt>
                <c:pt idx="614">
                  <c:v>8.1701309623933627E-2</c:v>
                </c:pt>
                <c:pt idx="615">
                  <c:v>7.5453562417397535E-2</c:v>
                </c:pt>
                <c:pt idx="616">
                  <c:v>8.1941607593415622E-2</c:v>
                </c:pt>
                <c:pt idx="617">
                  <c:v>8.278265048660316E-2</c:v>
                </c:pt>
                <c:pt idx="618">
                  <c:v>8.6026673074612203E-2</c:v>
                </c:pt>
                <c:pt idx="619">
                  <c:v>0.10753334134326531</c:v>
                </c:pt>
                <c:pt idx="620">
                  <c:v>0.1014057431214701</c:v>
                </c:pt>
                <c:pt idx="621">
                  <c:v>0.10440946773999693</c:v>
                </c:pt>
                <c:pt idx="622">
                  <c:v>0.10717289438904176</c:v>
                </c:pt>
                <c:pt idx="623">
                  <c:v>0.10717289438904176</c:v>
                </c:pt>
                <c:pt idx="624">
                  <c:v>0.10873483119067573</c:v>
                </c:pt>
                <c:pt idx="625">
                  <c:v>0.10044455124354124</c:v>
                </c:pt>
                <c:pt idx="626">
                  <c:v>9.299531418959428E-2</c:v>
                </c:pt>
                <c:pt idx="627">
                  <c:v>9.7200528655532192E-2</c:v>
                </c:pt>
                <c:pt idx="628">
                  <c:v>0.10489006367896136</c:v>
                </c:pt>
                <c:pt idx="629">
                  <c:v>0.10585125555689023</c:v>
                </c:pt>
                <c:pt idx="630">
                  <c:v>8.7828907845728388E-2</c:v>
                </c:pt>
                <c:pt idx="631">
                  <c:v>8.9871440586326568E-2</c:v>
                </c:pt>
                <c:pt idx="632">
                  <c:v>0.11269974768713165</c:v>
                </c:pt>
                <c:pt idx="633">
                  <c:v>0.10152589210621144</c:v>
                </c:pt>
                <c:pt idx="634">
                  <c:v>9.2634867235371399E-2</c:v>
                </c:pt>
                <c:pt idx="635">
                  <c:v>8.9270695662621247E-2</c:v>
                </c:pt>
                <c:pt idx="636">
                  <c:v>9.1793824342183861E-2</c:v>
                </c:pt>
                <c:pt idx="637">
                  <c:v>9.1793824342183861E-2</c:v>
                </c:pt>
                <c:pt idx="638">
                  <c:v>9.1313228403219426E-2</c:v>
                </c:pt>
                <c:pt idx="639">
                  <c:v>8.5786375105129764E-2</c:v>
                </c:pt>
                <c:pt idx="640">
                  <c:v>8.2302054547638503E-2</c:v>
                </c:pt>
                <c:pt idx="641">
                  <c:v>6.9085666226119891E-2</c:v>
                </c:pt>
                <c:pt idx="642">
                  <c:v>5.5148383996154626E-2</c:v>
                </c:pt>
                <c:pt idx="643">
                  <c:v>6.7403580439744815E-2</c:v>
                </c:pt>
                <c:pt idx="644">
                  <c:v>7.1488645920941396E-2</c:v>
                </c:pt>
                <c:pt idx="645">
                  <c:v>7.6775201249548841E-2</c:v>
                </c:pt>
                <c:pt idx="646">
                  <c:v>6.5481196683887521E-2</c:v>
                </c:pt>
                <c:pt idx="647">
                  <c:v>7.7856542112218374E-2</c:v>
                </c:pt>
                <c:pt idx="648">
                  <c:v>7.9658776883334559E-2</c:v>
                </c:pt>
                <c:pt idx="649">
                  <c:v>7.8697585005405912E-2</c:v>
                </c:pt>
                <c:pt idx="650">
                  <c:v>7.4372221554727114E-2</c:v>
                </c:pt>
                <c:pt idx="651">
                  <c:v>8.0139372822298993E-2</c:v>
                </c:pt>
                <c:pt idx="652">
                  <c:v>6.5361047699146191E-2</c:v>
                </c:pt>
                <c:pt idx="653">
                  <c:v>4.3493932476269759E-2</c:v>
                </c:pt>
                <c:pt idx="654">
                  <c:v>6.0074492370538746E-2</c:v>
                </c:pt>
                <c:pt idx="655">
                  <c:v>7.0647603027753414E-2</c:v>
                </c:pt>
                <c:pt idx="656">
                  <c:v>6.5841643638110181E-2</c:v>
                </c:pt>
                <c:pt idx="657">
                  <c:v>5.7911810645199013E-2</c:v>
                </c:pt>
                <c:pt idx="658">
                  <c:v>5.5869277904600612E-2</c:v>
                </c:pt>
                <c:pt idx="659">
                  <c:v>6.8484921302414126E-2</c:v>
                </c:pt>
                <c:pt idx="660">
                  <c:v>6.4399855821217322E-2</c:v>
                </c:pt>
                <c:pt idx="661">
                  <c:v>6.1155833233208057E-2</c:v>
                </c:pt>
                <c:pt idx="662">
                  <c:v>7.3891625615762457E-2</c:v>
                </c:pt>
                <c:pt idx="663">
                  <c:v>6.9446113180342772E-2</c:v>
                </c:pt>
                <c:pt idx="664">
                  <c:v>6.8965517241378338E-2</c:v>
                </c:pt>
                <c:pt idx="665">
                  <c:v>7.0407305058271197E-2</c:v>
                </c:pt>
                <c:pt idx="666">
                  <c:v>4.9381232728582525E-2</c:v>
                </c:pt>
                <c:pt idx="667">
                  <c:v>3.5323801513876152E-2</c:v>
                </c:pt>
                <c:pt idx="668">
                  <c:v>2.9316352276822277E-2</c:v>
                </c:pt>
                <c:pt idx="669">
                  <c:v>2.2948456085545077E-2</c:v>
                </c:pt>
                <c:pt idx="670">
                  <c:v>1.7902198726419849E-2</c:v>
                </c:pt>
                <c:pt idx="671">
                  <c:v>2.3909647963473724E-2</c:v>
                </c:pt>
                <c:pt idx="672">
                  <c:v>1.8863390604348274E-2</c:v>
                </c:pt>
                <c:pt idx="673">
                  <c:v>3.111858704793824E-2</c:v>
                </c:pt>
                <c:pt idx="674">
                  <c:v>4.0850654811965592E-2</c:v>
                </c:pt>
                <c:pt idx="675">
                  <c:v>5.16640634386627E-2</c:v>
                </c:pt>
                <c:pt idx="676">
                  <c:v>5.9113300492609655E-2</c:v>
                </c:pt>
                <c:pt idx="677">
                  <c:v>5.2144659377626912E-2</c:v>
                </c:pt>
                <c:pt idx="678">
                  <c:v>4.2532740598340668E-2</c:v>
                </c:pt>
                <c:pt idx="679">
                  <c:v>2.6673074612518333E-2</c:v>
                </c:pt>
                <c:pt idx="680">
                  <c:v>2.7514117505705871E-2</c:v>
                </c:pt>
                <c:pt idx="681">
                  <c:v>3.0157395170009593E-2</c:v>
                </c:pt>
                <c:pt idx="682">
                  <c:v>1.477832512315147E-2</c:v>
                </c:pt>
                <c:pt idx="683">
                  <c:v>3.7486483239215218E-2</c:v>
                </c:pt>
                <c:pt idx="684">
                  <c:v>3.952901597981362E-2</c:v>
                </c:pt>
                <c:pt idx="685">
                  <c:v>5.5028235011412852E-2</c:v>
                </c:pt>
                <c:pt idx="686">
                  <c:v>6.8004325363449469E-2</c:v>
                </c:pt>
                <c:pt idx="687">
                  <c:v>7.4131923585244452E-2</c:v>
                </c:pt>
                <c:pt idx="688">
                  <c:v>7.148864592094073E-2</c:v>
                </c:pt>
                <c:pt idx="689">
                  <c:v>6.1756578156913378E-2</c:v>
                </c:pt>
                <c:pt idx="690">
                  <c:v>6.9205815210860111E-2</c:v>
                </c:pt>
                <c:pt idx="691">
                  <c:v>6.2958068004324019E-2</c:v>
                </c:pt>
                <c:pt idx="692">
                  <c:v>5.9473747446832759E-2</c:v>
                </c:pt>
                <c:pt idx="693">
                  <c:v>4.4815571308421065E-2</c:v>
                </c:pt>
                <c:pt idx="694">
                  <c:v>4.2652889583081777E-2</c:v>
                </c:pt>
                <c:pt idx="695">
                  <c:v>6.307821698906535E-2</c:v>
                </c:pt>
                <c:pt idx="696">
                  <c:v>8.4224438303494908E-2</c:v>
                </c:pt>
                <c:pt idx="697">
                  <c:v>8.4945332211941338E-2</c:v>
                </c:pt>
                <c:pt idx="698">
                  <c:v>8.4224438303494908E-2</c:v>
                </c:pt>
                <c:pt idx="699">
                  <c:v>8.1340862669708969E-2</c:v>
                </c:pt>
                <c:pt idx="700">
                  <c:v>8.5906524089869762E-2</c:v>
                </c:pt>
                <c:pt idx="701">
                  <c:v>8.542592815090555E-2</c:v>
                </c:pt>
                <c:pt idx="702">
                  <c:v>9.0231887540548783E-2</c:v>
                </c:pt>
                <c:pt idx="703">
                  <c:v>9.7440826625013521E-2</c:v>
                </c:pt>
                <c:pt idx="704">
                  <c:v>9.9363210380870592E-2</c:v>
                </c:pt>
                <c:pt idx="705">
                  <c:v>0.1015258921062101</c:v>
                </c:pt>
                <c:pt idx="706">
                  <c:v>0.10801393728222819</c:v>
                </c:pt>
                <c:pt idx="707">
                  <c:v>9.9122912411388375E-2</c:v>
                </c:pt>
                <c:pt idx="708">
                  <c:v>9.8882614441906158E-2</c:v>
                </c:pt>
                <c:pt idx="709">
                  <c:v>8.9751291601584349E-2</c:v>
                </c:pt>
                <c:pt idx="710">
                  <c:v>0.10825423525171041</c:v>
                </c:pt>
                <c:pt idx="711">
                  <c:v>0.11930794184788973</c:v>
                </c:pt>
                <c:pt idx="712">
                  <c:v>0.14141535504024838</c:v>
                </c:pt>
                <c:pt idx="713">
                  <c:v>0.12171092154271146</c:v>
                </c:pt>
                <c:pt idx="714">
                  <c:v>0.14141535504024838</c:v>
                </c:pt>
                <c:pt idx="715">
                  <c:v>0.15967800072089244</c:v>
                </c:pt>
                <c:pt idx="716">
                  <c:v>0.16592574792742854</c:v>
                </c:pt>
                <c:pt idx="717">
                  <c:v>0.17097200528655354</c:v>
                </c:pt>
                <c:pt idx="718">
                  <c:v>0.17145260122551775</c:v>
                </c:pt>
                <c:pt idx="719">
                  <c:v>0.1764988585846432</c:v>
                </c:pt>
                <c:pt idx="720">
                  <c:v>0.1697705154391429</c:v>
                </c:pt>
                <c:pt idx="721">
                  <c:v>0.15799591493451715</c:v>
                </c:pt>
                <c:pt idx="722">
                  <c:v>0.18322720173014373</c:v>
                </c:pt>
                <c:pt idx="723">
                  <c:v>0.18995554487564426</c:v>
                </c:pt>
                <c:pt idx="724">
                  <c:v>0.20076895350234136</c:v>
                </c:pt>
                <c:pt idx="725">
                  <c:v>0.20221074131923444</c:v>
                </c:pt>
                <c:pt idx="726">
                  <c:v>0.20100925147182358</c:v>
                </c:pt>
                <c:pt idx="727">
                  <c:v>0.20028835756337715</c:v>
                </c:pt>
                <c:pt idx="728">
                  <c:v>0.20148984741078779</c:v>
                </c:pt>
                <c:pt idx="729">
                  <c:v>0.18394809563859038</c:v>
                </c:pt>
                <c:pt idx="730">
                  <c:v>0.19307941847891241</c:v>
                </c:pt>
                <c:pt idx="731">
                  <c:v>0.21831070527453922</c:v>
                </c:pt>
                <c:pt idx="732">
                  <c:v>0.24690616364291595</c:v>
                </c:pt>
                <c:pt idx="733">
                  <c:v>0.21350474588489599</c:v>
                </c:pt>
                <c:pt idx="734">
                  <c:v>0.23777484080259392</c:v>
                </c:pt>
                <c:pt idx="735">
                  <c:v>0.25387480475789848</c:v>
                </c:pt>
                <c:pt idx="736">
                  <c:v>0.27141655653009589</c:v>
                </c:pt>
                <c:pt idx="737">
                  <c:v>0.28847771236332931</c:v>
                </c:pt>
                <c:pt idx="738">
                  <c:v>0.26949417277423882</c:v>
                </c:pt>
                <c:pt idx="739">
                  <c:v>0.28102847530938235</c:v>
                </c:pt>
                <c:pt idx="740">
                  <c:v>0.26637029917097066</c:v>
                </c:pt>
                <c:pt idx="741">
                  <c:v>0.27405983419439983</c:v>
                </c:pt>
                <c:pt idx="742">
                  <c:v>0.26949417277423859</c:v>
                </c:pt>
                <c:pt idx="743">
                  <c:v>0.27261804637750675</c:v>
                </c:pt>
                <c:pt idx="744">
                  <c:v>0.27261804637750675</c:v>
                </c:pt>
                <c:pt idx="745">
                  <c:v>0.28222996515679299</c:v>
                </c:pt>
                <c:pt idx="746">
                  <c:v>0.27502102607232826</c:v>
                </c:pt>
                <c:pt idx="747">
                  <c:v>0.2735792382554354</c:v>
                </c:pt>
                <c:pt idx="748">
                  <c:v>0.28343145500420386</c:v>
                </c:pt>
                <c:pt idx="749">
                  <c:v>0.27958668749248927</c:v>
                </c:pt>
                <c:pt idx="750">
                  <c:v>0.2481076534903266</c:v>
                </c:pt>
                <c:pt idx="751">
                  <c:v>0.24762705755136238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1C-034B-8998-F804FC096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dateAx>
        <c:axId val="50030001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crossAx val="50030002"/>
        <c:crosses val="autoZero"/>
        <c:auto val="1"/>
        <c:lblOffset val="100"/>
        <c:baseTimeUnit val="days"/>
      </c:dateAx>
      <c:valAx>
        <c:axId val="50030002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Performance vs SPY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9166163196837108E-2"/>
          <c:y val="0.12706775162853948"/>
          <c:w val="0.93410514536602407"/>
          <c:h val="0.76184129142631529"/>
        </c:manualLayout>
      </c:layout>
      <c:lineChart>
        <c:grouping val="standard"/>
        <c:varyColors val="0"/>
        <c:ser>
          <c:idx val="0"/>
          <c:order val="0"/>
          <c:tx>
            <c:strRef>
              <c:f>'Share Price Analysis'!$N$35</c:f>
              <c:strCache>
                <c:ptCount val="1"/>
                <c:pt idx="0">
                  <c:v>Relative vs SPY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'Share Price Analysis'!$A$36:$A$787</c:f>
              <c:numCache>
                <c:formatCode>yyyy\-mm\-dd</c:formatCode>
                <c:ptCount val="752"/>
                <c:pt idx="0">
                  <c:v>44991</c:v>
                </c:pt>
                <c:pt idx="1">
                  <c:v>44992</c:v>
                </c:pt>
                <c:pt idx="2">
                  <c:v>44993</c:v>
                </c:pt>
                <c:pt idx="3">
                  <c:v>44994</c:v>
                </c:pt>
                <c:pt idx="4">
                  <c:v>44995</c:v>
                </c:pt>
                <c:pt idx="5">
                  <c:v>44998</c:v>
                </c:pt>
                <c:pt idx="6">
                  <c:v>44999</c:v>
                </c:pt>
                <c:pt idx="7">
                  <c:v>45000</c:v>
                </c:pt>
                <c:pt idx="8">
                  <c:v>45001</c:v>
                </c:pt>
                <c:pt idx="9">
                  <c:v>45002</c:v>
                </c:pt>
                <c:pt idx="10">
                  <c:v>45005</c:v>
                </c:pt>
                <c:pt idx="11">
                  <c:v>45006</c:v>
                </c:pt>
                <c:pt idx="12">
                  <c:v>45007</c:v>
                </c:pt>
                <c:pt idx="13">
                  <c:v>45008</c:v>
                </c:pt>
                <c:pt idx="14">
                  <c:v>45009</c:v>
                </c:pt>
                <c:pt idx="15">
                  <c:v>45012</c:v>
                </c:pt>
                <c:pt idx="16">
                  <c:v>45013</c:v>
                </c:pt>
                <c:pt idx="17">
                  <c:v>45014</c:v>
                </c:pt>
                <c:pt idx="18">
                  <c:v>45015</c:v>
                </c:pt>
                <c:pt idx="19">
                  <c:v>45016</c:v>
                </c:pt>
                <c:pt idx="20">
                  <c:v>45019</c:v>
                </c:pt>
                <c:pt idx="21">
                  <c:v>45020</c:v>
                </c:pt>
                <c:pt idx="22">
                  <c:v>45021</c:v>
                </c:pt>
                <c:pt idx="23">
                  <c:v>45022</c:v>
                </c:pt>
                <c:pt idx="24">
                  <c:v>45026</c:v>
                </c:pt>
                <c:pt idx="25">
                  <c:v>45027</c:v>
                </c:pt>
                <c:pt idx="26">
                  <c:v>45028</c:v>
                </c:pt>
                <c:pt idx="27">
                  <c:v>45029</c:v>
                </c:pt>
                <c:pt idx="28">
                  <c:v>45030</c:v>
                </c:pt>
                <c:pt idx="29">
                  <c:v>45033</c:v>
                </c:pt>
                <c:pt idx="30">
                  <c:v>45034</c:v>
                </c:pt>
                <c:pt idx="31">
                  <c:v>45035</c:v>
                </c:pt>
                <c:pt idx="32">
                  <c:v>45036</c:v>
                </c:pt>
                <c:pt idx="33">
                  <c:v>45037</c:v>
                </c:pt>
                <c:pt idx="34">
                  <c:v>45040</c:v>
                </c:pt>
                <c:pt idx="35">
                  <c:v>45041</c:v>
                </c:pt>
                <c:pt idx="36">
                  <c:v>45042</c:v>
                </c:pt>
                <c:pt idx="37">
                  <c:v>45043</c:v>
                </c:pt>
                <c:pt idx="38">
                  <c:v>45044</c:v>
                </c:pt>
                <c:pt idx="39">
                  <c:v>45047</c:v>
                </c:pt>
                <c:pt idx="40">
                  <c:v>45048</c:v>
                </c:pt>
                <c:pt idx="41">
                  <c:v>45049</c:v>
                </c:pt>
                <c:pt idx="42">
                  <c:v>45050</c:v>
                </c:pt>
                <c:pt idx="43">
                  <c:v>45051</c:v>
                </c:pt>
                <c:pt idx="44">
                  <c:v>45054</c:v>
                </c:pt>
                <c:pt idx="45">
                  <c:v>45055</c:v>
                </c:pt>
                <c:pt idx="46">
                  <c:v>45056</c:v>
                </c:pt>
                <c:pt idx="47">
                  <c:v>45057</c:v>
                </c:pt>
                <c:pt idx="48">
                  <c:v>45058</c:v>
                </c:pt>
                <c:pt idx="49">
                  <c:v>45061</c:v>
                </c:pt>
                <c:pt idx="50">
                  <c:v>45062</c:v>
                </c:pt>
                <c:pt idx="51">
                  <c:v>45063</c:v>
                </c:pt>
                <c:pt idx="52">
                  <c:v>45064</c:v>
                </c:pt>
                <c:pt idx="53">
                  <c:v>45065</c:v>
                </c:pt>
                <c:pt idx="54">
                  <c:v>45068</c:v>
                </c:pt>
                <c:pt idx="55">
                  <c:v>45069</c:v>
                </c:pt>
                <c:pt idx="56">
                  <c:v>45070</c:v>
                </c:pt>
                <c:pt idx="57">
                  <c:v>45071</c:v>
                </c:pt>
                <c:pt idx="58">
                  <c:v>45072</c:v>
                </c:pt>
                <c:pt idx="59">
                  <c:v>45076</c:v>
                </c:pt>
                <c:pt idx="60">
                  <c:v>45077</c:v>
                </c:pt>
                <c:pt idx="61">
                  <c:v>45078</c:v>
                </c:pt>
                <c:pt idx="62">
                  <c:v>45079</c:v>
                </c:pt>
                <c:pt idx="63">
                  <c:v>45082</c:v>
                </c:pt>
                <c:pt idx="64">
                  <c:v>45083</c:v>
                </c:pt>
                <c:pt idx="65">
                  <c:v>45084</c:v>
                </c:pt>
                <c:pt idx="66">
                  <c:v>45085</c:v>
                </c:pt>
                <c:pt idx="67">
                  <c:v>45086</c:v>
                </c:pt>
                <c:pt idx="68">
                  <c:v>45089</c:v>
                </c:pt>
                <c:pt idx="69">
                  <c:v>45090</c:v>
                </c:pt>
                <c:pt idx="70">
                  <c:v>45091</c:v>
                </c:pt>
                <c:pt idx="71">
                  <c:v>45092</c:v>
                </c:pt>
                <c:pt idx="72">
                  <c:v>45093</c:v>
                </c:pt>
                <c:pt idx="73">
                  <c:v>45097</c:v>
                </c:pt>
                <c:pt idx="74">
                  <c:v>45098</c:v>
                </c:pt>
                <c:pt idx="75">
                  <c:v>45099</c:v>
                </c:pt>
                <c:pt idx="76">
                  <c:v>45100</c:v>
                </c:pt>
                <c:pt idx="77">
                  <c:v>45103</c:v>
                </c:pt>
                <c:pt idx="78">
                  <c:v>45104</c:v>
                </c:pt>
                <c:pt idx="79">
                  <c:v>45105</c:v>
                </c:pt>
                <c:pt idx="80">
                  <c:v>45106</c:v>
                </c:pt>
                <c:pt idx="81">
                  <c:v>45107</c:v>
                </c:pt>
                <c:pt idx="82">
                  <c:v>45110</c:v>
                </c:pt>
                <c:pt idx="83">
                  <c:v>45112</c:v>
                </c:pt>
                <c:pt idx="84">
                  <c:v>45113</c:v>
                </c:pt>
                <c:pt idx="85">
                  <c:v>45114</c:v>
                </c:pt>
                <c:pt idx="86">
                  <c:v>45117</c:v>
                </c:pt>
                <c:pt idx="87">
                  <c:v>45118</c:v>
                </c:pt>
                <c:pt idx="88">
                  <c:v>45119</c:v>
                </c:pt>
                <c:pt idx="89">
                  <c:v>45120</c:v>
                </c:pt>
                <c:pt idx="90">
                  <c:v>45121</c:v>
                </c:pt>
                <c:pt idx="91">
                  <c:v>45124</c:v>
                </c:pt>
                <c:pt idx="92">
                  <c:v>45125</c:v>
                </c:pt>
                <c:pt idx="93">
                  <c:v>45126</c:v>
                </c:pt>
                <c:pt idx="94">
                  <c:v>45127</c:v>
                </c:pt>
                <c:pt idx="95">
                  <c:v>45128</c:v>
                </c:pt>
                <c:pt idx="96">
                  <c:v>45131</c:v>
                </c:pt>
                <c:pt idx="97">
                  <c:v>45132</c:v>
                </c:pt>
                <c:pt idx="98">
                  <c:v>45133</c:v>
                </c:pt>
                <c:pt idx="99">
                  <c:v>45134</c:v>
                </c:pt>
                <c:pt idx="100">
                  <c:v>45135</c:v>
                </c:pt>
                <c:pt idx="101">
                  <c:v>45138</c:v>
                </c:pt>
                <c:pt idx="102">
                  <c:v>45139</c:v>
                </c:pt>
                <c:pt idx="103">
                  <c:v>45140</c:v>
                </c:pt>
                <c:pt idx="104">
                  <c:v>45141</c:v>
                </c:pt>
                <c:pt idx="105">
                  <c:v>45142</c:v>
                </c:pt>
                <c:pt idx="106">
                  <c:v>45145</c:v>
                </c:pt>
                <c:pt idx="107">
                  <c:v>45146</c:v>
                </c:pt>
                <c:pt idx="108">
                  <c:v>45147</c:v>
                </c:pt>
                <c:pt idx="109">
                  <c:v>45148</c:v>
                </c:pt>
                <c:pt idx="110">
                  <c:v>45149</c:v>
                </c:pt>
                <c:pt idx="111">
                  <c:v>45152</c:v>
                </c:pt>
                <c:pt idx="112">
                  <c:v>45153</c:v>
                </c:pt>
                <c:pt idx="113">
                  <c:v>45154</c:v>
                </c:pt>
                <c:pt idx="114">
                  <c:v>45155</c:v>
                </c:pt>
                <c:pt idx="115">
                  <c:v>45156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45166</c:v>
                </c:pt>
                <c:pt idx="122">
                  <c:v>45167</c:v>
                </c:pt>
                <c:pt idx="123">
                  <c:v>45168</c:v>
                </c:pt>
                <c:pt idx="124">
                  <c:v>45169</c:v>
                </c:pt>
                <c:pt idx="125">
                  <c:v>45170</c:v>
                </c:pt>
                <c:pt idx="126">
                  <c:v>45174</c:v>
                </c:pt>
                <c:pt idx="127">
                  <c:v>45175</c:v>
                </c:pt>
                <c:pt idx="128">
                  <c:v>45176</c:v>
                </c:pt>
                <c:pt idx="129">
                  <c:v>45177</c:v>
                </c:pt>
                <c:pt idx="130">
                  <c:v>45180</c:v>
                </c:pt>
                <c:pt idx="131">
                  <c:v>45181</c:v>
                </c:pt>
                <c:pt idx="132">
                  <c:v>45182</c:v>
                </c:pt>
                <c:pt idx="133">
                  <c:v>45183</c:v>
                </c:pt>
                <c:pt idx="134">
                  <c:v>45184</c:v>
                </c:pt>
                <c:pt idx="135">
                  <c:v>45187</c:v>
                </c:pt>
                <c:pt idx="136">
                  <c:v>45188</c:v>
                </c:pt>
                <c:pt idx="137">
                  <c:v>45189</c:v>
                </c:pt>
                <c:pt idx="138">
                  <c:v>45190</c:v>
                </c:pt>
                <c:pt idx="139">
                  <c:v>45191</c:v>
                </c:pt>
                <c:pt idx="140">
                  <c:v>45194</c:v>
                </c:pt>
                <c:pt idx="141">
                  <c:v>45195</c:v>
                </c:pt>
                <c:pt idx="142">
                  <c:v>45196</c:v>
                </c:pt>
                <c:pt idx="143">
                  <c:v>45197</c:v>
                </c:pt>
                <c:pt idx="144">
                  <c:v>45198</c:v>
                </c:pt>
                <c:pt idx="145">
                  <c:v>45201</c:v>
                </c:pt>
                <c:pt idx="146">
                  <c:v>45202</c:v>
                </c:pt>
                <c:pt idx="147">
                  <c:v>45203</c:v>
                </c:pt>
                <c:pt idx="148">
                  <c:v>45204</c:v>
                </c:pt>
                <c:pt idx="149">
                  <c:v>45205</c:v>
                </c:pt>
                <c:pt idx="150">
                  <c:v>45208</c:v>
                </c:pt>
                <c:pt idx="151">
                  <c:v>45209</c:v>
                </c:pt>
                <c:pt idx="152">
                  <c:v>45210</c:v>
                </c:pt>
                <c:pt idx="153">
                  <c:v>45211</c:v>
                </c:pt>
                <c:pt idx="154">
                  <c:v>45212</c:v>
                </c:pt>
                <c:pt idx="155">
                  <c:v>45215</c:v>
                </c:pt>
                <c:pt idx="156">
                  <c:v>45216</c:v>
                </c:pt>
                <c:pt idx="157">
                  <c:v>45217</c:v>
                </c:pt>
                <c:pt idx="158">
                  <c:v>45218</c:v>
                </c:pt>
                <c:pt idx="159">
                  <c:v>45219</c:v>
                </c:pt>
                <c:pt idx="160">
                  <c:v>45222</c:v>
                </c:pt>
                <c:pt idx="161">
                  <c:v>45223</c:v>
                </c:pt>
                <c:pt idx="162">
                  <c:v>45224</c:v>
                </c:pt>
                <c:pt idx="163">
                  <c:v>45225</c:v>
                </c:pt>
                <c:pt idx="164">
                  <c:v>45226</c:v>
                </c:pt>
                <c:pt idx="165">
                  <c:v>45229</c:v>
                </c:pt>
                <c:pt idx="166">
                  <c:v>45230</c:v>
                </c:pt>
                <c:pt idx="167">
                  <c:v>45231</c:v>
                </c:pt>
                <c:pt idx="168">
                  <c:v>45232</c:v>
                </c:pt>
                <c:pt idx="169">
                  <c:v>45233</c:v>
                </c:pt>
                <c:pt idx="170">
                  <c:v>45236</c:v>
                </c:pt>
                <c:pt idx="171">
                  <c:v>45237</c:v>
                </c:pt>
                <c:pt idx="172">
                  <c:v>45238</c:v>
                </c:pt>
                <c:pt idx="173">
                  <c:v>45239</c:v>
                </c:pt>
                <c:pt idx="174">
                  <c:v>45240</c:v>
                </c:pt>
                <c:pt idx="175">
                  <c:v>45243</c:v>
                </c:pt>
                <c:pt idx="176">
                  <c:v>45244</c:v>
                </c:pt>
                <c:pt idx="177">
                  <c:v>45245</c:v>
                </c:pt>
                <c:pt idx="178">
                  <c:v>45246</c:v>
                </c:pt>
                <c:pt idx="179">
                  <c:v>45247</c:v>
                </c:pt>
                <c:pt idx="180">
                  <c:v>45250</c:v>
                </c:pt>
                <c:pt idx="181">
                  <c:v>45251</c:v>
                </c:pt>
                <c:pt idx="182">
                  <c:v>45252</c:v>
                </c:pt>
                <c:pt idx="183">
                  <c:v>45254</c:v>
                </c:pt>
                <c:pt idx="184">
                  <c:v>45257</c:v>
                </c:pt>
                <c:pt idx="185">
                  <c:v>45258</c:v>
                </c:pt>
                <c:pt idx="186">
                  <c:v>45259</c:v>
                </c:pt>
                <c:pt idx="187">
                  <c:v>45260</c:v>
                </c:pt>
                <c:pt idx="188">
                  <c:v>45261</c:v>
                </c:pt>
                <c:pt idx="189">
                  <c:v>45264</c:v>
                </c:pt>
                <c:pt idx="190">
                  <c:v>45265</c:v>
                </c:pt>
                <c:pt idx="191">
                  <c:v>45266</c:v>
                </c:pt>
                <c:pt idx="192">
                  <c:v>45267</c:v>
                </c:pt>
                <c:pt idx="193">
                  <c:v>45268</c:v>
                </c:pt>
                <c:pt idx="194">
                  <c:v>45271</c:v>
                </c:pt>
                <c:pt idx="195">
                  <c:v>45272</c:v>
                </c:pt>
                <c:pt idx="196">
                  <c:v>45273</c:v>
                </c:pt>
                <c:pt idx="197">
                  <c:v>45274</c:v>
                </c:pt>
                <c:pt idx="198">
                  <c:v>45275</c:v>
                </c:pt>
                <c:pt idx="199">
                  <c:v>45278</c:v>
                </c:pt>
                <c:pt idx="200">
                  <c:v>45279</c:v>
                </c:pt>
                <c:pt idx="201">
                  <c:v>45280</c:v>
                </c:pt>
                <c:pt idx="202">
                  <c:v>45281</c:v>
                </c:pt>
                <c:pt idx="203">
                  <c:v>45282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45307</c:v>
                </c:pt>
                <c:pt idx="218">
                  <c:v>45308</c:v>
                </c:pt>
                <c:pt idx="219">
                  <c:v>45309</c:v>
                </c:pt>
                <c:pt idx="220">
                  <c:v>45310</c:v>
                </c:pt>
                <c:pt idx="221">
                  <c:v>45313</c:v>
                </c:pt>
                <c:pt idx="222">
                  <c:v>45314</c:v>
                </c:pt>
                <c:pt idx="223">
                  <c:v>45315</c:v>
                </c:pt>
                <c:pt idx="224">
                  <c:v>45316</c:v>
                </c:pt>
                <c:pt idx="225">
                  <c:v>45317</c:v>
                </c:pt>
                <c:pt idx="226">
                  <c:v>45320</c:v>
                </c:pt>
                <c:pt idx="227">
                  <c:v>45321</c:v>
                </c:pt>
                <c:pt idx="228">
                  <c:v>45322</c:v>
                </c:pt>
                <c:pt idx="229">
                  <c:v>45323</c:v>
                </c:pt>
                <c:pt idx="230">
                  <c:v>45324</c:v>
                </c:pt>
                <c:pt idx="231">
                  <c:v>45327</c:v>
                </c:pt>
                <c:pt idx="232">
                  <c:v>45328</c:v>
                </c:pt>
                <c:pt idx="233">
                  <c:v>45329</c:v>
                </c:pt>
                <c:pt idx="234">
                  <c:v>45330</c:v>
                </c:pt>
                <c:pt idx="235">
                  <c:v>45331</c:v>
                </c:pt>
                <c:pt idx="236">
                  <c:v>45334</c:v>
                </c:pt>
                <c:pt idx="237">
                  <c:v>45335</c:v>
                </c:pt>
                <c:pt idx="238">
                  <c:v>45336</c:v>
                </c:pt>
                <c:pt idx="239">
                  <c:v>45337</c:v>
                </c:pt>
                <c:pt idx="240">
                  <c:v>45338</c:v>
                </c:pt>
                <c:pt idx="241">
                  <c:v>45342</c:v>
                </c:pt>
                <c:pt idx="242">
                  <c:v>45343</c:v>
                </c:pt>
                <c:pt idx="243">
                  <c:v>45344</c:v>
                </c:pt>
                <c:pt idx="244">
                  <c:v>45345</c:v>
                </c:pt>
                <c:pt idx="245">
                  <c:v>45348</c:v>
                </c:pt>
                <c:pt idx="246">
                  <c:v>45349</c:v>
                </c:pt>
                <c:pt idx="247">
                  <c:v>45350</c:v>
                </c:pt>
                <c:pt idx="248">
                  <c:v>45351</c:v>
                </c:pt>
                <c:pt idx="249">
                  <c:v>45352</c:v>
                </c:pt>
                <c:pt idx="250">
                  <c:v>45355</c:v>
                </c:pt>
                <c:pt idx="251">
                  <c:v>45356</c:v>
                </c:pt>
                <c:pt idx="252">
                  <c:v>45357</c:v>
                </c:pt>
                <c:pt idx="253">
                  <c:v>45358</c:v>
                </c:pt>
                <c:pt idx="254">
                  <c:v>45359</c:v>
                </c:pt>
                <c:pt idx="255">
                  <c:v>45362</c:v>
                </c:pt>
                <c:pt idx="256">
                  <c:v>45363</c:v>
                </c:pt>
                <c:pt idx="257">
                  <c:v>45364</c:v>
                </c:pt>
                <c:pt idx="258">
                  <c:v>45365</c:v>
                </c:pt>
                <c:pt idx="259">
                  <c:v>45366</c:v>
                </c:pt>
                <c:pt idx="260">
                  <c:v>45369</c:v>
                </c:pt>
                <c:pt idx="261">
                  <c:v>45370</c:v>
                </c:pt>
                <c:pt idx="262">
                  <c:v>45371</c:v>
                </c:pt>
                <c:pt idx="263">
                  <c:v>45372</c:v>
                </c:pt>
                <c:pt idx="264">
                  <c:v>45373</c:v>
                </c:pt>
                <c:pt idx="265">
                  <c:v>45376</c:v>
                </c:pt>
                <c:pt idx="266">
                  <c:v>45377</c:v>
                </c:pt>
                <c:pt idx="267">
                  <c:v>45378</c:v>
                </c:pt>
                <c:pt idx="268">
                  <c:v>45379</c:v>
                </c:pt>
                <c:pt idx="269">
                  <c:v>45383</c:v>
                </c:pt>
                <c:pt idx="270">
                  <c:v>45384</c:v>
                </c:pt>
                <c:pt idx="271">
                  <c:v>45385</c:v>
                </c:pt>
                <c:pt idx="272">
                  <c:v>45386</c:v>
                </c:pt>
                <c:pt idx="273">
                  <c:v>45387</c:v>
                </c:pt>
                <c:pt idx="274">
                  <c:v>45390</c:v>
                </c:pt>
                <c:pt idx="275">
                  <c:v>45391</c:v>
                </c:pt>
                <c:pt idx="276">
                  <c:v>45392</c:v>
                </c:pt>
                <c:pt idx="277">
                  <c:v>45393</c:v>
                </c:pt>
                <c:pt idx="278">
                  <c:v>45394</c:v>
                </c:pt>
                <c:pt idx="279">
                  <c:v>45397</c:v>
                </c:pt>
                <c:pt idx="280">
                  <c:v>45398</c:v>
                </c:pt>
                <c:pt idx="281">
                  <c:v>45399</c:v>
                </c:pt>
                <c:pt idx="282">
                  <c:v>45400</c:v>
                </c:pt>
                <c:pt idx="283">
                  <c:v>45401</c:v>
                </c:pt>
                <c:pt idx="284">
                  <c:v>45404</c:v>
                </c:pt>
                <c:pt idx="285">
                  <c:v>45405</c:v>
                </c:pt>
                <c:pt idx="286">
                  <c:v>45406</c:v>
                </c:pt>
                <c:pt idx="287">
                  <c:v>45407</c:v>
                </c:pt>
                <c:pt idx="288">
                  <c:v>45408</c:v>
                </c:pt>
                <c:pt idx="289">
                  <c:v>45411</c:v>
                </c:pt>
                <c:pt idx="290">
                  <c:v>45412</c:v>
                </c:pt>
                <c:pt idx="291">
                  <c:v>45413</c:v>
                </c:pt>
                <c:pt idx="292">
                  <c:v>45414</c:v>
                </c:pt>
                <c:pt idx="293">
                  <c:v>45415</c:v>
                </c:pt>
                <c:pt idx="294">
                  <c:v>45418</c:v>
                </c:pt>
                <c:pt idx="295">
                  <c:v>45419</c:v>
                </c:pt>
                <c:pt idx="296">
                  <c:v>45420</c:v>
                </c:pt>
                <c:pt idx="297">
                  <c:v>45421</c:v>
                </c:pt>
                <c:pt idx="298">
                  <c:v>45422</c:v>
                </c:pt>
                <c:pt idx="299">
                  <c:v>45425</c:v>
                </c:pt>
                <c:pt idx="300">
                  <c:v>45426</c:v>
                </c:pt>
                <c:pt idx="301">
                  <c:v>45427</c:v>
                </c:pt>
                <c:pt idx="302">
                  <c:v>45428</c:v>
                </c:pt>
                <c:pt idx="303">
                  <c:v>45429</c:v>
                </c:pt>
                <c:pt idx="304">
                  <c:v>45432</c:v>
                </c:pt>
                <c:pt idx="305">
                  <c:v>45433</c:v>
                </c:pt>
                <c:pt idx="306">
                  <c:v>45434</c:v>
                </c:pt>
                <c:pt idx="307">
                  <c:v>45435</c:v>
                </c:pt>
                <c:pt idx="308">
                  <c:v>45436</c:v>
                </c:pt>
                <c:pt idx="309">
                  <c:v>45440</c:v>
                </c:pt>
                <c:pt idx="310">
                  <c:v>45441</c:v>
                </c:pt>
                <c:pt idx="311">
                  <c:v>45442</c:v>
                </c:pt>
                <c:pt idx="312">
                  <c:v>45443</c:v>
                </c:pt>
                <c:pt idx="313">
                  <c:v>45446</c:v>
                </c:pt>
                <c:pt idx="314">
                  <c:v>45447</c:v>
                </c:pt>
                <c:pt idx="315">
                  <c:v>45448</c:v>
                </c:pt>
                <c:pt idx="316">
                  <c:v>45449</c:v>
                </c:pt>
                <c:pt idx="317">
                  <c:v>45450</c:v>
                </c:pt>
                <c:pt idx="318">
                  <c:v>45453</c:v>
                </c:pt>
                <c:pt idx="319">
                  <c:v>45454</c:v>
                </c:pt>
                <c:pt idx="320">
                  <c:v>45455</c:v>
                </c:pt>
                <c:pt idx="321">
                  <c:v>45456</c:v>
                </c:pt>
                <c:pt idx="322">
                  <c:v>45457</c:v>
                </c:pt>
                <c:pt idx="323">
                  <c:v>45460</c:v>
                </c:pt>
                <c:pt idx="324">
                  <c:v>45461</c:v>
                </c:pt>
                <c:pt idx="325">
                  <c:v>45463</c:v>
                </c:pt>
                <c:pt idx="326">
                  <c:v>45464</c:v>
                </c:pt>
                <c:pt idx="327">
                  <c:v>45467</c:v>
                </c:pt>
                <c:pt idx="328">
                  <c:v>45468</c:v>
                </c:pt>
                <c:pt idx="329">
                  <c:v>45469</c:v>
                </c:pt>
                <c:pt idx="330">
                  <c:v>45470</c:v>
                </c:pt>
                <c:pt idx="331">
                  <c:v>45471</c:v>
                </c:pt>
                <c:pt idx="332">
                  <c:v>45474</c:v>
                </c:pt>
                <c:pt idx="333">
                  <c:v>45475</c:v>
                </c:pt>
                <c:pt idx="334">
                  <c:v>45476</c:v>
                </c:pt>
                <c:pt idx="335">
                  <c:v>45478</c:v>
                </c:pt>
                <c:pt idx="336">
                  <c:v>45481</c:v>
                </c:pt>
                <c:pt idx="337">
                  <c:v>45482</c:v>
                </c:pt>
                <c:pt idx="338">
                  <c:v>45483</c:v>
                </c:pt>
                <c:pt idx="339">
                  <c:v>45484</c:v>
                </c:pt>
                <c:pt idx="340">
                  <c:v>45485</c:v>
                </c:pt>
                <c:pt idx="341">
                  <c:v>45488</c:v>
                </c:pt>
                <c:pt idx="342">
                  <c:v>45489</c:v>
                </c:pt>
                <c:pt idx="343">
                  <c:v>45490</c:v>
                </c:pt>
                <c:pt idx="344">
                  <c:v>45491</c:v>
                </c:pt>
                <c:pt idx="345">
                  <c:v>45492</c:v>
                </c:pt>
                <c:pt idx="346">
                  <c:v>45495</c:v>
                </c:pt>
                <c:pt idx="347">
                  <c:v>45496</c:v>
                </c:pt>
                <c:pt idx="348">
                  <c:v>45497</c:v>
                </c:pt>
                <c:pt idx="349">
                  <c:v>45498</c:v>
                </c:pt>
                <c:pt idx="350">
                  <c:v>45499</c:v>
                </c:pt>
                <c:pt idx="351">
                  <c:v>45502</c:v>
                </c:pt>
                <c:pt idx="352">
                  <c:v>45503</c:v>
                </c:pt>
                <c:pt idx="353">
                  <c:v>45504</c:v>
                </c:pt>
                <c:pt idx="354">
                  <c:v>45505</c:v>
                </c:pt>
                <c:pt idx="355">
                  <c:v>45506</c:v>
                </c:pt>
                <c:pt idx="356">
                  <c:v>45509</c:v>
                </c:pt>
                <c:pt idx="357">
                  <c:v>45510</c:v>
                </c:pt>
                <c:pt idx="358">
                  <c:v>45511</c:v>
                </c:pt>
                <c:pt idx="359">
                  <c:v>45512</c:v>
                </c:pt>
                <c:pt idx="360">
                  <c:v>45513</c:v>
                </c:pt>
                <c:pt idx="361">
                  <c:v>45516</c:v>
                </c:pt>
                <c:pt idx="362">
                  <c:v>45517</c:v>
                </c:pt>
                <c:pt idx="363">
                  <c:v>45518</c:v>
                </c:pt>
                <c:pt idx="364">
                  <c:v>45519</c:v>
                </c:pt>
                <c:pt idx="365">
                  <c:v>45520</c:v>
                </c:pt>
                <c:pt idx="366">
                  <c:v>45523</c:v>
                </c:pt>
                <c:pt idx="367">
                  <c:v>45524</c:v>
                </c:pt>
                <c:pt idx="368">
                  <c:v>45525</c:v>
                </c:pt>
                <c:pt idx="369">
                  <c:v>45526</c:v>
                </c:pt>
                <c:pt idx="370">
                  <c:v>45527</c:v>
                </c:pt>
                <c:pt idx="371">
                  <c:v>45530</c:v>
                </c:pt>
                <c:pt idx="372">
                  <c:v>45531</c:v>
                </c:pt>
                <c:pt idx="373">
                  <c:v>45532</c:v>
                </c:pt>
                <c:pt idx="374">
                  <c:v>45533</c:v>
                </c:pt>
                <c:pt idx="375">
                  <c:v>45534</c:v>
                </c:pt>
                <c:pt idx="376">
                  <c:v>45538</c:v>
                </c:pt>
                <c:pt idx="377">
                  <c:v>45539</c:v>
                </c:pt>
                <c:pt idx="378">
                  <c:v>45540</c:v>
                </c:pt>
                <c:pt idx="379">
                  <c:v>45541</c:v>
                </c:pt>
                <c:pt idx="380">
                  <c:v>45544</c:v>
                </c:pt>
                <c:pt idx="381">
                  <c:v>45545</c:v>
                </c:pt>
                <c:pt idx="382">
                  <c:v>45546</c:v>
                </c:pt>
                <c:pt idx="383">
                  <c:v>45547</c:v>
                </c:pt>
                <c:pt idx="384">
                  <c:v>45548</c:v>
                </c:pt>
                <c:pt idx="385">
                  <c:v>45551</c:v>
                </c:pt>
                <c:pt idx="386">
                  <c:v>45552</c:v>
                </c:pt>
                <c:pt idx="387">
                  <c:v>45553</c:v>
                </c:pt>
                <c:pt idx="388">
                  <c:v>45554</c:v>
                </c:pt>
                <c:pt idx="389">
                  <c:v>45555</c:v>
                </c:pt>
                <c:pt idx="390">
                  <c:v>45558</c:v>
                </c:pt>
                <c:pt idx="391">
                  <c:v>45559</c:v>
                </c:pt>
                <c:pt idx="392">
                  <c:v>45560</c:v>
                </c:pt>
                <c:pt idx="393">
                  <c:v>45561</c:v>
                </c:pt>
                <c:pt idx="394">
                  <c:v>45562</c:v>
                </c:pt>
                <c:pt idx="395">
                  <c:v>45565</c:v>
                </c:pt>
                <c:pt idx="396">
                  <c:v>45566</c:v>
                </c:pt>
                <c:pt idx="397">
                  <c:v>45567</c:v>
                </c:pt>
                <c:pt idx="398">
                  <c:v>45568</c:v>
                </c:pt>
                <c:pt idx="399">
                  <c:v>45569</c:v>
                </c:pt>
                <c:pt idx="400">
                  <c:v>45572</c:v>
                </c:pt>
                <c:pt idx="401">
                  <c:v>45573</c:v>
                </c:pt>
                <c:pt idx="402">
                  <c:v>45574</c:v>
                </c:pt>
                <c:pt idx="403">
                  <c:v>45575</c:v>
                </c:pt>
                <c:pt idx="404">
                  <c:v>45576</c:v>
                </c:pt>
                <c:pt idx="405">
                  <c:v>45579</c:v>
                </c:pt>
                <c:pt idx="406">
                  <c:v>45580</c:v>
                </c:pt>
                <c:pt idx="407">
                  <c:v>45581</c:v>
                </c:pt>
                <c:pt idx="408">
                  <c:v>45582</c:v>
                </c:pt>
                <c:pt idx="409">
                  <c:v>45583</c:v>
                </c:pt>
                <c:pt idx="410">
                  <c:v>45586</c:v>
                </c:pt>
                <c:pt idx="411">
                  <c:v>45587</c:v>
                </c:pt>
                <c:pt idx="412">
                  <c:v>45588</c:v>
                </c:pt>
                <c:pt idx="413">
                  <c:v>45589</c:v>
                </c:pt>
                <c:pt idx="414">
                  <c:v>45590</c:v>
                </c:pt>
                <c:pt idx="415">
                  <c:v>45593</c:v>
                </c:pt>
                <c:pt idx="416">
                  <c:v>45594</c:v>
                </c:pt>
                <c:pt idx="417">
                  <c:v>45595</c:v>
                </c:pt>
                <c:pt idx="418">
                  <c:v>45596</c:v>
                </c:pt>
                <c:pt idx="419">
                  <c:v>45597</c:v>
                </c:pt>
                <c:pt idx="420">
                  <c:v>45600</c:v>
                </c:pt>
                <c:pt idx="421">
                  <c:v>45601</c:v>
                </c:pt>
                <c:pt idx="422">
                  <c:v>45602</c:v>
                </c:pt>
                <c:pt idx="423">
                  <c:v>45603</c:v>
                </c:pt>
                <c:pt idx="424">
                  <c:v>45604</c:v>
                </c:pt>
                <c:pt idx="425">
                  <c:v>45607</c:v>
                </c:pt>
                <c:pt idx="426">
                  <c:v>45608</c:v>
                </c:pt>
                <c:pt idx="427">
                  <c:v>45609</c:v>
                </c:pt>
                <c:pt idx="428">
                  <c:v>45610</c:v>
                </c:pt>
                <c:pt idx="429">
                  <c:v>45611</c:v>
                </c:pt>
                <c:pt idx="430">
                  <c:v>45614</c:v>
                </c:pt>
                <c:pt idx="431">
                  <c:v>45615</c:v>
                </c:pt>
                <c:pt idx="432">
                  <c:v>45616</c:v>
                </c:pt>
                <c:pt idx="433">
                  <c:v>45617</c:v>
                </c:pt>
                <c:pt idx="434">
                  <c:v>45618</c:v>
                </c:pt>
                <c:pt idx="435">
                  <c:v>45621</c:v>
                </c:pt>
                <c:pt idx="436">
                  <c:v>45622</c:v>
                </c:pt>
                <c:pt idx="437">
                  <c:v>45623</c:v>
                </c:pt>
                <c:pt idx="438">
                  <c:v>45625</c:v>
                </c:pt>
                <c:pt idx="439">
                  <c:v>45628</c:v>
                </c:pt>
                <c:pt idx="440">
                  <c:v>45629</c:v>
                </c:pt>
                <c:pt idx="441">
                  <c:v>45630</c:v>
                </c:pt>
                <c:pt idx="442">
                  <c:v>45631</c:v>
                </c:pt>
                <c:pt idx="443">
                  <c:v>45632</c:v>
                </c:pt>
                <c:pt idx="444">
                  <c:v>45635</c:v>
                </c:pt>
                <c:pt idx="445">
                  <c:v>45636</c:v>
                </c:pt>
                <c:pt idx="446">
                  <c:v>45637</c:v>
                </c:pt>
                <c:pt idx="447">
                  <c:v>45638</c:v>
                </c:pt>
                <c:pt idx="448">
                  <c:v>45639</c:v>
                </c:pt>
                <c:pt idx="449">
                  <c:v>45642</c:v>
                </c:pt>
                <c:pt idx="450">
                  <c:v>45643</c:v>
                </c:pt>
                <c:pt idx="451">
                  <c:v>45644</c:v>
                </c:pt>
                <c:pt idx="452">
                  <c:v>45645</c:v>
                </c:pt>
                <c:pt idx="453">
                  <c:v>45646</c:v>
                </c:pt>
                <c:pt idx="454">
                  <c:v>45649</c:v>
                </c:pt>
                <c:pt idx="455">
                  <c:v>45650</c:v>
                </c:pt>
                <c:pt idx="456">
                  <c:v>45652</c:v>
                </c:pt>
                <c:pt idx="457">
                  <c:v>45653</c:v>
                </c:pt>
                <c:pt idx="458">
                  <c:v>45656</c:v>
                </c:pt>
                <c:pt idx="459">
                  <c:v>45657</c:v>
                </c:pt>
                <c:pt idx="460">
                  <c:v>45659</c:v>
                </c:pt>
                <c:pt idx="461">
                  <c:v>45660</c:v>
                </c:pt>
                <c:pt idx="462">
                  <c:v>45663</c:v>
                </c:pt>
                <c:pt idx="463">
                  <c:v>45664</c:v>
                </c:pt>
                <c:pt idx="464">
                  <c:v>45665</c:v>
                </c:pt>
                <c:pt idx="465">
                  <c:v>45667</c:v>
                </c:pt>
                <c:pt idx="466">
                  <c:v>45670</c:v>
                </c:pt>
                <c:pt idx="467">
                  <c:v>45671</c:v>
                </c:pt>
                <c:pt idx="468">
                  <c:v>45672</c:v>
                </c:pt>
                <c:pt idx="469">
                  <c:v>45673</c:v>
                </c:pt>
                <c:pt idx="470">
                  <c:v>45674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45684</c:v>
                </c:pt>
                <c:pt idx="476">
                  <c:v>45685</c:v>
                </c:pt>
                <c:pt idx="477">
                  <c:v>45686</c:v>
                </c:pt>
                <c:pt idx="478">
                  <c:v>45687</c:v>
                </c:pt>
                <c:pt idx="479">
                  <c:v>45688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45706</c:v>
                </c:pt>
                <c:pt idx="491">
                  <c:v>45707</c:v>
                </c:pt>
                <c:pt idx="492">
                  <c:v>45708</c:v>
                </c:pt>
                <c:pt idx="493">
                  <c:v>45709</c:v>
                </c:pt>
                <c:pt idx="494">
                  <c:v>45712</c:v>
                </c:pt>
                <c:pt idx="495">
                  <c:v>45713</c:v>
                </c:pt>
                <c:pt idx="496">
                  <c:v>45714</c:v>
                </c:pt>
                <c:pt idx="497">
                  <c:v>45715</c:v>
                </c:pt>
                <c:pt idx="498">
                  <c:v>45716</c:v>
                </c:pt>
                <c:pt idx="499">
                  <c:v>45719</c:v>
                </c:pt>
                <c:pt idx="500">
                  <c:v>45720</c:v>
                </c:pt>
                <c:pt idx="501">
                  <c:v>45721</c:v>
                </c:pt>
                <c:pt idx="502">
                  <c:v>45722</c:v>
                </c:pt>
                <c:pt idx="503">
                  <c:v>45723</c:v>
                </c:pt>
                <c:pt idx="504">
                  <c:v>45726</c:v>
                </c:pt>
                <c:pt idx="505">
                  <c:v>45727</c:v>
                </c:pt>
                <c:pt idx="506">
                  <c:v>45728</c:v>
                </c:pt>
                <c:pt idx="507">
                  <c:v>45729</c:v>
                </c:pt>
                <c:pt idx="508">
                  <c:v>45730</c:v>
                </c:pt>
                <c:pt idx="509">
                  <c:v>45733</c:v>
                </c:pt>
                <c:pt idx="510">
                  <c:v>45734</c:v>
                </c:pt>
                <c:pt idx="511">
                  <c:v>45735</c:v>
                </c:pt>
                <c:pt idx="512">
                  <c:v>45736</c:v>
                </c:pt>
                <c:pt idx="513">
                  <c:v>45737</c:v>
                </c:pt>
                <c:pt idx="514">
                  <c:v>45740</c:v>
                </c:pt>
                <c:pt idx="515">
                  <c:v>45741</c:v>
                </c:pt>
                <c:pt idx="516">
                  <c:v>45742</c:v>
                </c:pt>
                <c:pt idx="517">
                  <c:v>45743</c:v>
                </c:pt>
                <c:pt idx="518">
                  <c:v>45744</c:v>
                </c:pt>
                <c:pt idx="519">
                  <c:v>45747</c:v>
                </c:pt>
                <c:pt idx="520">
                  <c:v>45748</c:v>
                </c:pt>
                <c:pt idx="521">
                  <c:v>45749</c:v>
                </c:pt>
                <c:pt idx="522">
                  <c:v>45750</c:v>
                </c:pt>
                <c:pt idx="523">
                  <c:v>45751</c:v>
                </c:pt>
                <c:pt idx="524">
                  <c:v>45754</c:v>
                </c:pt>
                <c:pt idx="525">
                  <c:v>45755</c:v>
                </c:pt>
                <c:pt idx="526">
                  <c:v>45756</c:v>
                </c:pt>
                <c:pt idx="527">
                  <c:v>45757</c:v>
                </c:pt>
                <c:pt idx="528">
                  <c:v>45758</c:v>
                </c:pt>
                <c:pt idx="529">
                  <c:v>45761</c:v>
                </c:pt>
                <c:pt idx="530">
                  <c:v>45762</c:v>
                </c:pt>
                <c:pt idx="531">
                  <c:v>45763</c:v>
                </c:pt>
                <c:pt idx="532">
                  <c:v>45764</c:v>
                </c:pt>
                <c:pt idx="533">
                  <c:v>45768</c:v>
                </c:pt>
                <c:pt idx="534">
                  <c:v>45769</c:v>
                </c:pt>
                <c:pt idx="535">
                  <c:v>45770</c:v>
                </c:pt>
                <c:pt idx="536">
                  <c:v>45771</c:v>
                </c:pt>
                <c:pt idx="537">
                  <c:v>45772</c:v>
                </c:pt>
                <c:pt idx="538">
                  <c:v>45775</c:v>
                </c:pt>
                <c:pt idx="539">
                  <c:v>45776</c:v>
                </c:pt>
                <c:pt idx="540">
                  <c:v>45777</c:v>
                </c:pt>
                <c:pt idx="541">
                  <c:v>45778</c:v>
                </c:pt>
                <c:pt idx="542">
                  <c:v>45779</c:v>
                </c:pt>
                <c:pt idx="543">
                  <c:v>45782</c:v>
                </c:pt>
                <c:pt idx="544">
                  <c:v>45783</c:v>
                </c:pt>
                <c:pt idx="545">
                  <c:v>45784</c:v>
                </c:pt>
                <c:pt idx="546">
                  <c:v>45785</c:v>
                </c:pt>
                <c:pt idx="547">
                  <c:v>45786</c:v>
                </c:pt>
                <c:pt idx="548">
                  <c:v>45789</c:v>
                </c:pt>
                <c:pt idx="549">
                  <c:v>45790</c:v>
                </c:pt>
                <c:pt idx="550">
                  <c:v>45791</c:v>
                </c:pt>
                <c:pt idx="551">
                  <c:v>45792</c:v>
                </c:pt>
                <c:pt idx="552">
                  <c:v>45793</c:v>
                </c:pt>
                <c:pt idx="553">
                  <c:v>45796</c:v>
                </c:pt>
                <c:pt idx="554">
                  <c:v>45797</c:v>
                </c:pt>
                <c:pt idx="555">
                  <c:v>45798</c:v>
                </c:pt>
                <c:pt idx="556">
                  <c:v>45799</c:v>
                </c:pt>
                <c:pt idx="557">
                  <c:v>45800</c:v>
                </c:pt>
                <c:pt idx="558">
                  <c:v>45804</c:v>
                </c:pt>
                <c:pt idx="559">
                  <c:v>45805</c:v>
                </c:pt>
                <c:pt idx="560">
                  <c:v>45806</c:v>
                </c:pt>
                <c:pt idx="561">
                  <c:v>45807</c:v>
                </c:pt>
                <c:pt idx="562">
                  <c:v>45810</c:v>
                </c:pt>
                <c:pt idx="563">
                  <c:v>45811</c:v>
                </c:pt>
                <c:pt idx="564">
                  <c:v>45812</c:v>
                </c:pt>
                <c:pt idx="565">
                  <c:v>45813</c:v>
                </c:pt>
                <c:pt idx="566">
                  <c:v>45814</c:v>
                </c:pt>
                <c:pt idx="567">
                  <c:v>45817</c:v>
                </c:pt>
                <c:pt idx="568">
                  <c:v>45818</c:v>
                </c:pt>
                <c:pt idx="569">
                  <c:v>45819</c:v>
                </c:pt>
                <c:pt idx="570">
                  <c:v>45820</c:v>
                </c:pt>
                <c:pt idx="571">
                  <c:v>45821</c:v>
                </c:pt>
                <c:pt idx="572">
                  <c:v>45824</c:v>
                </c:pt>
                <c:pt idx="573">
                  <c:v>45825</c:v>
                </c:pt>
                <c:pt idx="574">
                  <c:v>45826</c:v>
                </c:pt>
                <c:pt idx="575">
                  <c:v>45828</c:v>
                </c:pt>
                <c:pt idx="576">
                  <c:v>45831</c:v>
                </c:pt>
                <c:pt idx="577">
                  <c:v>45832</c:v>
                </c:pt>
                <c:pt idx="578">
                  <c:v>45833</c:v>
                </c:pt>
                <c:pt idx="579">
                  <c:v>45834</c:v>
                </c:pt>
                <c:pt idx="580">
                  <c:v>45835</c:v>
                </c:pt>
                <c:pt idx="581">
                  <c:v>45838</c:v>
                </c:pt>
                <c:pt idx="582">
                  <c:v>45839</c:v>
                </c:pt>
                <c:pt idx="583">
                  <c:v>45840</c:v>
                </c:pt>
                <c:pt idx="584">
                  <c:v>45841</c:v>
                </c:pt>
                <c:pt idx="585">
                  <c:v>45845</c:v>
                </c:pt>
                <c:pt idx="586">
                  <c:v>45846</c:v>
                </c:pt>
                <c:pt idx="587">
                  <c:v>45847</c:v>
                </c:pt>
                <c:pt idx="588">
                  <c:v>45848</c:v>
                </c:pt>
                <c:pt idx="589">
                  <c:v>45849</c:v>
                </c:pt>
                <c:pt idx="590">
                  <c:v>45852</c:v>
                </c:pt>
                <c:pt idx="591">
                  <c:v>45853</c:v>
                </c:pt>
                <c:pt idx="592">
                  <c:v>45854</c:v>
                </c:pt>
                <c:pt idx="593">
                  <c:v>45855</c:v>
                </c:pt>
                <c:pt idx="594">
                  <c:v>45856</c:v>
                </c:pt>
                <c:pt idx="595">
                  <c:v>45859</c:v>
                </c:pt>
                <c:pt idx="596">
                  <c:v>45860</c:v>
                </c:pt>
                <c:pt idx="597">
                  <c:v>45861</c:v>
                </c:pt>
                <c:pt idx="598">
                  <c:v>45862</c:v>
                </c:pt>
                <c:pt idx="599">
                  <c:v>45863</c:v>
                </c:pt>
                <c:pt idx="600">
                  <c:v>45866</c:v>
                </c:pt>
                <c:pt idx="601">
                  <c:v>45867</c:v>
                </c:pt>
                <c:pt idx="602">
                  <c:v>45868</c:v>
                </c:pt>
                <c:pt idx="603">
                  <c:v>45869</c:v>
                </c:pt>
                <c:pt idx="604">
                  <c:v>45870</c:v>
                </c:pt>
                <c:pt idx="605">
                  <c:v>45873</c:v>
                </c:pt>
                <c:pt idx="606">
                  <c:v>45874</c:v>
                </c:pt>
                <c:pt idx="607">
                  <c:v>45875</c:v>
                </c:pt>
                <c:pt idx="608">
                  <c:v>45876</c:v>
                </c:pt>
                <c:pt idx="609">
                  <c:v>45877</c:v>
                </c:pt>
                <c:pt idx="610">
                  <c:v>45880</c:v>
                </c:pt>
                <c:pt idx="611">
                  <c:v>45881</c:v>
                </c:pt>
                <c:pt idx="612">
                  <c:v>45882</c:v>
                </c:pt>
                <c:pt idx="613">
                  <c:v>45883</c:v>
                </c:pt>
                <c:pt idx="614">
                  <c:v>45884</c:v>
                </c:pt>
                <c:pt idx="615">
                  <c:v>45887</c:v>
                </c:pt>
                <c:pt idx="616">
                  <c:v>45888</c:v>
                </c:pt>
                <c:pt idx="617">
                  <c:v>45889</c:v>
                </c:pt>
                <c:pt idx="618">
                  <c:v>45890</c:v>
                </c:pt>
                <c:pt idx="619">
                  <c:v>45891</c:v>
                </c:pt>
                <c:pt idx="620">
                  <c:v>45894</c:v>
                </c:pt>
                <c:pt idx="621">
                  <c:v>45895</c:v>
                </c:pt>
                <c:pt idx="622">
                  <c:v>45896</c:v>
                </c:pt>
                <c:pt idx="623">
                  <c:v>45897</c:v>
                </c:pt>
                <c:pt idx="624">
                  <c:v>45898</c:v>
                </c:pt>
                <c:pt idx="625">
                  <c:v>45902</c:v>
                </c:pt>
                <c:pt idx="626">
                  <c:v>45903</c:v>
                </c:pt>
                <c:pt idx="627">
                  <c:v>45904</c:v>
                </c:pt>
                <c:pt idx="628">
                  <c:v>45905</c:v>
                </c:pt>
                <c:pt idx="629">
                  <c:v>45908</c:v>
                </c:pt>
                <c:pt idx="630">
                  <c:v>45909</c:v>
                </c:pt>
                <c:pt idx="631">
                  <c:v>45910</c:v>
                </c:pt>
                <c:pt idx="632">
                  <c:v>45911</c:v>
                </c:pt>
                <c:pt idx="633">
                  <c:v>45912</c:v>
                </c:pt>
                <c:pt idx="634">
                  <c:v>45915</c:v>
                </c:pt>
                <c:pt idx="635">
                  <c:v>45916</c:v>
                </c:pt>
                <c:pt idx="636">
                  <c:v>45917</c:v>
                </c:pt>
                <c:pt idx="637">
                  <c:v>45918</c:v>
                </c:pt>
                <c:pt idx="638">
                  <c:v>45919</c:v>
                </c:pt>
                <c:pt idx="639">
                  <c:v>45922</c:v>
                </c:pt>
                <c:pt idx="640">
                  <c:v>45923</c:v>
                </c:pt>
                <c:pt idx="641">
                  <c:v>45924</c:v>
                </c:pt>
                <c:pt idx="642">
                  <c:v>45925</c:v>
                </c:pt>
                <c:pt idx="643">
                  <c:v>45926</c:v>
                </c:pt>
                <c:pt idx="644">
                  <c:v>45929</c:v>
                </c:pt>
                <c:pt idx="645">
                  <c:v>45930</c:v>
                </c:pt>
                <c:pt idx="646">
                  <c:v>45931</c:v>
                </c:pt>
                <c:pt idx="647">
                  <c:v>45932</c:v>
                </c:pt>
                <c:pt idx="648">
                  <c:v>45933</c:v>
                </c:pt>
                <c:pt idx="649">
                  <c:v>45936</c:v>
                </c:pt>
                <c:pt idx="650">
                  <c:v>45937</c:v>
                </c:pt>
                <c:pt idx="651">
                  <c:v>45938</c:v>
                </c:pt>
                <c:pt idx="652">
                  <c:v>45939</c:v>
                </c:pt>
                <c:pt idx="653">
                  <c:v>45940</c:v>
                </c:pt>
                <c:pt idx="654">
                  <c:v>45943</c:v>
                </c:pt>
                <c:pt idx="655">
                  <c:v>45944</c:v>
                </c:pt>
                <c:pt idx="656">
                  <c:v>45945</c:v>
                </c:pt>
                <c:pt idx="657">
                  <c:v>45946</c:v>
                </c:pt>
                <c:pt idx="658">
                  <c:v>45947</c:v>
                </c:pt>
                <c:pt idx="659">
                  <c:v>45950</c:v>
                </c:pt>
                <c:pt idx="660">
                  <c:v>45951</c:v>
                </c:pt>
                <c:pt idx="661">
                  <c:v>45952</c:v>
                </c:pt>
                <c:pt idx="662">
                  <c:v>45953</c:v>
                </c:pt>
                <c:pt idx="663">
                  <c:v>45954</c:v>
                </c:pt>
                <c:pt idx="664">
                  <c:v>45957</c:v>
                </c:pt>
                <c:pt idx="665">
                  <c:v>45958</c:v>
                </c:pt>
                <c:pt idx="666">
                  <c:v>45959</c:v>
                </c:pt>
                <c:pt idx="667">
                  <c:v>45960</c:v>
                </c:pt>
                <c:pt idx="668">
                  <c:v>45961</c:v>
                </c:pt>
                <c:pt idx="669">
                  <c:v>45964</c:v>
                </c:pt>
                <c:pt idx="670">
                  <c:v>45965</c:v>
                </c:pt>
                <c:pt idx="671">
                  <c:v>45966</c:v>
                </c:pt>
                <c:pt idx="672">
                  <c:v>45967</c:v>
                </c:pt>
                <c:pt idx="673">
                  <c:v>45968</c:v>
                </c:pt>
                <c:pt idx="674">
                  <c:v>45971</c:v>
                </c:pt>
                <c:pt idx="675">
                  <c:v>45972</c:v>
                </c:pt>
                <c:pt idx="676">
                  <c:v>45973</c:v>
                </c:pt>
                <c:pt idx="677">
                  <c:v>45974</c:v>
                </c:pt>
                <c:pt idx="678">
                  <c:v>45975</c:v>
                </c:pt>
                <c:pt idx="679">
                  <c:v>45978</c:v>
                </c:pt>
                <c:pt idx="680">
                  <c:v>45979</c:v>
                </c:pt>
                <c:pt idx="681">
                  <c:v>45980</c:v>
                </c:pt>
                <c:pt idx="682">
                  <c:v>45981</c:v>
                </c:pt>
                <c:pt idx="683">
                  <c:v>45982</c:v>
                </c:pt>
                <c:pt idx="684">
                  <c:v>45985</c:v>
                </c:pt>
                <c:pt idx="685">
                  <c:v>45986</c:v>
                </c:pt>
                <c:pt idx="686">
                  <c:v>45987</c:v>
                </c:pt>
                <c:pt idx="687">
                  <c:v>45989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45999</c:v>
                </c:pt>
                <c:pt idx="694">
                  <c:v>46000</c:v>
                </c:pt>
                <c:pt idx="695">
                  <c:v>46001</c:v>
                </c:pt>
                <c:pt idx="696">
                  <c:v>46002</c:v>
                </c:pt>
                <c:pt idx="697">
                  <c:v>46003</c:v>
                </c:pt>
                <c:pt idx="698">
                  <c:v>46006</c:v>
                </c:pt>
                <c:pt idx="699">
                  <c:v>46007</c:v>
                </c:pt>
                <c:pt idx="700">
                  <c:v>46008</c:v>
                </c:pt>
                <c:pt idx="701">
                  <c:v>46009</c:v>
                </c:pt>
                <c:pt idx="702">
                  <c:v>46010</c:v>
                </c:pt>
                <c:pt idx="703">
                  <c:v>46013</c:v>
                </c:pt>
                <c:pt idx="704">
                  <c:v>46014</c:v>
                </c:pt>
                <c:pt idx="705">
                  <c:v>46015</c:v>
                </c:pt>
                <c:pt idx="706">
                  <c:v>46017</c:v>
                </c:pt>
                <c:pt idx="707">
                  <c:v>46020</c:v>
                </c:pt>
                <c:pt idx="708">
                  <c:v>46021</c:v>
                </c:pt>
                <c:pt idx="709">
                  <c:v>46022</c:v>
                </c:pt>
                <c:pt idx="710">
                  <c:v>46024</c:v>
                </c:pt>
                <c:pt idx="711">
                  <c:v>46027</c:v>
                </c:pt>
                <c:pt idx="712">
                  <c:v>46028</c:v>
                </c:pt>
                <c:pt idx="713">
                  <c:v>46029</c:v>
                </c:pt>
                <c:pt idx="714">
                  <c:v>46030</c:v>
                </c:pt>
                <c:pt idx="715">
                  <c:v>46031</c:v>
                </c:pt>
                <c:pt idx="716">
                  <c:v>46034</c:v>
                </c:pt>
                <c:pt idx="717">
                  <c:v>46035</c:v>
                </c:pt>
                <c:pt idx="718">
                  <c:v>46036</c:v>
                </c:pt>
                <c:pt idx="719">
                  <c:v>46037</c:v>
                </c:pt>
                <c:pt idx="720">
                  <c:v>46038</c:v>
                </c:pt>
                <c:pt idx="721">
                  <c:v>46042</c:v>
                </c:pt>
                <c:pt idx="722">
                  <c:v>46043</c:v>
                </c:pt>
                <c:pt idx="723">
                  <c:v>46044</c:v>
                </c:pt>
                <c:pt idx="724">
                  <c:v>46045</c:v>
                </c:pt>
                <c:pt idx="725">
                  <c:v>46048</c:v>
                </c:pt>
                <c:pt idx="726">
                  <c:v>46049</c:v>
                </c:pt>
                <c:pt idx="727">
                  <c:v>46050</c:v>
                </c:pt>
                <c:pt idx="728">
                  <c:v>46051</c:v>
                </c:pt>
                <c:pt idx="729">
                  <c:v>46052</c:v>
                </c:pt>
                <c:pt idx="730">
                  <c:v>46055</c:v>
                </c:pt>
                <c:pt idx="731">
                  <c:v>46056</c:v>
                </c:pt>
                <c:pt idx="732">
                  <c:v>46057</c:v>
                </c:pt>
                <c:pt idx="733">
                  <c:v>46058</c:v>
                </c:pt>
                <c:pt idx="734">
                  <c:v>46059</c:v>
                </c:pt>
                <c:pt idx="735">
                  <c:v>46062</c:v>
                </c:pt>
                <c:pt idx="736">
                  <c:v>46063</c:v>
                </c:pt>
                <c:pt idx="737">
                  <c:v>46064</c:v>
                </c:pt>
                <c:pt idx="738">
                  <c:v>46065</c:v>
                </c:pt>
                <c:pt idx="739">
                  <c:v>46066</c:v>
                </c:pt>
                <c:pt idx="740">
                  <c:v>46070</c:v>
                </c:pt>
                <c:pt idx="741">
                  <c:v>46071</c:v>
                </c:pt>
                <c:pt idx="742">
                  <c:v>46072</c:v>
                </c:pt>
                <c:pt idx="743">
                  <c:v>46073</c:v>
                </c:pt>
                <c:pt idx="744">
                  <c:v>46076</c:v>
                </c:pt>
                <c:pt idx="745">
                  <c:v>46077</c:v>
                </c:pt>
                <c:pt idx="746">
                  <c:v>46078</c:v>
                </c:pt>
                <c:pt idx="747">
                  <c:v>46079</c:v>
                </c:pt>
                <c:pt idx="748">
                  <c:v>46080</c:v>
                </c:pt>
                <c:pt idx="749">
                  <c:v>46083</c:v>
                </c:pt>
                <c:pt idx="750">
                  <c:v>46084</c:v>
                </c:pt>
                <c:pt idx="751">
                  <c:v>46085</c:v>
                </c:pt>
              </c:numCache>
            </c:numRef>
          </c:cat>
          <c:val>
            <c:numRef>
              <c:f>'Share Price Analysis'!$N$36:$N$787</c:f>
              <c:numCache>
                <c:formatCode>0.00%</c:formatCode>
                <c:ptCount val="752"/>
                <c:pt idx="0">
                  <c:v>0</c:v>
                </c:pt>
                <c:pt idx="1">
                  <c:v>1.1068338889854701E-3</c:v>
                </c:pt>
                <c:pt idx="2">
                  <c:v>9.0062625119859963E-3</c:v>
                </c:pt>
                <c:pt idx="3">
                  <c:v>1.0682745038148589E-4</c:v>
                </c:pt>
                <c:pt idx="4">
                  <c:v>-1.3116120120152952E-2</c:v>
                </c:pt>
                <c:pt idx="5">
                  <c:v>-3.1030940729261713E-2</c:v>
                </c:pt>
                <c:pt idx="6">
                  <c:v>-3.8000849157079464E-2</c:v>
                </c:pt>
                <c:pt idx="7">
                  <c:v>-5.9108018644028704E-2</c:v>
                </c:pt>
                <c:pt idx="8">
                  <c:v>-5.6021450802727246E-2</c:v>
                </c:pt>
                <c:pt idx="9">
                  <c:v>-7.1146688438950334E-2</c:v>
                </c:pt>
                <c:pt idx="10">
                  <c:v>-6.7137493304788354E-2</c:v>
                </c:pt>
                <c:pt idx="11">
                  <c:v>-6.3042126018998723E-2</c:v>
                </c:pt>
                <c:pt idx="12">
                  <c:v>-6.0735144050281575E-2</c:v>
                </c:pt>
                <c:pt idx="13">
                  <c:v>-5.8747132256866563E-2</c:v>
                </c:pt>
                <c:pt idx="14">
                  <c:v>-5.5219592367132475E-2</c:v>
                </c:pt>
                <c:pt idx="15">
                  <c:v>-5.9252505113033371E-2</c:v>
                </c:pt>
                <c:pt idx="16">
                  <c:v>-4.4397730393357149E-2</c:v>
                </c:pt>
                <c:pt idx="17">
                  <c:v>-4.7158006198738445E-2</c:v>
                </c:pt>
                <c:pt idx="18">
                  <c:v>-5.1868748477826188E-2</c:v>
                </c:pt>
                <c:pt idx="19">
                  <c:v>-5.7243381375804425E-2</c:v>
                </c:pt>
                <c:pt idx="20">
                  <c:v>-5.3322316708856565E-2</c:v>
                </c:pt>
                <c:pt idx="21">
                  <c:v>-7.0445602549772168E-2</c:v>
                </c:pt>
                <c:pt idx="22">
                  <c:v>-9.4498207236760834E-2</c:v>
                </c:pt>
                <c:pt idx="23">
                  <c:v>-9.3233577338119655E-2</c:v>
                </c:pt>
                <c:pt idx="24">
                  <c:v>-8.8231715324223692E-2</c:v>
                </c:pt>
                <c:pt idx="25">
                  <c:v>-8.5401669461563023E-2</c:v>
                </c:pt>
                <c:pt idx="26">
                  <c:v>-7.7523616897354097E-2</c:v>
                </c:pt>
                <c:pt idx="27">
                  <c:v>-7.7972274371911676E-2</c:v>
                </c:pt>
                <c:pt idx="28">
                  <c:v>-7.77871181541957E-2</c:v>
                </c:pt>
                <c:pt idx="29">
                  <c:v>-6.5866961982561145E-2</c:v>
                </c:pt>
                <c:pt idx="30">
                  <c:v>-6.386886785807333E-2</c:v>
                </c:pt>
                <c:pt idx="31">
                  <c:v>-5.7300674023806564E-2</c:v>
                </c:pt>
                <c:pt idx="32">
                  <c:v>-5.8136227398508877E-2</c:v>
                </c:pt>
                <c:pt idx="33">
                  <c:v>-6.5962478355321319E-2</c:v>
                </c:pt>
                <c:pt idx="34">
                  <c:v>-6.5463780938870175E-2</c:v>
                </c:pt>
                <c:pt idx="35">
                  <c:v>-6.0029460811276025E-2</c:v>
                </c:pt>
                <c:pt idx="36">
                  <c:v>-7.2833113060631116E-2</c:v>
                </c:pt>
                <c:pt idx="37">
                  <c:v>-5.6400965161811922E-2</c:v>
                </c:pt>
                <c:pt idx="38">
                  <c:v>-5.2811786723659382E-2</c:v>
                </c:pt>
                <c:pt idx="39">
                  <c:v>-3.8914275988428337E-2</c:v>
                </c:pt>
                <c:pt idx="40">
                  <c:v>-1.8352238571867519E-2</c:v>
                </c:pt>
                <c:pt idx="41">
                  <c:v>-1.5151526428726192E-2</c:v>
                </c:pt>
                <c:pt idx="42">
                  <c:v>5.6344040442875665E-2</c:v>
                </c:pt>
                <c:pt idx="43">
                  <c:v>5.535368953773423E-2</c:v>
                </c:pt>
                <c:pt idx="44">
                  <c:v>5.1038982359241647E-2</c:v>
                </c:pt>
                <c:pt idx="45">
                  <c:v>5.7201323899533474E-2</c:v>
                </c:pt>
                <c:pt idx="46">
                  <c:v>6.8523160890618051E-2</c:v>
                </c:pt>
                <c:pt idx="47">
                  <c:v>6.351197424070909E-2</c:v>
                </c:pt>
                <c:pt idx="48">
                  <c:v>6.7913491688725847E-2</c:v>
                </c:pt>
                <c:pt idx="49">
                  <c:v>6.8544978059335904E-2</c:v>
                </c:pt>
                <c:pt idx="50">
                  <c:v>6.937265661587233E-2</c:v>
                </c:pt>
                <c:pt idx="51">
                  <c:v>6.4674162874344798E-2</c:v>
                </c:pt>
                <c:pt idx="52">
                  <c:v>5.397916330432162E-2</c:v>
                </c:pt>
                <c:pt idx="53">
                  <c:v>5.9867960393299668E-2</c:v>
                </c:pt>
                <c:pt idx="54">
                  <c:v>5.9652601034266395E-2</c:v>
                </c:pt>
                <c:pt idx="55">
                  <c:v>6.0488231088227762E-2</c:v>
                </c:pt>
                <c:pt idx="56">
                  <c:v>6.2207602740629975E-2</c:v>
                </c:pt>
                <c:pt idx="57">
                  <c:v>5.8513453739492682E-2</c:v>
                </c:pt>
                <c:pt idx="58">
                  <c:v>4.9800761290586637E-2</c:v>
                </c:pt>
                <c:pt idx="59">
                  <c:v>4.9668712852572572E-2</c:v>
                </c:pt>
                <c:pt idx="60">
                  <c:v>5.2560669297725404E-2</c:v>
                </c:pt>
                <c:pt idx="61">
                  <c:v>6.0254184884762196E-2</c:v>
                </c:pt>
                <c:pt idx="62">
                  <c:v>6.5801232438446711E-2</c:v>
                </c:pt>
                <c:pt idx="63">
                  <c:v>6.5266495190042129E-2</c:v>
                </c:pt>
                <c:pt idx="64">
                  <c:v>6.7577129304510875E-2</c:v>
                </c:pt>
                <c:pt idx="65">
                  <c:v>8.1143923566670884E-2</c:v>
                </c:pt>
                <c:pt idx="66">
                  <c:v>8.08823899854616E-2</c:v>
                </c:pt>
                <c:pt idx="67">
                  <c:v>8.1353600601026699E-2</c:v>
                </c:pt>
                <c:pt idx="68">
                  <c:v>6.7742399173709167E-2</c:v>
                </c:pt>
                <c:pt idx="69">
                  <c:v>7.0074139815331282E-2</c:v>
                </c:pt>
                <c:pt idx="70">
                  <c:v>6.7206123416459373E-2</c:v>
                </c:pt>
                <c:pt idx="71">
                  <c:v>6.2015764387668426E-2</c:v>
                </c:pt>
                <c:pt idx="72">
                  <c:v>6.1259724708990326E-2</c:v>
                </c:pt>
                <c:pt idx="73">
                  <c:v>7.3844321493547138E-2</c:v>
                </c:pt>
                <c:pt idx="74">
                  <c:v>8.9150586323058834E-2</c:v>
                </c:pt>
                <c:pt idx="75">
                  <c:v>0.10007613786800817</c:v>
                </c:pt>
                <c:pt idx="76">
                  <c:v>0.11354521252868266</c:v>
                </c:pt>
                <c:pt idx="77">
                  <c:v>0.11988645647501017</c:v>
                </c:pt>
                <c:pt idx="78">
                  <c:v>0.136883567903195</c:v>
                </c:pt>
                <c:pt idx="79">
                  <c:v>0.13857871420657686</c:v>
                </c:pt>
                <c:pt idx="80">
                  <c:v>0.15454587254045715</c:v>
                </c:pt>
                <c:pt idx="81">
                  <c:v>0.14412538424508381</c:v>
                </c:pt>
                <c:pt idx="82">
                  <c:v>0.13216515005981933</c:v>
                </c:pt>
                <c:pt idx="83">
                  <c:v>0.12009328786281293</c:v>
                </c:pt>
                <c:pt idx="84">
                  <c:v>0.11542506247786855</c:v>
                </c:pt>
                <c:pt idx="85">
                  <c:v>0.1151190925954495</c:v>
                </c:pt>
                <c:pt idx="86">
                  <c:v>0.12258867130152584</c:v>
                </c:pt>
                <c:pt idx="87">
                  <c:v>0.13694115986598776</c:v>
                </c:pt>
                <c:pt idx="88">
                  <c:v>0.11107024480246674</c:v>
                </c:pt>
                <c:pt idx="89">
                  <c:v>0.11773415239055085</c:v>
                </c:pt>
                <c:pt idx="90">
                  <c:v>0.12539089432487693</c:v>
                </c:pt>
                <c:pt idx="91">
                  <c:v>0.11630723452344127</c:v>
                </c:pt>
                <c:pt idx="92">
                  <c:v>0.10901471377003213</c:v>
                </c:pt>
                <c:pt idx="93">
                  <c:v>9.3902046529387384E-2</c:v>
                </c:pt>
                <c:pt idx="94">
                  <c:v>0.10265075596683459</c:v>
                </c:pt>
                <c:pt idx="95">
                  <c:v>0.10598413144171537</c:v>
                </c:pt>
                <c:pt idx="96">
                  <c:v>0.10255131794373717</c:v>
                </c:pt>
                <c:pt idx="97">
                  <c:v>9.7820614232814851E-2</c:v>
                </c:pt>
                <c:pt idx="98">
                  <c:v>0.10362787549546582</c:v>
                </c:pt>
                <c:pt idx="99">
                  <c:v>8.5289590982674302E-2</c:v>
                </c:pt>
                <c:pt idx="100">
                  <c:v>8.4122120656519472E-2</c:v>
                </c:pt>
                <c:pt idx="101">
                  <c:v>8.3585225162043475E-2</c:v>
                </c:pt>
                <c:pt idx="102">
                  <c:v>0.10379615856112334</c:v>
                </c:pt>
                <c:pt idx="103">
                  <c:v>0.1149193679550673</c:v>
                </c:pt>
                <c:pt idx="104">
                  <c:v>0.13371170231037244</c:v>
                </c:pt>
                <c:pt idx="105">
                  <c:v>0.13790586878164079</c:v>
                </c:pt>
                <c:pt idx="106">
                  <c:v>0.14163619916697723</c:v>
                </c:pt>
                <c:pt idx="107">
                  <c:v>0.13719766592439098</c:v>
                </c:pt>
                <c:pt idx="108">
                  <c:v>0.12738880348254655</c:v>
                </c:pt>
                <c:pt idx="109">
                  <c:v>0.13167626140254685</c:v>
                </c:pt>
                <c:pt idx="110">
                  <c:v>0.13036774700069587</c:v>
                </c:pt>
                <c:pt idx="111">
                  <c:v>0.13023699420143853</c:v>
                </c:pt>
                <c:pt idx="112">
                  <c:v>0.13852946801913757</c:v>
                </c:pt>
                <c:pt idx="113">
                  <c:v>0.13855390908880527</c:v>
                </c:pt>
                <c:pt idx="114">
                  <c:v>0.10001208672871886</c:v>
                </c:pt>
                <c:pt idx="115">
                  <c:v>9.1597394363681861E-2</c:v>
                </c:pt>
                <c:pt idx="116">
                  <c:v>8.8483899440574554E-2</c:v>
                </c:pt>
                <c:pt idx="117">
                  <c:v>0.1017605239003001</c:v>
                </c:pt>
                <c:pt idx="118">
                  <c:v>0.10221786425153012</c:v>
                </c:pt>
                <c:pt idx="119">
                  <c:v>0.10699774684678154</c:v>
                </c:pt>
                <c:pt idx="120">
                  <c:v>9.8481245522479277E-2</c:v>
                </c:pt>
                <c:pt idx="121">
                  <c:v>9.2981985824390323E-2</c:v>
                </c:pt>
                <c:pt idx="122">
                  <c:v>9.4838345085228148E-2</c:v>
                </c:pt>
                <c:pt idx="123">
                  <c:v>8.8601589797629554E-2</c:v>
                </c:pt>
                <c:pt idx="124">
                  <c:v>9.0246918655386477E-2</c:v>
                </c:pt>
                <c:pt idx="125">
                  <c:v>0.11150226349968961</c:v>
                </c:pt>
                <c:pt idx="126">
                  <c:v>8.2875172846938794E-2</c:v>
                </c:pt>
                <c:pt idx="127">
                  <c:v>8.4960726233755057E-2</c:v>
                </c:pt>
                <c:pt idx="128">
                  <c:v>9.0122648366197433E-2</c:v>
                </c:pt>
                <c:pt idx="129">
                  <c:v>9.1967452530937299E-2</c:v>
                </c:pt>
                <c:pt idx="130">
                  <c:v>8.6538590062684939E-2</c:v>
                </c:pt>
                <c:pt idx="131">
                  <c:v>8.3351224874053775E-2</c:v>
                </c:pt>
                <c:pt idx="132">
                  <c:v>7.6900051944348791E-2</c:v>
                </c:pt>
                <c:pt idx="133">
                  <c:v>7.3838149076441706E-2</c:v>
                </c:pt>
                <c:pt idx="134">
                  <c:v>6.8543540652278301E-2</c:v>
                </c:pt>
                <c:pt idx="135">
                  <c:v>7.3495475553229328E-2</c:v>
                </c:pt>
                <c:pt idx="136">
                  <c:v>6.6528600414428762E-2</c:v>
                </c:pt>
                <c:pt idx="137">
                  <c:v>7.4732086059794423E-2</c:v>
                </c:pt>
                <c:pt idx="138">
                  <c:v>5.5246493696506249E-2</c:v>
                </c:pt>
                <c:pt idx="139">
                  <c:v>4.8582403698999022E-2</c:v>
                </c:pt>
                <c:pt idx="140">
                  <c:v>5.1582222564793945E-2</c:v>
                </c:pt>
                <c:pt idx="141">
                  <c:v>6.3616757615527098E-2</c:v>
                </c:pt>
                <c:pt idx="142">
                  <c:v>7.507307861466872E-2</c:v>
                </c:pt>
                <c:pt idx="143">
                  <c:v>7.6383664250587513E-2</c:v>
                </c:pt>
                <c:pt idx="144">
                  <c:v>6.3161763019397466E-2</c:v>
                </c:pt>
                <c:pt idx="145">
                  <c:v>5.7846151638571097E-2</c:v>
                </c:pt>
                <c:pt idx="146">
                  <c:v>6.7182664876275222E-2</c:v>
                </c:pt>
                <c:pt idx="147">
                  <c:v>8.616758772820976E-2</c:v>
                </c:pt>
                <c:pt idx="148">
                  <c:v>9.6752211436835989E-2</c:v>
                </c:pt>
                <c:pt idx="149">
                  <c:v>0.11242741246265298</c:v>
                </c:pt>
                <c:pt idx="150">
                  <c:v>9.4161924534392538E-2</c:v>
                </c:pt>
                <c:pt idx="151">
                  <c:v>9.2379340207573213E-2</c:v>
                </c:pt>
                <c:pt idx="152">
                  <c:v>0.10730958007827907</c:v>
                </c:pt>
                <c:pt idx="153">
                  <c:v>9.2676605696393244E-2</c:v>
                </c:pt>
                <c:pt idx="154">
                  <c:v>9.1160058822328915E-2</c:v>
                </c:pt>
                <c:pt idx="155">
                  <c:v>9.9146560099913739E-2</c:v>
                </c:pt>
                <c:pt idx="156">
                  <c:v>0.10822624279901794</c:v>
                </c:pt>
                <c:pt idx="157">
                  <c:v>6.5409545034565308E-2</c:v>
                </c:pt>
                <c:pt idx="158">
                  <c:v>6.9314251290395479E-2</c:v>
                </c:pt>
                <c:pt idx="159">
                  <c:v>7.6528504403683417E-2</c:v>
                </c:pt>
                <c:pt idx="160">
                  <c:v>8.3480561630359107E-2</c:v>
                </c:pt>
                <c:pt idx="161">
                  <c:v>8.9445717788055212E-2</c:v>
                </c:pt>
                <c:pt idx="162">
                  <c:v>9.5718976653860199E-2</c:v>
                </c:pt>
                <c:pt idx="163">
                  <c:v>5.773958304915694E-2</c:v>
                </c:pt>
                <c:pt idx="164">
                  <c:v>6.1022096366630585E-2</c:v>
                </c:pt>
                <c:pt idx="165">
                  <c:v>6.0937026770250702E-2</c:v>
                </c:pt>
                <c:pt idx="166">
                  <c:v>5.7005401833252201E-2</c:v>
                </c:pt>
                <c:pt idx="167">
                  <c:v>8.4760377561790445E-2</c:v>
                </c:pt>
                <c:pt idx="168">
                  <c:v>8.0134774192636815E-2</c:v>
                </c:pt>
                <c:pt idx="169">
                  <c:v>7.5337708036434803E-2</c:v>
                </c:pt>
                <c:pt idx="170">
                  <c:v>6.9564949825792199E-2</c:v>
                </c:pt>
                <c:pt idx="171">
                  <c:v>6.6889960868720344E-2</c:v>
                </c:pt>
                <c:pt idx="172">
                  <c:v>7.2386141623649536E-2</c:v>
                </c:pt>
                <c:pt idx="173">
                  <c:v>8.496354547964402E-2</c:v>
                </c:pt>
                <c:pt idx="174">
                  <c:v>8.0700182506538543E-2</c:v>
                </c:pt>
                <c:pt idx="175">
                  <c:v>7.5751792636718163E-2</c:v>
                </c:pt>
                <c:pt idx="176">
                  <c:v>8.5609936274572807E-2</c:v>
                </c:pt>
                <c:pt idx="177">
                  <c:v>5.495032038356662E-2</c:v>
                </c:pt>
                <c:pt idx="178">
                  <c:v>6.0657024910582225E-2</c:v>
                </c:pt>
                <c:pt idx="179">
                  <c:v>5.9738651567440071E-2</c:v>
                </c:pt>
                <c:pt idx="180">
                  <c:v>4.1887282130694148E-2</c:v>
                </c:pt>
                <c:pt idx="181">
                  <c:v>4.1482757478267462E-2</c:v>
                </c:pt>
                <c:pt idx="182">
                  <c:v>4.7662148164895113E-2</c:v>
                </c:pt>
                <c:pt idx="183">
                  <c:v>4.5930817082922903E-2</c:v>
                </c:pt>
                <c:pt idx="184">
                  <c:v>5.360945879093415E-2</c:v>
                </c:pt>
                <c:pt idx="185">
                  <c:v>4.4210026428216365E-2</c:v>
                </c:pt>
                <c:pt idx="186">
                  <c:v>5.2466908339653173E-2</c:v>
                </c:pt>
                <c:pt idx="187">
                  <c:v>5.2676818056162755E-2</c:v>
                </c:pt>
                <c:pt idx="188">
                  <c:v>5.6629356868815206E-2</c:v>
                </c:pt>
                <c:pt idx="189">
                  <c:v>5.8116672550421411E-2</c:v>
                </c:pt>
                <c:pt idx="190">
                  <c:v>4.462810398572592E-2</c:v>
                </c:pt>
                <c:pt idx="191">
                  <c:v>4.8409537038137218E-2</c:v>
                </c:pt>
                <c:pt idx="192">
                  <c:v>5.1467613801186474E-2</c:v>
                </c:pt>
                <c:pt idx="193">
                  <c:v>5.6059126057033559E-2</c:v>
                </c:pt>
                <c:pt idx="194">
                  <c:v>6.5748186600874892E-2</c:v>
                </c:pt>
                <c:pt idx="195">
                  <c:v>7.0791536953039635E-2</c:v>
                </c:pt>
                <c:pt idx="196">
                  <c:v>6.9470704368226999E-2</c:v>
                </c:pt>
                <c:pt idx="197">
                  <c:v>7.1244502879398874E-2</c:v>
                </c:pt>
                <c:pt idx="198">
                  <c:v>7.5396307351558001E-2</c:v>
                </c:pt>
                <c:pt idx="199">
                  <c:v>6.1516148543951266E-2</c:v>
                </c:pt>
                <c:pt idx="200">
                  <c:v>6.4528346793308211E-2</c:v>
                </c:pt>
                <c:pt idx="201">
                  <c:v>6.262389004183011E-2</c:v>
                </c:pt>
                <c:pt idx="202">
                  <c:v>6.2637171851281703E-2</c:v>
                </c:pt>
                <c:pt idx="203">
                  <c:v>6.8342792009118192E-2</c:v>
                </c:pt>
                <c:pt idx="204">
                  <c:v>6.7256035249599444E-2</c:v>
                </c:pt>
                <c:pt idx="205">
                  <c:v>6.6132460593662179E-2</c:v>
                </c:pt>
                <c:pt idx="206">
                  <c:v>6.3936521278316283E-2</c:v>
                </c:pt>
                <c:pt idx="207">
                  <c:v>7.4456456238210178E-2</c:v>
                </c:pt>
                <c:pt idx="208">
                  <c:v>6.4272693943679515E-2</c:v>
                </c:pt>
                <c:pt idx="209">
                  <c:v>5.2544538948105624E-2</c:v>
                </c:pt>
                <c:pt idx="210">
                  <c:v>6.2445263353385183E-2</c:v>
                </c:pt>
                <c:pt idx="211">
                  <c:v>6.5511459290602536E-2</c:v>
                </c:pt>
                <c:pt idx="212">
                  <c:v>6.1795956311534228E-2</c:v>
                </c:pt>
                <c:pt idx="213">
                  <c:v>6.0655749049636665E-2</c:v>
                </c:pt>
                <c:pt idx="214">
                  <c:v>6.7389596379033412E-2</c:v>
                </c:pt>
                <c:pt idx="215">
                  <c:v>5.9595351592591106E-2</c:v>
                </c:pt>
                <c:pt idx="216">
                  <c:v>5.6974015394303912E-2</c:v>
                </c:pt>
                <c:pt idx="217">
                  <c:v>5.3384454487839017E-2</c:v>
                </c:pt>
                <c:pt idx="218">
                  <c:v>5.3937701762861945E-2</c:v>
                </c:pt>
                <c:pt idx="219">
                  <c:v>6.2872258955658067E-2</c:v>
                </c:pt>
                <c:pt idx="220">
                  <c:v>5.4262163723066914E-2</c:v>
                </c:pt>
                <c:pt idx="221">
                  <c:v>5.762190891269281E-2</c:v>
                </c:pt>
                <c:pt idx="222">
                  <c:v>3.3759734039789047E-2</c:v>
                </c:pt>
                <c:pt idx="223">
                  <c:v>1.8726599433912972E-2</c:v>
                </c:pt>
                <c:pt idx="224">
                  <c:v>2.9856872646799371E-2</c:v>
                </c:pt>
                <c:pt idx="225">
                  <c:v>2.6320521462958935E-2</c:v>
                </c:pt>
                <c:pt idx="226">
                  <c:v>5.0357529352760277E-2</c:v>
                </c:pt>
                <c:pt idx="227">
                  <c:v>5.8869820431505016E-2</c:v>
                </c:pt>
                <c:pt idx="228">
                  <c:v>5.2953566169956723E-2</c:v>
                </c:pt>
                <c:pt idx="229">
                  <c:v>5.9354715506421352E-2</c:v>
                </c:pt>
                <c:pt idx="230">
                  <c:v>6.6885854091385255E-2</c:v>
                </c:pt>
                <c:pt idx="231">
                  <c:v>4.8906819401506985E-2</c:v>
                </c:pt>
                <c:pt idx="232">
                  <c:v>5.4659979449191987E-2</c:v>
                </c:pt>
                <c:pt idx="233">
                  <c:v>6.8248056112309108E-2</c:v>
                </c:pt>
                <c:pt idx="234">
                  <c:v>7.6444338376578269E-2</c:v>
                </c:pt>
                <c:pt idx="235">
                  <c:v>7.7261061022376731E-2</c:v>
                </c:pt>
                <c:pt idx="236">
                  <c:v>7.8317901329657325E-2</c:v>
                </c:pt>
                <c:pt idx="237">
                  <c:v>7.9671641958796391E-2</c:v>
                </c:pt>
                <c:pt idx="238">
                  <c:v>8.7907198558063282E-2</c:v>
                </c:pt>
                <c:pt idx="239">
                  <c:v>8.6546995145924122E-2</c:v>
                </c:pt>
                <c:pt idx="240">
                  <c:v>0.14913795228985682</c:v>
                </c:pt>
                <c:pt idx="241">
                  <c:v>0.13842621036421243</c:v>
                </c:pt>
                <c:pt idx="242">
                  <c:v>0.14667132325278653</c:v>
                </c:pt>
                <c:pt idx="243">
                  <c:v>0.13898093807855161</c:v>
                </c:pt>
                <c:pt idx="244">
                  <c:v>0.13948062090729785</c:v>
                </c:pt>
                <c:pt idx="245">
                  <c:v>0.16078677845440836</c:v>
                </c:pt>
                <c:pt idx="246">
                  <c:v>0.16964020453037931</c:v>
                </c:pt>
                <c:pt idx="247">
                  <c:v>0.16558904881427927</c:v>
                </c:pt>
                <c:pt idx="248">
                  <c:v>0.17713249193111613</c:v>
                </c:pt>
                <c:pt idx="249">
                  <c:v>0.17311488971162858</c:v>
                </c:pt>
                <c:pt idx="250">
                  <c:v>0.17621869386147071</c:v>
                </c:pt>
                <c:pt idx="251">
                  <c:v>0.17536230675823727</c:v>
                </c:pt>
                <c:pt idx="252">
                  <c:v>0.17985188812592323</c:v>
                </c:pt>
                <c:pt idx="253">
                  <c:v>0.18499208459609529</c:v>
                </c:pt>
                <c:pt idx="254">
                  <c:v>0.17249610071021437</c:v>
                </c:pt>
                <c:pt idx="255">
                  <c:v>0.16580496858114868</c:v>
                </c:pt>
                <c:pt idx="256">
                  <c:v>0.17355312430984959</c:v>
                </c:pt>
                <c:pt idx="257">
                  <c:v>0.17426181121656459</c:v>
                </c:pt>
                <c:pt idx="258">
                  <c:v>0.18274767606688846</c:v>
                </c:pt>
                <c:pt idx="259">
                  <c:v>0.17754869953635644</c:v>
                </c:pt>
                <c:pt idx="260">
                  <c:v>0.18182122753120611</c:v>
                </c:pt>
                <c:pt idx="261">
                  <c:v>0.17350151417823167</c:v>
                </c:pt>
                <c:pt idx="262">
                  <c:v>0.17454675064345149</c:v>
                </c:pt>
                <c:pt idx="263">
                  <c:v>0.18726419279448203</c:v>
                </c:pt>
                <c:pt idx="264">
                  <c:v>0.18421030842248531</c:v>
                </c:pt>
                <c:pt idx="265">
                  <c:v>0.17996000410844526</c:v>
                </c:pt>
                <c:pt idx="266">
                  <c:v>0.18756367757655101</c:v>
                </c:pt>
                <c:pt idx="267">
                  <c:v>0.17302264458294725</c:v>
                </c:pt>
                <c:pt idx="268">
                  <c:v>0.17380602097267484</c:v>
                </c:pt>
                <c:pt idx="269">
                  <c:v>0.16193551478648649</c:v>
                </c:pt>
                <c:pt idx="270">
                  <c:v>0.15445483881993494</c:v>
                </c:pt>
                <c:pt idx="271">
                  <c:v>0.16410262149953092</c:v>
                </c:pt>
                <c:pt idx="272">
                  <c:v>0.16585936364951825</c:v>
                </c:pt>
                <c:pt idx="273">
                  <c:v>0.17229153653305529</c:v>
                </c:pt>
                <c:pt idx="274">
                  <c:v>0.16977124230101936</c:v>
                </c:pt>
                <c:pt idx="275">
                  <c:v>0.15065864988523603</c:v>
                </c:pt>
                <c:pt idx="276">
                  <c:v>0.15765850203263776</c:v>
                </c:pt>
                <c:pt idx="277">
                  <c:v>0.15306966879634887</c:v>
                </c:pt>
                <c:pt idx="278">
                  <c:v>0.15723002513513817</c:v>
                </c:pt>
                <c:pt idx="279">
                  <c:v>0.16161006466222716</c:v>
                </c:pt>
                <c:pt idx="280">
                  <c:v>0.15510955527329218</c:v>
                </c:pt>
                <c:pt idx="281">
                  <c:v>0.16072800702363166</c:v>
                </c:pt>
                <c:pt idx="282">
                  <c:v>0.14875465273404664</c:v>
                </c:pt>
                <c:pt idx="283">
                  <c:v>0.1451942539473734</c:v>
                </c:pt>
                <c:pt idx="284">
                  <c:v>0.14563878337083613</c:v>
                </c:pt>
                <c:pt idx="285">
                  <c:v>0.15382588453022583</c:v>
                </c:pt>
                <c:pt idx="286">
                  <c:v>0.14128726929888513</c:v>
                </c:pt>
                <c:pt idx="287">
                  <c:v>0.15520132349552274</c:v>
                </c:pt>
                <c:pt idx="288">
                  <c:v>0.15631064978423526</c:v>
                </c:pt>
                <c:pt idx="289">
                  <c:v>0.15315626337616517</c:v>
                </c:pt>
                <c:pt idx="290">
                  <c:v>0.15459800271075519</c:v>
                </c:pt>
                <c:pt idx="291">
                  <c:v>0.1678014065831086</c:v>
                </c:pt>
                <c:pt idx="292">
                  <c:v>0.17782693510812142</c:v>
                </c:pt>
                <c:pt idx="293">
                  <c:v>0.16353816316205561</c:v>
                </c:pt>
                <c:pt idx="294">
                  <c:v>0.16109575360359973</c:v>
                </c:pt>
                <c:pt idx="295">
                  <c:v>0.16738538298419892</c:v>
                </c:pt>
                <c:pt idx="296">
                  <c:v>0.16544560273753528</c:v>
                </c:pt>
                <c:pt idx="297">
                  <c:v>0.17070559352393766</c:v>
                </c:pt>
                <c:pt idx="298">
                  <c:v>0.17516029343964945</c:v>
                </c:pt>
                <c:pt idx="299">
                  <c:v>0.16645124968590652</c:v>
                </c:pt>
                <c:pt idx="300">
                  <c:v>0.151064148379491</c:v>
                </c:pt>
                <c:pt idx="301">
                  <c:v>0.14866263231659205</c:v>
                </c:pt>
                <c:pt idx="302">
                  <c:v>0.10635125959090552</c:v>
                </c:pt>
                <c:pt idx="303">
                  <c:v>0.10093896547157311</c:v>
                </c:pt>
                <c:pt idx="304">
                  <c:v>0.10438305148743021</c:v>
                </c:pt>
                <c:pt idx="305">
                  <c:v>0.11002173711010288</c:v>
                </c:pt>
                <c:pt idx="306">
                  <c:v>0.10766485323940556</c:v>
                </c:pt>
                <c:pt idx="307">
                  <c:v>0.10016016374652414</c:v>
                </c:pt>
                <c:pt idx="308">
                  <c:v>0.10159713526799896</c:v>
                </c:pt>
                <c:pt idx="309">
                  <c:v>7.8450336412783317E-2</c:v>
                </c:pt>
                <c:pt idx="310">
                  <c:v>7.7203829608850194E-2</c:v>
                </c:pt>
                <c:pt idx="311">
                  <c:v>9.3738621061786542E-2</c:v>
                </c:pt>
                <c:pt idx="312">
                  <c:v>9.1075905458056994E-2</c:v>
                </c:pt>
                <c:pt idx="313">
                  <c:v>7.4927709754259331E-2</c:v>
                </c:pt>
                <c:pt idx="314">
                  <c:v>6.6361775379332411E-2</c:v>
                </c:pt>
                <c:pt idx="315">
                  <c:v>5.6866231926307131E-2</c:v>
                </c:pt>
                <c:pt idx="316">
                  <c:v>4.5946021302710971E-2</c:v>
                </c:pt>
                <c:pt idx="317">
                  <c:v>4.3048475438843159E-2</c:v>
                </c:pt>
                <c:pt idx="318">
                  <c:v>4.0759522848882623E-2</c:v>
                </c:pt>
                <c:pt idx="319">
                  <c:v>2.4977669859229668E-2</c:v>
                </c:pt>
                <c:pt idx="320">
                  <c:v>3.5245173356403203E-2</c:v>
                </c:pt>
                <c:pt idx="321">
                  <c:v>5.319620670915981E-2</c:v>
                </c:pt>
                <c:pt idx="322">
                  <c:v>4.7126278216577555E-2</c:v>
                </c:pt>
                <c:pt idx="323">
                  <c:v>5.4113534577276523E-2</c:v>
                </c:pt>
                <c:pt idx="324">
                  <c:v>4.8406992711309549E-2</c:v>
                </c:pt>
                <c:pt idx="325">
                  <c:v>1.3631037957852588E-2</c:v>
                </c:pt>
                <c:pt idx="326">
                  <c:v>2.384390738321196E-2</c:v>
                </c:pt>
                <c:pt idx="327">
                  <c:v>2.622953820848406E-2</c:v>
                </c:pt>
                <c:pt idx="328">
                  <c:v>1.6388188804563608E-2</c:v>
                </c:pt>
                <c:pt idx="329">
                  <c:v>1.4007741850988964E-2</c:v>
                </c:pt>
                <c:pt idx="330">
                  <c:v>2.015257426306527E-2</c:v>
                </c:pt>
                <c:pt idx="331">
                  <c:v>2.7985865583681768E-2</c:v>
                </c:pt>
                <c:pt idx="332">
                  <c:v>5.4132358951721748E-3</c:v>
                </c:pt>
                <c:pt idx="333">
                  <c:v>4.2241895582240119E-3</c:v>
                </c:pt>
                <c:pt idx="334">
                  <c:v>-4.9287525848473734E-3</c:v>
                </c:pt>
                <c:pt idx="335">
                  <c:v>-9.457671007380819E-3</c:v>
                </c:pt>
                <c:pt idx="336">
                  <c:v>-1.9674553839843512E-2</c:v>
                </c:pt>
                <c:pt idx="337">
                  <c:v>-1.9493677458721326E-2</c:v>
                </c:pt>
                <c:pt idx="338">
                  <c:v>-7.1781251464168028E-3</c:v>
                </c:pt>
                <c:pt idx="339">
                  <c:v>2.9634570270963501E-2</c:v>
                </c:pt>
                <c:pt idx="340">
                  <c:v>1.4423012672864388E-2</c:v>
                </c:pt>
                <c:pt idx="341">
                  <c:v>1.72097631832E-2</c:v>
                </c:pt>
                <c:pt idx="342">
                  <c:v>4.6699091360263845E-2</c:v>
                </c:pt>
                <c:pt idx="343">
                  <c:v>3.3267839743758687E-2</c:v>
                </c:pt>
                <c:pt idx="344">
                  <c:v>4.2450327361841289E-2</c:v>
                </c:pt>
                <c:pt idx="345">
                  <c:v>4.9624003950740292E-2</c:v>
                </c:pt>
                <c:pt idx="346">
                  <c:v>5.7043455051657421E-2</c:v>
                </c:pt>
                <c:pt idx="347">
                  <c:v>5.6835384919068144E-2</c:v>
                </c:pt>
                <c:pt idx="348">
                  <c:v>4.1271515809928383E-2</c:v>
                </c:pt>
                <c:pt idx="349">
                  <c:v>6.034683586216083E-2</c:v>
                </c:pt>
                <c:pt idx="350">
                  <c:v>8.1411726811182694E-2</c:v>
                </c:pt>
                <c:pt idx="351">
                  <c:v>9.2422165099396381E-2</c:v>
                </c:pt>
                <c:pt idx="352">
                  <c:v>0.12068938977392429</c:v>
                </c:pt>
                <c:pt idx="353">
                  <c:v>0.12118463150677927</c:v>
                </c:pt>
                <c:pt idx="354">
                  <c:v>0.12328647329444875</c:v>
                </c:pt>
                <c:pt idx="355">
                  <c:v>0.12437571737615793</c:v>
                </c:pt>
                <c:pt idx="356">
                  <c:v>0.11936133859882148</c:v>
                </c:pt>
                <c:pt idx="357">
                  <c:v>6.0492732173831998E-2</c:v>
                </c:pt>
                <c:pt idx="358">
                  <c:v>4.6288230453449319E-2</c:v>
                </c:pt>
                <c:pt idx="359">
                  <c:v>4.4311164306471751E-2</c:v>
                </c:pt>
                <c:pt idx="360">
                  <c:v>3.1326771189296831E-2</c:v>
                </c:pt>
                <c:pt idx="361">
                  <c:v>2.0491751141151537E-2</c:v>
                </c:pt>
                <c:pt idx="362">
                  <c:v>1.2032351274750885E-2</c:v>
                </c:pt>
                <c:pt idx="363">
                  <c:v>3.3056445802350787E-3</c:v>
                </c:pt>
                <c:pt idx="364">
                  <c:v>2.9537718245675748E-3</c:v>
                </c:pt>
                <c:pt idx="365">
                  <c:v>-7.9750915686120916E-3</c:v>
                </c:pt>
                <c:pt idx="366">
                  <c:v>-1.7933253932092774E-2</c:v>
                </c:pt>
                <c:pt idx="367">
                  <c:v>-1.105879218533834E-2</c:v>
                </c:pt>
                <c:pt idx="368">
                  <c:v>-5.456929087963247E-3</c:v>
                </c:pt>
                <c:pt idx="369">
                  <c:v>2.9766848373788957E-3</c:v>
                </c:pt>
                <c:pt idx="370">
                  <c:v>2.0086068526627754E-2</c:v>
                </c:pt>
                <c:pt idx="371">
                  <c:v>5.6346014244577081E-3</c:v>
                </c:pt>
                <c:pt idx="372">
                  <c:v>-3.6887220138162369E-2</c:v>
                </c:pt>
                <c:pt idx="373">
                  <c:v>-4.9960421614338335E-2</c:v>
                </c:pt>
                <c:pt idx="374">
                  <c:v>-2.7844838510017067E-2</c:v>
                </c:pt>
                <c:pt idx="375">
                  <c:v>-2.1352402897207967E-2</c:v>
                </c:pt>
                <c:pt idx="376">
                  <c:v>-2.6013336462779479E-2</c:v>
                </c:pt>
                <c:pt idx="377">
                  <c:v>-4.1124607965830284E-2</c:v>
                </c:pt>
                <c:pt idx="378">
                  <c:v>-4.9715705401786492E-2</c:v>
                </c:pt>
                <c:pt idx="379">
                  <c:v>-3.4239558961689398E-2</c:v>
                </c:pt>
                <c:pt idx="380">
                  <c:v>-4.5509129236433021E-2</c:v>
                </c:pt>
                <c:pt idx="381">
                  <c:v>-4.5057310632030667E-2</c:v>
                </c:pt>
                <c:pt idx="382">
                  <c:v>-5.475452094396327E-2</c:v>
                </c:pt>
                <c:pt idx="383">
                  <c:v>-4.9290925067641767E-2</c:v>
                </c:pt>
                <c:pt idx="384">
                  <c:v>-4.9426962290966103E-2</c:v>
                </c:pt>
                <c:pt idx="385">
                  <c:v>-2.9244854829074796E-2</c:v>
                </c:pt>
                <c:pt idx="386">
                  <c:v>-2.0651772748534913E-2</c:v>
                </c:pt>
                <c:pt idx="387">
                  <c:v>-2.0623732477503709E-2</c:v>
                </c:pt>
                <c:pt idx="388">
                  <c:v>-5.3176664979082133E-4</c:v>
                </c:pt>
                <c:pt idx="389">
                  <c:v>-2.1436163963789445E-3</c:v>
                </c:pt>
                <c:pt idx="390">
                  <c:v>-3.5251980377419834E-3</c:v>
                </c:pt>
                <c:pt idx="391">
                  <c:v>-1.6055334876511007E-2</c:v>
                </c:pt>
                <c:pt idx="392">
                  <c:v>-1.48276192174851E-2</c:v>
                </c:pt>
                <c:pt idx="393">
                  <c:v>-1.4983644741257907E-2</c:v>
                </c:pt>
                <c:pt idx="394">
                  <c:v>-1.4891474876108646E-2</c:v>
                </c:pt>
                <c:pt idx="395">
                  <c:v>-1.8078276479341793E-2</c:v>
                </c:pt>
                <c:pt idx="396">
                  <c:v>-2.0834039691087547E-2</c:v>
                </c:pt>
                <c:pt idx="397">
                  <c:v>-4.9048805209831348E-2</c:v>
                </c:pt>
                <c:pt idx="398">
                  <c:v>-4.4771420546839247E-2</c:v>
                </c:pt>
                <c:pt idx="399">
                  <c:v>-5.2078106661144541E-2</c:v>
                </c:pt>
                <c:pt idx="400">
                  <c:v>-5.6901419822088295E-2</c:v>
                </c:pt>
                <c:pt idx="401">
                  <c:v>-6.5109264870443551E-2</c:v>
                </c:pt>
                <c:pt idx="402">
                  <c:v>-5.8092110608155889E-2</c:v>
                </c:pt>
                <c:pt idx="403">
                  <c:v>-4.7615995528939359E-2</c:v>
                </c:pt>
                <c:pt idx="404">
                  <c:v>-3.9272676844434584E-2</c:v>
                </c:pt>
                <c:pt idx="405">
                  <c:v>-4.2484492450026945E-2</c:v>
                </c:pt>
                <c:pt idx="406">
                  <c:v>-1.9116469492290511E-2</c:v>
                </c:pt>
                <c:pt idx="407">
                  <c:v>-9.1053182363983742E-3</c:v>
                </c:pt>
                <c:pt idx="408">
                  <c:v>-8.4608502617877779E-4</c:v>
                </c:pt>
                <c:pt idx="409">
                  <c:v>7.1781887252688747E-3</c:v>
                </c:pt>
                <c:pt idx="410">
                  <c:v>1.9736247659829509E-3</c:v>
                </c:pt>
                <c:pt idx="411">
                  <c:v>-2.1482452363326354E-2</c:v>
                </c:pt>
                <c:pt idx="412">
                  <c:v>-1.304277952895494E-2</c:v>
                </c:pt>
                <c:pt idx="413">
                  <c:v>-5.1911436901501684E-3</c:v>
                </c:pt>
                <c:pt idx="414">
                  <c:v>-3.293461588333324E-3</c:v>
                </c:pt>
                <c:pt idx="415">
                  <c:v>1.2263952610300777E-3</c:v>
                </c:pt>
                <c:pt idx="416">
                  <c:v>3.6689608453872591E-3</c:v>
                </c:pt>
                <c:pt idx="417">
                  <c:v>7.1411108074063812E-2</c:v>
                </c:pt>
                <c:pt idx="418">
                  <c:v>8.3734686927471103E-2</c:v>
                </c:pt>
                <c:pt idx="419">
                  <c:v>6.5233651808309201E-2</c:v>
                </c:pt>
                <c:pt idx="420">
                  <c:v>6.1492451605783094E-2</c:v>
                </c:pt>
                <c:pt idx="421">
                  <c:v>6.3673132208372785E-2</c:v>
                </c:pt>
                <c:pt idx="422">
                  <c:v>0.1055421104971983</c:v>
                </c:pt>
                <c:pt idx="423">
                  <c:v>9.7588294712655843E-2</c:v>
                </c:pt>
                <c:pt idx="424">
                  <c:v>9.9322981205959948E-2</c:v>
                </c:pt>
                <c:pt idx="425">
                  <c:v>9.7262008949054346E-2</c:v>
                </c:pt>
                <c:pt idx="426">
                  <c:v>8.688686716472338E-2</c:v>
                </c:pt>
                <c:pt idx="427">
                  <c:v>8.3835103214038753E-2</c:v>
                </c:pt>
                <c:pt idx="428">
                  <c:v>7.1778198315907149E-2</c:v>
                </c:pt>
                <c:pt idx="429">
                  <c:v>7.2626003159136587E-2</c:v>
                </c:pt>
                <c:pt idx="430">
                  <c:v>6.6183548502847023E-2</c:v>
                </c:pt>
                <c:pt idx="431">
                  <c:v>5.9518189935239496E-2</c:v>
                </c:pt>
                <c:pt idx="432">
                  <c:v>5.8397377616062451E-2</c:v>
                </c:pt>
                <c:pt idx="433">
                  <c:v>6.5516320004533002E-2</c:v>
                </c:pt>
                <c:pt idx="434">
                  <c:v>7.518173787651472E-2</c:v>
                </c:pt>
                <c:pt idx="435">
                  <c:v>9.323320096676202E-2</c:v>
                </c:pt>
                <c:pt idx="436">
                  <c:v>8.0176083599887038E-2</c:v>
                </c:pt>
                <c:pt idx="437">
                  <c:v>7.5907866084828246E-2</c:v>
                </c:pt>
                <c:pt idx="438">
                  <c:v>7.5761930072217654E-2</c:v>
                </c:pt>
                <c:pt idx="439">
                  <c:v>6.9812130556773155E-2</c:v>
                </c:pt>
                <c:pt idx="440">
                  <c:v>6.7267262121252669E-2</c:v>
                </c:pt>
                <c:pt idx="441">
                  <c:v>5.7534055413513974E-2</c:v>
                </c:pt>
                <c:pt idx="442">
                  <c:v>6.6619706052479799E-2</c:v>
                </c:pt>
                <c:pt idx="443">
                  <c:v>6.1751628195196639E-2</c:v>
                </c:pt>
                <c:pt idx="444">
                  <c:v>4.6301444906749145E-2</c:v>
                </c:pt>
                <c:pt idx="445">
                  <c:v>3.1202938302310246E-2</c:v>
                </c:pt>
                <c:pt idx="446">
                  <c:v>3.5328403189587076E-2</c:v>
                </c:pt>
                <c:pt idx="447">
                  <c:v>3.5292895499174026E-2</c:v>
                </c:pt>
                <c:pt idx="448">
                  <c:v>2.6785892173445625E-2</c:v>
                </c:pt>
                <c:pt idx="449">
                  <c:v>2.6980356522871007E-2</c:v>
                </c:pt>
                <c:pt idx="450">
                  <c:v>1.5034671665790089E-2</c:v>
                </c:pt>
                <c:pt idx="451">
                  <c:v>1.643887481275863E-2</c:v>
                </c:pt>
                <c:pt idx="452">
                  <c:v>1.5126312932212116E-3</c:v>
                </c:pt>
                <c:pt idx="453">
                  <c:v>1.3674133538670308E-3</c:v>
                </c:pt>
                <c:pt idx="454">
                  <c:v>-5.5769736220458999E-3</c:v>
                </c:pt>
                <c:pt idx="455">
                  <c:v>-1.1120956229149881E-2</c:v>
                </c:pt>
                <c:pt idx="456">
                  <c:v>-1.0288867756682585E-2</c:v>
                </c:pt>
                <c:pt idx="457">
                  <c:v>-8.0400452703923708E-3</c:v>
                </c:pt>
                <c:pt idx="458">
                  <c:v>-1.2652687944244456E-2</c:v>
                </c:pt>
                <c:pt idx="459">
                  <c:v>-1.2617333251822682E-2</c:v>
                </c:pt>
                <c:pt idx="460">
                  <c:v>-1.6572994962832377E-2</c:v>
                </c:pt>
                <c:pt idx="461">
                  <c:v>-2.278863872028325E-2</c:v>
                </c:pt>
                <c:pt idx="462">
                  <c:v>-2.7441068672505287E-2</c:v>
                </c:pt>
                <c:pt idx="463">
                  <c:v>-3.6959699012982794E-2</c:v>
                </c:pt>
                <c:pt idx="464">
                  <c:v>-2.5770823980010404E-2</c:v>
                </c:pt>
                <c:pt idx="465">
                  <c:v>-2.4579225969298624E-2</c:v>
                </c:pt>
                <c:pt idx="466">
                  <c:v>-9.2956240925197164E-3</c:v>
                </c:pt>
                <c:pt idx="467">
                  <c:v>4.9542675859903795E-3</c:v>
                </c:pt>
                <c:pt idx="468">
                  <c:v>1.7817281499477922E-2</c:v>
                </c:pt>
                <c:pt idx="469">
                  <c:v>2.3504858877099188E-2</c:v>
                </c:pt>
                <c:pt idx="470">
                  <c:v>1.6832252210100096E-2</c:v>
                </c:pt>
                <c:pt idx="471">
                  <c:v>2.786565071940017E-2</c:v>
                </c:pt>
                <c:pt idx="472">
                  <c:v>1.7853783484819363E-2</c:v>
                </c:pt>
                <c:pt idx="473">
                  <c:v>1.398869133026559E-2</c:v>
                </c:pt>
                <c:pt idx="474">
                  <c:v>2.6985275314618473E-2</c:v>
                </c:pt>
                <c:pt idx="475">
                  <c:v>3.2149679443113754E-2</c:v>
                </c:pt>
                <c:pt idx="476">
                  <c:v>2.37659931646379E-2</c:v>
                </c:pt>
                <c:pt idx="477">
                  <c:v>1.7535344475540615E-2</c:v>
                </c:pt>
                <c:pt idx="478">
                  <c:v>2.7571094832994358E-2</c:v>
                </c:pt>
                <c:pt idx="479">
                  <c:v>2.4807786405525389E-2</c:v>
                </c:pt>
                <c:pt idx="480">
                  <c:v>2.0498315855751459E-2</c:v>
                </c:pt>
                <c:pt idx="481">
                  <c:v>1.7100081815793811E-2</c:v>
                </c:pt>
                <c:pt idx="482">
                  <c:v>2.1407375537737305E-2</c:v>
                </c:pt>
                <c:pt idx="483">
                  <c:v>2.8555619759903506E-2</c:v>
                </c:pt>
                <c:pt idx="484">
                  <c:v>2.1992968008020419E-2</c:v>
                </c:pt>
                <c:pt idx="485">
                  <c:v>-1.1174509469100702E-3</c:v>
                </c:pt>
                <c:pt idx="486">
                  <c:v>-4.812637407877296E-3</c:v>
                </c:pt>
                <c:pt idx="487">
                  <c:v>-1.6361494086126194E-2</c:v>
                </c:pt>
                <c:pt idx="488">
                  <c:v>-6.2710322023905585E-3</c:v>
                </c:pt>
                <c:pt idx="489">
                  <c:v>-2.052645331494074E-3</c:v>
                </c:pt>
                <c:pt idx="490">
                  <c:v>3.4878191973519712E-3</c:v>
                </c:pt>
                <c:pt idx="491">
                  <c:v>-2.7461932129574707E-2</c:v>
                </c:pt>
                <c:pt idx="492">
                  <c:v>-4.6913728536511989E-2</c:v>
                </c:pt>
                <c:pt idx="493">
                  <c:v>-5.1814963278776216E-2</c:v>
                </c:pt>
                <c:pt idx="494">
                  <c:v>-5.2377644893144226E-2</c:v>
                </c:pt>
                <c:pt idx="495">
                  <c:v>-5.4342331767542995E-2</c:v>
                </c:pt>
                <c:pt idx="496">
                  <c:v>-5.2019416514520023E-2</c:v>
                </c:pt>
                <c:pt idx="497">
                  <c:v>-5.744533575167321E-2</c:v>
                </c:pt>
                <c:pt idx="498">
                  <c:v>-6.3636598475181883E-2</c:v>
                </c:pt>
                <c:pt idx="499">
                  <c:v>-7.5995996124405107E-2</c:v>
                </c:pt>
                <c:pt idx="500">
                  <c:v>-8.4076053727594524E-2</c:v>
                </c:pt>
                <c:pt idx="501">
                  <c:v>-7.2632950556943965E-2</c:v>
                </c:pt>
                <c:pt idx="502">
                  <c:v>-7.6221318811868999E-2</c:v>
                </c:pt>
                <c:pt idx="503">
                  <c:v>-0.13711218172679163</c:v>
                </c:pt>
                <c:pt idx="504">
                  <c:v>-0.11173389778412079</c:v>
                </c:pt>
                <c:pt idx="505">
                  <c:v>-9.0650392511541611E-2</c:v>
                </c:pt>
                <c:pt idx="506">
                  <c:v>-8.5547896570268622E-2</c:v>
                </c:pt>
                <c:pt idx="507">
                  <c:v>-8.1883086839093067E-2</c:v>
                </c:pt>
                <c:pt idx="508">
                  <c:v>-7.5361099126029063E-2</c:v>
                </c:pt>
                <c:pt idx="509">
                  <c:v>-6.7522141784650547E-2</c:v>
                </c:pt>
                <c:pt idx="510">
                  <c:v>-5.1639222940549123E-2</c:v>
                </c:pt>
                <c:pt idx="511">
                  <c:v>-4.356957172620235E-2</c:v>
                </c:pt>
                <c:pt idx="512">
                  <c:v>-5.0303890164460796E-2</c:v>
                </c:pt>
                <c:pt idx="513">
                  <c:v>-6.6269837397779474E-2</c:v>
                </c:pt>
                <c:pt idx="514">
                  <c:v>-5.6324058089136986E-2</c:v>
                </c:pt>
                <c:pt idx="515">
                  <c:v>-5.7922478776627151E-2</c:v>
                </c:pt>
                <c:pt idx="516">
                  <c:v>-6.2049659599963558E-2</c:v>
                </c:pt>
                <c:pt idx="517">
                  <c:v>-5.764789705927631E-2</c:v>
                </c:pt>
                <c:pt idx="518">
                  <c:v>-5.6904398919439325E-2</c:v>
                </c:pt>
                <c:pt idx="519">
                  <c:v>-6.1745139237203039E-2</c:v>
                </c:pt>
                <c:pt idx="520">
                  <c:v>-4.846673282641123E-2</c:v>
                </c:pt>
                <c:pt idx="521">
                  <c:v>-4.3172585908985761E-2</c:v>
                </c:pt>
                <c:pt idx="522">
                  <c:v>-5.8148953419994154E-3</c:v>
                </c:pt>
                <c:pt idx="523">
                  <c:v>2.7333766020953387E-2</c:v>
                </c:pt>
                <c:pt idx="524">
                  <c:v>1.9309671461766431E-2</c:v>
                </c:pt>
                <c:pt idx="525">
                  <c:v>2.6285176683286782E-2</c:v>
                </c:pt>
                <c:pt idx="526">
                  <c:v>-1.7779348002859074E-2</c:v>
                </c:pt>
                <c:pt idx="527">
                  <c:v>1.0293296309529465E-2</c:v>
                </c:pt>
                <c:pt idx="528">
                  <c:v>2.0896558047751812E-2</c:v>
                </c:pt>
                <c:pt idx="529">
                  <c:v>1.6011520291011161E-2</c:v>
                </c:pt>
                <c:pt idx="530">
                  <c:v>2.325904468080342E-2</c:v>
                </c:pt>
                <c:pt idx="531">
                  <c:v>2.948782080575918E-2</c:v>
                </c:pt>
                <c:pt idx="532">
                  <c:v>3.3918668977632738E-2</c:v>
                </c:pt>
                <c:pt idx="533">
                  <c:v>2.5156862148399517E-2</c:v>
                </c:pt>
                <c:pt idx="534">
                  <c:v>2.6468585089433727E-2</c:v>
                </c:pt>
                <c:pt idx="535">
                  <c:v>2.748644393685562E-2</c:v>
                </c:pt>
                <c:pt idx="536">
                  <c:v>2.6756849986963926E-2</c:v>
                </c:pt>
                <c:pt idx="537">
                  <c:v>9.3000731308274798E-3</c:v>
                </c:pt>
                <c:pt idx="538">
                  <c:v>2.1766723567957502E-3</c:v>
                </c:pt>
                <c:pt idx="539">
                  <c:v>-4.2592135220747007E-3</c:v>
                </c:pt>
                <c:pt idx="540">
                  <c:v>6.4230898146555804E-2</c:v>
                </c:pt>
                <c:pt idx="541">
                  <c:v>6.1978595977145501E-2</c:v>
                </c:pt>
                <c:pt idx="542">
                  <c:v>6.0020277929431209E-2</c:v>
                </c:pt>
                <c:pt idx="543">
                  <c:v>7.8070728939620082E-2</c:v>
                </c:pt>
                <c:pt idx="544">
                  <c:v>7.5884989180291962E-2</c:v>
                </c:pt>
                <c:pt idx="545">
                  <c:v>6.5766692860265374E-2</c:v>
                </c:pt>
                <c:pt idx="546">
                  <c:v>6.8663778305348977E-2</c:v>
                </c:pt>
                <c:pt idx="547">
                  <c:v>7.4850741733647475E-2</c:v>
                </c:pt>
                <c:pt idx="548">
                  <c:v>5.1000693816385168E-2</c:v>
                </c:pt>
                <c:pt idx="549">
                  <c:v>2.9653057392532878E-2</c:v>
                </c:pt>
                <c:pt idx="550">
                  <c:v>1.964775810702446E-2</c:v>
                </c:pt>
                <c:pt idx="551">
                  <c:v>3.2789362620114559E-2</c:v>
                </c:pt>
                <c:pt idx="552">
                  <c:v>4.3098934807614508E-2</c:v>
                </c:pt>
                <c:pt idx="553">
                  <c:v>4.3850091878460118E-2</c:v>
                </c:pt>
                <c:pt idx="554">
                  <c:v>3.7201795167371321E-2</c:v>
                </c:pt>
                <c:pt idx="555">
                  <c:v>4.4210404824455818E-2</c:v>
                </c:pt>
                <c:pt idx="556">
                  <c:v>4.8196868346152888E-2</c:v>
                </c:pt>
                <c:pt idx="557">
                  <c:v>4.1843049036037971E-2</c:v>
                </c:pt>
                <c:pt idx="558">
                  <c:v>2.8120778290885884E-2</c:v>
                </c:pt>
                <c:pt idx="559">
                  <c:v>4.8977222443593593E-3</c:v>
                </c:pt>
                <c:pt idx="560">
                  <c:v>1.1545884589182265E-2</c:v>
                </c:pt>
                <c:pt idx="561">
                  <c:v>1.1762544254334983E-2</c:v>
                </c:pt>
                <c:pt idx="562">
                  <c:v>-3.1926836100759637E-4</c:v>
                </c:pt>
                <c:pt idx="563">
                  <c:v>-1.0020712586034097E-4</c:v>
                </c:pt>
                <c:pt idx="564">
                  <c:v>4.4718388775895068E-3</c:v>
                </c:pt>
                <c:pt idx="565">
                  <c:v>7.7945098516543077E-3</c:v>
                </c:pt>
                <c:pt idx="566">
                  <c:v>-5.6784572710393277E-3</c:v>
                </c:pt>
                <c:pt idx="567">
                  <c:v>-2.1095775618209522E-3</c:v>
                </c:pt>
                <c:pt idx="568">
                  <c:v>-1.1092696883438946E-2</c:v>
                </c:pt>
                <c:pt idx="569">
                  <c:v>-2.3153370298250597E-2</c:v>
                </c:pt>
                <c:pt idx="570">
                  <c:v>-1.058786113129162E-2</c:v>
                </c:pt>
                <c:pt idx="571">
                  <c:v>-1.7338188988958336E-2</c:v>
                </c:pt>
                <c:pt idx="572">
                  <c:v>-2.506890879340562E-2</c:v>
                </c:pt>
                <c:pt idx="573">
                  <c:v>-2.4723186353857951E-2</c:v>
                </c:pt>
                <c:pt idx="574">
                  <c:v>-2.7965247901400092E-2</c:v>
                </c:pt>
                <c:pt idx="575">
                  <c:v>-3.1124813400365881E-2</c:v>
                </c:pt>
                <c:pt idx="576">
                  <c:v>-2.1483771019162656E-2</c:v>
                </c:pt>
                <c:pt idx="577">
                  <c:v>-1.9421512491469395E-2</c:v>
                </c:pt>
                <c:pt idx="578">
                  <c:v>-5.6432728858767489E-2</c:v>
                </c:pt>
                <c:pt idx="579">
                  <c:v>-5.5227712294254494E-2</c:v>
                </c:pt>
                <c:pt idx="580">
                  <c:v>-4.0800848529336631E-2</c:v>
                </c:pt>
                <c:pt idx="581">
                  <c:v>-5.0317091231344313E-2</c:v>
                </c:pt>
                <c:pt idx="582">
                  <c:v>-3.598663663063395E-2</c:v>
                </c:pt>
                <c:pt idx="583">
                  <c:v>-3.6566167660857074E-2</c:v>
                </c:pt>
                <c:pt idx="584">
                  <c:v>-4.2193284019074406E-2</c:v>
                </c:pt>
                <c:pt idx="585">
                  <c:v>-3.2247520928396778E-2</c:v>
                </c:pt>
                <c:pt idx="586">
                  <c:v>-3.3711699052417332E-2</c:v>
                </c:pt>
                <c:pt idx="587">
                  <c:v>-2.6854524807957025E-2</c:v>
                </c:pt>
                <c:pt idx="588">
                  <c:v>-2.6787389679707063E-2</c:v>
                </c:pt>
                <c:pt idx="589">
                  <c:v>-2.9594995229413668E-2</c:v>
                </c:pt>
                <c:pt idx="590">
                  <c:v>-2.8094666146992298E-2</c:v>
                </c:pt>
                <c:pt idx="591">
                  <c:v>-5.4189814964933691E-2</c:v>
                </c:pt>
                <c:pt idx="592">
                  <c:v>-6.0729151346917698E-2</c:v>
                </c:pt>
                <c:pt idx="593">
                  <c:v>-5.7881050916746002E-2</c:v>
                </c:pt>
                <c:pt idx="594">
                  <c:v>-4.4321462383777765E-2</c:v>
                </c:pt>
                <c:pt idx="595">
                  <c:v>-5.1819035343421138E-2</c:v>
                </c:pt>
                <c:pt idx="596">
                  <c:v>-4.2045353095343851E-2</c:v>
                </c:pt>
                <c:pt idx="597">
                  <c:v>-4.5408565151762614E-2</c:v>
                </c:pt>
                <c:pt idx="598">
                  <c:v>-3.753318760990243E-2</c:v>
                </c:pt>
                <c:pt idx="599">
                  <c:v>-2.9540724315446298E-2</c:v>
                </c:pt>
                <c:pt idx="600">
                  <c:v>-4.5968043964053629E-2</c:v>
                </c:pt>
                <c:pt idx="601">
                  <c:v>-2.9952467379319669E-2</c:v>
                </c:pt>
                <c:pt idx="602">
                  <c:v>-3.2807011690551002E-2</c:v>
                </c:pt>
                <c:pt idx="603">
                  <c:v>-2.2402772260727066E-2</c:v>
                </c:pt>
                <c:pt idx="604">
                  <c:v>-5.1356408693671307E-3</c:v>
                </c:pt>
                <c:pt idx="605">
                  <c:v>4.598379864891422E-3</c:v>
                </c:pt>
                <c:pt idx="606">
                  <c:v>1.4446450085414453E-2</c:v>
                </c:pt>
                <c:pt idx="607">
                  <c:v>1.1179913585925849E-3</c:v>
                </c:pt>
                <c:pt idx="608">
                  <c:v>3.7718931829691105E-3</c:v>
                </c:pt>
                <c:pt idx="609">
                  <c:v>1.1611108119048197E-2</c:v>
                </c:pt>
                <c:pt idx="610">
                  <c:v>9.0872676402349306E-3</c:v>
                </c:pt>
                <c:pt idx="611">
                  <c:v>2.1735437693088722E-2</c:v>
                </c:pt>
                <c:pt idx="612">
                  <c:v>3.133162110608434E-2</c:v>
                </c:pt>
                <c:pt idx="613">
                  <c:v>2.2375783350209622E-2</c:v>
                </c:pt>
                <c:pt idx="614">
                  <c:v>1.9600483031384064E-2</c:v>
                </c:pt>
                <c:pt idx="615">
                  <c:v>1.3737433987683456E-2</c:v>
                </c:pt>
                <c:pt idx="616">
                  <c:v>2.9674973233123181E-2</c:v>
                </c:pt>
                <c:pt idx="617">
                  <c:v>9.2906279912718936E-3</c:v>
                </c:pt>
                <c:pt idx="618">
                  <c:v>2.0435532990922267E-2</c:v>
                </c:pt>
                <c:pt idx="619">
                  <c:v>1.9365088630290961E-2</c:v>
                </c:pt>
                <c:pt idx="620">
                  <c:v>1.6517747071302047E-2</c:v>
                </c:pt>
                <c:pt idx="621">
                  <c:v>1.541767797924698E-2</c:v>
                </c:pt>
                <c:pt idx="622">
                  <c:v>1.2935349606373325E-2</c:v>
                </c:pt>
                <c:pt idx="623">
                  <c:v>9.3954292020490549E-3</c:v>
                </c:pt>
                <c:pt idx="624">
                  <c:v>1.5451332327406586E-2</c:v>
                </c:pt>
                <c:pt idx="625">
                  <c:v>2.7705431396804814E-2</c:v>
                </c:pt>
                <c:pt idx="626">
                  <c:v>6.6492319110518228E-3</c:v>
                </c:pt>
                <c:pt idx="627">
                  <c:v>1.3139338999325956E-2</c:v>
                </c:pt>
                <c:pt idx="628">
                  <c:v>2.4702142302208463E-2</c:v>
                </c:pt>
                <c:pt idx="629">
                  <c:v>3.6406922200984848E-2</c:v>
                </c:pt>
                <c:pt idx="630">
                  <c:v>1.1634820093352705E-2</c:v>
                </c:pt>
                <c:pt idx="631">
                  <c:v>1.5582919787117344E-2</c:v>
                </c:pt>
                <c:pt idx="632">
                  <c:v>3.191160231670831E-2</c:v>
                </c:pt>
                <c:pt idx="633">
                  <c:v>9.2950715799846595E-3</c:v>
                </c:pt>
                <c:pt idx="634">
                  <c:v>8.5255789953508909E-4</c:v>
                </c:pt>
                <c:pt idx="635">
                  <c:v>-4.823293842816434E-3</c:v>
                </c:pt>
                <c:pt idx="636">
                  <c:v>-2.5955985972763163E-3</c:v>
                </c:pt>
                <c:pt idx="637">
                  <c:v>1.4268578611816185E-2</c:v>
                </c:pt>
                <c:pt idx="638">
                  <c:v>9.3901785857128939E-3</c:v>
                </c:pt>
                <c:pt idx="639">
                  <c:v>8.3481940615681705E-3</c:v>
                </c:pt>
                <c:pt idx="640">
                  <c:v>9.4575255060247443E-3</c:v>
                </c:pt>
                <c:pt idx="641">
                  <c:v>-1.8373256504888857E-4</c:v>
                </c:pt>
                <c:pt idx="642">
                  <c:v>7.6980937232118407E-3</c:v>
                </c:pt>
                <c:pt idx="643">
                  <c:v>1.7356353390635348E-2</c:v>
                </c:pt>
                <c:pt idx="644">
                  <c:v>2.7148759765961206E-2</c:v>
                </c:pt>
                <c:pt idx="645">
                  <c:v>3.8828271219001342E-2</c:v>
                </c:pt>
                <c:pt idx="646">
                  <c:v>1.5174703014006363E-2</c:v>
                </c:pt>
                <c:pt idx="647">
                  <c:v>1.9822296024215369E-2</c:v>
                </c:pt>
                <c:pt idx="648">
                  <c:v>2.4308590110673656E-2</c:v>
                </c:pt>
                <c:pt idx="649">
                  <c:v>2.0547730353167593E-2</c:v>
                </c:pt>
                <c:pt idx="650">
                  <c:v>1.1670203991377859E-2</c:v>
                </c:pt>
                <c:pt idx="651">
                  <c:v>1.7471346345629524E-2</c:v>
                </c:pt>
                <c:pt idx="652">
                  <c:v>1.5299075123042183E-2</c:v>
                </c:pt>
                <c:pt idx="653">
                  <c:v>3.8438481809747849E-2</c:v>
                </c:pt>
                <c:pt idx="654">
                  <c:v>2.722411201769992E-2</c:v>
                </c:pt>
                <c:pt idx="655">
                  <c:v>4.9950400895769409E-2</c:v>
                </c:pt>
                <c:pt idx="656">
                  <c:v>2.5118485945048841E-2</c:v>
                </c:pt>
                <c:pt idx="657">
                  <c:v>8.7532702269605966E-3</c:v>
                </c:pt>
                <c:pt idx="658">
                  <c:v>7.983546139511688E-5</c:v>
                </c:pt>
                <c:pt idx="659">
                  <c:v>-9.8122992639825268E-3</c:v>
                </c:pt>
                <c:pt idx="660">
                  <c:v>-2.7598625226027407E-3</c:v>
                </c:pt>
                <c:pt idx="661">
                  <c:v>-1.068646424722175E-2</c:v>
                </c:pt>
                <c:pt idx="662">
                  <c:v>-2.1910214835678343E-2</c:v>
                </c:pt>
                <c:pt idx="663">
                  <c:v>-2.7580100987758316E-2</c:v>
                </c:pt>
                <c:pt idx="664">
                  <c:v>-4.1315290886604794E-2</c:v>
                </c:pt>
                <c:pt idx="665">
                  <c:v>-4.1955688617187237E-2</c:v>
                </c:pt>
                <c:pt idx="666">
                  <c:v>-3.4626393440592595E-2</c:v>
                </c:pt>
                <c:pt idx="667">
                  <c:v>-4.0337653669051732E-2</c:v>
                </c:pt>
                <c:pt idx="668">
                  <c:v>-4.5124457063966283E-2</c:v>
                </c:pt>
                <c:pt idx="669">
                  <c:v>-5.0040658176547792E-2</c:v>
                </c:pt>
                <c:pt idx="670">
                  <c:v>-2.628468378876847E-2</c:v>
                </c:pt>
                <c:pt idx="671">
                  <c:v>-5.3419788051245587E-2</c:v>
                </c:pt>
                <c:pt idx="672">
                  <c:v>-3.9126021943340805E-2</c:v>
                </c:pt>
                <c:pt idx="673">
                  <c:v>-3.6718308696969681E-2</c:v>
                </c:pt>
                <c:pt idx="674">
                  <c:v>-3.3229125639404167E-2</c:v>
                </c:pt>
                <c:pt idx="675">
                  <c:v>-2.7993233035742637E-2</c:v>
                </c:pt>
                <c:pt idx="676">
                  <c:v>-2.8566646617162794E-2</c:v>
                </c:pt>
                <c:pt idx="677">
                  <c:v>-4.8997614683683022E-2</c:v>
                </c:pt>
                <c:pt idx="678">
                  <c:v>-6.0593714244593144E-2</c:v>
                </c:pt>
                <c:pt idx="679">
                  <c:v>-5.3449268411655981E-2</c:v>
                </c:pt>
                <c:pt idx="680">
                  <c:v>-3.933257631957976E-2</c:v>
                </c:pt>
                <c:pt idx="681">
                  <c:v>-3.501713135004636E-2</c:v>
                </c:pt>
                <c:pt idx="682">
                  <c:v>-1.4082047153455401E-2</c:v>
                </c:pt>
                <c:pt idx="683">
                  <c:v>-1.7456797247037303E-2</c:v>
                </c:pt>
                <c:pt idx="684">
                  <c:v>-3.3861720584500876E-2</c:v>
                </c:pt>
                <c:pt idx="685">
                  <c:v>-2.4434264166405706E-2</c:v>
                </c:pt>
                <c:pt idx="686">
                  <c:v>-2.3311516841838076E-2</c:v>
                </c:pt>
                <c:pt idx="687">
                  <c:v>-2.15031864279559E-2</c:v>
                </c:pt>
                <c:pt idx="688">
                  <c:v>-3.4840340976855733E-2</c:v>
                </c:pt>
                <c:pt idx="689">
                  <c:v>-4.3259571732748747E-2</c:v>
                </c:pt>
                <c:pt idx="690">
                  <c:v>-3.7514915295331019E-2</c:v>
                </c:pt>
                <c:pt idx="691">
                  <c:v>-3.4733725548214744E-2</c:v>
                </c:pt>
                <c:pt idx="692">
                  <c:v>-3.2561076587629745E-2</c:v>
                </c:pt>
                <c:pt idx="693">
                  <c:v>-2.6651252343162346E-2</c:v>
                </c:pt>
                <c:pt idx="694">
                  <c:v>-4.1422288158963094E-2</c:v>
                </c:pt>
                <c:pt idx="695">
                  <c:v>-2.8989647975835697E-2</c:v>
                </c:pt>
                <c:pt idx="696">
                  <c:v>-2.3083146107140018E-2</c:v>
                </c:pt>
                <c:pt idx="697">
                  <c:v>-2.3453483352156801E-2</c:v>
                </c:pt>
                <c:pt idx="698">
                  <c:v>-1.9530332841456222E-2</c:v>
                </c:pt>
                <c:pt idx="699">
                  <c:v>-3.2319722372672666E-2</c:v>
                </c:pt>
                <c:pt idx="700">
                  <c:v>-4.3668125009245773E-2</c:v>
                </c:pt>
                <c:pt idx="701">
                  <c:v>-4.1091572718188529E-2</c:v>
                </c:pt>
                <c:pt idx="702">
                  <c:v>-3.5228030315868741E-2</c:v>
                </c:pt>
                <c:pt idx="703">
                  <c:v>-4.1168389747605616E-2</c:v>
                </c:pt>
                <c:pt idx="704">
                  <c:v>-4.2391498598341681E-2</c:v>
                </c:pt>
                <c:pt idx="705">
                  <c:v>-4.3141329745599588E-2</c:v>
                </c:pt>
                <c:pt idx="706">
                  <c:v>-4.1219293256078204E-2</c:v>
                </c:pt>
                <c:pt idx="707">
                  <c:v>-4.492024878289147E-2</c:v>
                </c:pt>
                <c:pt idx="708">
                  <c:v>-5.4034714048060484E-2</c:v>
                </c:pt>
                <c:pt idx="709">
                  <c:v>-5.9048302390119489E-2</c:v>
                </c:pt>
                <c:pt idx="710">
                  <c:v>-3.6302962089052371E-2</c:v>
                </c:pt>
                <c:pt idx="711">
                  <c:v>-2.9528558536888183E-2</c:v>
                </c:pt>
                <c:pt idx="712">
                  <c:v>-2.4925047768672215E-2</c:v>
                </c:pt>
                <c:pt idx="713">
                  <c:v>-4.69900883248765E-2</c:v>
                </c:pt>
                <c:pt idx="714">
                  <c:v>-2.4021648747949209E-2</c:v>
                </c:pt>
                <c:pt idx="715">
                  <c:v>1.0049906278063236E-2</c:v>
                </c:pt>
                <c:pt idx="716">
                  <c:v>1.9937540789822794E-3</c:v>
                </c:pt>
                <c:pt idx="717">
                  <c:v>8.6059125424897687E-3</c:v>
                </c:pt>
                <c:pt idx="718">
                  <c:v>-2.7341472777654086E-2</c:v>
                </c:pt>
                <c:pt idx="719">
                  <c:v>-1.9486005081353674E-2</c:v>
                </c:pt>
                <c:pt idx="720">
                  <c:v>-4.8077879020654857E-3</c:v>
                </c:pt>
                <c:pt idx="721">
                  <c:v>-1.6731919436605458E-2</c:v>
                </c:pt>
                <c:pt idx="722">
                  <c:v>-1.856307068878138E-2</c:v>
                </c:pt>
                <c:pt idx="723">
                  <c:v>-9.7528100567758624E-3</c:v>
                </c:pt>
                <c:pt idx="724">
                  <c:v>-2.0556951462805673E-2</c:v>
                </c:pt>
                <c:pt idx="725">
                  <c:v>-2.4433867735634163E-2</c:v>
                </c:pt>
                <c:pt idx="726">
                  <c:v>-3.3901306865833369E-2</c:v>
                </c:pt>
                <c:pt idx="727">
                  <c:v>-3.0374966090617295E-2</c:v>
                </c:pt>
                <c:pt idx="728">
                  <c:v>-2.9289775468518076E-2</c:v>
                </c:pt>
                <c:pt idx="729">
                  <c:v>-2.2907232930567512E-2</c:v>
                </c:pt>
                <c:pt idx="730">
                  <c:v>-1.0336116232818271E-2</c:v>
                </c:pt>
                <c:pt idx="731">
                  <c:v>1.4710068509173224E-2</c:v>
                </c:pt>
                <c:pt idx="732">
                  <c:v>2.1222810047798912E-2</c:v>
                </c:pt>
                <c:pt idx="733">
                  <c:v>3.1714845331485941E-2</c:v>
                </c:pt>
                <c:pt idx="734">
                  <c:v>5.4511118499145583E-2</c:v>
                </c:pt>
                <c:pt idx="735">
                  <c:v>6.112157549484265E-2</c:v>
                </c:pt>
                <c:pt idx="736">
                  <c:v>7.3841012932834182E-2</c:v>
                </c:pt>
                <c:pt idx="737">
                  <c:v>3.9659414907054824E-2</c:v>
                </c:pt>
                <c:pt idx="738">
                  <c:v>6.3039682254461438E-2</c:v>
                </c:pt>
                <c:pt idx="739">
                  <c:v>8.1199430546167628E-2</c:v>
                </c:pt>
                <c:pt idx="740">
                  <c:v>-4.3225529244692584E-3</c:v>
                </c:pt>
                <c:pt idx="741">
                  <c:v>-1.8688514456334904E-2</c:v>
                </c:pt>
                <c:pt idx="742">
                  <c:v>-4.6230083414265932E-3</c:v>
                </c:pt>
                <c:pt idx="743">
                  <c:v>-3.8076920128194969E-3</c:v>
                </c:pt>
                <c:pt idx="744">
                  <c:v>2.460191957530844E-2</c:v>
                </c:pt>
                <c:pt idx="745">
                  <c:v>4.0446400224461332E-2</c:v>
                </c:pt>
                <c:pt idx="746">
                  <c:v>-8.3751191814381842E-3</c:v>
                </c:pt>
                <c:pt idx="747">
                  <c:v>8.4559401865829109E-3</c:v>
                </c:pt>
                <c:pt idx="748">
                  <c:v>1.6634144163720999E-2</c:v>
                </c:pt>
                <c:pt idx="749">
                  <c:v>3.6016082368621749E-3</c:v>
                </c:pt>
                <c:pt idx="750">
                  <c:v>-7.9754608344184685E-3</c:v>
                </c:pt>
                <c:pt idx="751">
                  <c:v>-2.8125552235150675E-2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7A-FC47-8909-4DC87F564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40001"/>
        <c:axId val="50040002"/>
      </c:lineChart>
      <c:dateAx>
        <c:axId val="50040001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en-VN"/>
          </a:p>
        </c:txPr>
        <c:crossAx val="50040002"/>
        <c:crosses val="autoZero"/>
        <c:auto val="1"/>
        <c:lblOffset val="100"/>
        <c:baseTimeUnit val="days"/>
        <c:majorUnit val="2"/>
        <c:majorTimeUnit val="months"/>
        <c:minorUnit val="2"/>
        <c:minorTimeUnit val="months"/>
      </c:dateAx>
      <c:valAx>
        <c:axId val="50040002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4.9727030847407788E-2"/>
          <c:y val="5.0715299395715036E-2"/>
          <c:w val="0.11951906016275804"/>
          <c:h val="5.256660867972898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Rolling Volatility (60D, Annualized)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'Share Price Analysis'!$T$35</c:f>
              <c:strCache>
                <c:ptCount val="1"/>
                <c:pt idx="0">
                  <c:v>Rolling Volatility 60D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'Share Price Analysis'!$A$36:$A$787</c:f>
              <c:numCache>
                <c:formatCode>yyyy\-mm\-dd</c:formatCode>
                <c:ptCount val="752"/>
                <c:pt idx="0">
                  <c:v>44991</c:v>
                </c:pt>
                <c:pt idx="1">
                  <c:v>44992</c:v>
                </c:pt>
                <c:pt idx="2">
                  <c:v>44993</c:v>
                </c:pt>
                <c:pt idx="3">
                  <c:v>44994</c:v>
                </c:pt>
                <c:pt idx="4">
                  <c:v>44995</c:v>
                </c:pt>
                <c:pt idx="5">
                  <c:v>44998</c:v>
                </c:pt>
                <c:pt idx="6">
                  <c:v>44999</c:v>
                </c:pt>
                <c:pt idx="7">
                  <c:v>45000</c:v>
                </c:pt>
                <c:pt idx="8">
                  <c:v>45001</c:v>
                </c:pt>
                <c:pt idx="9">
                  <c:v>45002</c:v>
                </c:pt>
                <c:pt idx="10">
                  <c:v>45005</c:v>
                </c:pt>
                <c:pt idx="11">
                  <c:v>45006</c:v>
                </c:pt>
                <c:pt idx="12">
                  <c:v>45007</c:v>
                </c:pt>
                <c:pt idx="13">
                  <c:v>45008</c:v>
                </c:pt>
                <c:pt idx="14">
                  <c:v>45009</c:v>
                </c:pt>
                <c:pt idx="15">
                  <c:v>45012</c:v>
                </c:pt>
                <c:pt idx="16">
                  <c:v>45013</c:v>
                </c:pt>
                <c:pt idx="17">
                  <c:v>45014</c:v>
                </c:pt>
                <c:pt idx="18">
                  <c:v>45015</c:v>
                </c:pt>
                <c:pt idx="19">
                  <c:v>45016</c:v>
                </c:pt>
                <c:pt idx="20">
                  <c:v>45019</c:v>
                </c:pt>
                <c:pt idx="21">
                  <c:v>45020</c:v>
                </c:pt>
                <c:pt idx="22">
                  <c:v>45021</c:v>
                </c:pt>
                <c:pt idx="23">
                  <c:v>45022</c:v>
                </c:pt>
                <c:pt idx="24">
                  <c:v>45026</c:v>
                </c:pt>
                <c:pt idx="25">
                  <c:v>45027</c:v>
                </c:pt>
                <c:pt idx="26">
                  <c:v>45028</c:v>
                </c:pt>
                <c:pt idx="27">
                  <c:v>45029</c:v>
                </c:pt>
                <c:pt idx="28">
                  <c:v>45030</c:v>
                </c:pt>
                <c:pt idx="29">
                  <c:v>45033</c:v>
                </c:pt>
                <c:pt idx="30">
                  <c:v>45034</c:v>
                </c:pt>
                <c:pt idx="31">
                  <c:v>45035</c:v>
                </c:pt>
                <c:pt idx="32">
                  <c:v>45036</c:v>
                </c:pt>
                <c:pt idx="33">
                  <c:v>45037</c:v>
                </c:pt>
                <c:pt idx="34">
                  <c:v>45040</c:v>
                </c:pt>
                <c:pt idx="35">
                  <c:v>45041</c:v>
                </c:pt>
                <c:pt idx="36">
                  <c:v>45042</c:v>
                </c:pt>
                <c:pt idx="37">
                  <c:v>45043</c:v>
                </c:pt>
                <c:pt idx="38">
                  <c:v>45044</c:v>
                </c:pt>
                <c:pt idx="39">
                  <c:v>45047</c:v>
                </c:pt>
                <c:pt idx="40">
                  <c:v>45048</c:v>
                </c:pt>
                <c:pt idx="41">
                  <c:v>45049</c:v>
                </c:pt>
                <c:pt idx="42">
                  <c:v>45050</c:v>
                </c:pt>
                <c:pt idx="43">
                  <c:v>45051</c:v>
                </c:pt>
                <c:pt idx="44">
                  <c:v>45054</c:v>
                </c:pt>
                <c:pt idx="45">
                  <c:v>45055</c:v>
                </c:pt>
                <c:pt idx="46">
                  <c:v>45056</c:v>
                </c:pt>
                <c:pt idx="47">
                  <c:v>45057</c:v>
                </c:pt>
                <c:pt idx="48">
                  <c:v>45058</c:v>
                </c:pt>
                <c:pt idx="49">
                  <c:v>45061</c:v>
                </c:pt>
                <c:pt idx="50">
                  <c:v>45062</c:v>
                </c:pt>
                <c:pt idx="51">
                  <c:v>45063</c:v>
                </c:pt>
                <c:pt idx="52">
                  <c:v>45064</c:v>
                </c:pt>
                <c:pt idx="53">
                  <c:v>45065</c:v>
                </c:pt>
                <c:pt idx="54">
                  <c:v>45068</c:v>
                </c:pt>
                <c:pt idx="55">
                  <c:v>45069</c:v>
                </c:pt>
                <c:pt idx="56">
                  <c:v>45070</c:v>
                </c:pt>
                <c:pt idx="57">
                  <c:v>45071</c:v>
                </c:pt>
                <c:pt idx="58">
                  <c:v>45072</c:v>
                </c:pt>
                <c:pt idx="59">
                  <c:v>45076</c:v>
                </c:pt>
                <c:pt idx="60">
                  <c:v>45077</c:v>
                </c:pt>
                <c:pt idx="61">
                  <c:v>45078</c:v>
                </c:pt>
                <c:pt idx="62">
                  <c:v>45079</c:v>
                </c:pt>
                <c:pt idx="63">
                  <c:v>45082</c:v>
                </c:pt>
                <c:pt idx="64">
                  <c:v>45083</c:v>
                </c:pt>
                <c:pt idx="65">
                  <c:v>45084</c:v>
                </c:pt>
                <c:pt idx="66">
                  <c:v>45085</c:v>
                </c:pt>
                <c:pt idx="67">
                  <c:v>45086</c:v>
                </c:pt>
                <c:pt idx="68">
                  <c:v>45089</c:v>
                </c:pt>
                <c:pt idx="69">
                  <c:v>45090</c:v>
                </c:pt>
                <c:pt idx="70">
                  <c:v>45091</c:v>
                </c:pt>
                <c:pt idx="71">
                  <c:v>45092</c:v>
                </c:pt>
                <c:pt idx="72">
                  <c:v>45093</c:v>
                </c:pt>
                <c:pt idx="73">
                  <c:v>45097</c:v>
                </c:pt>
                <c:pt idx="74">
                  <c:v>45098</c:v>
                </c:pt>
                <c:pt idx="75">
                  <c:v>45099</c:v>
                </c:pt>
                <c:pt idx="76">
                  <c:v>45100</c:v>
                </c:pt>
                <c:pt idx="77">
                  <c:v>45103</c:v>
                </c:pt>
                <c:pt idx="78">
                  <c:v>45104</c:v>
                </c:pt>
                <c:pt idx="79">
                  <c:v>45105</c:v>
                </c:pt>
                <c:pt idx="80">
                  <c:v>45106</c:v>
                </c:pt>
                <c:pt idx="81">
                  <c:v>45107</c:v>
                </c:pt>
                <c:pt idx="82">
                  <c:v>45110</c:v>
                </c:pt>
                <c:pt idx="83">
                  <c:v>45112</c:v>
                </c:pt>
                <c:pt idx="84">
                  <c:v>45113</c:v>
                </c:pt>
                <c:pt idx="85">
                  <c:v>45114</c:v>
                </c:pt>
                <c:pt idx="86">
                  <c:v>45117</c:v>
                </c:pt>
                <c:pt idx="87">
                  <c:v>45118</c:v>
                </c:pt>
                <c:pt idx="88">
                  <c:v>45119</c:v>
                </c:pt>
                <c:pt idx="89">
                  <c:v>45120</c:v>
                </c:pt>
                <c:pt idx="90">
                  <c:v>45121</c:v>
                </c:pt>
                <c:pt idx="91">
                  <c:v>45124</c:v>
                </c:pt>
                <c:pt idx="92">
                  <c:v>45125</c:v>
                </c:pt>
                <c:pt idx="93">
                  <c:v>45126</c:v>
                </c:pt>
                <c:pt idx="94">
                  <c:v>45127</c:v>
                </c:pt>
                <c:pt idx="95">
                  <c:v>45128</c:v>
                </c:pt>
                <c:pt idx="96">
                  <c:v>45131</c:v>
                </c:pt>
                <c:pt idx="97">
                  <c:v>45132</c:v>
                </c:pt>
                <c:pt idx="98">
                  <c:v>45133</c:v>
                </c:pt>
                <c:pt idx="99">
                  <c:v>45134</c:v>
                </c:pt>
                <c:pt idx="100">
                  <c:v>45135</c:v>
                </c:pt>
                <c:pt idx="101">
                  <c:v>45138</c:v>
                </c:pt>
                <c:pt idx="102">
                  <c:v>45139</c:v>
                </c:pt>
                <c:pt idx="103">
                  <c:v>45140</c:v>
                </c:pt>
                <c:pt idx="104">
                  <c:v>45141</c:v>
                </c:pt>
                <c:pt idx="105">
                  <c:v>45142</c:v>
                </c:pt>
                <c:pt idx="106">
                  <c:v>45145</c:v>
                </c:pt>
                <c:pt idx="107">
                  <c:v>45146</c:v>
                </c:pt>
                <c:pt idx="108">
                  <c:v>45147</c:v>
                </c:pt>
                <c:pt idx="109">
                  <c:v>45148</c:v>
                </c:pt>
                <c:pt idx="110">
                  <c:v>45149</c:v>
                </c:pt>
                <c:pt idx="111">
                  <c:v>45152</c:v>
                </c:pt>
                <c:pt idx="112">
                  <c:v>45153</c:v>
                </c:pt>
                <c:pt idx="113">
                  <c:v>45154</c:v>
                </c:pt>
                <c:pt idx="114">
                  <c:v>45155</c:v>
                </c:pt>
                <c:pt idx="115">
                  <c:v>45156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45166</c:v>
                </c:pt>
                <c:pt idx="122">
                  <c:v>45167</c:v>
                </c:pt>
                <c:pt idx="123">
                  <c:v>45168</c:v>
                </c:pt>
                <c:pt idx="124">
                  <c:v>45169</c:v>
                </c:pt>
                <c:pt idx="125">
                  <c:v>45170</c:v>
                </c:pt>
                <c:pt idx="126">
                  <c:v>45174</c:v>
                </c:pt>
                <c:pt idx="127">
                  <c:v>45175</c:v>
                </c:pt>
                <c:pt idx="128">
                  <c:v>45176</c:v>
                </c:pt>
                <c:pt idx="129">
                  <c:v>45177</c:v>
                </c:pt>
                <c:pt idx="130">
                  <c:v>45180</c:v>
                </c:pt>
                <c:pt idx="131">
                  <c:v>45181</c:v>
                </c:pt>
                <c:pt idx="132">
                  <c:v>45182</c:v>
                </c:pt>
                <c:pt idx="133">
                  <c:v>45183</c:v>
                </c:pt>
                <c:pt idx="134">
                  <c:v>45184</c:v>
                </c:pt>
                <c:pt idx="135">
                  <c:v>45187</c:v>
                </c:pt>
                <c:pt idx="136">
                  <c:v>45188</c:v>
                </c:pt>
                <c:pt idx="137">
                  <c:v>45189</c:v>
                </c:pt>
                <c:pt idx="138">
                  <c:v>45190</c:v>
                </c:pt>
                <c:pt idx="139">
                  <c:v>45191</c:v>
                </c:pt>
                <c:pt idx="140">
                  <c:v>45194</c:v>
                </c:pt>
                <c:pt idx="141">
                  <c:v>45195</c:v>
                </c:pt>
                <c:pt idx="142">
                  <c:v>45196</c:v>
                </c:pt>
                <c:pt idx="143">
                  <c:v>45197</c:v>
                </c:pt>
                <c:pt idx="144">
                  <c:v>45198</c:v>
                </c:pt>
                <c:pt idx="145">
                  <c:v>45201</c:v>
                </c:pt>
                <c:pt idx="146">
                  <c:v>45202</c:v>
                </c:pt>
                <c:pt idx="147">
                  <c:v>45203</c:v>
                </c:pt>
                <c:pt idx="148">
                  <c:v>45204</c:v>
                </c:pt>
                <c:pt idx="149">
                  <c:v>45205</c:v>
                </c:pt>
                <c:pt idx="150">
                  <c:v>45208</c:v>
                </c:pt>
                <c:pt idx="151">
                  <c:v>45209</c:v>
                </c:pt>
                <c:pt idx="152">
                  <c:v>45210</c:v>
                </c:pt>
                <c:pt idx="153">
                  <c:v>45211</c:v>
                </c:pt>
                <c:pt idx="154">
                  <c:v>45212</c:v>
                </c:pt>
                <c:pt idx="155">
                  <c:v>45215</c:v>
                </c:pt>
                <c:pt idx="156">
                  <c:v>45216</c:v>
                </c:pt>
                <c:pt idx="157">
                  <c:v>45217</c:v>
                </c:pt>
                <c:pt idx="158">
                  <c:v>45218</c:v>
                </c:pt>
                <c:pt idx="159">
                  <c:v>45219</c:v>
                </c:pt>
                <c:pt idx="160">
                  <c:v>45222</c:v>
                </c:pt>
                <c:pt idx="161">
                  <c:v>45223</c:v>
                </c:pt>
                <c:pt idx="162">
                  <c:v>45224</c:v>
                </c:pt>
                <c:pt idx="163">
                  <c:v>45225</c:v>
                </c:pt>
                <c:pt idx="164">
                  <c:v>45226</c:v>
                </c:pt>
                <c:pt idx="165">
                  <c:v>45229</c:v>
                </c:pt>
                <c:pt idx="166">
                  <c:v>45230</c:v>
                </c:pt>
                <c:pt idx="167">
                  <c:v>45231</c:v>
                </c:pt>
                <c:pt idx="168">
                  <c:v>45232</c:v>
                </c:pt>
                <c:pt idx="169">
                  <c:v>45233</c:v>
                </c:pt>
                <c:pt idx="170">
                  <c:v>45236</c:v>
                </c:pt>
                <c:pt idx="171">
                  <c:v>45237</c:v>
                </c:pt>
                <c:pt idx="172">
                  <c:v>45238</c:v>
                </c:pt>
                <c:pt idx="173">
                  <c:v>45239</c:v>
                </c:pt>
                <c:pt idx="174">
                  <c:v>45240</c:v>
                </c:pt>
                <c:pt idx="175">
                  <c:v>45243</c:v>
                </c:pt>
                <c:pt idx="176">
                  <c:v>45244</c:v>
                </c:pt>
                <c:pt idx="177">
                  <c:v>45245</c:v>
                </c:pt>
                <c:pt idx="178">
                  <c:v>45246</c:v>
                </c:pt>
                <c:pt idx="179">
                  <c:v>45247</c:v>
                </c:pt>
                <c:pt idx="180">
                  <c:v>45250</c:v>
                </c:pt>
                <c:pt idx="181">
                  <c:v>45251</c:v>
                </c:pt>
                <c:pt idx="182">
                  <c:v>45252</c:v>
                </c:pt>
                <c:pt idx="183">
                  <c:v>45254</c:v>
                </c:pt>
                <c:pt idx="184">
                  <c:v>45257</c:v>
                </c:pt>
                <c:pt idx="185">
                  <c:v>45258</c:v>
                </c:pt>
                <c:pt idx="186">
                  <c:v>45259</c:v>
                </c:pt>
                <c:pt idx="187">
                  <c:v>45260</c:v>
                </c:pt>
                <c:pt idx="188">
                  <c:v>45261</c:v>
                </c:pt>
                <c:pt idx="189">
                  <c:v>45264</c:v>
                </c:pt>
                <c:pt idx="190">
                  <c:v>45265</c:v>
                </c:pt>
                <c:pt idx="191">
                  <c:v>45266</c:v>
                </c:pt>
                <c:pt idx="192">
                  <c:v>45267</c:v>
                </c:pt>
                <c:pt idx="193">
                  <c:v>45268</c:v>
                </c:pt>
                <c:pt idx="194">
                  <c:v>45271</c:v>
                </c:pt>
                <c:pt idx="195">
                  <c:v>45272</c:v>
                </c:pt>
                <c:pt idx="196">
                  <c:v>45273</c:v>
                </c:pt>
                <c:pt idx="197">
                  <c:v>45274</c:v>
                </c:pt>
                <c:pt idx="198">
                  <c:v>45275</c:v>
                </c:pt>
                <c:pt idx="199">
                  <c:v>45278</c:v>
                </c:pt>
                <c:pt idx="200">
                  <c:v>45279</c:v>
                </c:pt>
                <c:pt idx="201">
                  <c:v>45280</c:v>
                </c:pt>
                <c:pt idx="202">
                  <c:v>45281</c:v>
                </c:pt>
                <c:pt idx="203">
                  <c:v>45282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45307</c:v>
                </c:pt>
                <c:pt idx="218">
                  <c:v>45308</c:v>
                </c:pt>
                <c:pt idx="219">
                  <c:v>45309</c:v>
                </c:pt>
                <c:pt idx="220">
                  <c:v>45310</c:v>
                </c:pt>
                <c:pt idx="221">
                  <c:v>45313</c:v>
                </c:pt>
                <c:pt idx="222">
                  <c:v>45314</c:v>
                </c:pt>
                <c:pt idx="223">
                  <c:v>45315</c:v>
                </c:pt>
                <c:pt idx="224">
                  <c:v>45316</c:v>
                </c:pt>
                <c:pt idx="225">
                  <c:v>45317</c:v>
                </c:pt>
                <c:pt idx="226">
                  <c:v>45320</c:v>
                </c:pt>
                <c:pt idx="227">
                  <c:v>45321</c:v>
                </c:pt>
                <c:pt idx="228">
                  <c:v>45322</c:v>
                </c:pt>
                <c:pt idx="229">
                  <c:v>45323</c:v>
                </c:pt>
                <c:pt idx="230">
                  <c:v>45324</c:v>
                </c:pt>
                <c:pt idx="231">
                  <c:v>45327</c:v>
                </c:pt>
                <c:pt idx="232">
                  <c:v>45328</c:v>
                </c:pt>
                <c:pt idx="233">
                  <c:v>45329</c:v>
                </c:pt>
                <c:pt idx="234">
                  <c:v>45330</c:v>
                </c:pt>
                <c:pt idx="235">
                  <c:v>45331</c:v>
                </c:pt>
                <c:pt idx="236">
                  <c:v>45334</c:v>
                </c:pt>
                <c:pt idx="237">
                  <c:v>45335</c:v>
                </c:pt>
                <c:pt idx="238">
                  <c:v>45336</c:v>
                </c:pt>
                <c:pt idx="239">
                  <c:v>45337</c:v>
                </c:pt>
                <c:pt idx="240">
                  <c:v>45338</c:v>
                </c:pt>
                <c:pt idx="241">
                  <c:v>45342</c:v>
                </c:pt>
                <c:pt idx="242">
                  <c:v>45343</c:v>
                </c:pt>
                <c:pt idx="243">
                  <c:v>45344</c:v>
                </c:pt>
                <c:pt idx="244">
                  <c:v>45345</c:v>
                </c:pt>
                <c:pt idx="245">
                  <c:v>45348</c:v>
                </c:pt>
                <c:pt idx="246">
                  <c:v>45349</c:v>
                </c:pt>
                <c:pt idx="247">
                  <c:v>45350</c:v>
                </c:pt>
                <c:pt idx="248">
                  <c:v>45351</c:v>
                </c:pt>
                <c:pt idx="249">
                  <c:v>45352</c:v>
                </c:pt>
                <c:pt idx="250">
                  <c:v>45355</c:v>
                </c:pt>
                <c:pt idx="251">
                  <c:v>45356</c:v>
                </c:pt>
                <c:pt idx="252">
                  <c:v>45357</c:v>
                </c:pt>
                <c:pt idx="253">
                  <c:v>45358</c:v>
                </c:pt>
                <c:pt idx="254">
                  <c:v>45359</c:v>
                </c:pt>
                <c:pt idx="255">
                  <c:v>45362</c:v>
                </c:pt>
                <c:pt idx="256">
                  <c:v>45363</c:v>
                </c:pt>
                <c:pt idx="257">
                  <c:v>45364</c:v>
                </c:pt>
                <c:pt idx="258">
                  <c:v>45365</c:v>
                </c:pt>
                <c:pt idx="259">
                  <c:v>45366</c:v>
                </c:pt>
                <c:pt idx="260">
                  <c:v>45369</c:v>
                </c:pt>
                <c:pt idx="261">
                  <c:v>45370</c:v>
                </c:pt>
                <c:pt idx="262">
                  <c:v>45371</c:v>
                </c:pt>
                <c:pt idx="263">
                  <c:v>45372</c:v>
                </c:pt>
                <c:pt idx="264">
                  <c:v>45373</c:v>
                </c:pt>
                <c:pt idx="265">
                  <c:v>45376</c:v>
                </c:pt>
                <c:pt idx="266">
                  <c:v>45377</c:v>
                </c:pt>
                <c:pt idx="267">
                  <c:v>45378</c:v>
                </c:pt>
                <c:pt idx="268">
                  <c:v>45379</c:v>
                </c:pt>
                <c:pt idx="269">
                  <c:v>45383</c:v>
                </c:pt>
                <c:pt idx="270">
                  <c:v>45384</c:v>
                </c:pt>
                <c:pt idx="271">
                  <c:v>45385</c:v>
                </c:pt>
                <c:pt idx="272">
                  <c:v>45386</c:v>
                </c:pt>
                <c:pt idx="273">
                  <c:v>45387</c:v>
                </c:pt>
                <c:pt idx="274">
                  <c:v>45390</c:v>
                </c:pt>
                <c:pt idx="275">
                  <c:v>45391</c:v>
                </c:pt>
                <c:pt idx="276">
                  <c:v>45392</c:v>
                </c:pt>
                <c:pt idx="277">
                  <c:v>45393</c:v>
                </c:pt>
                <c:pt idx="278">
                  <c:v>45394</c:v>
                </c:pt>
                <c:pt idx="279">
                  <c:v>45397</c:v>
                </c:pt>
                <c:pt idx="280">
                  <c:v>45398</c:v>
                </c:pt>
                <c:pt idx="281">
                  <c:v>45399</c:v>
                </c:pt>
                <c:pt idx="282">
                  <c:v>45400</c:v>
                </c:pt>
                <c:pt idx="283">
                  <c:v>45401</c:v>
                </c:pt>
                <c:pt idx="284">
                  <c:v>45404</c:v>
                </c:pt>
                <c:pt idx="285">
                  <c:v>45405</c:v>
                </c:pt>
                <c:pt idx="286">
                  <c:v>45406</c:v>
                </c:pt>
                <c:pt idx="287">
                  <c:v>45407</c:v>
                </c:pt>
                <c:pt idx="288">
                  <c:v>45408</c:v>
                </c:pt>
                <c:pt idx="289">
                  <c:v>45411</c:v>
                </c:pt>
                <c:pt idx="290">
                  <c:v>45412</c:v>
                </c:pt>
                <c:pt idx="291">
                  <c:v>45413</c:v>
                </c:pt>
                <c:pt idx="292">
                  <c:v>45414</c:v>
                </c:pt>
                <c:pt idx="293">
                  <c:v>45415</c:v>
                </c:pt>
                <c:pt idx="294">
                  <c:v>45418</c:v>
                </c:pt>
                <c:pt idx="295">
                  <c:v>45419</c:v>
                </c:pt>
                <c:pt idx="296">
                  <c:v>45420</c:v>
                </c:pt>
                <c:pt idx="297">
                  <c:v>45421</c:v>
                </c:pt>
                <c:pt idx="298">
                  <c:v>45422</c:v>
                </c:pt>
                <c:pt idx="299">
                  <c:v>45425</c:v>
                </c:pt>
                <c:pt idx="300">
                  <c:v>45426</c:v>
                </c:pt>
                <c:pt idx="301">
                  <c:v>45427</c:v>
                </c:pt>
                <c:pt idx="302">
                  <c:v>45428</c:v>
                </c:pt>
                <c:pt idx="303">
                  <c:v>45429</c:v>
                </c:pt>
                <c:pt idx="304">
                  <c:v>45432</c:v>
                </c:pt>
                <c:pt idx="305">
                  <c:v>45433</c:v>
                </c:pt>
                <c:pt idx="306">
                  <c:v>45434</c:v>
                </c:pt>
                <c:pt idx="307">
                  <c:v>45435</c:v>
                </c:pt>
                <c:pt idx="308">
                  <c:v>45436</c:v>
                </c:pt>
                <c:pt idx="309">
                  <c:v>45440</c:v>
                </c:pt>
                <c:pt idx="310">
                  <c:v>45441</c:v>
                </c:pt>
                <c:pt idx="311">
                  <c:v>45442</c:v>
                </c:pt>
                <c:pt idx="312">
                  <c:v>45443</c:v>
                </c:pt>
                <c:pt idx="313">
                  <c:v>45446</c:v>
                </c:pt>
                <c:pt idx="314">
                  <c:v>45447</c:v>
                </c:pt>
                <c:pt idx="315">
                  <c:v>45448</c:v>
                </c:pt>
                <c:pt idx="316">
                  <c:v>45449</c:v>
                </c:pt>
                <c:pt idx="317">
                  <c:v>45450</c:v>
                </c:pt>
                <c:pt idx="318">
                  <c:v>45453</c:v>
                </c:pt>
                <c:pt idx="319">
                  <c:v>45454</c:v>
                </c:pt>
                <c:pt idx="320">
                  <c:v>45455</c:v>
                </c:pt>
                <c:pt idx="321">
                  <c:v>45456</c:v>
                </c:pt>
                <c:pt idx="322">
                  <c:v>45457</c:v>
                </c:pt>
                <c:pt idx="323">
                  <c:v>45460</c:v>
                </c:pt>
                <c:pt idx="324">
                  <c:v>45461</c:v>
                </c:pt>
                <c:pt idx="325">
                  <c:v>45463</c:v>
                </c:pt>
                <c:pt idx="326">
                  <c:v>45464</c:v>
                </c:pt>
                <c:pt idx="327">
                  <c:v>45467</c:v>
                </c:pt>
                <c:pt idx="328">
                  <c:v>45468</c:v>
                </c:pt>
                <c:pt idx="329">
                  <c:v>45469</c:v>
                </c:pt>
                <c:pt idx="330">
                  <c:v>45470</c:v>
                </c:pt>
                <c:pt idx="331">
                  <c:v>45471</c:v>
                </c:pt>
                <c:pt idx="332">
                  <c:v>45474</c:v>
                </c:pt>
                <c:pt idx="333">
                  <c:v>45475</c:v>
                </c:pt>
                <c:pt idx="334">
                  <c:v>45476</c:v>
                </c:pt>
                <c:pt idx="335">
                  <c:v>45478</c:v>
                </c:pt>
                <c:pt idx="336">
                  <c:v>45481</c:v>
                </c:pt>
                <c:pt idx="337">
                  <c:v>45482</c:v>
                </c:pt>
                <c:pt idx="338">
                  <c:v>45483</c:v>
                </c:pt>
                <c:pt idx="339">
                  <c:v>45484</c:v>
                </c:pt>
                <c:pt idx="340">
                  <c:v>45485</c:v>
                </c:pt>
                <c:pt idx="341">
                  <c:v>45488</c:v>
                </c:pt>
                <c:pt idx="342">
                  <c:v>45489</c:v>
                </c:pt>
                <c:pt idx="343">
                  <c:v>45490</c:v>
                </c:pt>
                <c:pt idx="344">
                  <c:v>45491</c:v>
                </c:pt>
                <c:pt idx="345">
                  <c:v>45492</c:v>
                </c:pt>
                <c:pt idx="346">
                  <c:v>45495</c:v>
                </c:pt>
                <c:pt idx="347">
                  <c:v>45496</c:v>
                </c:pt>
                <c:pt idx="348">
                  <c:v>45497</c:v>
                </c:pt>
                <c:pt idx="349">
                  <c:v>45498</c:v>
                </c:pt>
                <c:pt idx="350">
                  <c:v>45499</c:v>
                </c:pt>
                <c:pt idx="351">
                  <c:v>45502</c:v>
                </c:pt>
                <c:pt idx="352">
                  <c:v>45503</c:v>
                </c:pt>
                <c:pt idx="353">
                  <c:v>45504</c:v>
                </c:pt>
                <c:pt idx="354">
                  <c:v>45505</c:v>
                </c:pt>
                <c:pt idx="355">
                  <c:v>45506</c:v>
                </c:pt>
                <c:pt idx="356">
                  <c:v>45509</c:v>
                </c:pt>
                <c:pt idx="357">
                  <c:v>45510</c:v>
                </c:pt>
                <c:pt idx="358">
                  <c:v>45511</c:v>
                </c:pt>
                <c:pt idx="359">
                  <c:v>45512</c:v>
                </c:pt>
                <c:pt idx="360">
                  <c:v>45513</c:v>
                </c:pt>
                <c:pt idx="361">
                  <c:v>45516</c:v>
                </c:pt>
                <c:pt idx="362">
                  <c:v>45517</c:v>
                </c:pt>
                <c:pt idx="363">
                  <c:v>45518</c:v>
                </c:pt>
                <c:pt idx="364">
                  <c:v>45519</c:v>
                </c:pt>
                <c:pt idx="365">
                  <c:v>45520</c:v>
                </c:pt>
                <c:pt idx="366">
                  <c:v>45523</c:v>
                </c:pt>
                <c:pt idx="367">
                  <c:v>45524</c:v>
                </c:pt>
                <c:pt idx="368">
                  <c:v>45525</c:v>
                </c:pt>
                <c:pt idx="369">
                  <c:v>45526</c:v>
                </c:pt>
                <c:pt idx="370">
                  <c:v>45527</c:v>
                </c:pt>
                <c:pt idx="371">
                  <c:v>45530</c:v>
                </c:pt>
                <c:pt idx="372">
                  <c:v>45531</c:v>
                </c:pt>
                <c:pt idx="373">
                  <c:v>45532</c:v>
                </c:pt>
                <c:pt idx="374">
                  <c:v>45533</c:v>
                </c:pt>
                <c:pt idx="375">
                  <c:v>45534</c:v>
                </c:pt>
                <c:pt idx="376">
                  <c:v>45538</c:v>
                </c:pt>
                <c:pt idx="377">
                  <c:v>45539</c:v>
                </c:pt>
                <c:pt idx="378">
                  <c:v>45540</c:v>
                </c:pt>
                <c:pt idx="379">
                  <c:v>45541</c:v>
                </c:pt>
                <c:pt idx="380">
                  <c:v>45544</c:v>
                </c:pt>
                <c:pt idx="381">
                  <c:v>45545</c:v>
                </c:pt>
                <c:pt idx="382">
                  <c:v>45546</c:v>
                </c:pt>
                <c:pt idx="383">
                  <c:v>45547</c:v>
                </c:pt>
                <c:pt idx="384">
                  <c:v>45548</c:v>
                </c:pt>
                <c:pt idx="385">
                  <c:v>45551</c:v>
                </c:pt>
                <c:pt idx="386">
                  <c:v>45552</c:v>
                </c:pt>
                <c:pt idx="387">
                  <c:v>45553</c:v>
                </c:pt>
                <c:pt idx="388">
                  <c:v>45554</c:v>
                </c:pt>
                <c:pt idx="389">
                  <c:v>45555</c:v>
                </c:pt>
                <c:pt idx="390">
                  <c:v>45558</c:v>
                </c:pt>
                <c:pt idx="391">
                  <c:v>45559</c:v>
                </c:pt>
                <c:pt idx="392">
                  <c:v>45560</c:v>
                </c:pt>
                <c:pt idx="393">
                  <c:v>45561</c:v>
                </c:pt>
                <c:pt idx="394">
                  <c:v>45562</c:v>
                </c:pt>
                <c:pt idx="395">
                  <c:v>45565</c:v>
                </c:pt>
                <c:pt idx="396">
                  <c:v>45566</c:v>
                </c:pt>
                <c:pt idx="397">
                  <c:v>45567</c:v>
                </c:pt>
                <c:pt idx="398">
                  <c:v>45568</c:v>
                </c:pt>
                <c:pt idx="399">
                  <c:v>45569</c:v>
                </c:pt>
                <c:pt idx="400">
                  <c:v>45572</c:v>
                </c:pt>
                <c:pt idx="401">
                  <c:v>45573</c:v>
                </c:pt>
                <c:pt idx="402">
                  <c:v>45574</c:v>
                </c:pt>
                <c:pt idx="403">
                  <c:v>45575</c:v>
                </c:pt>
                <c:pt idx="404">
                  <c:v>45576</c:v>
                </c:pt>
                <c:pt idx="405">
                  <c:v>45579</c:v>
                </c:pt>
                <c:pt idx="406">
                  <c:v>45580</c:v>
                </c:pt>
                <c:pt idx="407">
                  <c:v>45581</c:v>
                </c:pt>
                <c:pt idx="408">
                  <c:v>45582</c:v>
                </c:pt>
                <c:pt idx="409">
                  <c:v>45583</c:v>
                </c:pt>
                <c:pt idx="410">
                  <c:v>45586</c:v>
                </c:pt>
                <c:pt idx="411">
                  <c:v>45587</c:v>
                </c:pt>
                <c:pt idx="412">
                  <c:v>45588</c:v>
                </c:pt>
                <c:pt idx="413">
                  <c:v>45589</c:v>
                </c:pt>
                <c:pt idx="414">
                  <c:v>45590</c:v>
                </c:pt>
                <c:pt idx="415">
                  <c:v>45593</c:v>
                </c:pt>
                <c:pt idx="416">
                  <c:v>45594</c:v>
                </c:pt>
                <c:pt idx="417">
                  <c:v>45595</c:v>
                </c:pt>
                <c:pt idx="418">
                  <c:v>45596</c:v>
                </c:pt>
                <c:pt idx="419">
                  <c:v>45597</c:v>
                </c:pt>
                <c:pt idx="420">
                  <c:v>45600</c:v>
                </c:pt>
                <c:pt idx="421">
                  <c:v>45601</c:v>
                </c:pt>
                <c:pt idx="422">
                  <c:v>45602</c:v>
                </c:pt>
                <c:pt idx="423">
                  <c:v>45603</c:v>
                </c:pt>
                <c:pt idx="424">
                  <c:v>45604</c:v>
                </c:pt>
                <c:pt idx="425">
                  <c:v>45607</c:v>
                </c:pt>
                <c:pt idx="426">
                  <c:v>45608</c:v>
                </c:pt>
                <c:pt idx="427">
                  <c:v>45609</c:v>
                </c:pt>
                <c:pt idx="428">
                  <c:v>45610</c:v>
                </c:pt>
                <c:pt idx="429">
                  <c:v>45611</c:v>
                </c:pt>
                <c:pt idx="430">
                  <c:v>45614</c:v>
                </c:pt>
                <c:pt idx="431">
                  <c:v>45615</c:v>
                </c:pt>
                <c:pt idx="432">
                  <c:v>45616</c:v>
                </c:pt>
                <c:pt idx="433">
                  <c:v>45617</c:v>
                </c:pt>
                <c:pt idx="434">
                  <c:v>45618</c:v>
                </c:pt>
                <c:pt idx="435">
                  <c:v>45621</c:v>
                </c:pt>
                <c:pt idx="436">
                  <c:v>45622</c:v>
                </c:pt>
                <c:pt idx="437">
                  <c:v>45623</c:v>
                </c:pt>
                <c:pt idx="438">
                  <c:v>45625</c:v>
                </c:pt>
                <c:pt idx="439">
                  <c:v>45628</c:v>
                </c:pt>
                <c:pt idx="440">
                  <c:v>45629</c:v>
                </c:pt>
                <c:pt idx="441">
                  <c:v>45630</c:v>
                </c:pt>
                <c:pt idx="442">
                  <c:v>45631</c:v>
                </c:pt>
                <c:pt idx="443">
                  <c:v>45632</c:v>
                </c:pt>
                <c:pt idx="444">
                  <c:v>45635</c:v>
                </c:pt>
                <c:pt idx="445">
                  <c:v>45636</c:v>
                </c:pt>
                <c:pt idx="446">
                  <c:v>45637</c:v>
                </c:pt>
                <c:pt idx="447">
                  <c:v>45638</c:v>
                </c:pt>
                <c:pt idx="448">
                  <c:v>45639</c:v>
                </c:pt>
                <c:pt idx="449">
                  <c:v>45642</c:v>
                </c:pt>
                <c:pt idx="450">
                  <c:v>45643</c:v>
                </c:pt>
                <c:pt idx="451">
                  <c:v>45644</c:v>
                </c:pt>
                <c:pt idx="452">
                  <c:v>45645</c:v>
                </c:pt>
                <c:pt idx="453">
                  <c:v>45646</c:v>
                </c:pt>
                <c:pt idx="454">
                  <c:v>45649</c:v>
                </c:pt>
                <c:pt idx="455">
                  <c:v>45650</c:v>
                </c:pt>
                <c:pt idx="456">
                  <c:v>45652</c:v>
                </c:pt>
                <c:pt idx="457">
                  <c:v>45653</c:v>
                </c:pt>
                <c:pt idx="458">
                  <c:v>45656</c:v>
                </c:pt>
                <c:pt idx="459">
                  <c:v>45657</c:v>
                </c:pt>
                <c:pt idx="460">
                  <c:v>45659</c:v>
                </c:pt>
                <c:pt idx="461">
                  <c:v>45660</c:v>
                </c:pt>
                <c:pt idx="462">
                  <c:v>45663</c:v>
                </c:pt>
                <c:pt idx="463">
                  <c:v>45664</c:v>
                </c:pt>
                <c:pt idx="464">
                  <c:v>45665</c:v>
                </c:pt>
                <c:pt idx="465">
                  <c:v>45667</c:v>
                </c:pt>
                <c:pt idx="466">
                  <c:v>45670</c:v>
                </c:pt>
                <c:pt idx="467">
                  <c:v>45671</c:v>
                </c:pt>
                <c:pt idx="468">
                  <c:v>45672</c:v>
                </c:pt>
                <c:pt idx="469">
                  <c:v>45673</c:v>
                </c:pt>
                <c:pt idx="470">
                  <c:v>45674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45684</c:v>
                </c:pt>
                <c:pt idx="476">
                  <c:v>45685</c:v>
                </c:pt>
                <c:pt idx="477">
                  <c:v>45686</c:v>
                </c:pt>
                <c:pt idx="478">
                  <c:v>45687</c:v>
                </c:pt>
                <c:pt idx="479">
                  <c:v>45688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45706</c:v>
                </c:pt>
                <c:pt idx="491">
                  <c:v>45707</c:v>
                </c:pt>
                <c:pt idx="492">
                  <c:v>45708</c:v>
                </c:pt>
                <c:pt idx="493">
                  <c:v>45709</c:v>
                </c:pt>
                <c:pt idx="494">
                  <c:v>45712</c:v>
                </c:pt>
                <c:pt idx="495">
                  <c:v>45713</c:v>
                </c:pt>
                <c:pt idx="496">
                  <c:v>45714</c:v>
                </c:pt>
                <c:pt idx="497">
                  <c:v>45715</c:v>
                </c:pt>
                <c:pt idx="498">
                  <c:v>45716</c:v>
                </c:pt>
                <c:pt idx="499">
                  <c:v>45719</c:v>
                </c:pt>
                <c:pt idx="500">
                  <c:v>45720</c:v>
                </c:pt>
                <c:pt idx="501">
                  <c:v>45721</c:v>
                </c:pt>
                <c:pt idx="502">
                  <c:v>45722</c:v>
                </c:pt>
                <c:pt idx="503">
                  <c:v>45723</c:v>
                </c:pt>
                <c:pt idx="504">
                  <c:v>45726</c:v>
                </c:pt>
                <c:pt idx="505">
                  <c:v>45727</c:v>
                </c:pt>
                <c:pt idx="506">
                  <c:v>45728</c:v>
                </c:pt>
                <c:pt idx="507">
                  <c:v>45729</c:v>
                </c:pt>
                <c:pt idx="508">
                  <c:v>45730</c:v>
                </c:pt>
                <c:pt idx="509">
                  <c:v>45733</c:v>
                </c:pt>
                <c:pt idx="510">
                  <c:v>45734</c:v>
                </c:pt>
                <c:pt idx="511">
                  <c:v>45735</c:v>
                </c:pt>
                <c:pt idx="512">
                  <c:v>45736</c:v>
                </c:pt>
                <c:pt idx="513">
                  <c:v>45737</c:v>
                </c:pt>
                <c:pt idx="514">
                  <c:v>45740</c:v>
                </c:pt>
                <c:pt idx="515">
                  <c:v>45741</c:v>
                </c:pt>
                <c:pt idx="516">
                  <c:v>45742</c:v>
                </c:pt>
                <c:pt idx="517">
                  <c:v>45743</c:v>
                </c:pt>
                <c:pt idx="518">
                  <c:v>45744</c:v>
                </c:pt>
                <c:pt idx="519">
                  <c:v>45747</c:v>
                </c:pt>
                <c:pt idx="520">
                  <c:v>45748</c:v>
                </c:pt>
                <c:pt idx="521">
                  <c:v>45749</c:v>
                </c:pt>
                <c:pt idx="522">
                  <c:v>45750</c:v>
                </c:pt>
                <c:pt idx="523">
                  <c:v>45751</c:v>
                </c:pt>
                <c:pt idx="524">
                  <c:v>45754</c:v>
                </c:pt>
                <c:pt idx="525">
                  <c:v>45755</c:v>
                </c:pt>
                <c:pt idx="526">
                  <c:v>45756</c:v>
                </c:pt>
                <c:pt idx="527">
                  <c:v>45757</c:v>
                </c:pt>
                <c:pt idx="528">
                  <c:v>45758</c:v>
                </c:pt>
                <c:pt idx="529">
                  <c:v>45761</c:v>
                </c:pt>
                <c:pt idx="530">
                  <c:v>45762</c:v>
                </c:pt>
                <c:pt idx="531">
                  <c:v>45763</c:v>
                </c:pt>
                <c:pt idx="532">
                  <c:v>45764</c:v>
                </c:pt>
                <c:pt idx="533">
                  <c:v>45768</c:v>
                </c:pt>
                <c:pt idx="534">
                  <c:v>45769</c:v>
                </c:pt>
                <c:pt idx="535">
                  <c:v>45770</c:v>
                </c:pt>
                <c:pt idx="536">
                  <c:v>45771</c:v>
                </c:pt>
                <c:pt idx="537">
                  <c:v>45772</c:v>
                </c:pt>
                <c:pt idx="538">
                  <c:v>45775</c:v>
                </c:pt>
                <c:pt idx="539">
                  <c:v>45776</c:v>
                </c:pt>
                <c:pt idx="540">
                  <c:v>45777</c:v>
                </c:pt>
                <c:pt idx="541">
                  <c:v>45778</c:v>
                </c:pt>
                <c:pt idx="542">
                  <c:v>45779</c:v>
                </c:pt>
                <c:pt idx="543">
                  <c:v>45782</c:v>
                </c:pt>
                <c:pt idx="544">
                  <c:v>45783</c:v>
                </c:pt>
                <c:pt idx="545">
                  <c:v>45784</c:v>
                </c:pt>
                <c:pt idx="546">
                  <c:v>45785</c:v>
                </c:pt>
                <c:pt idx="547">
                  <c:v>45786</c:v>
                </c:pt>
                <c:pt idx="548">
                  <c:v>45789</c:v>
                </c:pt>
                <c:pt idx="549">
                  <c:v>45790</c:v>
                </c:pt>
                <c:pt idx="550">
                  <c:v>45791</c:v>
                </c:pt>
                <c:pt idx="551">
                  <c:v>45792</c:v>
                </c:pt>
                <c:pt idx="552">
                  <c:v>45793</c:v>
                </c:pt>
                <c:pt idx="553">
                  <c:v>45796</c:v>
                </c:pt>
                <c:pt idx="554">
                  <c:v>45797</c:v>
                </c:pt>
                <c:pt idx="555">
                  <c:v>45798</c:v>
                </c:pt>
                <c:pt idx="556">
                  <c:v>45799</c:v>
                </c:pt>
                <c:pt idx="557">
                  <c:v>45800</c:v>
                </c:pt>
                <c:pt idx="558">
                  <c:v>45804</c:v>
                </c:pt>
                <c:pt idx="559">
                  <c:v>45805</c:v>
                </c:pt>
                <c:pt idx="560">
                  <c:v>45806</c:v>
                </c:pt>
                <c:pt idx="561">
                  <c:v>45807</c:v>
                </c:pt>
                <c:pt idx="562">
                  <c:v>45810</c:v>
                </c:pt>
                <c:pt idx="563">
                  <c:v>45811</c:v>
                </c:pt>
                <c:pt idx="564">
                  <c:v>45812</c:v>
                </c:pt>
                <c:pt idx="565">
                  <c:v>45813</c:v>
                </c:pt>
                <c:pt idx="566">
                  <c:v>45814</c:v>
                </c:pt>
                <c:pt idx="567">
                  <c:v>45817</c:v>
                </c:pt>
                <c:pt idx="568">
                  <c:v>45818</c:v>
                </c:pt>
                <c:pt idx="569">
                  <c:v>45819</c:v>
                </c:pt>
                <c:pt idx="570">
                  <c:v>45820</c:v>
                </c:pt>
                <c:pt idx="571">
                  <c:v>45821</c:v>
                </c:pt>
                <c:pt idx="572">
                  <c:v>45824</c:v>
                </c:pt>
                <c:pt idx="573">
                  <c:v>45825</c:v>
                </c:pt>
                <c:pt idx="574">
                  <c:v>45826</c:v>
                </c:pt>
                <c:pt idx="575">
                  <c:v>45828</c:v>
                </c:pt>
                <c:pt idx="576">
                  <c:v>45831</c:v>
                </c:pt>
                <c:pt idx="577">
                  <c:v>45832</c:v>
                </c:pt>
                <c:pt idx="578">
                  <c:v>45833</c:v>
                </c:pt>
                <c:pt idx="579">
                  <c:v>45834</c:v>
                </c:pt>
                <c:pt idx="580">
                  <c:v>45835</c:v>
                </c:pt>
                <c:pt idx="581">
                  <c:v>45838</c:v>
                </c:pt>
                <c:pt idx="582">
                  <c:v>45839</c:v>
                </c:pt>
                <c:pt idx="583">
                  <c:v>45840</c:v>
                </c:pt>
                <c:pt idx="584">
                  <c:v>45841</c:v>
                </c:pt>
                <c:pt idx="585">
                  <c:v>45845</c:v>
                </c:pt>
                <c:pt idx="586">
                  <c:v>45846</c:v>
                </c:pt>
                <c:pt idx="587">
                  <c:v>45847</c:v>
                </c:pt>
                <c:pt idx="588">
                  <c:v>45848</c:v>
                </c:pt>
                <c:pt idx="589">
                  <c:v>45849</c:v>
                </c:pt>
                <c:pt idx="590">
                  <c:v>45852</c:v>
                </c:pt>
                <c:pt idx="591">
                  <c:v>45853</c:v>
                </c:pt>
                <c:pt idx="592">
                  <c:v>45854</c:v>
                </c:pt>
                <c:pt idx="593">
                  <c:v>45855</c:v>
                </c:pt>
                <c:pt idx="594">
                  <c:v>45856</c:v>
                </c:pt>
                <c:pt idx="595">
                  <c:v>45859</c:v>
                </c:pt>
                <c:pt idx="596">
                  <c:v>45860</c:v>
                </c:pt>
                <c:pt idx="597">
                  <c:v>45861</c:v>
                </c:pt>
                <c:pt idx="598">
                  <c:v>45862</c:v>
                </c:pt>
                <c:pt idx="599">
                  <c:v>45863</c:v>
                </c:pt>
                <c:pt idx="600">
                  <c:v>45866</c:v>
                </c:pt>
                <c:pt idx="601">
                  <c:v>45867</c:v>
                </c:pt>
                <c:pt idx="602">
                  <c:v>45868</c:v>
                </c:pt>
                <c:pt idx="603">
                  <c:v>45869</c:v>
                </c:pt>
                <c:pt idx="604">
                  <c:v>45870</c:v>
                </c:pt>
                <c:pt idx="605">
                  <c:v>45873</c:v>
                </c:pt>
                <c:pt idx="606">
                  <c:v>45874</c:v>
                </c:pt>
                <c:pt idx="607">
                  <c:v>45875</c:v>
                </c:pt>
                <c:pt idx="608">
                  <c:v>45876</c:v>
                </c:pt>
                <c:pt idx="609">
                  <c:v>45877</c:v>
                </c:pt>
                <c:pt idx="610">
                  <c:v>45880</c:v>
                </c:pt>
                <c:pt idx="611">
                  <c:v>45881</c:v>
                </c:pt>
                <c:pt idx="612">
                  <c:v>45882</c:v>
                </c:pt>
                <c:pt idx="613">
                  <c:v>45883</c:v>
                </c:pt>
                <c:pt idx="614">
                  <c:v>45884</c:v>
                </c:pt>
                <c:pt idx="615">
                  <c:v>45887</c:v>
                </c:pt>
                <c:pt idx="616">
                  <c:v>45888</c:v>
                </c:pt>
                <c:pt idx="617">
                  <c:v>45889</c:v>
                </c:pt>
                <c:pt idx="618">
                  <c:v>45890</c:v>
                </c:pt>
                <c:pt idx="619">
                  <c:v>45891</c:v>
                </c:pt>
                <c:pt idx="620">
                  <c:v>45894</c:v>
                </c:pt>
                <c:pt idx="621">
                  <c:v>45895</c:v>
                </c:pt>
                <c:pt idx="622">
                  <c:v>45896</c:v>
                </c:pt>
                <c:pt idx="623">
                  <c:v>45897</c:v>
                </c:pt>
                <c:pt idx="624">
                  <c:v>45898</c:v>
                </c:pt>
                <c:pt idx="625">
                  <c:v>45902</c:v>
                </c:pt>
                <c:pt idx="626">
                  <c:v>45903</c:v>
                </c:pt>
                <c:pt idx="627">
                  <c:v>45904</c:v>
                </c:pt>
                <c:pt idx="628">
                  <c:v>45905</c:v>
                </c:pt>
                <c:pt idx="629">
                  <c:v>45908</c:v>
                </c:pt>
                <c:pt idx="630">
                  <c:v>45909</c:v>
                </c:pt>
                <c:pt idx="631">
                  <c:v>45910</c:v>
                </c:pt>
                <c:pt idx="632">
                  <c:v>45911</c:v>
                </c:pt>
                <c:pt idx="633">
                  <c:v>45912</c:v>
                </c:pt>
                <c:pt idx="634">
                  <c:v>45915</c:v>
                </c:pt>
                <c:pt idx="635">
                  <c:v>45916</c:v>
                </c:pt>
                <c:pt idx="636">
                  <c:v>45917</c:v>
                </c:pt>
                <c:pt idx="637">
                  <c:v>45918</c:v>
                </c:pt>
                <c:pt idx="638">
                  <c:v>45919</c:v>
                </c:pt>
                <c:pt idx="639">
                  <c:v>45922</c:v>
                </c:pt>
                <c:pt idx="640">
                  <c:v>45923</c:v>
                </c:pt>
                <c:pt idx="641">
                  <c:v>45924</c:v>
                </c:pt>
                <c:pt idx="642">
                  <c:v>45925</c:v>
                </c:pt>
                <c:pt idx="643">
                  <c:v>45926</c:v>
                </c:pt>
                <c:pt idx="644">
                  <c:v>45929</c:v>
                </c:pt>
                <c:pt idx="645">
                  <c:v>45930</c:v>
                </c:pt>
                <c:pt idx="646">
                  <c:v>45931</c:v>
                </c:pt>
                <c:pt idx="647">
                  <c:v>45932</c:v>
                </c:pt>
                <c:pt idx="648">
                  <c:v>45933</c:v>
                </c:pt>
                <c:pt idx="649">
                  <c:v>45936</c:v>
                </c:pt>
                <c:pt idx="650">
                  <c:v>45937</c:v>
                </c:pt>
                <c:pt idx="651">
                  <c:v>45938</c:v>
                </c:pt>
                <c:pt idx="652">
                  <c:v>45939</c:v>
                </c:pt>
                <c:pt idx="653">
                  <c:v>45940</c:v>
                </c:pt>
                <c:pt idx="654">
                  <c:v>45943</c:v>
                </c:pt>
                <c:pt idx="655">
                  <c:v>45944</c:v>
                </c:pt>
                <c:pt idx="656">
                  <c:v>45945</c:v>
                </c:pt>
                <c:pt idx="657">
                  <c:v>45946</c:v>
                </c:pt>
                <c:pt idx="658">
                  <c:v>45947</c:v>
                </c:pt>
                <c:pt idx="659">
                  <c:v>45950</c:v>
                </c:pt>
                <c:pt idx="660">
                  <c:v>45951</c:v>
                </c:pt>
                <c:pt idx="661">
                  <c:v>45952</c:v>
                </c:pt>
                <c:pt idx="662">
                  <c:v>45953</c:v>
                </c:pt>
                <c:pt idx="663">
                  <c:v>45954</c:v>
                </c:pt>
                <c:pt idx="664">
                  <c:v>45957</c:v>
                </c:pt>
                <c:pt idx="665">
                  <c:v>45958</c:v>
                </c:pt>
                <c:pt idx="666">
                  <c:v>45959</c:v>
                </c:pt>
                <c:pt idx="667">
                  <c:v>45960</c:v>
                </c:pt>
                <c:pt idx="668">
                  <c:v>45961</c:v>
                </c:pt>
                <c:pt idx="669">
                  <c:v>45964</c:v>
                </c:pt>
                <c:pt idx="670">
                  <c:v>45965</c:v>
                </c:pt>
                <c:pt idx="671">
                  <c:v>45966</c:v>
                </c:pt>
                <c:pt idx="672">
                  <c:v>45967</c:v>
                </c:pt>
                <c:pt idx="673">
                  <c:v>45968</c:v>
                </c:pt>
                <c:pt idx="674">
                  <c:v>45971</c:v>
                </c:pt>
                <c:pt idx="675">
                  <c:v>45972</c:v>
                </c:pt>
                <c:pt idx="676">
                  <c:v>45973</c:v>
                </c:pt>
                <c:pt idx="677">
                  <c:v>45974</c:v>
                </c:pt>
                <c:pt idx="678">
                  <c:v>45975</c:v>
                </c:pt>
                <c:pt idx="679">
                  <c:v>45978</c:v>
                </c:pt>
                <c:pt idx="680">
                  <c:v>45979</c:v>
                </c:pt>
                <c:pt idx="681">
                  <c:v>45980</c:v>
                </c:pt>
                <c:pt idx="682">
                  <c:v>45981</c:v>
                </c:pt>
                <c:pt idx="683">
                  <c:v>45982</c:v>
                </c:pt>
                <c:pt idx="684">
                  <c:v>45985</c:v>
                </c:pt>
                <c:pt idx="685">
                  <c:v>45986</c:v>
                </c:pt>
                <c:pt idx="686">
                  <c:v>45987</c:v>
                </c:pt>
                <c:pt idx="687">
                  <c:v>45989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45999</c:v>
                </c:pt>
                <c:pt idx="694">
                  <c:v>46000</c:v>
                </c:pt>
                <c:pt idx="695">
                  <c:v>46001</c:v>
                </c:pt>
                <c:pt idx="696">
                  <c:v>46002</c:v>
                </c:pt>
                <c:pt idx="697">
                  <c:v>46003</c:v>
                </c:pt>
                <c:pt idx="698">
                  <c:v>46006</c:v>
                </c:pt>
                <c:pt idx="699">
                  <c:v>46007</c:v>
                </c:pt>
                <c:pt idx="700">
                  <c:v>46008</c:v>
                </c:pt>
                <c:pt idx="701">
                  <c:v>46009</c:v>
                </c:pt>
                <c:pt idx="702">
                  <c:v>46010</c:v>
                </c:pt>
                <c:pt idx="703">
                  <c:v>46013</c:v>
                </c:pt>
                <c:pt idx="704">
                  <c:v>46014</c:v>
                </c:pt>
                <c:pt idx="705">
                  <c:v>46015</c:v>
                </c:pt>
                <c:pt idx="706">
                  <c:v>46017</c:v>
                </c:pt>
                <c:pt idx="707">
                  <c:v>46020</c:v>
                </c:pt>
                <c:pt idx="708">
                  <c:v>46021</c:v>
                </c:pt>
                <c:pt idx="709">
                  <c:v>46022</c:v>
                </c:pt>
                <c:pt idx="710">
                  <c:v>46024</c:v>
                </c:pt>
                <c:pt idx="711">
                  <c:v>46027</c:v>
                </c:pt>
                <c:pt idx="712">
                  <c:v>46028</c:v>
                </c:pt>
                <c:pt idx="713">
                  <c:v>46029</c:v>
                </c:pt>
                <c:pt idx="714">
                  <c:v>46030</c:v>
                </c:pt>
                <c:pt idx="715">
                  <c:v>46031</c:v>
                </c:pt>
                <c:pt idx="716">
                  <c:v>46034</c:v>
                </c:pt>
                <c:pt idx="717">
                  <c:v>46035</c:v>
                </c:pt>
                <c:pt idx="718">
                  <c:v>46036</c:v>
                </c:pt>
                <c:pt idx="719">
                  <c:v>46037</c:v>
                </c:pt>
                <c:pt idx="720">
                  <c:v>46038</c:v>
                </c:pt>
                <c:pt idx="721">
                  <c:v>46042</c:v>
                </c:pt>
                <c:pt idx="722">
                  <c:v>46043</c:v>
                </c:pt>
                <c:pt idx="723">
                  <c:v>46044</c:v>
                </c:pt>
                <c:pt idx="724">
                  <c:v>46045</c:v>
                </c:pt>
                <c:pt idx="725">
                  <c:v>46048</c:v>
                </c:pt>
                <c:pt idx="726">
                  <c:v>46049</c:v>
                </c:pt>
                <c:pt idx="727">
                  <c:v>46050</c:v>
                </c:pt>
                <c:pt idx="728">
                  <c:v>46051</c:v>
                </c:pt>
                <c:pt idx="729">
                  <c:v>46052</c:v>
                </c:pt>
                <c:pt idx="730">
                  <c:v>46055</c:v>
                </c:pt>
                <c:pt idx="731">
                  <c:v>46056</c:v>
                </c:pt>
                <c:pt idx="732">
                  <c:v>46057</c:v>
                </c:pt>
                <c:pt idx="733">
                  <c:v>46058</c:v>
                </c:pt>
                <c:pt idx="734">
                  <c:v>46059</c:v>
                </c:pt>
                <c:pt idx="735">
                  <c:v>46062</c:v>
                </c:pt>
                <c:pt idx="736">
                  <c:v>46063</c:v>
                </c:pt>
                <c:pt idx="737">
                  <c:v>46064</c:v>
                </c:pt>
                <c:pt idx="738">
                  <c:v>46065</c:v>
                </c:pt>
                <c:pt idx="739">
                  <c:v>46066</c:v>
                </c:pt>
                <c:pt idx="740">
                  <c:v>46070</c:v>
                </c:pt>
                <c:pt idx="741">
                  <c:v>46071</c:v>
                </c:pt>
                <c:pt idx="742">
                  <c:v>46072</c:v>
                </c:pt>
                <c:pt idx="743">
                  <c:v>46073</c:v>
                </c:pt>
                <c:pt idx="744">
                  <c:v>46076</c:v>
                </c:pt>
                <c:pt idx="745">
                  <c:v>46077</c:v>
                </c:pt>
                <c:pt idx="746">
                  <c:v>46078</c:v>
                </c:pt>
                <c:pt idx="747">
                  <c:v>46079</c:v>
                </c:pt>
                <c:pt idx="748">
                  <c:v>46080</c:v>
                </c:pt>
                <c:pt idx="749">
                  <c:v>46083</c:v>
                </c:pt>
                <c:pt idx="750">
                  <c:v>46084</c:v>
                </c:pt>
                <c:pt idx="751">
                  <c:v>46085</c:v>
                </c:pt>
              </c:numCache>
            </c:numRef>
          </c:cat>
          <c:val>
            <c:numRef>
              <c:f>'Share Price Analysis'!$T$36:$T$787</c:f>
              <c:numCache>
                <c:formatCode>0.00%</c:formatCode>
                <c:ptCount val="7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0.25565795309721862</c:v>
                </c:pt>
                <c:pt idx="41">
                  <c:v>0.25260684274948136</c:v>
                </c:pt>
                <c:pt idx="42">
                  <c:v>0.29602370674243483</c:v>
                </c:pt>
                <c:pt idx="43">
                  <c:v>0.29504616565798236</c:v>
                </c:pt>
                <c:pt idx="44">
                  <c:v>0.2919151448611203</c:v>
                </c:pt>
                <c:pt idx="45">
                  <c:v>0.28857976195253798</c:v>
                </c:pt>
                <c:pt idx="46">
                  <c:v>0.28714654284321095</c:v>
                </c:pt>
                <c:pt idx="47">
                  <c:v>0.2846850726998702</c:v>
                </c:pt>
                <c:pt idx="48">
                  <c:v>0.28164874330955258</c:v>
                </c:pt>
                <c:pt idx="49">
                  <c:v>0.27874236597991764</c:v>
                </c:pt>
                <c:pt idx="50">
                  <c:v>0.27644485961291621</c:v>
                </c:pt>
                <c:pt idx="51">
                  <c:v>0.27398243198264127</c:v>
                </c:pt>
                <c:pt idx="52">
                  <c:v>0.2713344287998099</c:v>
                </c:pt>
                <c:pt idx="53">
                  <c:v>0.26875877058591657</c:v>
                </c:pt>
                <c:pt idx="54">
                  <c:v>0.26623609502734463</c:v>
                </c:pt>
                <c:pt idx="55">
                  <c:v>0.26506996238878405</c:v>
                </c:pt>
                <c:pt idx="56">
                  <c:v>0.26310123345412595</c:v>
                </c:pt>
                <c:pt idx="57">
                  <c:v>0.26085443196156671</c:v>
                </c:pt>
                <c:pt idx="58">
                  <c:v>0.25863408649960734</c:v>
                </c:pt>
                <c:pt idx="59">
                  <c:v>0.25641028011854339</c:v>
                </c:pt>
                <c:pt idx="60">
                  <c:v>0.25438798204398277</c:v>
                </c:pt>
                <c:pt idx="61">
                  <c:v>0.25414685311763324</c:v>
                </c:pt>
                <c:pt idx="62">
                  <c:v>0.25629192076878266</c:v>
                </c:pt>
                <c:pt idx="63">
                  <c:v>0.24912286444479934</c:v>
                </c:pt>
                <c:pt idx="64">
                  <c:v>0.24111710634551728</c:v>
                </c:pt>
                <c:pt idx="65">
                  <c:v>0.23671310826832059</c:v>
                </c:pt>
                <c:pt idx="66">
                  <c:v>0.23647237042114114</c:v>
                </c:pt>
                <c:pt idx="67">
                  <c:v>0.22712867534071429</c:v>
                </c:pt>
                <c:pt idx="68">
                  <c:v>0.22492817082066904</c:v>
                </c:pt>
                <c:pt idx="69">
                  <c:v>0.21304690705732215</c:v>
                </c:pt>
                <c:pt idx="70">
                  <c:v>0.21241643900557339</c:v>
                </c:pt>
                <c:pt idx="71">
                  <c:v>0.21067642269095288</c:v>
                </c:pt>
                <c:pt idx="72">
                  <c:v>0.20856496249091841</c:v>
                </c:pt>
                <c:pt idx="73">
                  <c:v>0.20862613204385727</c:v>
                </c:pt>
                <c:pt idx="74">
                  <c:v>0.20847831790257573</c:v>
                </c:pt>
                <c:pt idx="75">
                  <c:v>0.20896089857644792</c:v>
                </c:pt>
                <c:pt idx="76">
                  <c:v>0.20807995833055631</c:v>
                </c:pt>
                <c:pt idx="77">
                  <c:v>0.20756022573013994</c:v>
                </c:pt>
                <c:pt idx="78">
                  <c:v>0.21241902814068769</c:v>
                </c:pt>
                <c:pt idx="79">
                  <c:v>0.2123152143772252</c:v>
                </c:pt>
                <c:pt idx="80">
                  <c:v>0.21404710758944792</c:v>
                </c:pt>
                <c:pt idx="81">
                  <c:v>0.20598697354903084</c:v>
                </c:pt>
                <c:pt idx="82">
                  <c:v>0.19627159787978329</c:v>
                </c:pt>
                <c:pt idx="83">
                  <c:v>0.19947015743642008</c:v>
                </c:pt>
                <c:pt idx="84">
                  <c:v>0.20241832138800323</c:v>
                </c:pt>
                <c:pt idx="85">
                  <c:v>0.20297618232062797</c:v>
                </c:pt>
                <c:pt idx="86">
                  <c:v>0.20320656862301278</c:v>
                </c:pt>
                <c:pt idx="87">
                  <c:v>0.20473894545575974</c:v>
                </c:pt>
                <c:pt idx="88">
                  <c:v>0.20818643524036681</c:v>
                </c:pt>
                <c:pt idx="89">
                  <c:v>0.20761489379709167</c:v>
                </c:pt>
                <c:pt idx="90">
                  <c:v>0.20761636357016361</c:v>
                </c:pt>
                <c:pt idx="91">
                  <c:v>0.20839634042518357</c:v>
                </c:pt>
                <c:pt idx="92">
                  <c:v>0.20734344245803144</c:v>
                </c:pt>
                <c:pt idx="93">
                  <c:v>0.2084555226156066</c:v>
                </c:pt>
                <c:pt idx="94">
                  <c:v>0.20847159583771233</c:v>
                </c:pt>
                <c:pt idx="95">
                  <c:v>0.2062877153777426</c:v>
                </c:pt>
                <c:pt idx="96">
                  <c:v>0.20107608074205727</c:v>
                </c:pt>
                <c:pt idx="97">
                  <c:v>0.18928481497444283</c:v>
                </c:pt>
                <c:pt idx="98">
                  <c:v>0.18854696775602198</c:v>
                </c:pt>
                <c:pt idx="99">
                  <c:v>0.19556298493783983</c:v>
                </c:pt>
                <c:pt idx="100">
                  <c:v>0.1954096968307705</c:v>
                </c:pt>
                <c:pt idx="101">
                  <c:v>0.19489669245178751</c:v>
                </c:pt>
                <c:pt idx="102">
                  <c:v>0.14945034163971604</c:v>
                </c:pt>
                <c:pt idx="103">
                  <c:v>0.14684128250749692</c:v>
                </c:pt>
                <c:pt idx="104">
                  <c:v>0.14812817649883889</c:v>
                </c:pt>
                <c:pt idx="105">
                  <c:v>0.1482854244780954</c:v>
                </c:pt>
                <c:pt idx="106">
                  <c:v>0.14719613088347763</c:v>
                </c:pt>
                <c:pt idx="107">
                  <c:v>0.1477115645505484</c:v>
                </c:pt>
                <c:pt idx="108">
                  <c:v>0.15216326000883695</c:v>
                </c:pt>
                <c:pt idx="109">
                  <c:v>0.15216939443795813</c:v>
                </c:pt>
                <c:pt idx="110">
                  <c:v>0.15144794494727248</c:v>
                </c:pt>
                <c:pt idx="111">
                  <c:v>0.15117565731311969</c:v>
                </c:pt>
                <c:pt idx="112">
                  <c:v>0.15169485556776272</c:v>
                </c:pt>
                <c:pt idx="113">
                  <c:v>0.15289790163914235</c:v>
                </c:pt>
                <c:pt idx="114">
                  <c:v>0.17674360568481851</c:v>
                </c:pt>
                <c:pt idx="115">
                  <c:v>0.17593528531484368</c:v>
                </c:pt>
                <c:pt idx="116">
                  <c:v>0.17537193473952137</c:v>
                </c:pt>
                <c:pt idx="117">
                  <c:v>0.17596749749339055</c:v>
                </c:pt>
                <c:pt idx="118">
                  <c:v>0.17703951068134946</c:v>
                </c:pt>
                <c:pt idx="119">
                  <c:v>0.17853924178539307</c:v>
                </c:pt>
                <c:pt idx="120">
                  <c:v>0.17836928708753241</c:v>
                </c:pt>
                <c:pt idx="121">
                  <c:v>0.17551686054784726</c:v>
                </c:pt>
                <c:pt idx="122">
                  <c:v>0.1740578241300858</c:v>
                </c:pt>
                <c:pt idx="123">
                  <c:v>0.1739911158161308</c:v>
                </c:pt>
                <c:pt idx="124">
                  <c:v>0.17389541524906216</c:v>
                </c:pt>
                <c:pt idx="125">
                  <c:v>0.17802146338303354</c:v>
                </c:pt>
                <c:pt idx="126">
                  <c:v>0.18904569300771193</c:v>
                </c:pt>
                <c:pt idx="127">
                  <c:v>0.18937864686751241</c:v>
                </c:pt>
                <c:pt idx="128">
                  <c:v>0.18916690521518989</c:v>
                </c:pt>
                <c:pt idx="129">
                  <c:v>0.18850851715502939</c:v>
                </c:pt>
                <c:pt idx="130">
                  <c:v>0.18845795805390747</c:v>
                </c:pt>
                <c:pt idx="131">
                  <c:v>0.1888625638383698</c:v>
                </c:pt>
                <c:pt idx="132">
                  <c:v>0.18839623724977908</c:v>
                </c:pt>
                <c:pt idx="133">
                  <c:v>0.18828761749740205</c:v>
                </c:pt>
                <c:pt idx="134">
                  <c:v>0.1922376035937704</c:v>
                </c:pt>
                <c:pt idx="135">
                  <c:v>0.19045500004780927</c:v>
                </c:pt>
                <c:pt idx="136">
                  <c:v>0.19098568597839191</c:v>
                </c:pt>
                <c:pt idx="137">
                  <c:v>0.19096317179823188</c:v>
                </c:pt>
                <c:pt idx="138">
                  <c:v>0.19523317005160126</c:v>
                </c:pt>
                <c:pt idx="139">
                  <c:v>0.19565704469597908</c:v>
                </c:pt>
                <c:pt idx="140">
                  <c:v>0.19224345492036374</c:v>
                </c:pt>
                <c:pt idx="141">
                  <c:v>0.19205614621369715</c:v>
                </c:pt>
                <c:pt idx="142">
                  <c:v>0.19322281057186882</c:v>
                </c:pt>
                <c:pt idx="143">
                  <c:v>0.1926939077406255</c:v>
                </c:pt>
                <c:pt idx="144">
                  <c:v>0.19342386088834396</c:v>
                </c:pt>
                <c:pt idx="145">
                  <c:v>0.19358906054289168</c:v>
                </c:pt>
                <c:pt idx="146">
                  <c:v>0.19246844530031776</c:v>
                </c:pt>
                <c:pt idx="147">
                  <c:v>0.19557294404262951</c:v>
                </c:pt>
                <c:pt idx="148">
                  <c:v>0.1947254168536344</c:v>
                </c:pt>
                <c:pt idx="149">
                  <c:v>0.20034002346766316</c:v>
                </c:pt>
                <c:pt idx="150">
                  <c:v>0.20070701830335799</c:v>
                </c:pt>
                <c:pt idx="151">
                  <c:v>0.20078257964349602</c:v>
                </c:pt>
                <c:pt idx="152">
                  <c:v>0.20439213973724221</c:v>
                </c:pt>
                <c:pt idx="153">
                  <c:v>0.20676616432886114</c:v>
                </c:pt>
                <c:pt idx="154">
                  <c:v>0.20703851249627192</c:v>
                </c:pt>
                <c:pt idx="155">
                  <c:v>0.21045682849179984</c:v>
                </c:pt>
                <c:pt idx="156">
                  <c:v>0.21120042456182023</c:v>
                </c:pt>
                <c:pt idx="157">
                  <c:v>0.23559735708083893</c:v>
                </c:pt>
                <c:pt idx="158">
                  <c:v>0.2352950575405007</c:v>
                </c:pt>
                <c:pt idx="159">
                  <c:v>0.2311221491481607</c:v>
                </c:pt>
                <c:pt idx="160">
                  <c:v>0.23053397640350087</c:v>
                </c:pt>
                <c:pt idx="161">
                  <c:v>0.23235294797506698</c:v>
                </c:pt>
                <c:pt idx="162">
                  <c:v>0.23017560099164502</c:v>
                </c:pt>
                <c:pt idx="163">
                  <c:v>0.24772788009178578</c:v>
                </c:pt>
                <c:pt idx="164">
                  <c:v>0.24544053024734541</c:v>
                </c:pt>
                <c:pt idx="165">
                  <c:v>0.24717663983577237</c:v>
                </c:pt>
                <c:pt idx="166">
                  <c:v>0.24559446288583461</c:v>
                </c:pt>
                <c:pt idx="167">
                  <c:v>0.2583166069067751</c:v>
                </c:pt>
                <c:pt idx="168">
                  <c:v>0.25890465557825443</c:v>
                </c:pt>
                <c:pt idx="169">
                  <c:v>0.2589484485142825</c:v>
                </c:pt>
                <c:pt idx="170">
                  <c:v>0.25897622811777249</c:v>
                </c:pt>
                <c:pt idx="171">
                  <c:v>0.25863528427689125</c:v>
                </c:pt>
                <c:pt idx="172">
                  <c:v>0.25895932443454489</c:v>
                </c:pt>
                <c:pt idx="173">
                  <c:v>0.25882052903024605</c:v>
                </c:pt>
                <c:pt idx="174">
                  <c:v>0.24599454213533389</c:v>
                </c:pt>
                <c:pt idx="175">
                  <c:v>0.24581313638534449</c:v>
                </c:pt>
                <c:pt idx="176">
                  <c:v>0.25268154311156737</c:v>
                </c:pt>
                <c:pt idx="177">
                  <c:v>0.25775235025214216</c:v>
                </c:pt>
                <c:pt idx="178">
                  <c:v>0.25699334395802914</c:v>
                </c:pt>
                <c:pt idx="179">
                  <c:v>0.2562566945551592</c:v>
                </c:pt>
                <c:pt idx="180">
                  <c:v>0.2569478845256844</c:v>
                </c:pt>
                <c:pt idx="181">
                  <c:v>0.25697236898564235</c:v>
                </c:pt>
                <c:pt idx="182">
                  <c:v>0.25555879061556042</c:v>
                </c:pt>
                <c:pt idx="183">
                  <c:v>0.25554999322959088</c:v>
                </c:pt>
                <c:pt idx="184">
                  <c:v>0.2558357454742895</c:v>
                </c:pt>
                <c:pt idx="185">
                  <c:v>0.25225387315927073</c:v>
                </c:pt>
                <c:pt idx="186">
                  <c:v>0.24528867773032767</c:v>
                </c:pt>
                <c:pt idx="187">
                  <c:v>0.24524937055511489</c:v>
                </c:pt>
                <c:pt idx="188">
                  <c:v>0.2460337878575381</c:v>
                </c:pt>
                <c:pt idx="189">
                  <c:v>0.24608151168051529</c:v>
                </c:pt>
                <c:pt idx="190">
                  <c:v>0.24748104932868592</c:v>
                </c:pt>
                <c:pt idx="191">
                  <c:v>0.24689577332543614</c:v>
                </c:pt>
                <c:pt idx="192">
                  <c:v>0.24765500256749592</c:v>
                </c:pt>
                <c:pt idx="193">
                  <c:v>0.24801054932391203</c:v>
                </c:pt>
                <c:pt idx="194">
                  <c:v>0.24562417983662507</c:v>
                </c:pt>
                <c:pt idx="195">
                  <c:v>0.24608526252098015</c:v>
                </c:pt>
                <c:pt idx="196">
                  <c:v>0.24644724914039268</c:v>
                </c:pt>
                <c:pt idx="197">
                  <c:v>0.24649370990509845</c:v>
                </c:pt>
                <c:pt idx="198">
                  <c:v>0.23515434188146825</c:v>
                </c:pt>
                <c:pt idx="199">
                  <c:v>0.23494170438683798</c:v>
                </c:pt>
                <c:pt idx="200">
                  <c:v>0.23514901518571663</c:v>
                </c:pt>
                <c:pt idx="201">
                  <c:v>0.23764072468513159</c:v>
                </c:pt>
                <c:pt idx="202">
                  <c:v>0.23737876276945971</c:v>
                </c:pt>
                <c:pt idx="203">
                  <c:v>0.23741535882569414</c:v>
                </c:pt>
                <c:pt idx="204">
                  <c:v>0.23497562441562403</c:v>
                </c:pt>
                <c:pt idx="205">
                  <c:v>0.23449157282323274</c:v>
                </c:pt>
                <c:pt idx="206">
                  <c:v>0.23420429261292752</c:v>
                </c:pt>
                <c:pt idx="207">
                  <c:v>0.22945727373210592</c:v>
                </c:pt>
                <c:pt idx="208">
                  <c:v>0.23145840707813134</c:v>
                </c:pt>
                <c:pt idx="209">
                  <c:v>0.22926690165787764</c:v>
                </c:pt>
                <c:pt idx="210">
                  <c:v>0.22842896284747255</c:v>
                </c:pt>
                <c:pt idx="211">
                  <c:v>0.22846776477125338</c:v>
                </c:pt>
                <c:pt idx="212">
                  <c:v>0.22668475852770018</c:v>
                </c:pt>
                <c:pt idx="213">
                  <c:v>0.22293736356329683</c:v>
                </c:pt>
                <c:pt idx="214">
                  <c:v>0.22350240000895727</c:v>
                </c:pt>
                <c:pt idx="215">
                  <c:v>0.2215744340901101</c:v>
                </c:pt>
                <c:pt idx="216">
                  <c:v>0.22112322759721237</c:v>
                </c:pt>
                <c:pt idx="217">
                  <c:v>0.19329394453917564</c:v>
                </c:pt>
                <c:pt idx="218">
                  <c:v>0.19327677493502166</c:v>
                </c:pt>
                <c:pt idx="219">
                  <c:v>0.19539771767072181</c:v>
                </c:pt>
                <c:pt idx="220">
                  <c:v>0.19537245987668386</c:v>
                </c:pt>
                <c:pt idx="221">
                  <c:v>0.19411860878065032</c:v>
                </c:pt>
                <c:pt idx="222">
                  <c:v>0.19793781547845296</c:v>
                </c:pt>
                <c:pt idx="223">
                  <c:v>0.1740835404092835</c:v>
                </c:pt>
                <c:pt idx="224">
                  <c:v>0.17634695707282824</c:v>
                </c:pt>
                <c:pt idx="225">
                  <c:v>0.17583115299780633</c:v>
                </c:pt>
                <c:pt idx="226">
                  <c:v>0.18584348702698864</c:v>
                </c:pt>
                <c:pt idx="227">
                  <c:v>0.17166239906045608</c:v>
                </c:pt>
                <c:pt idx="228">
                  <c:v>0.17646547355405184</c:v>
                </c:pt>
                <c:pt idx="229">
                  <c:v>0.18006352684110305</c:v>
                </c:pt>
                <c:pt idx="230">
                  <c:v>0.18268703797813873</c:v>
                </c:pt>
                <c:pt idx="231">
                  <c:v>0.18842609427137028</c:v>
                </c:pt>
                <c:pt idx="232">
                  <c:v>0.18873046978071228</c:v>
                </c:pt>
                <c:pt idx="233">
                  <c:v>0.19288630311150087</c:v>
                </c:pt>
                <c:pt idx="234">
                  <c:v>0.19228325606835606</c:v>
                </c:pt>
                <c:pt idx="235">
                  <c:v>0.191839585343202</c:v>
                </c:pt>
                <c:pt idx="236">
                  <c:v>0.18374753343832723</c:v>
                </c:pt>
                <c:pt idx="237">
                  <c:v>0.17687207252458792</c:v>
                </c:pt>
                <c:pt idx="238">
                  <c:v>0.17921083858707812</c:v>
                </c:pt>
                <c:pt idx="239">
                  <c:v>0.17930836289634788</c:v>
                </c:pt>
                <c:pt idx="240">
                  <c:v>0.20497871383100838</c:v>
                </c:pt>
                <c:pt idx="241">
                  <c:v>0.20797688549715324</c:v>
                </c:pt>
                <c:pt idx="242">
                  <c:v>0.20777536285008832</c:v>
                </c:pt>
                <c:pt idx="243">
                  <c:v>0.20875575990208345</c:v>
                </c:pt>
                <c:pt idx="244">
                  <c:v>0.20875165942042512</c:v>
                </c:pt>
                <c:pt idx="245">
                  <c:v>0.20878775927008428</c:v>
                </c:pt>
                <c:pt idx="246">
                  <c:v>0.20900894129227535</c:v>
                </c:pt>
                <c:pt idx="247">
                  <c:v>0.20972088307822281</c:v>
                </c:pt>
                <c:pt idx="248">
                  <c:v>0.21035081969035768</c:v>
                </c:pt>
                <c:pt idx="249">
                  <c:v>0.20983005682489661</c:v>
                </c:pt>
                <c:pt idx="250">
                  <c:v>0.20698924824230069</c:v>
                </c:pt>
                <c:pt idx="251">
                  <c:v>0.20899051198858412</c:v>
                </c:pt>
                <c:pt idx="252">
                  <c:v>0.20878861002569105</c:v>
                </c:pt>
                <c:pt idx="253">
                  <c:v>0.20967210431535799</c:v>
                </c:pt>
                <c:pt idx="254">
                  <c:v>0.21285800716627801</c:v>
                </c:pt>
                <c:pt idx="255">
                  <c:v>0.21345505848601878</c:v>
                </c:pt>
                <c:pt idx="256">
                  <c:v>0.21462142204678816</c:v>
                </c:pt>
                <c:pt idx="257">
                  <c:v>0.21476108487429563</c:v>
                </c:pt>
                <c:pt idx="258">
                  <c:v>0.21455578892984248</c:v>
                </c:pt>
                <c:pt idx="259">
                  <c:v>0.21648036072076388</c:v>
                </c:pt>
                <c:pt idx="260">
                  <c:v>0.21656008031196081</c:v>
                </c:pt>
                <c:pt idx="261">
                  <c:v>0.21325046971032352</c:v>
                </c:pt>
                <c:pt idx="262">
                  <c:v>0.21333504181179777</c:v>
                </c:pt>
                <c:pt idx="263">
                  <c:v>0.21433086535811027</c:v>
                </c:pt>
                <c:pt idx="264">
                  <c:v>0.21494812759876616</c:v>
                </c:pt>
                <c:pt idx="265">
                  <c:v>0.21580471504785359</c:v>
                </c:pt>
                <c:pt idx="266">
                  <c:v>0.21557693748771814</c:v>
                </c:pt>
                <c:pt idx="267">
                  <c:v>0.21595206909106915</c:v>
                </c:pt>
                <c:pt idx="268">
                  <c:v>0.21269106310254257</c:v>
                </c:pt>
                <c:pt idx="269">
                  <c:v>0.20991075466021991</c:v>
                </c:pt>
                <c:pt idx="270">
                  <c:v>0.21246505343803626</c:v>
                </c:pt>
                <c:pt idx="271">
                  <c:v>0.21284120359379236</c:v>
                </c:pt>
                <c:pt idx="272">
                  <c:v>0.21417902870299846</c:v>
                </c:pt>
                <c:pt idx="273">
                  <c:v>0.21551505039624111</c:v>
                </c:pt>
                <c:pt idx="274">
                  <c:v>0.21495305506579421</c:v>
                </c:pt>
                <c:pt idx="275">
                  <c:v>0.21708354073756028</c:v>
                </c:pt>
                <c:pt idx="276">
                  <c:v>0.21733434976033997</c:v>
                </c:pt>
                <c:pt idx="277">
                  <c:v>0.21634995788988082</c:v>
                </c:pt>
                <c:pt idx="278">
                  <c:v>0.21744186610850855</c:v>
                </c:pt>
                <c:pt idx="279">
                  <c:v>0.21662392605863748</c:v>
                </c:pt>
                <c:pt idx="280">
                  <c:v>0.21754269760033326</c:v>
                </c:pt>
                <c:pt idx="281">
                  <c:v>0.21756332697445441</c:v>
                </c:pt>
                <c:pt idx="282">
                  <c:v>0.21490064674279308</c:v>
                </c:pt>
                <c:pt idx="283">
                  <c:v>0.21440413015925405</c:v>
                </c:pt>
                <c:pt idx="284">
                  <c:v>0.2129454049227914</c:v>
                </c:pt>
                <c:pt idx="285">
                  <c:v>0.21519620678017318</c:v>
                </c:pt>
                <c:pt idx="286">
                  <c:v>0.20845959969492009</c:v>
                </c:pt>
                <c:pt idx="287">
                  <c:v>0.20858277224500657</c:v>
                </c:pt>
                <c:pt idx="288">
                  <c:v>0.20328853089402282</c:v>
                </c:pt>
                <c:pt idx="289">
                  <c:v>0.20028968544381626</c:v>
                </c:pt>
                <c:pt idx="290">
                  <c:v>0.20054465009005765</c:v>
                </c:pt>
                <c:pt idx="291">
                  <c:v>0.1955955782155428</c:v>
                </c:pt>
                <c:pt idx="292">
                  <c:v>0.19789237524242406</c:v>
                </c:pt>
                <c:pt idx="293">
                  <c:v>0.19390844129226173</c:v>
                </c:pt>
                <c:pt idx="294">
                  <c:v>0.19392055420431178</c:v>
                </c:pt>
                <c:pt idx="295">
                  <c:v>0.19391891932121808</c:v>
                </c:pt>
                <c:pt idx="296">
                  <c:v>0.19403162061433901</c:v>
                </c:pt>
                <c:pt idx="297">
                  <c:v>0.19241260036194191</c:v>
                </c:pt>
                <c:pt idx="298">
                  <c:v>0.19012700090651688</c:v>
                </c:pt>
                <c:pt idx="299">
                  <c:v>0.19093690229240279</c:v>
                </c:pt>
                <c:pt idx="300">
                  <c:v>0.16058411636600689</c:v>
                </c:pt>
                <c:pt idx="301">
                  <c:v>0.15836025807247647</c:v>
                </c:pt>
                <c:pt idx="302">
                  <c:v>0.17771512614499604</c:v>
                </c:pt>
                <c:pt idx="303">
                  <c:v>0.17568565667700392</c:v>
                </c:pt>
                <c:pt idx="304">
                  <c:v>0.17587580452184387</c:v>
                </c:pt>
                <c:pt idx="305">
                  <c:v>0.17387456530615247</c:v>
                </c:pt>
                <c:pt idx="306">
                  <c:v>0.17307414896177262</c:v>
                </c:pt>
                <c:pt idx="307">
                  <c:v>0.17516513550739152</c:v>
                </c:pt>
                <c:pt idx="308">
                  <c:v>0.17364951498212985</c:v>
                </c:pt>
                <c:pt idx="309">
                  <c:v>0.17787176102141367</c:v>
                </c:pt>
                <c:pt idx="310">
                  <c:v>0.17843370476337392</c:v>
                </c:pt>
                <c:pt idx="311">
                  <c:v>0.17831716253700045</c:v>
                </c:pt>
                <c:pt idx="312">
                  <c:v>0.17786098890416413</c:v>
                </c:pt>
                <c:pt idx="313">
                  <c:v>0.17712775976892794</c:v>
                </c:pt>
                <c:pt idx="314">
                  <c:v>0.17464925203757889</c:v>
                </c:pt>
                <c:pt idx="315">
                  <c:v>0.17443325587290995</c:v>
                </c:pt>
                <c:pt idx="316">
                  <c:v>0.17125420415863973</c:v>
                </c:pt>
                <c:pt idx="317">
                  <c:v>0.17134113627076844</c:v>
                </c:pt>
                <c:pt idx="318">
                  <c:v>0.17085915988064077</c:v>
                </c:pt>
                <c:pt idx="319">
                  <c:v>0.17040253724856055</c:v>
                </c:pt>
                <c:pt idx="320">
                  <c:v>0.17370810817774257</c:v>
                </c:pt>
                <c:pt idx="321">
                  <c:v>0.17877790772041771</c:v>
                </c:pt>
                <c:pt idx="322">
                  <c:v>0.17748614548253755</c:v>
                </c:pt>
                <c:pt idx="323">
                  <c:v>0.17767979875745485</c:v>
                </c:pt>
                <c:pt idx="324">
                  <c:v>0.17758334756845781</c:v>
                </c:pt>
                <c:pt idx="325">
                  <c:v>0.19103475394109903</c:v>
                </c:pt>
                <c:pt idx="326">
                  <c:v>0.19116703959369763</c:v>
                </c:pt>
                <c:pt idx="327">
                  <c:v>0.19110858243798984</c:v>
                </c:pt>
                <c:pt idx="328">
                  <c:v>0.19125587494380134</c:v>
                </c:pt>
                <c:pt idx="329">
                  <c:v>0.19007524089162861</c:v>
                </c:pt>
                <c:pt idx="330">
                  <c:v>0.18949840695075443</c:v>
                </c:pt>
                <c:pt idx="331">
                  <c:v>0.18848905768825033</c:v>
                </c:pt>
                <c:pt idx="332">
                  <c:v>0.19140078143828435</c:v>
                </c:pt>
                <c:pt idx="333">
                  <c:v>0.18851446474327446</c:v>
                </c:pt>
                <c:pt idx="334">
                  <c:v>0.18862428108142443</c:v>
                </c:pt>
                <c:pt idx="335">
                  <c:v>0.18655757054158079</c:v>
                </c:pt>
                <c:pt idx="336">
                  <c:v>0.18717429906023741</c:v>
                </c:pt>
                <c:pt idx="337">
                  <c:v>0.18696682684951996</c:v>
                </c:pt>
                <c:pt idx="338">
                  <c:v>0.19240059843691351</c:v>
                </c:pt>
                <c:pt idx="339">
                  <c:v>0.200647524102821</c:v>
                </c:pt>
                <c:pt idx="340">
                  <c:v>0.20083540008893619</c:v>
                </c:pt>
                <c:pt idx="341">
                  <c:v>0.20118117377216535</c:v>
                </c:pt>
                <c:pt idx="342">
                  <c:v>0.21214315366145903</c:v>
                </c:pt>
                <c:pt idx="343">
                  <c:v>0.21796208301294553</c:v>
                </c:pt>
                <c:pt idx="344">
                  <c:v>0.21711433189704987</c:v>
                </c:pt>
                <c:pt idx="345">
                  <c:v>0.21351211419391047</c:v>
                </c:pt>
                <c:pt idx="346">
                  <c:v>0.21519583274303561</c:v>
                </c:pt>
                <c:pt idx="347">
                  <c:v>0.21459034854269846</c:v>
                </c:pt>
                <c:pt idx="348">
                  <c:v>0.22664061018496068</c:v>
                </c:pt>
                <c:pt idx="349">
                  <c:v>0.22833811519745062</c:v>
                </c:pt>
                <c:pt idx="350">
                  <c:v>0.23539860771326002</c:v>
                </c:pt>
                <c:pt idx="351">
                  <c:v>0.23583010078516733</c:v>
                </c:pt>
                <c:pt idx="352">
                  <c:v>0.23673927818072626</c:v>
                </c:pt>
                <c:pt idx="353">
                  <c:v>0.23906605823007759</c:v>
                </c:pt>
                <c:pt idx="354">
                  <c:v>0.24002366680627069</c:v>
                </c:pt>
                <c:pt idx="355">
                  <c:v>0.24249143634155515</c:v>
                </c:pt>
                <c:pt idx="356">
                  <c:v>0.25198512278917701</c:v>
                </c:pt>
                <c:pt idx="357">
                  <c:v>0.26608094756956979</c:v>
                </c:pt>
                <c:pt idx="358">
                  <c:v>0.26840319672334345</c:v>
                </c:pt>
                <c:pt idx="359">
                  <c:v>0.2722608097514489</c:v>
                </c:pt>
                <c:pt idx="360">
                  <c:v>0.27219665029927359</c:v>
                </c:pt>
                <c:pt idx="361">
                  <c:v>0.2716591047171259</c:v>
                </c:pt>
                <c:pt idx="362">
                  <c:v>0.26109022717750369</c:v>
                </c:pt>
                <c:pt idx="363">
                  <c:v>0.26120752551711446</c:v>
                </c:pt>
                <c:pt idx="364">
                  <c:v>0.26352700119183464</c:v>
                </c:pt>
                <c:pt idx="365">
                  <c:v>0.26343686827886398</c:v>
                </c:pt>
                <c:pt idx="366">
                  <c:v>0.26330846329433455</c:v>
                </c:pt>
                <c:pt idx="367">
                  <c:v>0.26219335429742285</c:v>
                </c:pt>
                <c:pt idx="368">
                  <c:v>0.2623705746369141</c:v>
                </c:pt>
                <c:pt idx="369">
                  <c:v>0.25913975412123041</c:v>
                </c:pt>
                <c:pt idx="370">
                  <c:v>0.26490725674889798</c:v>
                </c:pt>
                <c:pt idx="371">
                  <c:v>0.26655350554953805</c:v>
                </c:pt>
                <c:pt idx="372">
                  <c:v>0.27898839335058584</c:v>
                </c:pt>
                <c:pt idx="373">
                  <c:v>0.28026227932763492</c:v>
                </c:pt>
                <c:pt idx="374">
                  <c:v>0.28436507873547318</c:v>
                </c:pt>
                <c:pt idx="375">
                  <c:v>0.28635933451024209</c:v>
                </c:pt>
                <c:pt idx="376">
                  <c:v>0.29020594275415512</c:v>
                </c:pt>
                <c:pt idx="377">
                  <c:v>0.2922237253171715</c:v>
                </c:pt>
                <c:pt idx="378">
                  <c:v>0.29301540411373306</c:v>
                </c:pt>
                <c:pt idx="379">
                  <c:v>0.29196863973004367</c:v>
                </c:pt>
                <c:pt idx="380">
                  <c:v>0.2892633354385149</c:v>
                </c:pt>
                <c:pt idx="381">
                  <c:v>0.28639787311794052</c:v>
                </c:pt>
                <c:pt idx="382">
                  <c:v>0.28629433596081255</c:v>
                </c:pt>
                <c:pt idx="383">
                  <c:v>0.28619315254782834</c:v>
                </c:pt>
                <c:pt idx="384">
                  <c:v>0.2864578499829174</c:v>
                </c:pt>
                <c:pt idx="385">
                  <c:v>0.28121569276374087</c:v>
                </c:pt>
                <c:pt idx="386">
                  <c:v>0.28164262220054703</c:v>
                </c:pt>
                <c:pt idx="387">
                  <c:v>0.2817001924911598</c:v>
                </c:pt>
                <c:pt idx="388">
                  <c:v>0.29196516175383075</c:v>
                </c:pt>
                <c:pt idx="389">
                  <c:v>0.29230280377220441</c:v>
                </c:pt>
                <c:pt idx="390">
                  <c:v>0.29193468531448752</c:v>
                </c:pt>
                <c:pt idx="391">
                  <c:v>0.29259911670195338</c:v>
                </c:pt>
                <c:pt idx="392">
                  <c:v>0.28957436006092058</c:v>
                </c:pt>
                <c:pt idx="393">
                  <c:v>0.28946891119522616</c:v>
                </c:pt>
                <c:pt idx="394">
                  <c:v>0.28929230401728184</c:v>
                </c:pt>
                <c:pt idx="395">
                  <c:v>0.28928984618211917</c:v>
                </c:pt>
                <c:pt idx="396">
                  <c:v>0.28970718155326997</c:v>
                </c:pt>
                <c:pt idx="397">
                  <c:v>0.29571097294669496</c:v>
                </c:pt>
                <c:pt idx="398">
                  <c:v>0.29202293912854954</c:v>
                </c:pt>
                <c:pt idx="399">
                  <c:v>0.28598599986908513</c:v>
                </c:pt>
                <c:pt idx="400">
                  <c:v>0.28685450501068144</c:v>
                </c:pt>
                <c:pt idx="401">
                  <c:v>0.28657004415276538</c:v>
                </c:pt>
                <c:pt idx="402">
                  <c:v>0.2785126849297988</c:v>
                </c:pt>
                <c:pt idx="403">
                  <c:v>0.27421779094962595</c:v>
                </c:pt>
                <c:pt idx="404">
                  <c:v>0.2760213027226267</c:v>
                </c:pt>
                <c:pt idx="405">
                  <c:v>0.27622689947988999</c:v>
                </c:pt>
                <c:pt idx="406">
                  <c:v>0.27595771872672542</c:v>
                </c:pt>
                <c:pt idx="407">
                  <c:v>0.27763367858432975</c:v>
                </c:pt>
                <c:pt idx="408">
                  <c:v>0.2672163757002069</c:v>
                </c:pt>
                <c:pt idx="409">
                  <c:v>0.26700791657496981</c:v>
                </c:pt>
                <c:pt idx="410">
                  <c:v>0.25965172825860222</c:v>
                </c:pt>
                <c:pt idx="411">
                  <c:v>0.26322733741493232</c:v>
                </c:pt>
                <c:pt idx="412">
                  <c:v>0.25948025327963575</c:v>
                </c:pt>
                <c:pt idx="413">
                  <c:v>0.25791993349615377</c:v>
                </c:pt>
                <c:pt idx="414">
                  <c:v>0.25689130101545604</c:v>
                </c:pt>
                <c:pt idx="415">
                  <c:v>0.25501955521758152</c:v>
                </c:pt>
                <c:pt idx="416">
                  <c:v>0.24564987182321765</c:v>
                </c:pt>
                <c:pt idx="417">
                  <c:v>0.26210856345309319</c:v>
                </c:pt>
                <c:pt idx="418">
                  <c:v>0.25899009493531638</c:v>
                </c:pt>
                <c:pt idx="419">
                  <c:v>0.25777042732235028</c:v>
                </c:pt>
                <c:pt idx="420">
                  <c:v>0.25742646868998625</c:v>
                </c:pt>
                <c:pt idx="421">
                  <c:v>0.25749371015997335</c:v>
                </c:pt>
                <c:pt idx="422">
                  <c:v>0.28795456431036165</c:v>
                </c:pt>
                <c:pt idx="423">
                  <c:v>0.2874544673543421</c:v>
                </c:pt>
                <c:pt idx="424">
                  <c:v>0.28611743033068671</c:v>
                </c:pt>
                <c:pt idx="425">
                  <c:v>0.2852055793942555</c:v>
                </c:pt>
                <c:pt idx="426">
                  <c:v>0.28691627143584369</c:v>
                </c:pt>
                <c:pt idx="427">
                  <c:v>0.28706999489271767</c:v>
                </c:pt>
                <c:pt idx="428">
                  <c:v>0.28973296688828487</c:v>
                </c:pt>
                <c:pt idx="429">
                  <c:v>0.29121105995686919</c:v>
                </c:pt>
                <c:pt idx="430">
                  <c:v>0.28633288252519429</c:v>
                </c:pt>
                <c:pt idx="431">
                  <c:v>0.2839736088394178</c:v>
                </c:pt>
                <c:pt idx="432">
                  <c:v>0.26965208901423693</c:v>
                </c:pt>
                <c:pt idx="433">
                  <c:v>0.26644737461848722</c:v>
                </c:pt>
                <c:pt idx="434">
                  <c:v>0.26378333095858769</c:v>
                </c:pt>
                <c:pt idx="435">
                  <c:v>0.26476269789100138</c:v>
                </c:pt>
                <c:pt idx="436">
                  <c:v>0.25900541992957826</c:v>
                </c:pt>
                <c:pt idx="437">
                  <c:v>0.25627414730951065</c:v>
                </c:pt>
                <c:pt idx="438">
                  <c:v>0.25445580120870726</c:v>
                </c:pt>
                <c:pt idx="439">
                  <c:v>0.25475016313467086</c:v>
                </c:pt>
                <c:pt idx="440">
                  <c:v>0.25485862720373537</c:v>
                </c:pt>
                <c:pt idx="441">
                  <c:v>0.25520628651610133</c:v>
                </c:pt>
                <c:pt idx="442">
                  <c:v>0.25519222455203877</c:v>
                </c:pt>
                <c:pt idx="443">
                  <c:v>0.25454430547965262</c:v>
                </c:pt>
                <c:pt idx="444">
                  <c:v>0.25883208982768435</c:v>
                </c:pt>
                <c:pt idx="445">
                  <c:v>0.25882743961836346</c:v>
                </c:pt>
                <c:pt idx="446">
                  <c:v>0.25916572978451463</c:v>
                </c:pt>
                <c:pt idx="447">
                  <c:v>0.25940158689256226</c:v>
                </c:pt>
                <c:pt idx="448">
                  <c:v>0.24939580285744314</c:v>
                </c:pt>
                <c:pt idx="449">
                  <c:v>0.24891879796061697</c:v>
                </c:pt>
                <c:pt idx="450">
                  <c:v>0.25145906122628475</c:v>
                </c:pt>
                <c:pt idx="451">
                  <c:v>0.25784966193603842</c:v>
                </c:pt>
                <c:pt idx="452">
                  <c:v>0.25992265327162956</c:v>
                </c:pt>
                <c:pt idx="453">
                  <c:v>0.26032337020704827</c:v>
                </c:pt>
                <c:pt idx="454">
                  <c:v>0.26031054244670043</c:v>
                </c:pt>
                <c:pt idx="455">
                  <c:v>0.26047529092387989</c:v>
                </c:pt>
                <c:pt idx="456">
                  <c:v>0.25911314223535764</c:v>
                </c:pt>
                <c:pt idx="457">
                  <c:v>0.25247577996178372</c:v>
                </c:pt>
                <c:pt idx="458">
                  <c:v>0.25501929487539382</c:v>
                </c:pt>
                <c:pt idx="459">
                  <c:v>0.25521404123615216</c:v>
                </c:pt>
                <c:pt idx="460">
                  <c:v>0.25373972784635107</c:v>
                </c:pt>
                <c:pt idx="461">
                  <c:v>0.25392563645491445</c:v>
                </c:pt>
                <c:pt idx="462">
                  <c:v>0.25245736878308994</c:v>
                </c:pt>
                <c:pt idx="463">
                  <c:v>0.25589055017812712</c:v>
                </c:pt>
                <c:pt idx="464">
                  <c:v>0.25551195639693258</c:v>
                </c:pt>
                <c:pt idx="465">
                  <c:v>0.25711899655459125</c:v>
                </c:pt>
                <c:pt idx="466">
                  <c:v>0.25733776854785539</c:v>
                </c:pt>
                <c:pt idx="467">
                  <c:v>0.25762880418507739</c:v>
                </c:pt>
                <c:pt idx="468">
                  <c:v>0.26481409796818878</c:v>
                </c:pt>
                <c:pt idx="469">
                  <c:v>0.26386563187547846</c:v>
                </c:pt>
                <c:pt idx="470">
                  <c:v>0.26347360263637076</c:v>
                </c:pt>
                <c:pt idx="471">
                  <c:v>0.26128637322817694</c:v>
                </c:pt>
                <c:pt idx="472">
                  <c:v>0.26151224540996981</c:v>
                </c:pt>
                <c:pt idx="473">
                  <c:v>0.26088542253370622</c:v>
                </c:pt>
                <c:pt idx="474">
                  <c:v>0.26147407751930019</c:v>
                </c:pt>
                <c:pt idx="475">
                  <c:v>0.26204427430678501</c:v>
                </c:pt>
                <c:pt idx="476">
                  <c:v>0.2619786701124866</c:v>
                </c:pt>
                <c:pt idx="477">
                  <c:v>0.22753669603301835</c:v>
                </c:pt>
                <c:pt idx="478">
                  <c:v>0.22905036733910952</c:v>
                </c:pt>
                <c:pt idx="479">
                  <c:v>0.2280608106813497</c:v>
                </c:pt>
                <c:pt idx="480">
                  <c:v>0.2289014634236238</c:v>
                </c:pt>
                <c:pt idx="481">
                  <c:v>0.22715713975192478</c:v>
                </c:pt>
                <c:pt idx="482">
                  <c:v>0.1831231892053056</c:v>
                </c:pt>
                <c:pt idx="483">
                  <c:v>0.1845873957116857</c:v>
                </c:pt>
                <c:pt idx="484">
                  <c:v>0.18649887786038385</c:v>
                </c:pt>
                <c:pt idx="485">
                  <c:v>0.18898106524502911</c:v>
                </c:pt>
                <c:pt idx="486">
                  <c:v>0.18756883045620346</c:v>
                </c:pt>
                <c:pt idx="487">
                  <c:v>0.18962564706329754</c:v>
                </c:pt>
                <c:pt idx="488">
                  <c:v>0.19201109227760682</c:v>
                </c:pt>
                <c:pt idx="489">
                  <c:v>0.19081024041441139</c:v>
                </c:pt>
                <c:pt idx="490">
                  <c:v>0.19166391273810349</c:v>
                </c:pt>
                <c:pt idx="491">
                  <c:v>0.20019370526976638</c:v>
                </c:pt>
                <c:pt idx="492">
                  <c:v>0.20583644286310712</c:v>
                </c:pt>
                <c:pt idx="493">
                  <c:v>0.20839400386881304</c:v>
                </c:pt>
                <c:pt idx="494">
                  <c:v>0.20648171788482375</c:v>
                </c:pt>
                <c:pt idx="495">
                  <c:v>0.20145558738331845</c:v>
                </c:pt>
                <c:pt idx="496">
                  <c:v>0.20154530861448064</c:v>
                </c:pt>
                <c:pt idx="497">
                  <c:v>0.20519910563370855</c:v>
                </c:pt>
                <c:pt idx="498">
                  <c:v>0.2057926382094965</c:v>
                </c:pt>
                <c:pt idx="499">
                  <c:v>0.21365373253485534</c:v>
                </c:pt>
                <c:pt idx="500">
                  <c:v>0.21665195452180291</c:v>
                </c:pt>
                <c:pt idx="501">
                  <c:v>0.22340195343515878</c:v>
                </c:pt>
                <c:pt idx="502">
                  <c:v>0.22572968613011796</c:v>
                </c:pt>
                <c:pt idx="503">
                  <c:v>0.25455764223381278</c:v>
                </c:pt>
                <c:pt idx="504">
                  <c:v>0.25281791724916503</c:v>
                </c:pt>
                <c:pt idx="505">
                  <c:v>0.25416862736399531</c:v>
                </c:pt>
                <c:pt idx="506">
                  <c:v>0.25396765628098622</c:v>
                </c:pt>
                <c:pt idx="507">
                  <c:v>0.25424378048495355</c:v>
                </c:pt>
                <c:pt idx="508">
                  <c:v>0.26196038866080734</c:v>
                </c:pt>
                <c:pt idx="509">
                  <c:v>0.26445785395618082</c:v>
                </c:pt>
                <c:pt idx="510">
                  <c:v>0.26360676794885396</c:v>
                </c:pt>
                <c:pt idx="511">
                  <c:v>0.26153726469123323</c:v>
                </c:pt>
                <c:pt idx="512">
                  <c:v>0.26061898392406752</c:v>
                </c:pt>
                <c:pt idx="513">
                  <c:v>0.26239831970425048</c:v>
                </c:pt>
                <c:pt idx="514">
                  <c:v>0.26977168143290492</c:v>
                </c:pt>
                <c:pt idx="515">
                  <c:v>0.26943537945417512</c:v>
                </c:pt>
                <c:pt idx="516">
                  <c:v>0.27110195952924843</c:v>
                </c:pt>
                <c:pt idx="517">
                  <c:v>0.27085346980321151</c:v>
                </c:pt>
                <c:pt idx="518">
                  <c:v>0.27170687657531595</c:v>
                </c:pt>
                <c:pt idx="519">
                  <c:v>0.27174695337971094</c:v>
                </c:pt>
                <c:pt idx="520">
                  <c:v>0.27415874078951652</c:v>
                </c:pt>
                <c:pt idx="521">
                  <c:v>0.27506961563148891</c:v>
                </c:pt>
                <c:pt idx="522">
                  <c:v>0.27598430418707592</c:v>
                </c:pt>
                <c:pt idx="523">
                  <c:v>0.27815385260528186</c:v>
                </c:pt>
                <c:pt idx="524">
                  <c:v>0.27701559569937978</c:v>
                </c:pt>
                <c:pt idx="525">
                  <c:v>0.27623479044797411</c:v>
                </c:pt>
                <c:pt idx="526">
                  <c:v>0.29938528988501473</c:v>
                </c:pt>
                <c:pt idx="527">
                  <c:v>0.29899471879489781</c:v>
                </c:pt>
                <c:pt idx="528">
                  <c:v>0.29778371386747221</c:v>
                </c:pt>
                <c:pt idx="529">
                  <c:v>0.29788430936763644</c:v>
                </c:pt>
                <c:pt idx="530">
                  <c:v>0.29795036463225094</c:v>
                </c:pt>
                <c:pt idx="531">
                  <c:v>0.29601465014721384</c:v>
                </c:pt>
                <c:pt idx="532">
                  <c:v>0.29641306901131248</c:v>
                </c:pt>
                <c:pt idx="533">
                  <c:v>0.30266900711846029</c:v>
                </c:pt>
                <c:pt idx="534">
                  <c:v>0.30778707022578938</c:v>
                </c:pt>
                <c:pt idx="535">
                  <c:v>0.30979048865262293</c:v>
                </c:pt>
                <c:pt idx="536">
                  <c:v>0.31305927530971239</c:v>
                </c:pt>
                <c:pt idx="537">
                  <c:v>0.31298223487481536</c:v>
                </c:pt>
                <c:pt idx="538">
                  <c:v>0.31120632775278012</c:v>
                </c:pt>
                <c:pt idx="539">
                  <c:v>0.31095297590947751</c:v>
                </c:pt>
                <c:pt idx="540">
                  <c:v>0.3425196995682131</c:v>
                </c:pt>
                <c:pt idx="541">
                  <c:v>0.34260878053725813</c:v>
                </c:pt>
                <c:pt idx="542">
                  <c:v>0.34324213759972283</c:v>
                </c:pt>
                <c:pt idx="543">
                  <c:v>0.34333821066304926</c:v>
                </c:pt>
                <c:pt idx="544">
                  <c:v>0.34252681290081555</c:v>
                </c:pt>
                <c:pt idx="545">
                  <c:v>0.34110823922754957</c:v>
                </c:pt>
                <c:pt idx="546">
                  <c:v>0.34161779164338801</c:v>
                </c:pt>
                <c:pt idx="547">
                  <c:v>0.34027173269477817</c:v>
                </c:pt>
                <c:pt idx="548">
                  <c:v>0.33822876313933481</c:v>
                </c:pt>
                <c:pt idx="549">
                  <c:v>0.33938424322871591</c:v>
                </c:pt>
                <c:pt idx="550">
                  <c:v>0.33937152681139876</c:v>
                </c:pt>
                <c:pt idx="551">
                  <c:v>0.33610096816435758</c:v>
                </c:pt>
                <c:pt idx="552">
                  <c:v>0.33363169504802981</c:v>
                </c:pt>
                <c:pt idx="553">
                  <c:v>0.3300384975239205</c:v>
                </c:pt>
                <c:pt idx="554">
                  <c:v>0.33057372516706829</c:v>
                </c:pt>
                <c:pt idx="555">
                  <c:v>0.33099106996164274</c:v>
                </c:pt>
                <c:pt idx="556">
                  <c:v>0.33102391559275463</c:v>
                </c:pt>
                <c:pt idx="557">
                  <c:v>0.32888845048043852</c:v>
                </c:pt>
                <c:pt idx="558">
                  <c:v>0.3287554763251142</c:v>
                </c:pt>
                <c:pt idx="559">
                  <c:v>0.32784785986769616</c:v>
                </c:pt>
                <c:pt idx="560">
                  <c:v>0.32503321573280392</c:v>
                </c:pt>
                <c:pt idx="561">
                  <c:v>0.32208480531888634</c:v>
                </c:pt>
                <c:pt idx="562">
                  <c:v>0.31886385900563302</c:v>
                </c:pt>
                <c:pt idx="563">
                  <c:v>0.2908509065330237</c:v>
                </c:pt>
                <c:pt idx="564">
                  <c:v>0.29084856247193791</c:v>
                </c:pt>
                <c:pt idx="565">
                  <c:v>0.28992468563709167</c:v>
                </c:pt>
                <c:pt idx="566">
                  <c:v>0.28971206030041929</c:v>
                </c:pt>
                <c:pt idx="567">
                  <c:v>0.28863105429338948</c:v>
                </c:pt>
                <c:pt idx="568">
                  <c:v>0.28416483425565808</c:v>
                </c:pt>
                <c:pt idx="569">
                  <c:v>0.28489155650273751</c:v>
                </c:pt>
                <c:pt idx="570">
                  <c:v>0.28642695642479993</c:v>
                </c:pt>
                <c:pt idx="571">
                  <c:v>0.28698121143702349</c:v>
                </c:pt>
                <c:pt idx="572">
                  <c:v>0.28599987688267975</c:v>
                </c:pt>
                <c:pt idx="573">
                  <c:v>0.28337412140390444</c:v>
                </c:pt>
                <c:pt idx="574">
                  <c:v>0.27794895818569565</c:v>
                </c:pt>
                <c:pt idx="575">
                  <c:v>0.27867672360433793</c:v>
                </c:pt>
                <c:pt idx="576">
                  <c:v>0.27888453585163209</c:v>
                </c:pt>
                <c:pt idx="577">
                  <c:v>0.27986530738312482</c:v>
                </c:pt>
                <c:pt idx="578">
                  <c:v>0.28793834246846423</c:v>
                </c:pt>
                <c:pt idx="579">
                  <c:v>0.28834429503195041</c:v>
                </c:pt>
                <c:pt idx="580">
                  <c:v>0.28916704017898553</c:v>
                </c:pt>
                <c:pt idx="581">
                  <c:v>0.28874041921029386</c:v>
                </c:pt>
                <c:pt idx="582">
                  <c:v>0.28855492474960476</c:v>
                </c:pt>
                <c:pt idx="583">
                  <c:v>0.28210615313471699</c:v>
                </c:pt>
                <c:pt idx="584">
                  <c:v>0.28098329154527041</c:v>
                </c:pt>
                <c:pt idx="585">
                  <c:v>0.27993641205432285</c:v>
                </c:pt>
                <c:pt idx="586">
                  <c:v>0.25582616282688664</c:v>
                </c:pt>
                <c:pt idx="587">
                  <c:v>0.25392592494116939</c:v>
                </c:pt>
                <c:pt idx="588">
                  <c:v>0.24802560739320498</c:v>
                </c:pt>
                <c:pt idx="589">
                  <c:v>0.24853619165502597</c:v>
                </c:pt>
                <c:pt idx="590">
                  <c:v>0.24850517776236111</c:v>
                </c:pt>
                <c:pt idx="591">
                  <c:v>0.2548275479157544</c:v>
                </c:pt>
                <c:pt idx="592">
                  <c:v>0.25488585691212945</c:v>
                </c:pt>
                <c:pt idx="593">
                  <c:v>0.2456197123732394</c:v>
                </c:pt>
                <c:pt idx="594">
                  <c:v>0.24116622264826823</c:v>
                </c:pt>
                <c:pt idx="595">
                  <c:v>0.23971735600047975</c:v>
                </c:pt>
                <c:pt idx="596">
                  <c:v>0.23723884237294857</c:v>
                </c:pt>
                <c:pt idx="597">
                  <c:v>0.23619881771450635</c:v>
                </c:pt>
                <c:pt idx="598">
                  <c:v>0.23600286853831104</c:v>
                </c:pt>
                <c:pt idx="599">
                  <c:v>0.23699234082571591</c:v>
                </c:pt>
                <c:pt idx="600">
                  <c:v>0.19471348623157347</c:v>
                </c:pt>
                <c:pt idx="601">
                  <c:v>0.1964901825877455</c:v>
                </c:pt>
                <c:pt idx="602">
                  <c:v>0.19506059162383577</c:v>
                </c:pt>
                <c:pt idx="603">
                  <c:v>0.19425403124595539</c:v>
                </c:pt>
                <c:pt idx="604">
                  <c:v>0.19296557258103489</c:v>
                </c:pt>
                <c:pt idx="605">
                  <c:v>0.19901989594332686</c:v>
                </c:pt>
                <c:pt idx="606">
                  <c:v>0.19835239827709786</c:v>
                </c:pt>
                <c:pt idx="607">
                  <c:v>0.19866082639164145</c:v>
                </c:pt>
                <c:pt idx="608">
                  <c:v>0.19772263592981618</c:v>
                </c:pt>
                <c:pt idx="609">
                  <c:v>0.19772565375052725</c:v>
                </c:pt>
                <c:pt idx="610">
                  <c:v>0.19706642772670765</c:v>
                </c:pt>
                <c:pt idx="611">
                  <c:v>0.19934571850046226</c:v>
                </c:pt>
                <c:pt idx="612">
                  <c:v>0.19833425219414669</c:v>
                </c:pt>
                <c:pt idx="613">
                  <c:v>0.19935237950491869</c:v>
                </c:pt>
                <c:pt idx="614">
                  <c:v>0.19850203452025386</c:v>
                </c:pt>
                <c:pt idx="615">
                  <c:v>0.19765345115067204</c:v>
                </c:pt>
                <c:pt idx="616">
                  <c:v>0.19842105815083391</c:v>
                </c:pt>
                <c:pt idx="617">
                  <c:v>0.20226553503533232</c:v>
                </c:pt>
                <c:pt idx="618">
                  <c:v>0.20221999664885862</c:v>
                </c:pt>
                <c:pt idx="619">
                  <c:v>0.19444070630011431</c:v>
                </c:pt>
                <c:pt idx="620">
                  <c:v>0.19444847522524272</c:v>
                </c:pt>
                <c:pt idx="621">
                  <c:v>0.19440351574721715</c:v>
                </c:pt>
                <c:pt idx="622">
                  <c:v>0.1937252191515072</c:v>
                </c:pt>
                <c:pt idx="623">
                  <c:v>0.1935586874810164</c:v>
                </c:pt>
                <c:pt idx="624">
                  <c:v>0.19350742547428354</c:v>
                </c:pt>
                <c:pt idx="625">
                  <c:v>0.19349216907321062</c:v>
                </c:pt>
                <c:pt idx="626">
                  <c:v>0.19631524839621295</c:v>
                </c:pt>
                <c:pt idx="627">
                  <c:v>0.19813592297504956</c:v>
                </c:pt>
                <c:pt idx="628">
                  <c:v>0.19834044202002504</c:v>
                </c:pt>
                <c:pt idx="629">
                  <c:v>0.19668750009695679</c:v>
                </c:pt>
                <c:pt idx="630">
                  <c:v>0.2003258592924296</c:v>
                </c:pt>
                <c:pt idx="631">
                  <c:v>0.19635511187318153</c:v>
                </c:pt>
                <c:pt idx="632">
                  <c:v>0.20165257974761827</c:v>
                </c:pt>
                <c:pt idx="633">
                  <c:v>0.20681991270189287</c:v>
                </c:pt>
                <c:pt idx="634">
                  <c:v>0.20677546369551814</c:v>
                </c:pt>
                <c:pt idx="635">
                  <c:v>0.20646751084727308</c:v>
                </c:pt>
                <c:pt idx="636">
                  <c:v>0.20317583648687484</c:v>
                </c:pt>
                <c:pt idx="637">
                  <c:v>0.2059003652261325</c:v>
                </c:pt>
                <c:pt idx="638">
                  <c:v>0.18922410736715339</c:v>
                </c:pt>
                <c:pt idx="639">
                  <c:v>0.18876315858209641</c:v>
                </c:pt>
                <c:pt idx="640">
                  <c:v>0.18561389128115377</c:v>
                </c:pt>
                <c:pt idx="641">
                  <c:v>0.18751718232793019</c:v>
                </c:pt>
                <c:pt idx="642">
                  <c:v>0.18566009100318165</c:v>
                </c:pt>
                <c:pt idx="643">
                  <c:v>0.18767287919935016</c:v>
                </c:pt>
                <c:pt idx="644">
                  <c:v>0.1888809911584037</c:v>
                </c:pt>
                <c:pt idx="645">
                  <c:v>0.19073549595940631</c:v>
                </c:pt>
                <c:pt idx="646">
                  <c:v>0.19574435295621853</c:v>
                </c:pt>
                <c:pt idx="647">
                  <c:v>0.19455343675980658</c:v>
                </c:pt>
                <c:pt idx="648">
                  <c:v>0.19460603495841264</c:v>
                </c:pt>
                <c:pt idx="649">
                  <c:v>0.1938668540558349</c:v>
                </c:pt>
                <c:pt idx="650">
                  <c:v>0.19611307295049429</c:v>
                </c:pt>
                <c:pt idx="651">
                  <c:v>0.18472259913058486</c:v>
                </c:pt>
                <c:pt idx="652">
                  <c:v>0.18495082692013884</c:v>
                </c:pt>
                <c:pt idx="653">
                  <c:v>0.18504794976853214</c:v>
                </c:pt>
                <c:pt idx="654">
                  <c:v>0.18359794510223865</c:v>
                </c:pt>
                <c:pt idx="655">
                  <c:v>0.18672122168585342</c:v>
                </c:pt>
                <c:pt idx="656">
                  <c:v>0.19130778060513534</c:v>
                </c:pt>
                <c:pt idx="657">
                  <c:v>0.19783325300671817</c:v>
                </c:pt>
                <c:pt idx="658">
                  <c:v>0.1975274376078465</c:v>
                </c:pt>
                <c:pt idx="659">
                  <c:v>0.19618193481227597</c:v>
                </c:pt>
                <c:pt idx="660">
                  <c:v>0.19270511739673885</c:v>
                </c:pt>
                <c:pt idx="661">
                  <c:v>0.19328388283344036</c:v>
                </c:pt>
                <c:pt idx="662">
                  <c:v>0.19345585654015093</c:v>
                </c:pt>
                <c:pt idx="663">
                  <c:v>0.19309994184339235</c:v>
                </c:pt>
                <c:pt idx="664">
                  <c:v>0.1932430450571942</c:v>
                </c:pt>
                <c:pt idx="665">
                  <c:v>0.18664584002002316</c:v>
                </c:pt>
                <c:pt idx="666">
                  <c:v>0.1870945274486866</c:v>
                </c:pt>
                <c:pt idx="667">
                  <c:v>0.19012369150900532</c:v>
                </c:pt>
                <c:pt idx="668">
                  <c:v>0.19016246160020914</c:v>
                </c:pt>
                <c:pt idx="669">
                  <c:v>0.18765646943641626</c:v>
                </c:pt>
                <c:pt idx="670">
                  <c:v>0.18917407881943557</c:v>
                </c:pt>
                <c:pt idx="671">
                  <c:v>0.18989516586216784</c:v>
                </c:pt>
                <c:pt idx="672">
                  <c:v>0.18815370995750319</c:v>
                </c:pt>
                <c:pt idx="673">
                  <c:v>0.18755353279029316</c:v>
                </c:pt>
                <c:pt idx="674">
                  <c:v>0.19148988781064441</c:v>
                </c:pt>
                <c:pt idx="675">
                  <c:v>0.19167907215333455</c:v>
                </c:pt>
                <c:pt idx="676">
                  <c:v>0.19057906349413062</c:v>
                </c:pt>
                <c:pt idx="677">
                  <c:v>0.20030366538808919</c:v>
                </c:pt>
                <c:pt idx="678">
                  <c:v>0.20132143514065773</c:v>
                </c:pt>
                <c:pt idx="679">
                  <c:v>0.19900266181794229</c:v>
                </c:pt>
                <c:pt idx="680">
                  <c:v>0.19904082698866221</c:v>
                </c:pt>
                <c:pt idx="681">
                  <c:v>0.1997304509847114</c:v>
                </c:pt>
                <c:pt idx="682">
                  <c:v>0.2001671194103713</c:v>
                </c:pt>
                <c:pt idx="683">
                  <c:v>0.20064090536160017</c:v>
                </c:pt>
                <c:pt idx="684">
                  <c:v>0.20068730926114198</c:v>
                </c:pt>
                <c:pt idx="685">
                  <c:v>0.20438534484154797</c:v>
                </c:pt>
                <c:pt idx="686">
                  <c:v>0.20250795108088776</c:v>
                </c:pt>
                <c:pt idx="687">
                  <c:v>0.20080431660842879</c:v>
                </c:pt>
                <c:pt idx="688">
                  <c:v>0.20359299687230117</c:v>
                </c:pt>
                <c:pt idx="689">
                  <c:v>0.20194152378810937</c:v>
                </c:pt>
                <c:pt idx="690">
                  <c:v>0.19801524172119758</c:v>
                </c:pt>
                <c:pt idx="691">
                  <c:v>0.1976611121809185</c:v>
                </c:pt>
                <c:pt idx="692">
                  <c:v>0.19118410305295402</c:v>
                </c:pt>
                <c:pt idx="693">
                  <c:v>0.1857401150274906</c:v>
                </c:pt>
                <c:pt idx="694">
                  <c:v>0.18856413346296613</c:v>
                </c:pt>
                <c:pt idx="695">
                  <c:v>0.19228219062755372</c:v>
                </c:pt>
                <c:pt idx="696">
                  <c:v>0.192990949607974</c:v>
                </c:pt>
                <c:pt idx="697">
                  <c:v>0.18927577486443437</c:v>
                </c:pt>
                <c:pt idx="698">
                  <c:v>0.18927138048821612</c:v>
                </c:pt>
                <c:pt idx="699">
                  <c:v>0.19182835434721587</c:v>
                </c:pt>
                <c:pt idx="700">
                  <c:v>0.19704385969876806</c:v>
                </c:pt>
                <c:pt idx="701">
                  <c:v>0.19665046442701814</c:v>
                </c:pt>
                <c:pt idx="702">
                  <c:v>0.19819029446548506</c:v>
                </c:pt>
                <c:pt idx="703">
                  <c:v>0.19555674625130628</c:v>
                </c:pt>
                <c:pt idx="704">
                  <c:v>0.19388756914667188</c:v>
                </c:pt>
                <c:pt idx="705">
                  <c:v>0.19124917324947197</c:v>
                </c:pt>
                <c:pt idx="706">
                  <c:v>0.18727914764897571</c:v>
                </c:pt>
                <c:pt idx="707">
                  <c:v>0.18739317864311977</c:v>
                </c:pt>
                <c:pt idx="708">
                  <c:v>0.18825090043387918</c:v>
                </c:pt>
                <c:pt idx="709">
                  <c:v>0.18980201498432994</c:v>
                </c:pt>
                <c:pt idx="710">
                  <c:v>0.19621836303086723</c:v>
                </c:pt>
                <c:pt idx="711">
                  <c:v>0.19678950863742953</c:v>
                </c:pt>
                <c:pt idx="712">
                  <c:v>0.19783575016506649</c:v>
                </c:pt>
                <c:pt idx="713">
                  <c:v>0.20452224031218544</c:v>
                </c:pt>
                <c:pt idx="714">
                  <c:v>0.21036512196843096</c:v>
                </c:pt>
                <c:pt idx="715">
                  <c:v>0.22322179583970006</c:v>
                </c:pt>
                <c:pt idx="716">
                  <c:v>0.21993781384451885</c:v>
                </c:pt>
                <c:pt idx="717">
                  <c:v>0.21473418453823037</c:v>
                </c:pt>
                <c:pt idx="718">
                  <c:v>0.2307092065442759</c:v>
                </c:pt>
                <c:pt idx="719">
                  <c:v>0.23171876084345677</c:v>
                </c:pt>
                <c:pt idx="720">
                  <c:v>0.23302075430432129</c:v>
                </c:pt>
                <c:pt idx="721">
                  <c:v>0.24089719645243607</c:v>
                </c:pt>
                <c:pt idx="722">
                  <c:v>0.24135508316571996</c:v>
                </c:pt>
                <c:pt idx="723">
                  <c:v>0.24297000836462687</c:v>
                </c:pt>
                <c:pt idx="724">
                  <c:v>0.24398217890593649</c:v>
                </c:pt>
                <c:pt idx="725">
                  <c:v>0.24396697259976247</c:v>
                </c:pt>
                <c:pt idx="726">
                  <c:v>0.24378505814079665</c:v>
                </c:pt>
                <c:pt idx="727">
                  <c:v>0.24121830565842894</c:v>
                </c:pt>
                <c:pt idx="728">
                  <c:v>0.241188464051144</c:v>
                </c:pt>
                <c:pt idx="729">
                  <c:v>0.24111685186445014</c:v>
                </c:pt>
                <c:pt idx="730">
                  <c:v>0.24241285263294293</c:v>
                </c:pt>
                <c:pt idx="731">
                  <c:v>0.23865102865401999</c:v>
                </c:pt>
                <c:pt idx="732">
                  <c:v>0.23858728074108201</c:v>
                </c:pt>
                <c:pt idx="733">
                  <c:v>0.23868074379676318</c:v>
                </c:pt>
                <c:pt idx="734">
                  <c:v>0.2500021159593247</c:v>
                </c:pt>
                <c:pt idx="735">
                  <c:v>0.25044339717723679</c:v>
                </c:pt>
                <c:pt idx="736">
                  <c:v>0.25087574066527213</c:v>
                </c:pt>
                <c:pt idx="737">
                  <c:v>0.24759008224680457</c:v>
                </c:pt>
                <c:pt idx="738">
                  <c:v>0.24591377653334662</c:v>
                </c:pt>
                <c:pt idx="739">
                  <c:v>0.24775503328134033</c:v>
                </c:pt>
                <c:pt idx="740">
                  <c:v>0.29732016696558361</c:v>
                </c:pt>
                <c:pt idx="741">
                  <c:v>0.29776423966709581</c:v>
                </c:pt>
                <c:pt idx="742">
                  <c:v>0.29838330394096002</c:v>
                </c:pt>
                <c:pt idx="743">
                  <c:v>0.29851961747242578</c:v>
                </c:pt>
                <c:pt idx="744">
                  <c:v>0.30041578261892243</c:v>
                </c:pt>
                <c:pt idx="745">
                  <c:v>0.30141053485344571</c:v>
                </c:pt>
                <c:pt idx="746">
                  <c:v>0.31224141217214391</c:v>
                </c:pt>
                <c:pt idx="747">
                  <c:v>0.31270753436232357</c:v>
                </c:pt>
                <c:pt idx="748">
                  <c:v>0.3102272847884408</c:v>
                </c:pt>
                <c:pt idx="749">
                  <c:v>0.31101932953732075</c:v>
                </c:pt>
                <c:pt idx="750">
                  <c:v>0.31355700301695139</c:v>
                </c:pt>
                <c:pt idx="751">
                  <c:v>0.31479706549517444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B4-0148-BC38-9BA7C907D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60001"/>
        <c:axId val="50060002"/>
      </c:lineChart>
      <c:dateAx>
        <c:axId val="50060001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crossAx val="50060002"/>
        <c:crosses val="autoZero"/>
        <c:auto val="1"/>
        <c:lblOffset val="100"/>
        <c:baseTimeUnit val="days"/>
      </c:dateAx>
      <c:valAx>
        <c:axId val="50060002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Performance vs XLB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2200735696030494E-2"/>
          <c:y val="0.14843512804142725"/>
          <c:w val="0.88620304028600572"/>
          <c:h val="0.70296256886808084"/>
        </c:manualLayout>
      </c:layout>
      <c:lineChart>
        <c:grouping val="standard"/>
        <c:varyColors val="0"/>
        <c:ser>
          <c:idx val="0"/>
          <c:order val="0"/>
          <c:tx>
            <c:strRef>
              <c:f>'Share Price Analysis'!$O$35</c:f>
              <c:strCache>
                <c:ptCount val="1"/>
                <c:pt idx="0">
                  <c:v>Relative vs XLB</c:v>
                </c:pt>
              </c:strCache>
            </c:strRef>
          </c:tx>
          <c:spPr>
            <a:ln w="19050">
              <a:solidFill>
                <a:srgbClr val="FF7F0E"/>
              </a:solidFill>
            </a:ln>
          </c:spPr>
          <c:marker>
            <c:symbol val="none"/>
          </c:marker>
          <c:cat>
            <c:numRef>
              <c:f>'Share Price Analysis'!$A$36:$A$787</c:f>
              <c:numCache>
                <c:formatCode>yyyy\-mm\-dd</c:formatCode>
                <c:ptCount val="752"/>
                <c:pt idx="0">
                  <c:v>44991</c:v>
                </c:pt>
                <c:pt idx="1">
                  <c:v>44992</c:v>
                </c:pt>
                <c:pt idx="2">
                  <c:v>44993</c:v>
                </c:pt>
                <c:pt idx="3">
                  <c:v>44994</c:v>
                </c:pt>
                <c:pt idx="4">
                  <c:v>44995</c:v>
                </c:pt>
                <c:pt idx="5">
                  <c:v>44998</c:v>
                </c:pt>
                <c:pt idx="6">
                  <c:v>44999</c:v>
                </c:pt>
                <c:pt idx="7">
                  <c:v>45000</c:v>
                </c:pt>
                <c:pt idx="8">
                  <c:v>45001</c:v>
                </c:pt>
                <c:pt idx="9">
                  <c:v>45002</c:v>
                </c:pt>
                <c:pt idx="10">
                  <c:v>45005</c:v>
                </c:pt>
                <c:pt idx="11">
                  <c:v>45006</c:v>
                </c:pt>
                <c:pt idx="12">
                  <c:v>45007</c:v>
                </c:pt>
                <c:pt idx="13">
                  <c:v>45008</c:v>
                </c:pt>
                <c:pt idx="14">
                  <c:v>45009</c:v>
                </c:pt>
                <c:pt idx="15">
                  <c:v>45012</c:v>
                </c:pt>
                <c:pt idx="16">
                  <c:v>45013</c:v>
                </c:pt>
                <c:pt idx="17">
                  <c:v>45014</c:v>
                </c:pt>
                <c:pt idx="18">
                  <c:v>45015</c:v>
                </c:pt>
                <c:pt idx="19">
                  <c:v>45016</c:v>
                </c:pt>
                <c:pt idx="20">
                  <c:v>45019</c:v>
                </c:pt>
                <c:pt idx="21">
                  <c:v>45020</c:v>
                </c:pt>
                <c:pt idx="22">
                  <c:v>45021</c:v>
                </c:pt>
                <c:pt idx="23">
                  <c:v>45022</c:v>
                </c:pt>
                <c:pt idx="24">
                  <c:v>45026</c:v>
                </c:pt>
                <c:pt idx="25">
                  <c:v>45027</c:v>
                </c:pt>
                <c:pt idx="26">
                  <c:v>45028</c:v>
                </c:pt>
                <c:pt idx="27">
                  <c:v>45029</c:v>
                </c:pt>
                <c:pt idx="28">
                  <c:v>45030</c:v>
                </c:pt>
                <c:pt idx="29">
                  <c:v>45033</c:v>
                </c:pt>
                <c:pt idx="30">
                  <c:v>45034</c:v>
                </c:pt>
                <c:pt idx="31">
                  <c:v>45035</c:v>
                </c:pt>
                <c:pt idx="32">
                  <c:v>45036</c:v>
                </c:pt>
                <c:pt idx="33">
                  <c:v>45037</c:v>
                </c:pt>
                <c:pt idx="34">
                  <c:v>45040</c:v>
                </c:pt>
                <c:pt idx="35">
                  <c:v>45041</c:v>
                </c:pt>
                <c:pt idx="36">
                  <c:v>45042</c:v>
                </c:pt>
                <c:pt idx="37">
                  <c:v>45043</c:v>
                </c:pt>
                <c:pt idx="38">
                  <c:v>45044</c:v>
                </c:pt>
                <c:pt idx="39">
                  <c:v>45047</c:v>
                </c:pt>
                <c:pt idx="40">
                  <c:v>45048</c:v>
                </c:pt>
                <c:pt idx="41">
                  <c:v>45049</c:v>
                </c:pt>
                <c:pt idx="42">
                  <c:v>45050</c:v>
                </c:pt>
                <c:pt idx="43">
                  <c:v>45051</c:v>
                </c:pt>
                <c:pt idx="44">
                  <c:v>45054</c:v>
                </c:pt>
                <c:pt idx="45">
                  <c:v>45055</c:v>
                </c:pt>
                <c:pt idx="46">
                  <c:v>45056</c:v>
                </c:pt>
                <c:pt idx="47">
                  <c:v>45057</c:v>
                </c:pt>
                <c:pt idx="48">
                  <c:v>45058</c:v>
                </c:pt>
                <c:pt idx="49">
                  <c:v>45061</c:v>
                </c:pt>
                <c:pt idx="50">
                  <c:v>45062</c:v>
                </c:pt>
                <c:pt idx="51">
                  <c:v>45063</c:v>
                </c:pt>
                <c:pt idx="52">
                  <c:v>45064</c:v>
                </c:pt>
                <c:pt idx="53">
                  <c:v>45065</c:v>
                </c:pt>
                <c:pt idx="54">
                  <c:v>45068</c:v>
                </c:pt>
                <c:pt idx="55">
                  <c:v>45069</c:v>
                </c:pt>
                <c:pt idx="56">
                  <c:v>45070</c:v>
                </c:pt>
                <c:pt idx="57">
                  <c:v>45071</c:v>
                </c:pt>
                <c:pt idx="58">
                  <c:v>45072</c:v>
                </c:pt>
                <c:pt idx="59">
                  <c:v>45076</c:v>
                </c:pt>
                <c:pt idx="60">
                  <c:v>45077</c:v>
                </c:pt>
                <c:pt idx="61">
                  <c:v>45078</c:v>
                </c:pt>
                <c:pt idx="62">
                  <c:v>45079</c:v>
                </c:pt>
                <c:pt idx="63">
                  <c:v>45082</c:v>
                </c:pt>
                <c:pt idx="64">
                  <c:v>45083</c:v>
                </c:pt>
                <c:pt idx="65">
                  <c:v>45084</c:v>
                </c:pt>
                <c:pt idx="66">
                  <c:v>45085</c:v>
                </c:pt>
                <c:pt idx="67">
                  <c:v>45086</c:v>
                </c:pt>
                <c:pt idx="68">
                  <c:v>45089</c:v>
                </c:pt>
                <c:pt idx="69">
                  <c:v>45090</c:v>
                </c:pt>
                <c:pt idx="70">
                  <c:v>45091</c:v>
                </c:pt>
                <c:pt idx="71">
                  <c:v>45092</c:v>
                </c:pt>
                <c:pt idx="72">
                  <c:v>45093</c:v>
                </c:pt>
                <c:pt idx="73">
                  <c:v>45097</c:v>
                </c:pt>
                <c:pt idx="74">
                  <c:v>45098</c:v>
                </c:pt>
                <c:pt idx="75">
                  <c:v>45099</c:v>
                </c:pt>
                <c:pt idx="76">
                  <c:v>45100</c:v>
                </c:pt>
                <c:pt idx="77">
                  <c:v>45103</c:v>
                </c:pt>
                <c:pt idx="78">
                  <c:v>45104</c:v>
                </c:pt>
                <c:pt idx="79">
                  <c:v>45105</c:v>
                </c:pt>
                <c:pt idx="80">
                  <c:v>45106</c:v>
                </c:pt>
                <c:pt idx="81">
                  <c:v>45107</c:v>
                </c:pt>
                <c:pt idx="82">
                  <c:v>45110</c:v>
                </c:pt>
                <c:pt idx="83">
                  <c:v>45112</c:v>
                </c:pt>
                <c:pt idx="84">
                  <c:v>45113</c:v>
                </c:pt>
                <c:pt idx="85">
                  <c:v>45114</c:v>
                </c:pt>
                <c:pt idx="86">
                  <c:v>45117</c:v>
                </c:pt>
                <c:pt idx="87">
                  <c:v>45118</c:v>
                </c:pt>
                <c:pt idx="88">
                  <c:v>45119</c:v>
                </c:pt>
                <c:pt idx="89">
                  <c:v>45120</c:v>
                </c:pt>
                <c:pt idx="90">
                  <c:v>45121</c:v>
                </c:pt>
                <c:pt idx="91">
                  <c:v>45124</c:v>
                </c:pt>
                <c:pt idx="92">
                  <c:v>45125</c:v>
                </c:pt>
                <c:pt idx="93">
                  <c:v>45126</c:v>
                </c:pt>
                <c:pt idx="94">
                  <c:v>45127</c:v>
                </c:pt>
                <c:pt idx="95">
                  <c:v>45128</c:v>
                </c:pt>
                <c:pt idx="96">
                  <c:v>45131</c:v>
                </c:pt>
                <c:pt idx="97">
                  <c:v>45132</c:v>
                </c:pt>
                <c:pt idx="98">
                  <c:v>45133</c:v>
                </c:pt>
                <c:pt idx="99">
                  <c:v>45134</c:v>
                </c:pt>
                <c:pt idx="100">
                  <c:v>45135</c:v>
                </c:pt>
                <c:pt idx="101">
                  <c:v>45138</c:v>
                </c:pt>
                <c:pt idx="102">
                  <c:v>45139</c:v>
                </c:pt>
                <c:pt idx="103">
                  <c:v>45140</c:v>
                </c:pt>
                <c:pt idx="104">
                  <c:v>45141</c:v>
                </c:pt>
                <c:pt idx="105">
                  <c:v>45142</c:v>
                </c:pt>
                <c:pt idx="106">
                  <c:v>45145</c:v>
                </c:pt>
                <c:pt idx="107">
                  <c:v>45146</c:v>
                </c:pt>
                <c:pt idx="108">
                  <c:v>45147</c:v>
                </c:pt>
                <c:pt idx="109">
                  <c:v>45148</c:v>
                </c:pt>
                <c:pt idx="110">
                  <c:v>45149</c:v>
                </c:pt>
                <c:pt idx="111">
                  <c:v>45152</c:v>
                </c:pt>
                <c:pt idx="112">
                  <c:v>45153</c:v>
                </c:pt>
                <c:pt idx="113">
                  <c:v>45154</c:v>
                </c:pt>
                <c:pt idx="114">
                  <c:v>45155</c:v>
                </c:pt>
                <c:pt idx="115">
                  <c:v>45156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45166</c:v>
                </c:pt>
                <c:pt idx="122">
                  <c:v>45167</c:v>
                </c:pt>
                <c:pt idx="123">
                  <c:v>45168</c:v>
                </c:pt>
                <c:pt idx="124">
                  <c:v>45169</c:v>
                </c:pt>
                <c:pt idx="125">
                  <c:v>45170</c:v>
                </c:pt>
                <c:pt idx="126">
                  <c:v>45174</c:v>
                </c:pt>
                <c:pt idx="127">
                  <c:v>45175</c:v>
                </c:pt>
                <c:pt idx="128">
                  <c:v>45176</c:v>
                </c:pt>
                <c:pt idx="129">
                  <c:v>45177</c:v>
                </c:pt>
                <c:pt idx="130">
                  <c:v>45180</c:v>
                </c:pt>
                <c:pt idx="131">
                  <c:v>45181</c:v>
                </c:pt>
                <c:pt idx="132">
                  <c:v>45182</c:v>
                </c:pt>
                <c:pt idx="133">
                  <c:v>45183</c:v>
                </c:pt>
                <c:pt idx="134">
                  <c:v>45184</c:v>
                </c:pt>
                <c:pt idx="135">
                  <c:v>45187</c:v>
                </c:pt>
                <c:pt idx="136">
                  <c:v>45188</c:v>
                </c:pt>
                <c:pt idx="137">
                  <c:v>45189</c:v>
                </c:pt>
                <c:pt idx="138">
                  <c:v>45190</c:v>
                </c:pt>
                <c:pt idx="139">
                  <c:v>45191</c:v>
                </c:pt>
                <c:pt idx="140">
                  <c:v>45194</c:v>
                </c:pt>
                <c:pt idx="141">
                  <c:v>45195</c:v>
                </c:pt>
                <c:pt idx="142">
                  <c:v>45196</c:v>
                </c:pt>
                <c:pt idx="143">
                  <c:v>45197</c:v>
                </c:pt>
                <c:pt idx="144">
                  <c:v>45198</c:v>
                </c:pt>
                <c:pt idx="145">
                  <c:v>45201</c:v>
                </c:pt>
                <c:pt idx="146">
                  <c:v>45202</c:v>
                </c:pt>
                <c:pt idx="147">
                  <c:v>45203</c:v>
                </c:pt>
                <c:pt idx="148">
                  <c:v>45204</c:v>
                </c:pt>
                <c:pt idx="149">
                  <c:v>45205</c:v>
                </c:pt>
                <c:pt idx="150">
                  <c:v>45208</c:v>
                </c:pt>
                <c:pt idx="151">
                  <c:v>45209</c:v>
                </c:pt>
                <c:pt idx="152">
                  <c:v>45210</c:v>
                </c:pt>
                <c:pt idx="153">
                  <c:v>45211</c:v>
                </c:pt>
                <c:pt idx="154">
                  <c:v>45212</c:v>
                </c:pt>
                <c:pt idx="155">
                  <c:v>45215</c:v>
                </c:pt>
                <c:pt idx="156">
                  <c:v>45216</c:v>
                </c:pt>
                <c:pt idx="157">
                  <c:v>45217</c:v>
                </c:pt>
                <c:pt idx="158">
                  <c:v>45218</c:v>
                </c:pt>
                <c:pt idx="159">
                  <c:v>45219</c:v>
                </c:pt>
                <c:pt idx="160">
                  <c:v>45222</c:v>
                </c:pt>
                <c:pt idx="161">
                  <c:v>45223</c:v>
                </c:pt>
                <c:pt idx="162">
                  <c:v>45224</c:v>
                </c:pt>
                <c:pt idx="163">
                  <c:v>45225</c:v>
                </c:pt>
                <c:pt idx="164">
                  <c:v>45226</c:v>
                </c:pt>
                <c:pt idx="165">
                  <c:v>45229</c:v>
                </c:pt>
                <c:pt idx="166">
                  <c:v>45230</c:v>
                </c:pt>
                <c:pt idx="167">
                  <c:v>45231</c:v>
                </c:pt>
                <c:pt idx="168">
                  <c:v>45232</c:v>
                </c:pt>
                <c:pt idx="169">
                  <c:v>45233</c:v>
                </c:pt>
                <c:pt idx="170">
                  <c:v>45236</c:v>
                </c:pt>
                <c:pt idx="171">
                  <c:v>45237</c:v>
                </c:pt>
                <c:pt idx="172">
                  <c:v>45238</c:v>
                </c:pt>
                <c:pt idx="173">
                  <c:v>45239</c:v>
                </c:pt>
                <c:pt idx="174">
                  <c:v>45240</c:v>
                </c:pt>
                <c:pt idx="175">
                  <c:v>45243</c:v>
                </c:pt>
                <c:pt idx="176">
                  <c:v>45244</c:v>
                </c:pt>
                <c:pt idx="177">
                  <c:v>45245</c:v>
                </c:pt>
                <c:pt idx="178">
                  <c:v>45246</c:v>
                </c:pt>
                <c:pt idx="179">
                  <c:v>45247</c:v>
                </c:pt>
                <c:pt idx="180">
                  <c:v>45250</c:v>
                </c:pt>
                <c:pt idx="181">
                  <c:v>45251</c:v>
                </c:pt>
                <c:pt idx="182">
                  <c:v>45252</c:v>
                </c:pt>
                <c:pt idx="183">
                  <c:v>45254</c:v>
                </c:pt>
                <c:pt idx="184">
                  <c:v>45257</c:v>
                </c:pt>
                <c:pt idx="185">
                  <c:v>45258</c:v>
                </c:pt>
                <c:pt idx="186">
                  <c:v>45259</c:v>
                </c:pt>
                <c:pt idx="187">
                  <c:v>45260</c:v>
                </c:pt>
                <c:pt idx="188">
                  <c:v>45261</c:v>
                </c:pt>
                <c:pt idx="189">
                  <c:v>45264</c:v>
                </c:pt>
                <c:pt idx="190">
                  <c:v>45265</c:v>
                </c:pt>
                <c:pt idx="191">
                  <c:v>45266</c:v>
                </c:pt>
                <c:pt idx="192">
                  <c:v>45267</c:v>
                </c:pt>
                <c:pt idx="193">
                  <c:v>45268</c:v>
                </c:pt>
                <c:pt idx="194">
                  <c:v>45271</c:v>
                </c:pt>
                <c:pt idx="195">
                  <c:v>45272</c:v>
                </c:pt>
                <c:pt idx="196">
                  <c:v>45273</c:v>
                </c:pt>
                <c:pt idx="197">
                  <c:v>45274</c:v>
                </c:pt>
                <c:pt idx="198">
                  <c:v>45275</c:v>
                </c:pt>
                <c:pt idx="199">
                  <c:v>45278</c:v>
                </c:pt>
                <c:pt idx="200">
                  <c:v>45279</c:v>
                </c:pt>
                <c:pt idx="201">
                  <c:v>45280</c:v>
                </c:pt>
                <c:pt idx="202">
                  <c:v>45281</c:v>
                </c:pt>
                <c:pt idx="203">
                  <c:v>45282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45307</c:v>
                </c:pt>
                <c:pt idx="218">
                  <c:v>45308</c:v>
                </c:pt>
                <c:pt idx="219">
                  <c:v>45309</c:v>
                </c:pt>
                <c:pt idx="220">
                  <c:v>45310</c:v>
                </c:pt>
                <c:pt idx="221">
                  <c:v>45313</c:v>
                </c:pt>
                <c:pt idx="222">
                  <c:v>45314</c:v>
                </c:pt>
                <c:pt idx="223">
                  <c:v>45315</c:v>
                </c:pt>
                <c:pt idx="224">
                  <c:v>45316</c:v>
                </c:pt>
                <c:pt idx="225">
                  <c:v>45317</c:v>
                </c:pt>
                <c:pt idx="226">
                  <c:v>45320</c:v>
                </c:pt>
                <c:pt idx="227">
                  <c:v>45321</c:v>
                </c:pt>
                <c:pt idx="228">
                  <c:v>45322</c:v>
                </c:pt>
                <c:pt idx="229">
                  <c:v>45323</c:v>
                </c:pt>
                <c:pt idx="230">
                  <c:v>45324</c:v>
                </c:pt>
                <c:pt idx="231">
                  <c:v>45327</c:v>
                </c:pt>
                <c:pt idx="232">
                  <c:v>45328</c:v>
                </c:pt>
                <c:pt idx="233">
                  <c:v>45329</c:v>
                </c:pt>
                <c:pt idx="234">
                  <c:v>45330</c:v>
                </c:pt>
                <c:pt idx="235">
                  <c:v>45331</c:v>
                </c:pt>
                <c:pt idx="236">
                  <c:v>45334</c:v>
                </c:pt>
                <c:pt idx="237">
                  <c:v>45335</c:v>
                </c:pt>
                <c:pt idx="238">
                  <c:v>45336</c:v>
                </c:pt>
                <c:pt idx="239">
                  <c:v>45337</c:v>
                </c:pt>
                <c:pt idx="240">
                  <c:v>45338</c:v>
                </c:pt>
                <c:pt idx="241">
                  <c:v>45342</c:v>
                </c:pt>
                <c:pt idx="242">
                  <c:v>45343</c:v>
                </c:pt>
                <c:pt idx="243">
                  <c:v>45344</c:v>
                </c:pt>
                <c:pt idx="244">
                  <c:v>45345</c:v>
                </c:pt>
                <c:pt idx="245">
                  <c:v>45348</c:v>
                </c:pt>
                <c:pt idx="246">
                  <c:v>45349</c:v>
                </c:pt>
                <c:pt idx="247">
                  <c:v>45350</c:v>
                </c:pt>
                <c:pt idx="248">
                  <c:v>45351</c:v>
                </c:pt>
                <c:pt idx="249">
                  <c:v>45352</c:v>
                </c:pt>
                <c:pt idx="250">
                  <c:v>45355</c:v>
                </c:pt>
                <c:pt idx="251">
                  <c:v>45356</c:v>
                </c:pt>
                <c:pt idx="252">
                  <c:v>45357</c:v>
                </c:pt>
                <c:pt idx="253">
                  <c:v>45358</c:v>
                </c:pt>
                <c:pt idx="254">
                  <c:v>45359</c:v>
                </c:pt>
                <c:pt idx="255">
                  <c:v>45362</c:v>
                </c:pt>
                <c:pt idx="256">
                  <c:v>45363</c:v>
                </c:pt>
                <c:pt idx="257">
                  <c:v>45364</c:v>
                </c:pt>
                <c:pt idx="258">
                  <c:v>45365</c:v>
                </c:pt>
                <c:pt idx="259">
                  <c:v>45366</c:v>
                </c:pt>
                <c:pt idx="260">
                  <c:v>45369</c:v>
                </c:pt>
                <c:pt idx="261">
                  <c:v>45370</c:v>
                </c:pt>
                <c:pt idx="262">
                  <c:v>45371</c:v>
                </c:pt>
                <c:pt idx="263">
                  <c:v>45372</c:v>
                </c:pt>
                <c:pt idx="264">
                  <c:v>45373</c:v>
                </c:pt>
                <c:pt idx="265">
                  <c:v>45376</c:v>
                </c:pt>
                <c:pt idx="266">
                  <c:v>45377</c:v>
                </c:pt>
                <c:pt idx="267">
                  <c:v>45378</c:v>
                </c:pt>
                <c:pt idx="268">
                  <c:v>45379</c:v>
                </c:pt>
                <c:pt idx="269">
                  <c:v>45383</c:v>
                </c:pt>
                <c:pt idx="270">
                  <c:v>45384</c:v>
                </c:pt>
                <c:pt idx="271">
                  <c:v>45385</c:v>
                </c:pt>
                <c:pt idx="272">
                  <c:v>45386</c:v>
                </c:pt>
                <c:pt idx="273">
                  <c:v>45387</c:v>
                </c:pt>
                <c:pt idx="274">
                  <c:v>45390</c:v>
                </c:pt>
                <c:pt idx="275">
                  <c:v>45391</c:v>
                </c:pt>
                <c:pt idx="276">
                  <c:v>45392</c:v>
                </c:pt>
                <c:pt idx="277">
                  <c:v>45393</c:v>
                </c:pt>
                <c:pt idx="278">
                  <c:v>45394</c:v>
                </c:pt>
                <c:pt idx="279">
                  <c:v>45397</c:v>
                </c:pt>
                <c:pt idx="280">
                  <c:v>45398</c:v>
                </c:pt>
                <c:pt idx="281">
                  <c:v>45399</c:v>
                </c:pt>
                <c:pt idx="282">
                  <c:v>45400</c:v>
                </c:pt>
                <c:pt idx="283">
                  <c:v>45401</c:v>
                </c:pt>
                <c:pt idx="284">
                  <c:v>45404</c:v>
                </c:pt>
                <c:pt idx="285">
                  <c:v>45405</c:v>
                </c:pt>
                <c:pt idx="286">
                  <c:v>45406</c:v>
                </c:pt>
                <c:pt idx="287">
                  <c:v>45407</c:v>
                </c:pt>
                <c:pt idx="288">
                  <c:v>45408</c:v>
                </c:pt>
                <c:pt idx="289">
                  <c:v>45411</c:v>
                </c:pt>
                <c:pt idx="290">
                  <c:v>45412</c:v>
                </c:pt>
                <c:pt idx="291">
                  <c:v>45413</c:v>
                </c:pt>
                <c:pt idx="292">
                  <c:v>45414</c:v>
                </c:pt>
                <c:pt idx="293">
                  <c:v>45415</c:v>
                </c:pt>
                <c:pt idx="294">
                  <c:v>45418</c:v>
                </c:pt>
                <c:pt idx="295">
                  <c:v>45419</c:v>
                </c:pt>
                <c:pt idx="296">
                  <c:v>45420</c:v>
                </c:pt>
                <c:pt idx="297">
                  <c:v>45421</c:v>
                </c:pt>
                <c:pt idx="298">
                  <c:v>45422</c:v>
                </c:pt>
                <c:pt idx="299">
                  <c:v>45425</c:v>
                </c:pt>
                <c:pt idx="300">
                  <c:v>45426</c:v>
                </c:pt>
                <c:pt idx="301">
                  <c:v>45427</c:v>
                </c:pt>
                <c:pt idx="302">
                  <c:v>45428</c:v>
                </c:pt>
                <c:pt idx="303">
                  <c:v>45429</c:v>
                </c:pt>
                <c:pt idx="304">
                  <c:v>45432</c:v>
                </c:pt>
                <c:pt idx="305">
                  <c:v>45433</c:v>
                </c:pt>
                <c:pt idx="306">
                  <c:v>45434</c:v>
                </c:pt>
                <c:pt idx="307">
                  <c:v>45435</c:v>
                </c:pt>
                <c:pt idx="308">
                  <c:v>45436</c:v>
                </c:pt>
                <c:pt idx="309">
                  <c:v>45440</c:v>
                </c:pt>
                <c:pt idx="310">
                  <c:v>45441</c:v>
                </c:pt>
                <c:pt idx="311">
                  <c:v>45442</c:v>
                </c:pt>
                <c:pt idx="312">
                  <c:v>45443</c:v>
                </c:pt>
                <c:pt idx="313">
                  <c:v>45446</c:v>
                </c:pt>
                <c:pt idx="314">
                  <c:v>45447</c:v>
                </c:pt>
                <c:pt idx="315">
                  <c:v>45448</c:v>
                </c:pt>
                <c:pt idx="316">
                  <c:v>45449</c:v>
                </c:pt>
                <c:pt idx="317">
                  <c:v>45450</c:v>
                </c:pt>
                <c:pt idx="318">
                  <c:v>45453</c:v>
                </c:pt>
                <c:pt idx="319">
                  <c:v>45454</c:v>
                </c:pt>
                <c:pt idx="320">
                  <c:v>45455</c:v>
                </c:pt>
                <c:pt idx="321">
                  <c:v>45456</c:v>
                </c:pt>
                <c:pt idx="322">
                  <c:v>45457</c:v>
                </c:pt>
                <c:pt idx="323">
                  <c:v>45460</c:v>
                </c:pt>
                <c:pt idx="324">
                  <c:v>45461</c:v>
                </c:pt>
                <c:pt idx="325">
                  <c:v>45463</c:v>
                </c:pt>
                <c:pt idx="326">
                  <c:v>45464</c:v>
                </c:pt>
                <c:pt idx="327">
                  <c:v>45467</c:v>
                </c:pt>
                <c:pt idx="328">
                  <c:v>45468</c:v>
                </c:pt>
                <c:pt idx="329">
                  <c:v>45469</c:v>
                </c:pt>
                <c:pt idx="330">
                  <c:v>45470</c:v>
                </c:pt>
                <c:pt idx="331">
                  <c:v>45471</c:v>
                </c:pt>
                <c:pt idx="332">
                  <c:v>45474</c:v>
                </c:pt>
                <c:pt idx="333">
                  <c:v>45475</c:v>
                </c:pt>
                <c:pt idx="334">
                  <c:v>45476</c:v>
                </c:pt>
                <c:pt idx="335">
                  <c:v>45478</c:v>
                </c:pt>
                <c:pt idx="336">
                  <c:v>45481</c:v>
                </c:pt>
                <c:pt idx="337">
                  <c:v>45482</c:v>
                </c:pt>
                <c:pt idx="338">
                  <c:v>45483</c:v>
                </c:pt>
                <c:pt idx="339">
                  <c:v>45484</c:v>
                </c:pt>
                <c:pt idx="340">
                  <c:v>45485</c:v>
                </c:pt>
                <c:pt idx="341">
                  <c:v>45488</c:v>
                </c:pt>
                <c:pt idx="342">
                  <c:v>45489</c:v>
                </c:pt>
                <c:pt idx="343">
                  <c:v>45490</c:v>
                </c:pt>
                <c:pt idx="344">
                  <c:v>45491</c:v>
                </c:pt>
                <c:pt idx="345">
                  <c:v>45492</c:v>
                </c:pt>
                <c:pt idx="346">
                  <c:v>45495</c:v>
                </c:pt>
                <c:pt idx="347">
                  <c:v>45496</c:v>
                </c:pt>
                <c:pt idx="348">
                  <c:v>45497</c:v>
                </c:pt>
                <c:pt idx="349">
                  <c:v>45498</c:v>
                </c:pt>
                <c:pt idx="350">
                  <c:v>45499</c:v>
                </c:pt>
                <c:pt idx="351">
                  <c:v>45502</c:v>
                </c:pt>
                <c:pt idx="352">
                  <c:v>45503</c:v>
                </c:pt>
                <c:pt idx="353">
                  <c:v>45504</c:v>
                </c:pt>
                <c:pt idx="354">
                  <c:v>45505</c:v>
                </c:pt>
                <c:pt idx="355">
                  <c:v>45506</c:v>
                </c:pt>
                <c:pt idx="356">
                  <c:v>45509</c:v>
                </c:pt>
                <c:pt idx="357">
                  <c:v>45510</c:v>
                </c:pt>
                <c:pt idx="358">
                  <c:v>45511</c:v>
                </c:pt>
                <c:pt idx="359">
                  <c:v>45512</c:v>
                </c:pt>
                <c:pt idx="360">
                  <c:v>45513</c:v>
                </c:pt>
                <c:pt idx="361">
                  <c:v>45516</c:v>
                </c:pt>
                <c:pt idx="362">
                  <c:v>45517</c:v>
                </c:pt>
                <c:pt idx="363">
                  <c:v>45518</c:v>
                </c:pt>
                <c:pt idx="364">
                  <c:v>45519</c:v>
                </c:pt>
                <c:pt idx="365">
                  <c:v>45520</c:v>
                </c:pt>
                <c:pt idx="366">
                  <c:v>45523</c:v>
                </c:pt>
                <c:pt idx="367">
                  <c:v>45524</c:v>
                </c:pt>
                <c:pt idx="368">
                  <c:v>45525</c:v>
                </c:pt>
                <c:pt idx="369">
                  <c:v>45526</c:v>
                </c:pt>
                <c:pt idx="370">
                  <c:v>45527</c:v>
                </c:pt>
                <c:pt idx="371">
                  <c:v>45530</c:v>
                </c:pt>
                <c:pt idx="372">
                  <c:v>45531</c:v>
                </c:pt>
                <c:pt idx="373">
                  <c:v>45532</c:v>
                </c:pt>
                <c:pt idx="374">
                  <c:v>45533</c:v>
                </c:pt>
                <c:pt idx="375">
                  <c:v>45534</c:v>
                </c:pt>
                <c:pt idx="376">
                  <c:v>45538</c:v>
                </c:pt>
                <c:pt idx="377">
                  <c:v>45539</c:v>
                </c:pt>
                <c:pt idx="378">
                  <c:v>45540</c:v>
                </c:pt>
                <c:pt idx="379">
                  <c:v>45541</c:v>
                </c:pt>
                <c:pt idx="380">
                  <c:v>45544</c:v>
                </c:pt>
                <c:pt idx="381">
                  <c:v>45545</c:v>
                </c:pt>
                <c:pt idx="382">
                  <c:v>45546</c:v>
                </c:pt>
                <c:pt idx="383">
                  <c:v>45547</c:v>
                </c:pt>
                <c:pt idx="384">
                  <c:v>45548</c:v>
                </c:pt>
                <c:pt idx="385">
                  <c:v>45551</c:v>
                </c:pt>
                <c:pt idx="386">
                  <c:v>45552</c:v>
                </c:pt>
                <c:pt idx="387">
                  <c:v>45553</c:v>
                </c:pt>
                <c:pt idx="388">
                  <c:v>45554</c:v>
                </c:pt>
                <c:pt idx="389">
                  <c:v>45555</c:v>
                </c:pt>
                <c:pt idx="390">
                  <c:v>45558</c:v>
                </c:pt>
                <c:pt idx="391">
                  <c:v>45559</c:v>
                </c:pt>
                <c:pt idx="392">
                  <c:v>45560</c:v>
                </c:pt>
                <c:pt idx="393">
                  <c:v>45561</c:v>
                </c:pt>
                <c:pt idx="394">
                  <c:v>45562</c:v>
                </c:pt>
                <c:pt idx="395">
                  <c:v>45565</c:v>
                </c:pt>
                <c:pt idx="396">
                  <c:v>45566</c:v>
                </c:pt>
                <c:pt idx="397">
                  <c:v>45567</c:v>
                </c:pt>
                <c:pt idx="398">
                  <c:v>45568</c:v>
                </c:pt>
                <c:pt idx="399">
                  <c:v>45569</c:v>
                </c:pt>
                <c:pt idx="400">
                  <c:v>45572</c:v>
                </c:pt>
                <c:pt idx="401">
                  <c:v>45573</c:v>
                </c:pt>
                <c:pt idx="402">
                  <c:v>45574</c:v>
                </c:pt>
                <c:pt idx="403">
                  <c:v>45575</c:v>
                </c:pt>
                <c:pt idx="404">
                  <c:v>45576</c:v>
                </c:pt>
                <c:pt idx="405">
                  <c:v>45579</c:v>
                </c:pt>
                <c:pt idx="406">
                  <c:v>45580</c:v>
                </c:pt>
                <c:pt idx="407">
                  <c:v>45581</c:v>
                </c:pt>
                <c:pt idx="408">
                  <c:v>45582</c:v>
                </c:pt>
                <c:pt idx="409">
                  <c:v>45583</c:v>
                </c:pt>
                <c:pt idx="410">
                  <c:v>45586</c:v>
                </c:pt>
                <c:pt idx="411">
                  <c:v>45587</c:v>
                </c:pt>
                <c:pt idx="412">
                  <c:v>45588</c:v>
                </c:pt>
                <c:pt idx="413">
                  <c:v>45589</c:v>
                </c:pt>
                <c:pt idx="414">
                  <c:v>45590</c:v>
                </c:pt>
                <c:pt idx="415">
                  <c:v>45593</c:v>
                </c:pt>
                <c:pt idx="416">
                  <c:v>45594</c:v>
                </c:pt>
                <c:pt idx="417">
                  <c:v>45595</c:v>
                </c:pt>
                <c:pt idx="418">
                  <c:v>45596</c:v>
                </c:pt>
                <c:pt idx="419">
                  <c:v>45597</c:v>
                </c:pt>
                <c:pt idx="420">
                  <c:v>45600</c:v>
                </c:pt>
                <c:pt idx="421">
                  <c:v>45601</c:v>
                </c:pt>
                <c:pt idx="422">
                  <c:v>45602</c:v>
                </c:pt>
                <c:pt idx="423">
                  <c:v>45603</c:v>
                </c:pt>
                <c:pt idx="424">
                  <c:v>45604</c:v>
                </c:pt>
                <c:pt idx="425">
                  <c:v>45607</c:v>
                </c:pt>
                <c:pt idx="426">
                  <c:v>45608</c:v>
                </c:pt>
                <c:pt idx="427">
                  <c:v>45609</c:v>
                </c:pt>
                <c:pt idx="428">
                  <c:v>45610</c:v>
                </c:pt>
                <c:pt idx="429">
                  <c:v>45611</c:v>
                </c:pt>
                <c:pt idx="430">
                  <c:v>45614</c:v>
                </c:pt>
                <c:pt idx="431">
                  <c:v>45615</c:v>
                </c:pt>
                <c:pt idx="432">
                  <c:v>45616</c:v>
                </c:pt>
                <c:pt idx="433">
                  <c:v>45617</c:v>
                </c:pt>
                <c:pt idx="434">
                  <c:v>45618</c:v>
                </c:pt>
                <c:pt idx="435">
                  <c:v>45621</c:v>
                </c:pt>
                <c:pt idx="436">
                  <c:v>45622</c:v>
                </c:pt>
                <c:pt idx="437">
                  <c:v>45623</c:v>
                </c:pt>
                <c:pt idx="438">
                  <c:v>45625</c:v>
                </c:pt>
                <c:pt idx="439">
                  <c:v>45628</c:v>
                </c:pt>
                <c:pt idx="440">
                  <c:v>45629</c:v>
                </c:pt>
                <c:pt idx="441">
                  <c:v>45630</c:v>
                </c:pt>
                <c:pt idx="442">
                  <c:v>45631</c:v>
                </c:pt>
                <c:pt idx="443">
                  <c:v>45632</c:v>
                </c:pt>
                <c:pt idx="444">
                  <c:v>45635</c:v>
                </c:pt>
                <c:pt idx="445">
                  <c:v>45636</c:v>
                </c:pt>
                <c:pt idx="446">
                  <c:v>45637</c:v>
                </c:pt>
                <c:pt idx="447">
                  <c:v>45638</c:v>
                </c:pt>
                <c:pt idx="448">
                  <c:v>45639</c:v>
                </c:pt>
                <c:pt idx="449">
                  <c:v>45642</c:v>
                </c:pt>
                <c:pt idx="450">
                  <c:v>45643</c:v>
                </c:pt>
                <c:pt idx="451">
                  <c:v>45644</c:v>
                </c:pt>
                <c:pt idx="452">
                  <c:v>45645</c:v>
                </c:pt>
                <c:pt idx="453">
                  <c:v>45646</c:v>
                </c:pt>
                <c:pt idx="454">
                  <c:v>45649</c:v>
                </c:pt>
                <c:pt idx="455">
                  <c:v>45650</c:v>
                </c:pt>
                <c:pt idx="456">
                  <c:v>45652</c:v>
                </c:pt>
                <c:pt idx="457">
                  <c:v>45653</c:v>
                </c:pt>
                <c:pt idx="458">
                  <c:v>45656</c:v>
                </c:pt>
                <c:pt idx="459">
                  <c:v>45657</c:v>
                </c:pt>
                <c:pt idx="460">
                  <c:v>45659</c:v>
                </c:pt>
                <c:pt idx="461">
                  <c:v>45660</c:v>
                </c:pt>
                <c:pt idx="462">
                  <c:v>45663</c:v>
                </c:pt>
                <c:pt idx="463">
                  <c:v>45664</c:v>
                </c:pt>
                <c:pt idx="464">
                  <c:v>45665</c:v>
                </c:pt>
                <c:pt idx="465">
                  <c:v>45667</c:v>
                </c:pt>
                <c:pt idx="466">
                  <c:v>45670</c:v>
                </c:pt>
                <c:pt idx="467">
                  <c:v>45671</c:v>
                </c:pt>
                <c:pt idx="468">
                  <c:v>45672</c:v>
                </c:pt>
                <c:pt idx="469">
                  <c:v>45673</c:v>
                </c:pt>
                <c:pt idx="470">
                  <c:v>45674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45684</c:v>
                </c:pt>
                <c:pt idx="476">
                  <c:v>45685</c:v>
                </c:pt>
                <c:pt idx="477">
                  <c:v>45686</c:v>
                </c:pt>
                <c:pt idx="478">
                  <c:v>45687</c:v>
                </c:pt>
                <c:pt idx="479">
                  <c:v>45688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45706</c:v>
                </c:pt>
                <c:pt idx="491">
                  <c:v>45707</c:v>
                </c:pt>
                <c:pt idx="492">
                  <c:v>45708</c:v>
                </c:pt>
                <c:pt idx="493">
                  <c:v>45709</c:v>
                </c:pt>
                <c:pt idx="494">
                  <c:v>45712</c:v>
                </c:pt>
                <c:pt idx="495">
                  <c:v>45713</c:v>
                </c:pt>
                <c:pt idx="496">
                  <c:v>45714</c:v>
                </c:pt>
                <c:pt idx="497">
                  <c:v>45715</c:v>
                </c:pt>
                <c:pt idx="498">
                  <c:v>45716</c:v>
                </c:pt>
                <c:pt idx="499">
                  <c:v>45719</c:v>
                </c:pt>
                <c:pt idx="500">
                  <c:v>45720</c:v>
                </c:pt>
                <c:pt idx="501">
                  <c:v>45721</c:v>
                </c:pt>
                <c:pt idx="502">
                  <c:v>45722</c:v>
                </c:pt>
                <c:pt idx="503">
                  <c:v>45723</c:v>
                </c:pt>
                <c:pt idx="504">
                  <c:v>45726</c:v>
                </c:pt>
                <c:pt idx="505">
                  <c:v>45727</c:v>
                </c:pt>
                <c:pt idx="506">
                  <c:v>45728</c:v>
                </c:pt>
                <c:pt idx="507">
                  <c:v>45729</c:v>
                </c:pt>
                <c:pt idx="508">
                  <c:v>45730</c:v>
                </c:pt>
                <c:pt idx="509">
                  <c:v>45733</c:v>
                </c:pt>
                <c:pt idx="510">
                  <c:v>45734</c:v>
                </c:pt>
                <c:pt idx="511">
                  <c:v>45735</c:v>
                </c:pt>
                <c:pt idx="512">
                  <c:v>45736</c:v>
                </c:pt>
                <c:pt idx="513">
                  <c:v>45737</c:v>
                </c:pt>
                <c:pt idx="514">
                  <c:v>45740</c:v>
                </c:pt>
                <c:pt idx="515">
                  <c:v>45741</c:v>
                </c:pt>
                <c:pt idx="516">
                  <c:v>45742</c:v>
                </c:pt>
                <c:pt idx="517">
                  <c:v>45743</c:v>
                </c:pt>
                <c:pt idx="518">
                  <c:v>45744</c:v>
                </c:pt>
                <c:pt idx="519">
                  <c:v>45747</c:v>
                </c:pt>
                <c:pt idx="520">
                  <c:v>45748</c:v>
                </c:pt>
                <c:pt idx="521">
                  <c:v>45749</c:v>
                </c:pt>
                <c:pt idx="522">
                  <c:v>45750</c:v>
                </c:pt>
                <c:pt idx="523">
                  <c:v>45751</c:v>
                </c:pt>
                <c:pt idx="524">
                  <c:v>45754</c:v>
                </c:pt>
                <c:pt idx="525">
                  <c:v>45755</c:v>
                </c:pt>
                <c:pt idx="526">
                  <c:v>45756</c:v>
                </c:pt>
                <c:pt idx="527">
                  <c:v>45757</c:v>
                </c:pt>
                <c:pt idx="528">
                  <c:v>45758</c:v>
                </c:pt>
                <c:pt idx="529">
                  <c:v>45761</c:v>
                </c:pt>
                <c:pt idx="530">
                  <c:v>45762</c:v>
                </c:pt>
                <c:pt idx="531">
                  <c:v>45763</c:v>
                </c:pt>
                <c:pt idx="532">
                  <c:v>45764</c:v>
                </c:pt>
                <c:pt idx="533">
                  <c:v>45768</c:v>
                </c:pt>
                <c:pt idx="534">
                  <c:v>45769</c:v>
                </c:pt>
                <c:pt idx="535">
                  <c:v>45770</c:v>
                </c:pt>
                <c:pt idx="536">
                  <c:v>45771</c:v>
                </c:pt>
                <c:pt idx="537">
                  <c:v>45772</c:v>
                </c:pt>
                <c:pt idx="538">
                  <c:v>45775</c:v>
                </c:pt>
                <c:pt idx="539">
                  <c:v>45776</c:v>
                </c:pt>
                <c:pt idx="540">
                  <c:v>45777</c:v>
                </c:pt>
                <c:pt idx="541">
                  <c:v>45778</c:v>
                </c:pt>
                <c:pt idx="542">
                  <c:v>45779</c:v>
                </c:pt>
                <c:pt idx="543">
                  <c:v>45782</c:v>
                </c:pt>
                <c:pt idx="544">
                  <c:v>45783</c:v>
                </c:pt>
                <c:pt idx="545">
                  <c:v>45784</c:v>
                </c:pt>
                <c:pt idx="546">
                  <c:v>45785</c:v>
                </c:pt>
                <c:pt idx="547">
                  <c:v>45786</c:v>
                </c:pt>
                <c:pt idx="548">
                  <c:v>45789</c:v>
                </c:pt>
                <c:pt idx="549">
                  <c:v>45790</c:v>
                </c:pt>
                <c:pt idx="550">
                  <c:v>45791</c:v>
                </c:pt>
                <c:pt idx="551">
                  <c:v>45792</c:v>
                </c:pt>
                <c:pt idx="552">
                  <c:v>45793</c:v>
                </c:pt>
                <c:pt idx="553">
                  <c:v>45796</c:v>
                </c:pt>
                <c:pt idx="554">
                  <c:v>45797</c:v>
                </c:pt>
                <c:pt idx="555">
                  <c:v>45798</c:v>
                </c:pt>
                <c:pt idx="556">
                  <c:v>45799</c:v>
                </c:pt>
                <c:pt idx="557">
                  <c:v>45800</c:v>
                </c:pt>
                <c:pt idx="558">
                  <c:v>45804</c:v>
                </c:pt>
                <c:pt idx="559">
                  <c:v>45805</c:v>
                </c:pt>
                <c:pt idx="560">
                  <c:v>45806</c:v>
                </c:pt>
                <c:pt idx="561">
                  <c:v>45807</c:v>
                </c:pt>
                <c:pt idx="562">
                  <c:v>45810</c:v>
                </c:pt>
                <c:pt idx="563">
                  <c:v>45811</c:v>
                </c:pt>
                <c:pt idx="564">
                  <c:v>45812</c:v>
                </c:pt>
                <c:pt idx="565">
                  <c:v>45813</c:v>
                </c:pt>
                <c:pt idx="566">
                  <c:v>45814</c:v>
                </c:pt>
                <c:pt idx="567">
                  <c:v>45817</c:v>
                </c:pt>
                <c:pt idx="568">
                  <c:v>45818</c:v>
                </c:pt>
                <c:pt idx="569">
                  <c:v>45819</c:v>
                </c:pt>
                <c:pt idx="570">
                  <c:v>45820</c:v>
                </c:pt>
                <c:pt idx="571">
                  <c:v>45821</c:v>
                </c:pt>
                <c:pt idx="572">
                  <c:v>45824</c:v>
                </c:pt>
                <c:pt idx="573">
                  <c:v>45825</c:v>
                </c:pt>
                <c:pt idx="574">
                  <c:v>45826</c:v>
                </c:pt>
                <c:pt idx="575">
                  <c:v>45828</c:v>
                </c:pt>
                <c:pt idx="576">
                  <c:v>45831</c:v>
                </c:pt>
                <c:pt idx="577">
                  <c:v>45832</c:v>
                </c:pt>
                <c:pt idx="578">
                  <c:v>45833</c:v>
                </c:pt>
                <c:pt idx="579">
                  <c:v>45834</c:v>
                </c:pt>
                <c:pt idx="580">
                  <c:v>45835</c:v>
                </c:pt>
                <c:pt idx="581">
                  <c:v>45838</c:v>
                </c:pt>
                <c:pt idx="582">
                  <c:v>45839</c:v>
                </c:pt>
                <c:pt idx="583">
                  <c:v>45840</c:v>
                </c:pt>
                <c:pt idx="584">
                  <c:v>45841</c:v>
                </c:pt>
                <c:pt idx="585">
                  <c:v>45845</c:v>
                </c:pt>
                <c:pt idx="586">
                  <c:v>45846</c:v>
                </c:pt>
                <c:pt idx="587">
                  <c:v>45847</c:v>
                </c:pt>
                <c:pt idx="588">
                  <c:v>45848</c:v>
                </c:pt>
                <c:pt idx="589">
                  <c:v>45849</c:v>
                </c:pt>
                <c:pt idx="590">
                  <c:v>45852</c:v>
                </c:pt>
                <c:pt idx="591">
                  <c:v>45853</c:v>
                </c:pt>
                <c:pt idx="592">
                  <c:v>45854</c:v>
                </c:pt>
                <c:pt idx="593">
                  <c:v>45855</c:v>
                </c:pt>
                <c:pt idx="594">
                  <c:v>45856</c:v>
                </c:pt>
                <c:pt idx="595">
                  <c:v>45859</c:v>
                </c:pt>
                <c:pt idx="596">
                  <c:v>45860</c:v>
                </c:pt>
                <c:pt idx="597">
                  <c:v>45861</c:v>
                </c:pt>
                <c:pt idx="598">
                  <c:v>45862</c:v>
                </c:pt>
                <c:pt idx="599">
                  <c:v>45863</c:v>
                </c:pt>
                <c:pt idx="600">
                  <c:v>45866</c:v>
                </c:pt>
                <c:pt idx="601">
                  <c:v>45867</c:v>
                </c:pt>
                <c:pt idx="602">
                  <c:v>45868</c:v>
                </c:pt>
                <c:pt idx="603">
                  <c:v>45869</c:v>
                </c:pt>
                <c:pt idx="604">
                  <c:v>45870</c:v>
                </c:pt>
                <c:pt idx="605">
                  <c:v>45873</c:v>
                </c:pt>
                <c:pt idx="606">
                  <c:v>45874</c:v>
                </c:pt>
                <c:pt idx="607">
                  <c:v>45875</c:v>
                </c:pt>
                <c:pt idx="608">
                  <c:v>45876</c:v>
                </c:pt>
                <c:pt idx="609">
                  <c:v>45877</c:v>
                </c:pt>
                <c:pt idx="610">
                  <c:v>45880</c:v>
                </c:pt>
                <c:pt idx="611">
                  <c:v>45881</c:v>
                </c:pt>
                <c:pt idx="612">
                  <c:v>45882</c:v>
                </c:pt>
                <c:pt idx="613">
                  <c:v>45883</c:v>
                </c:pt>
                <c:pt idx="614">
                  <c:v>45884</c:v>
                </c:pt>
                <c:pt idx="615">
                  <c:v>45887</c:v>
                </c:pt>
                <c:pt idx="616">
                  <c:v>45888</c:v>
                </c:pt>
                <c:pt idx="617">
                  <c:v>45889</c:v>
                </c:pt>
                <c:pt idx="618">
                  <c:v>45890</c:v>
                </c:pt>
                <c:pt idx="619">
                  <c:v>45891</c:v>
                </c:pt>
                <c:pt idx="620">
                  <c:v>45894</c:v>
                </c:pt>
                <c:pt idx="621">
                  <c:v>45895</c:v>
                </c:pt>
                <c:pt idx="622">
                  <c:v>45896</c:v>
                </c:pt>
                <c:pt idx="623">
                  <c:v>45897</c:v>
                </c:pt>
                <c:pt idx="624">
                  <c:v>45898</c:v>
                </c:pt>
                <c:pt idx="625">
                  <c:v>45902</c:v>
                </c:pt>
                <c:pt idx="626">
                  <c:v>45903</c:v>
                </c:pt>
                <c:pt idx="627">
                  <c:v>45904</c:v>
                </c:pt>
                <c:pt idx="628">
                  <c:v>45905</c:v>
                </c:pt>
                <c:pt idx="629">
                  <c:v>45908</c:v>
                </c:pt>
                <c:pt idx="630">
                  <c:v>45909</c:v>
                </c:pt>
                <c:pt idx="631">
                  <c:v>45910</c:v>
                </c:pt>
                <c:pt idx="632">
                  <c:v>45911</c:v>
                </c:pt>
                <c:pt idx="633">
                  <c:v>45912</c:v>
                </c:pt>
                <c:pt idx="634">
                  <c:v>45915</c:v>
                </c:pt>
                <c:pt idx="635">
                  <c:v>45916</c:v>
                </c:pt>
                <c:pt idx="636">
                  <c:v>45917</c:v>
                </c:pt>
                <c:pt idx="637">
                  <c:v>45918</c:v>
                </c:pt>
                <c:pt idx="638">
                  <c:v>45919</c:v>
                </c:pt>
                <c:pt idx="639">
                  <c:v>45922</c:v>
                </c:pt>
                <c:pt idx="640">
                  <c:v>45923</c:v>
                </c:pt>
                <c:pt idx="641">
                  <c:v>45924</c:v>
                </c:pt>
                <c:pt idx="642">
                  <c:v>45925</c:v>
                </c:pt>
                <c:pt idx="643">
                  <c:v>45926</c:v>
                </c:pt>
                <c:pt idx="644">
                  <c:v>45929</c:v>
                </c:pt>
                <c:pt idx="645">
                  <c:v>45930</c:v>
                </c:pt>
                <c:pt idx="646">
                  <c:v>45931</c:v>
                </c:pt>
                <c:pt idx="647">
                  <c:v>45932</c:v>
                </c:pt>
                <c:pt idx="648">
                  <c:v>45933</c:v>
                </c:pt>
                <c:pt idx="649">
                  <c:v>45936</c:v>
                </c:pt>
                <c:pt idx="650">
                  <c:v>45937</c:v>
                </c:pt>
                <c:pt idx="651">
                  <c:v>45938</c:v>
                </c:pt>
                <c:pt idx="652">
                  <c:v>45939</c:v>
                </c:pt>
                <c:pt idx="653">
                  <c:v>45940</c:v>
                </c:pt>
                <c:pt idx="654">
                  <c:v>45943</c:v>
                </c:pt>
                <c:pt idx="655">
                  <c:v>45944</c:v>
                </c:pt>
                <c:pt idx="656">
                  <c:v>45945</c:v>
                </c:pt>
                <c:pt idx="657">
                  <c:v>45946</c:v>
                </c:pt>
                <c:pt idx="658">
                  <c:v>45947</c:v>
                </c:pt>
                <c:pt idx="659">
                  <c:v>45950</c:v>
                </c:pt>
                <c:pt idx="660">
                  <c:v>45951</c:v>
                </c:pt>
                <c:pt idx="661">
                  <c:v>45952</c:v>
                </c:pt>
                <c:pt idx="662">
                  <c:v>45953</c:v>
                </c:pt>
                <c:pt idx="663">
                  <c:v>45954</c:v>
                </c:pt>
                <c:pt idx="664">
                  <c:v>45957</c:v>
                </c:pt>
                <c:pt idx="665">
                  <c:v>45958</c:v>
                </c:pt>
                <c:pt idx="666">
                  <c:v>45959</c:v>
                </c:pt>
                <c:pt idx="667">
                  <c:v>45960</c:v>
                </c:pt>
                <c:pt idx="668">
                  <c:v>45961</c:v>
                </c:pt>
                <c:pt idx="669">
                  <c:v>45964</c:v>
                </c:pt>
                <c:pt idx="670">
                  <c:v>45965</c:v>
                </c:pt>
                <c:pt idx="671">
                  <c:v>45966</c:v>
                </c:pt>
                <c:pt idx="672">
                  <c:v>45967</c:v>
                </c:pt>
                <c:pt idx="673">
                  <c:v>45968</c:v>
                </c:pt>
                <c:pt idx="674">
                  <c:v>45971</c:v>
                </c:pt>
                <c:pt idx="675">
                  <c:v>45972</c:v>
                </c:pt>
                <c:pt idx="676">
                  <c:v>45973</c:v>
                </c:pt>
                <c:pt idx="677">
                  <c:v>45974</c:v>
                </c:pt>
                <c:pt idx="678">
                  <c:v>45975</c:v>
                </c:pt>
                <c:pt idx="679">
                  <c:v>45978</c:v>
                </c:pt>
                <c:pt idx="680">
                  <c:v>45979</c:v>
                </c:pt>
                <c:pt idx="681">
                  <c:v>45980</c:v>
                </c:pt>
                <c:pt idx="682">
                  <c:v>45981</c:v>
                </c:pt>
                <c:pt idx="683">
                  <c:v>45982</c:v>
                </c:pt>
                <c:pt idx="684">
                  <c:v>45985</c:v>
                </c:pt>
                <c:pt idx="685">
                  <c:v>45986</c:v>
                </c:pt>
                <c:pt idx="686">
                  <c:v>45987</c:v>
                </c:pt>
                <c:pt idx="687">
                  <c:v>45989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45999</c:v>
                </c:pt>
                <c:pt idx="694">
                  <c:v>46000</c:v>
                </c:pt>
                <c:pt idx="695">
                  <c:v>46001</c:v>
                </c:pt>
                <c:pt idx="696">
                  <c:v>46002</c:v>
                </c:pt>
                <c:pt idx="697">
                  <c:v>46003</c:v>
                </c:pt>
                <c:pt idx="698">
                  <c:v>46006</c:v>
                </c:pt>
                <c:pt idx="699">
                  <c:v>46007</c:v>
                </c:pt>
                <c:pt idx="700">
                  <c:v>46008</c:v>
                </c:pt>
                <c:pt idx="701">
                  <c:v>46009</c:v>
                </c:pt>
                <c:pt idx="702">
                  <c:v>46010</c:v>
                </c:pt>
                <c:pt idx="703">
                  <c:v>46013</c:v>
                </c:pt>
                <c:pt idx="704">
                  <c:v>46014</c:v>
                </c:pt>
                <c:pt idx="705">
                  <c:v>46015</c:v>
                </c:pt>
                <c:pt idx="706">
                  <c:v>46017</c:v>
                </c:pt>
                <c:pt idx="707">
                  <c:v>46020</c:v>
                </c:pt>
                <c:pt idx="708">
                  <c:v>46021</c:v>
                </c:pt>
                <c:pt idx="709">
                  <c:v>46022</c:v>
                </c:pt>
                <c:pt idx="710">
                  <c:v>46024</c:v>
                </c:pt>
                <c:pt idx="711">
                  <c:v>46027</c:v>
                </c:pt>
                <c:pt idx="712">
                  <c:v>46028</c:v>
                </c:pt>
                <c:pt idx="713">
                  <c:v>46029</c:v>
                </c:pt>
                <c:pt idx="714">
                  <c:v>46030</c:v>
                </c:pt>
                <c:pt idx="715">
                  <c:v>46031</c:v>
                </c:pt>
                <c:pt idx="716">
                  <c:v>46034</c:v>
                </c:pt>
                <c:pt idx="717">
                  <c:v>46035</c:v>
                </c:pt>
                <c:pt idx="718">
                  <c:v>46036</c:v>
                </c:pt>
                <c:pt idx="719">
                  <c:v>46037</c:v>
                </c:pt>
                <c:pt idx="720">
                  <c:v>46038</c:v>
                </c:pt>
                <c:pt idx="721">
                  <c:v>46042</c:v>
                </c:pt>
                <c:pt idx="722">
                  <c:v>46043</c:v>
                </c:pt>
                <c:pt idx="723">
                  <c:v>46044</c:v>
                </c:pt>
                <c:pt idx="724">
                  <c:v>46045</c:v>
                </c:pt>
                <c:pt idx="725">
                  <c:v>46048</c:v>
                </c:pt>
                <c:pt idx="726">
                  <c:v>46049</c:v>
                </c:pt>
                <c:pt idx="727">
                  <c:v>46050</c:v>
                </c:pt>
                <c:pt idx="728">
                  <c:v>46051</c:v>
                </c:pt>
                <c:pt idx="729">
                  <c:v>46052</c:v>
                </c:pt>
                <c:pt idx="730">
                  <c:v>46055</c:v>
                </c:pt>
                <c:pt idx="731">
                  <c:v>46056</c:v>
                </c:pt>
                <c:pt idx="732">
                  <c:v>46057</c:v>
                </c:pt>
                <c:pt idx="733">
                  <c:v>46058</c:v>
                </c:pt>
                <c:pt idx="734">
                  <c:v>46059</c:v>
                </c:pt>
                <c:pt idx="735">
                  <c:v>46062</c:v>
                </c:pt>
                <c:pt idx="736">
                  <c:v>46063</c:v>
                </c:pt>
                <c:pt idx="737">
                  <c:v>46064</c:v>
                </c:pt>
                <c:pt idx="738">
                  <c:v>46065</c:v>
                </c:pt>
                <c:pt idx="739">
                  <c:v>46066</c:v>
                </c:pt>
                <c:pt idx="740">
                  <c:v>46070</c:v>
                </c:pt>
                <c:pt idx="741">
                  <c:v>46071</c:v>
                </c:pt>
                <c:pt idx="742">
                  <c:v>46072</c:v>
                </c:pt>
                <c:pt idx="743">
                  <c:v>46073</c:v>
                </c:pt>
                <c:pt idx="744">
                  <c:v>46076</c:v>
                </c:pt>
                <c:pt idx="745">
                  <c:v>46077</c:v>
                </c:pt>
                <c:pt idx="746">
                  <c:v>46078</c:v>
                </c:pt>
                <c:pt idx="747">
                  <c:v>46079</c:v>
                </c:pt>
                <c:pt idx="748">
                  <c:v>46080</c:v>
                </c:pt>
                <c:pt idx="749">
                  <c:v>46083</c:v>
                </c:pt>
                <c:pt idx="750">
                  <c:v>46084</c:v>
                </c:pt>
                <c:pt idx="751">
                  <c:v>46085</c:v>
                </c:pt>
              </c:numCache>
            </c:numRef>
          </c:cat>
          <c:val>
            <c:numRef>
              <c:f>'Share Price Analysis'!$O$36:$O$787</c:f>
              <c:numCache>
                <c:formatCode>0.00%</c:formatCode>
                <c:ptCount val="752"/>
                <c:pt idx="0">
                  <c:v>0</c:v>
                </c:pt>
                <c:pt idx="1">
                  <c:v>5.5754605945910196E-3</c:v>
                </c:pt>
                <c:pt idx="2">
                  <c:v>1.021163304987649E-2</c:v>
                </c:pt>
                <c:pt idx="3">
                  <c:v>8.7887615950317244E-3</c:v>
                </c:pt>
                <c:pt idx="4">
                  <c:v>2.4206419384906752E-3</c:v>
                </c:pt>
                <c:pt idx="5">
                  <c:v>-7.017951833211189E-3</c:v>
                </c:pt>
                <c:pt idx="6">
                  <c:v>-1.0524024303147028E-2</c:v>
                </c:pt>
                <c:pt idx="7">
                  <c:v>-6.0732422033802358E-3</c:v>
                </c:pt>
                <c:pt idx="8">
                  <c:v>3.1737229578217008E-3</c:v>
                </c:pt>
                <c:pt idx="9">
                  <c:v>-1.2835079027917584E-2</c:v>
                </c:pt>
                <c:pt idx="10">
                  <c:v>-1.495616615202322E-2</c:v>
                </c:pt>
                <c:pt idx="11">
                  <c:v>-9.644353299296915E-3</c:v>
                </c:pt>
                <c:pt idx="12">
                  <c:v>-6.474801794192131E-3</c:v>
                </c:pt>
                <c:pt idx="13">
                  <c:v>-5.011680330173629E-4</c:v>
                </c:pt>
                <c:pt idx="14">
                  <c:v>1.6768032956384626E-3</c:v>
                </c:pt>
                <c:pt idx="15">
                  <c:v>-8.0948090971586506E-3</c:v>
                </c:pt>
                <c:pt idx="16">
                  <c:v>5.2198805000980286E-4</c:v>
                </c:pt>
                <c:pt idx="17">
                  <c:v>-1.7341612630411563E-3</c:v>
                </c:pt>
                <c:pt idx="18">
                  <c:v>-7.6510594237368945E-3</c:v>
                </c:pt>
                <c:pt idx="19">
                  <c:v>-1.537199907316722E-2</c:v>
                </c:pt>
                <c:pt idx="20">
                  <c:v>-1.3745136782750911E-2</c:v>
                </c:pt>
                <c:pt idx="21">
                  <c:v>-2.2872670893820723E-2</c:v>
                </c:pt>
                <c:pt idx="22">
                  <c:v>-4.8507551245544844E-2</c:v>
                </c:pt>
                <c:pt idx="23">
                  <c:v>-4.1179511919864131E-2</c:v>
                </c:pt>
                <c:pt idx="24">
                  <c:v>-3.9484579973418366E-2</c:v>
                </c:pt>
                <c:pt idx="25">
                  <c:v>-4.3655227818015452E-2</c:v>
                </c:pt>
                <c:pt idx="26">
                  <c:v>-4.0063505879896155E-2</c:v>
                </c:pt>
                <c:pt idx="27">
                  <c:v>-3.7684694404948926E-2</c:v>
                </c:pt>
                <c:pt idx="28">
                  <c:v>-3.2842818454389966E-2</c:v>
                </c:pt>
                <c:pt idx="29">
                  <c:v>-2.2503294520648254E-2</c:v>
                </c:pt>
                <c:pt idx="30">
                  <c:v>-2.3850774004029462E-2</c:v>
                </c:pt>
                <c:pt idx="31">
                  <c:v>-1.439462739927333E-2</c:v>
                </c:pt>
                <c:pt idx="32">
                  <c:v>-1.9559419666840716E-2</c:v>
                </c:pt>
                <c:pt idx="33">
                  <c:v>-1.826933846061507E-2</c:v>
                </c:pt>
                <c:pt idx="34">
                  <c:v>-2.337655127563365E-2</c:v>
                </c:pt>
                <c:pt idx="35">
                  <c:v>-1.1886290145005196E-2</c:v>
                </c:pt>
                <c:pt idx="36">
                  <c:v>-1.7859792503518102E-2</c:v>
                </c:pt>
                <c:pt idx="37">
                  <c:v>5.7454621449213317E-3</c:v>
                </c:pt>
                <c:pt idx="38">
                  <c:v>6.4322991624585768E-3</c:v>
                </c:pt>
                <c:pt idx="39">
                  <c:v>2.0674722919711508E-2</c:v>
                </c:pt>
                <c:pt idx="40">
                  <c:v>4.0878928059714381E-2</c:v>
                </c:pt>
                <c:pt idx="41">
                  <c:v>4.8679430589122274E-2</c:v>
                </c:pt>
                <c:pt idx="42">
                  <c:v>0.12411256669501358</c:v>
                </c:pt>
                <c:pt idx="43">
                  <c:v>0.124895320658714</c:v>
                </c:pt>
                <c:pt idx="44">
                  <c:v>0.12426440559045715</c:v>
                </c:pt>
                <c:pt idx="45">
                  <c:v>0.13619997351595825</c:v>
                </c:pt>
                <c:pt idx="46">
                  <c:v>0.15300066372225163</c:v>
                </c:pt>
                <c:pt idx="47">
                  <c:v>0.15690676948772464</c:v>
                </c:pt>
                <c:pt idx="48">
                  <c:v>0.15809299211578365</c:v>
                </c:pt>
                <c:pt idx="49">
                  <c:v>0.15303169848486631</c:v>
                </c:pt>
                <c:pt idx="50">
                  <c:v>0.16545028355728442</c:v>
                </c:pt>
                <c:pt idx="51">
                  <c:v>0.16673300530181856</c:v>
                </c:pt>
                <c:pt idx="52">
                  <c:v>0.15929975170360522</c:v>
                </c:pt>
                <c:pt idx="53">
                  <c:v>0.16111982696162985</c:v>
                </c:pt>
                <c:pt idx="54">
                  <c:v>0.167442714815911</c:v>
                </c:pt>
                <c:pt idx="55">
                  <c:v>0.17340261614281771</c:v>
                </c:pt>
                <c:pt idx="56">
                  <c:v>0.18027733612503605</c:v>
                </c:pt>
                <c:pt idx="57">
                  <c:v>0.19058057700882358</c:v>
                </c:pt>
                <c:pt idx="58">
                  <c:v>0.19011120995947928</c:v>
                </c:pt>
                <c:pt idx="59">
                  <c:v>0.1968511815369276</c:v>
                </c:pt>
                <c:pt idx="60">
                  <c:v>0.20637982086064399</c:v>
                </c:pt>
                <c:pt idx="61">
                  <c:v>0.21060615326024346</c:v>
                </c:pt>
                <c:pt idx="62">
                  <c:v>0.19447105299117751</c:v>
                </c:pt>
                <c:pt idx="63">
                  <c:v>0.19249465592788861</c:v>
                </c:pt>
                <c:pt idx="64">
                  <c:v>0.19010420115005777</c:v>
                </c:pt>
                <c:pt idx="65">
                  <c:v>0.18693946356218971</c:v>
                </c:pt>
                <c:pt idx="66">
                  <c:v>0.19817594262237748</c:v>
                </c:pt>
                <c:pt idx="67">
                  <c:v>0.21088155590805258</c:v>
                </c:pt>
                <c:pt idx="68">
                  <c:v>0.20101368683490906</c:v>
                </c:pt>
                <c:pt idx="69">
                  <c:v>0.18411758162300429</c:v>
                </c:pt>
                <c:pt idx="70">
                  <c:v>0.1873217863746468</c:v>
                </c:pt>
                <c:pt idx="71">
                  <c:v>0.18607455001746165</c:v>
                </c:pt>
                <c:pt idx="72">
                  <c:v>0.17394257282493819</c:v>
                </c:pt>
                <c:pt idx="73">
                  <c:v>0.20378838655482223</c:v>
                </c:pt>
                <c:pt idx="74">
                  <c:v>0.21076827449272462</c:v>
                </c:pt>
                <c:pt idx="75">
                  <c:v>0.2302314395014633</c:v>
                </c:pt>
                <c:pt idx="76">
                  <c:v>0.24596284189775419</c:v>
                </c:pt>
                <c:pt idx="77">
                  <c:v>0.23507149645601011</c:v>
                </c:pt>
                <c:pt idx="78">
                  <c:v>0.24986286330731677</c:v>
                </c:pt>
                <c:pt idx="79">
                  <c:v>0.26100755930430575</c:v>
                </c:pt>
                <c:pt idx="80">
                  <c:v>0.26778258489282303</c:v>
                </c:pt>
                <c:pt idx="81">
                  <c:v>0.25935450227241419</c:v>
                </c:pt>
                <c:pt idx="82">
                  <c:v>0.24297375283319544</c:v>
                </c:pt>
                <c:pt idx="83">
                  <c:v>0.25891802347681936</c:v>
                </c:pt>
                <c:pt idx="84">
                  <c:v>0.25296606353081441</c:v>
                </c:pt>
                <c:pt idx="85">
                  <c:v>0.23869399413380976</c:v>
                </c:pt>
                <c:pt idx="86">
                  <c:v>0.25045539668232375</c:v>
                </c:pt>
                <c:pt idx="87">
                  <c:v>0.26207690299063247</c:v>
                </c:pt>
                <c:pt idx="88">
                  <c:v>0.22712387610388407</c:v>
                </c:pt>
                <c:pt idx="89">
                  <c:v>0.23462466077754107</c:v>
                </c:pt>
                <c:pt idx="90">
                  <c:v>0.24961910415756239</c:v>
                </c:pt>
                <c:pt idx="91">
                  <c:v>0.24264267435277986</c:v>
                </c:pt>
                <c:pt idx="92">
                  <c:v>0.23407306804824191</c:v>
                </c:pt>
                <c:pt idx="93">
                  <c:v>0.22653458002495208</c:v>
                </c:pt>
                <c:pt idx="94">
                  <c:v>0.22520836180277892</c:v>
                </c:pt>
                <c:pt idx="95">
                  <c:v>0.22876550004856444</c:v>
                </c:pt>
                <c:pt idx="96">
                  <c:v>0.2266157519447014</c:v>
                </c:pt>
                <c:pt idx="97">
                  <c:v>0.20306319200693124</c:v>
                </c:pt>
                <c:pt idx="98">
                  <c:v>0.21372883066277226</c:v>
                </c:pt>
                <c:pt idx="99">
                  <c:v>0.19334867086181973</c:v>
                </c:pt>
                <c:pt idx="100">
                  <c:v>0.19540671392858688</c:v>
                </c:pt>
                <c:pt idx="101">
                  <c:v>0.19080539521960604</c:v>
                </c:pt>
                <c:pt idx="102">
                  <c:v>0.21493088836958263</c:v>
                </c:pt>
                <c:pt idx="103">
                  <c:v>0.22532267712109388</c:v>
                </c:pt>
                <c:pt idx="104">
                  <c:v>0.25011824657154724</c:v>
                </c:pt>
                <c:pt idx="105">
                  <c:v>0.25190795534308541</c:v>
                </c:pt>
                <c:pt idx="106">
                  <c:v>0.25869132945481943</c:v>
                </c:pt>
                <c:pt idx="107">
                  <c:v>0.26169419878747502</c:v>
                </c:pt>
                <c:pt idx="108">
                  <c:v>0.24754583085502335</c:v>
                </c:pt>
                <c:pt idx="109">
                  <c:v>0.25183360897136731</c:v>
                </c:pt>
                <c:pt idx="110">
                  <c:v>0.25313171620920794</c:v>
                </c:pt>
                <c:pt idx="111">
                  <c:v>0.25716766733149599</c:v>
                </c:pt>
                <c:pt idx="112">
                  <c:v>0.27235928802964504</c:v>
                </c:pt>
                <c:pt idx="113">
                  <c:v>0.27162588177290581</c:v>
                </c:pt>
                <c:pt idx="114">
                  <c:v>0.22163084789751064</c:v>
                </c:pt>
                <c:pt idx="115">
                  <c:v>0.21301937913916236</c:v>
                </c:pt>
                <c:pt idx="116">
                  <c:v>0.21727871999987691</c:v>
                </c:pt>
                <c:pt idx="117">
                  <c:v>0.22985389327594019</c:v>
                </c:pt>
                <c:pt idx="118">
                  <c:v>0.24206876158429869</c:v>
                </c:pt>
                <c:pt idx="119">
                  <c:v>0.23535837324942643</c:v>
                </c:pt>
                <c:pt idx="120">
                  <c:v>0.23082959409740389</c:v>
                </c:pt>
                <c:pt idx="121">
                  <c:v>0.22349983186415456</c:v>
                </c:pt>
                <c:pt idx="122">
                  <c:v>0.22300754339359452</c:v>
                </c:pt>
                <c:pt idx="123">
                  <c:v>0.21825176654943146</c:v>
                </c:pt>
                <c:pt idx="124">
                  <c:v>0.21889550355496779</c:v>
                </c:pt>
                <c:pt idx="125">
                  <c:v>0.23116352412473451</c:v>
                </c:pt>
                <c:pt idx="126">
                  <c:v>0.21677113230294953</c:v>
                </c:pt>
                <c:pt idx="127">
                  <c:v>0.2135743077471759</c:v>
                </c:pt>
                <c:pt idx="128">
                  <c:v>0.2211082887069773</c:v>
                </c:pt>
                <c:pt idx="129">
                  <c:v>0.2238189528641874</c:v>
                </c:pt>
                <c:pt idx="130">
                  <c:v>0.22052083012787871</c:v>
                </c:pt>
                <c:pt idx="131">
                  <c:v>0.21307046687053188</c:v>
                </c:pt>
                <c:pt idx="132">
                  <c:v>0.21436473518455723</c:v>
                </c:pt>
                <c:pt idx="133">
                  <c:v>0.20435485004534515</c:v>
                </c:pt>
                <c:pt idx="134">
                  <c:v>0.19310013901435652</c:v>
                </c:pt>
                <c:pt idx="135">
                  <c:v>0.21014366792816075</c:v>
                </c:pt>
                <c:pt idx="136">
                  <c:v>0.20083466553272666</c:v>
                </c:pt>
                <c:pt idx="137">
                  <c:v>0.21167582097508242</c:v>
                </c:pt>
                <c:pt idx="138">
                  <c:v>0.19405580145181012</c:v>
                </c:pt>
                <c:pt idx="139">
                  <c:v>0.18505563992778074</c:v>
                </c:pt>
                <c:pt idx="140">
                  <c:v>0.18407608105279771</c:v>
                </c:pt>
                <c:pt idx="141">
                  <c:v>0.19731212140275067</c:v>
                </c:pt>
                <c:pt idx="142">
                  <c:v>0.21084710739667867</c:v>
                </c:pt>
                <c:pt idx="143">
                  <c:v>0.20633359520468586</c:v>
                </c:pt>
                <c:pt idx="144">
                  <c:v>0.19059084739537502</c:v>
                </c:pt>
                <c:pt idx="145">
                  <c:v>0.20005571516803267</c:v>
                </c:pt>
                <c:pt idx="146">
                  <c:v>0.19768648445466064</c:v>
                </c:pt>
                <c:pt idx="147">
                  <c:v>0.21358301074932484</c:v>
                </c:pt>
                <c:pt idx="148">
                  <c:v>0.24000971910781987</c:v>
                </c:pt>
                <c:pt idx="149">
                  <c:v>0.2607528375360002</c:v>
                </c:pt>
                <c:pt idx="150">
                  <c:v>0.24639283529451106</c:v>
                </c:pt>
                <c:pt idx="151">
                  <c:v>0.23768389809511059</c:v>
                </c:pt>
                <c:pt idx="152">
                  <c:v>0.25671376785465672</c:v>
                </c:pt>
                <c:pt idx="153">
                  <c:v>0.25120915588054271</c:v>
                </c:pt>
                <c:pt idx="154">
                  <c:v>0.24789289920615176</c:v>
                </c:pt>
                <c:pt idx="155">
                  <c:v>0.25793862681064361</c:v>
                </c:pt>
                <c:pt idx="156">
                  <c:v>0.25593676953596844</c:v>
                </c:pt>
                <c:pt idx="157">
                  <c:v>0.22299207593275594</c:v>
                </c:pt>
                <c:pt idx="158">
                  <c:v>0.2310558052297198</c:v>
                </c:pt>
                <c:pt idx="159">
                  <c:v>0.23908810684916681</c:v>
                </c:pt>
                <c:pt idx="160">
                  <c:v>0.25897283064461574</c:v>
                </c:pt>
                <c:pt idx="161">
                  <c:v>0.26055055412035499</c:v>
                </c:pt>
                <c:pt idx="162">
                  <c:v>0.26438175095405203</c:v>
                </c:pt>
                <c:pt idx="163">
                  <c:v>0.19757712500332469</c:v>
                </c:pt>
                <c:pt idx="164">
                  <c:v>0.19632705430815189</c:v>
                </c:pt>
                <c:pt idx="165">
                  <c:v>0.19822305015298203</c:v>
                </c:pt>
                <c:pt idx="166">
                  <c:v>0.19590999005954512</c:v>
                </c:pt>
                <c:pt idx="167">
                  <c:v>0.23974933816419886</c:v>
                </c:pt>
                <c:pt idx="168">
                  <c:v>0.23427833095037265</c:v>
                </c:pt>
                <c:pt idx="169">
                  <c:v>0.22080697989088915</c:v>
                </c:pt>
                <c:pt idx="170">
                  <c:v>0.22310085973318006</c:v>
                </c:pt>
                <c:pt idx="171">
                  <c:v>0.24770437605579687</c:v>
                </c:pt>
                <c:pt idx="172">
                  <c:v>0.25114478446384725</c:v>
                </c:pt>
                <c:pt idx="173">
                  <c:v>0.26678824164274362</c:v>
                </c:pt>
                <c:pt idx="174">
                  <c:v>0.2665918609054001</c:v>
                </c:pt>
                <c:pt idx="175">
                  <c:v>0.26138407070024638</c:v>
                </c:pt>
                <c:pt idx="176">
                  <c:v>0.26043807049378498</c:v>
                </c:pt>
                <c:pt idx="177">
                  <c:v>0.2220559898750174</c:v>
                </c:pt>
                <c:pt idx="178">
                  <c:v>0.22648443625789949</c:v>
                </c:pt>
                <c:pt idx="179">
                  <c:v>0.22465388502302419</c:v>
                </c:pt>
                <c:pt idx="180">
                  <c:v>0.21118016757366154</c:v>
                </c:pt>
                <c:pt idx="181">
                  <c:v>0.20343180908505132</c:v>
                </c:pt>
                <c:pt idx="182">
                  <c:v>0.21449361536569889</c:v>
                </c:pt>
                <c:pt idx="183">
                  <c:v>0.20799808849969925</c:v>
                </c:pt>
                <c:pt idx="184">
                  <c:v>0.2161741772049286</c:v>
                </c:pt>
                <c:pt idx="185">
                  <c:v>0.20413995902065274</c:v>
                </c:pt>
                <c:pt idx="186">
                  <c:v>0.20656536656600455</c:v>
                </c:pt>
                <c:pt idx="187">
                  <c:v>0.1996494528304027</c:v>
                </c:pt>
                <c:pt idx="188">
                  <c:v>0.19761696918083427</c:v>
                </c:pt>
                <c:pt idx="189">
                  <c:v>0.20705442260123252</c:v>
                </c:pt>
                <c:pt idx="190">
                  <c:v>0.2080024712592039</c:v>
                </c:pt>
                <c:pt idx="191">
                  <c:v>0.21002142553364811</c:v>
                </c:pt>
                <c:pt idx="192">
                  <c:v>0.21457182507772377</c:v>
                </c:pt>
                <c:pt idx="193">
                  <c:v>0.22063402868666726</c:v>
                </c:pt>
                <c:pt idx="194">
                  <c:v>0.22793158360213761</c:v>
                </c:pt>
                <c:pt idx="195">
                  <c:v>0.23220882115075003</c:v>
                </c:pt>
                <c:pt idx="196">
                  <c:v>0.23265861097205942</c:v>
                </c:pt>
                <c:pt idx="197">
                  <c:v>0.21850235275659324</c:v>
                </c:pt>
                <c:pt idx="198">
                  <c:v>0.21942133407399855</c:v>
                </c:pt>
                <c:pt idx="199">
                  <c:v>0.21702611519470372</c:v>
                </c:pt>
                <c:pt idx="200">
                  <c:v>0.21669798659255091</c:v>
                </c:pt>
                <c:pt idx="201">
                  <c:v>0.21632965288256112</c:v>
                </c:pt>
                <c:pt idx="202">
                  <c:v>0.21503210323620259</c:v>
                </c:pt>
                <c:pt idx="203">
                  <c:v>0.21643240452386525</c:v>
                </c:pt>
                <c:pt idx="204">
                  <c:v>0.2146502638090686</c:v>
                </c:pt>
                <c:pt idx="205">
                  <c:v>0.2126043453536397</c:v>
                </c:pt>
                <c:pt idx="206">
                  <c:v>0.21521550539491052</c:v>
                </c:pt>
                <c:pt idx="207">
                  <c:v>0.22854227367826474</c:v>
                </c:pt>
                <c:pt idx="208">
                  <c:v>0.21221358816681879</c:v>
                </c:pt>
                <c:pt idx="209">
                  <c:v>0.20201505363060046</c:v>
                </c:pt>
                <c:pt idx="210">
                  <c:v>0.21329175407730183</c:v>
                </c:pt>
                <c:pt idx="211">
                  <c:v>0.21643726497080573</c:v>
                </c:pt>
                <c:pt idx="212">
                  <c:v>0.22427496909847466</c:v>
                </c:pt>
                <c:pt idx="213">
                  <c:v>0.2352512967691438</c:v>
                </c:pt>
                <c:pt idx="214">
                  <c:v>0.25176835703201972</c:v>
                </c:pt>
                <c:pt idx="215">
                  <c:v>0.24580477765154551</c:v>
                </c:pt>
                <c:pt idx="216">
                  <c:v>0.24239152455042778</c:v>
                </c:pt>
                <c:pt idx="217">
                  <c:v>0.24798333066895917</c:v>
                </c:pt>
                <c:pt idx="218">
                  <c:v>0.25079575647172092</c:v>
                </c:pt>
                <c:pt idx="219">
                  <c:v>0.26858880501587357</c:v>
                </c:pt>
                <c:pt idx="220">
                  <c:v>0.2727591164518639</c:v>
                </c:pt>
                <c:pt idx="221">
                  <c:v>0.27579115936783327</c:v>
                </c:pt>
                <c:pt idx="222">
                  <c:v>0.2465624258570509</c:v>
                </c:pt>
                <c:pt idx="223">
                  <c:v>0.24665263657610015</c:v>
                </c:pt>
                <c:pt idx="224">
                  <c:v>0.25391563759400437</c:v>
                </c:pt>
                <c:pt idx="225">
                  <c:v>0.24756861431861132</c:v>
                </c:pt>
                <c:pt idx="226">
                  <c:v>0.28053567855750172</c:v>
                </c:pt>
                <c:pt idx="227">
                  <c:v>0.28403048187404378</c:v>
                </c:pt>
                <c:pt idx="228">
                  <c:v>0.27267457873431966</c:v>
                </c:pt>
                <c:pt idx="229">
                  <c:v>0.27590713267470068</c:v>
                </c:pt>
                <c:pt idx="230">
                  <c:v>0.30616281571221737</c:v>
                </c:pt>
                <c:pt idx="231">
                  <c:v>0.31281351665030033</c:v>
                </c:pt>
                <c:pt idx="232">
                  <c:v>0.30087479062776046</c:v>
                </c:pt>
                <c:pt idx="233">
                  <c:v>0.31806862430148208</c:v>
                </c:pt>
                <c:pt idx="234">
                  <c:v>0.33053018621371266</c:v>
                </c:pt>
                <c:pt idx="235">
                  <c:v>0.33633574026565505</c:v>
                </c:pt>
                <c:pt idx="236">
                  <c:v>0.32652904787752157</c:v>
                </c:pt>
                <c:pt idx="237">
                  <c:v>0.32860951348751266</c:v>
                </c:pt>
                <c:pt idx="238">
                  <c:v>0.3422991619440281</c:v>
                </c:pt>
                <c:pt idx="239">
                  <c:v>0.32485550895307891</c:v>
                </c:pt>
                <c:pt idx="240">
                  <c:v>0.38683019116996031</c:v>
                </c:pt>
                <c:pt idx="241">
                  <c:v>0.3692326762548872</c:v>
                </c:pt>
                <c:pt idx="242">
                  <c:v>0.3728070389529381</c:v>
                </c:pt>
                <c:pt idx="243">
                  <c:v>0.37795377946085784</c:v>
                </c:pt>
                <c:pt idx="244">
                  <c:v>0.37140642226352027</c:v>
                </c:pt>
                <c:pt idx="245">
                  <c:v>0.40031857478854516</c:v>
                </c:pt>
                <c:pt idx="246">
                  <c:v>0.40839847676637953</c:v>
                </c:pt>
                <c:pt idx="247">
                  <c:v>0.39731035140024829</c:v>
                </c:pt>
                <c:pt idx="248">
                  <c:v>0.40554668101567359</c:v>
                </c:pt>
                <c:pt idx="249">
                  <c:v>0.40747038615942666</c:v>
                </c:pt>
                <c:pt idx="250">
                  <c:v>0.39949802861301453</c:v>
                </c:pt>
                <c:pt idx="251">
                  <c:v>0.39188606812086424</c:v>
                </c:pt>
                <c:pt idx="252">
                  <c:v>0.39400125657851981</c:v>
                </c:pt>
                <c:pt idx="253">
                  <c:v>0.39682262740007901</c:v>
                </c:pt>
                <c:pt idx="254">
                  <c:v>0.38179246800804889</c:v>
                </c:pt>
                <c:pt idx="255">
                  <c:v>0.35738193132261009</c:v>
                </c:pt>
                <c:pt idx="256">
                  <c:v>0.3812550355048967</c:v>
                </c:pt>
                <c:pt idx="257">
                  <c:v>0.36646241697685156</c:v>
                </c:pt>
                <c:pt idx="258">
                  <c:v>0.3808810134030558</c:v>
                </c:pt>
                <c:pt idx="259">
                  <c:v>0.36054213273292568</c:v>
                </c:pt>
                <c:pt idx="260">
                  <c:v>0.3760185770326232</c:v>
                </c:pt>
                <c:pt idx="261">
                  <c:v>0.3737730054432864</c:v>
                </c:pt>
                <c:pt idx="262">
                  <c:v>0.37392222628744642</c:v>
                </c:pt>
                <c:pt idx="263">
                  <c:v>0.38762884037129086</c:v>
                </c:pt>
                <c:pt idx="264">
                  <c:v>0.39005355091744942</c:v>
                </c:pt>
                <c:pt idx="265">
                  <c:v>0.38078442598299889</c:v>
                </c:pt>
                <c:pt idx="266">
                  <c:v>0.38817866802484469</c:v>
                </c:pt>
                <c:pt idx="267">
                  <c:v>0.36315192638388938</c:v>
                </c:pt>
                <c:pt idx="268">
                  <c:v>0.36013107144636924</c:v>
                </c:pt>
                <c:pt idx="269">
                  <c:v>0.34722471830002566</c:v>
                </c:pt>
                <c:pt idx="270">
                  <c:v>0.33493814555191759</c:v>
                </c:pt>
                <c:pt idx="271">
                  <c:v>0.3395932384796323</c:v>
                </c:pt>
                <c:pt idx="272">
                  <c:v>0.33878817216271484</c:v>
                </c:pt>
                <c:pt idx="273">
                  <c:v>0.34806793114477674</c:v>
                </c:pt>
                <c:pt idx="274">
                  <c:v>0.34490739459332298</c:v>
                </c:pt>
                <c:pt idx="275">
                  <c:v>0.32133240625417603</c:v>
                </c:pt>
                <c:pt idx="276">
                  <c:v>0.33688995759154938</c:v>
                </c:pt>
                <c:pt idx="277">
                  <c:v>0.34266596295926122</c:v>
                </c:pt>
                <c:pt idx="278">
                  <c:v>0.35285226249525103</c:v>
                </c:pt>
                <c:pt idx="279">
                  <c:v>0.34740316813787309</c:v>
                </c:pt>
                <c:pt idx="280">
                  <c:v>0.34781144819105725</c:v>
                </c:pt>
                <c:pt idx="281">
                  <c:v>0.34332625266306227</c:v>
                </c:pt>
                <c:pt idx="282">
                  <c:v>0.32628656704627956</c:v>
                </c:pt>
                <c:pt idx="283">
                  <c:v>0.31166678120877123</c:v>
                </c:pt>
                <c:pt idx="284">
                  <c:v>0.32292156058666976</c:v>
                </c:pt>
                <c:pt idx="285">
                  <c:v>0.35994562502852379</c:v>
                </c:pt>
                <c:pt idx="286">
                  <c:v>0.34361544711125647</c:v>
                </c:pt>
                <c:pt idx="287">
                  <c:v>0.3452361087935909</c:v>
                </c:pt>
                <c:pt idx="288">
                  <c:v>0.35093347660444296</c:v>
                </c:pt>
                <c:pt idx="289">
                  <c:v>0.340786306745261</c:v>
                </c:pt>
                <c:pt idx="290">
                  <c:v>0.34564358833597586</c:v>
                </c:pt>
                <c:pt idx="291">
                  <c:v>0.34960761114454253</c:v>
                </c:pt>
                <c:pt idx="292">
                  <c:v>0.38105663622992414</c:v>
                </c:pt>
                <c:pt idx="293">
                  <c:v>0.36732868913480266</c:v>
                </c:pt>
                <c:pt idx="294">
                  <c:v>0.37028415020513994</c:v>
                </c:pt>
                <c:pt idx="295">
                  <c:v>0.36303477969561304</c:v>
                </c:pt>
                <c:pt idx="296">
                  <c:v>0.36720193620952624</c:v>
                </c:pt>
                <c:pt idx="297">
                  <c:v>0.36607700444296953</c:v>
                </c:pt>
                <c:pt idx="298">
                  <c:v>0.37139683797763845</c:v>
                </c:pt>
                <c:pt idx="299">
                  <c:v>0.36230645275593143</c:v>
                </c:pt>
                <c:pt idx="300">
                  <c:v>0.34918071664138428</c:v>
                </c:pt>
                <c:pt idx="301">
                  <c:v>0.36066812031666284</c:v>
                </c:pt>
                <c:pt idx="302">
                  <c:v>0.31729816022210433</c:v>
                </c:pt>
                <c:pt idx="303">
                  <c:v>0.30162666114023184</c:v>
                </c:pt>
                <c:pt idx="304">
                  <c:v>0.30536137823752307</c:v>
                </c:pt>
                <c:pt idx="305">
                  <c:v>0.31524401885520859</c:v>
                </c:pt>
                <c:pt idx="306">
                  <c:v>0.32156140408989153</c:v>
                </c:pt>
                <c:pt idx="307">
                  <c:v>0.31467330314328779</c:v>
                </c:pt>
                <c:pt idx="308">
                  <c:v>0.31364203338414942</c:v>
                </c:pt>
                <c:pt idx="309">
                  <c:v>0.29188770996481361</c:v>
                </c:pt>
                <c:pt idx="310">
                  <c:v>0.29992684773635792</c:v>
                </c:pt>
                <c:pt idx="311">
                  <c:v>0.30054172248083511</c:v>
                </c:pt>
                <c:pt idx="312">
                  <c:v>0.29360147869565667</c:v>
                </c:pt>
                <c:pt idx="313">
                  <c:v>0.2830647062620284</c:v>
                </c:pt>
                <c:pt idx="314">
                  <c:v>0.28856624249863994</c:v>
                </c:pt>
                <c:pt idx="315">
                  <c:v>0.28342714525788848</c:v>
                </c:pt>
                <c:pt idx="316">
                  <c:v>0.26874183055534462</c:v>
                </c:pt>
                <c:pt idx="317">
                  <c:v>0.27649609475895187</c:v>
                </c:pt>
                <c:pt idx="318">
                  <c:v>0.27891224885616728</c:v>
                </c:pt>
                <c:pt idx="319">
                  <c:v>0.2629747282142274</c:v>
                </c:pt>
                <c:pt idx="320">
                  <c:v>0.28366947547442756</c:v>
                </c:pt>
                <c:pt idx="321">
                  <c:v>0.30899468449746159</c:v>
                </c:pt>
                <c:pt idx="322">
                  <c:v>0.31438947696665154</c:v>
                </c:pt>
                <c:pt idx="323">
                  <c:v>0.32387150991938785</c:v>
                </c:pt>
                <c:pt idx="324">
                  <c:v>0.32152417589214966</c:v>
                </c:pt>
                <c:pt idx="325">
                  <c:v>0.27293846490311591</c:v>
                </c:pt>
                <c:pt idx="326">
                  <c:v>0.2797682811512523</c:v>
                </c:pt>
                <c:pt idx="327">
                  <c:v>0.27644453790711077</c:v>
                </c:pt>
                <c:pt idx="328">
                  <c:v>0.28539161452602668</c:v>
                </c:pt>
                <c:pt idx="329">
                  <c:v>0.284851290270977</c:v>
                </c:pt>
                <c:pt idx="330">
                  <c:v>0.29833916995430987</c:v>
                </c:pt>
                <c:pt idx="331">
                  <c:v>0.30360295468960352</c:v>
                </c:pt>
                <c:pt idx="332">
                  <c:v>0.29758538498096265</c:v>
                </c:pt>
                <c:pt idx="333">
                  <c:v>0.3023763441307159</c:v>
                </c:pt>
                <c:pt idx="334">
                  <c:v>0.28666402710383698</c:v>
                </c:pt>
                <c:pt idx="335">
                  <c:v>0.28614202981470926</c:v>
                </c:pt>
                <c:pt idx="336">
                  <c:v>0.27058670056586376</c:v>
                </c:pt>
                <c:pt idx="337">
                  <c:v>0.28517698411918202</c:v>
                </c:pt>
                <c:pt idx="338">
                  <c:v>0.29680838080805239</c:v>
                </c:pt>
                <c:pt idx="339">
                  <c:v>0.31529875116586248</c:v>
                </c:pt>
                <c:pt idx="340">
                  <c:v>0.29164856236511505</c:v>
                </c:pt>
                <c:pt idx="341">
                  <c:v>0.30206786491727611</c:v>
                </c:pt>
                <c:pt idx="342">
                  <c:v>0.32212957305752687</c:v>
                </c:pt>
                <c:pt idx="343">
                  <c:v>0.28952663850804972</c:v>
                </c:pt>
                <c:pt idx="344">
                  <c:v>0.30390981760090607</c:v>
                </c:pt>
                <c:pt idx="345">
                  <c:v>0.31588754927209961</c:v>
                </c:pt>
                <c:pt idx="346">
                  <c:v>0.33440902082551482</c:v>
                </c:pt>
                <c:pt idx="347">
                  <c:v>0.32677065379968284</c:v>
                </c:pt>
                <c:pt idx="348">
                  <c:v>0.29414503904321099</c:v>
                </c:pt>
                <c:pt idx="349">
                  <c:v>0.30733903182319966</c:v>
                </c:pt>
                <c:pt idx="350">
                  <c:v>0.32654266333947413</c:v>
                </c:pt>
                <c:pt idx="351">
                  <c:v>0.3384916509539948</c:v>
                </c:pt>
                <c:pt idx="352">
                  <c:v>0.3706636980633542</c:v>
                </c:pt>
                <c:pt idx="353">
                  <c:v>0.37919071297189899</c:v>
                </c:pt>
                <c:pt idx="354">
                  <c:v>0.36770112635433549</c:v>
                </c:pt>
                <c:pt idx="355">
                  <c:v>0.36935253872001894</c:v>
                </c:pt>
                <c:pt idx="356">
                  <c:v>0.35376355151288652</c:v>
                </c:pt>
                <c:pt idx="357">
                  <c:v>0.28780896629752761</c:v>
                </c:pt>
                <c:pt idx="358">
                  <c:v>0.27941941787773472</c:v>
                </c:pt>
                <c:pt idx="359">
                  <c:v>0.28662184184606154</c:v>
                </c:pt>
                <c:pt idx="360">
                  <c:v>0.27723650843679559</c:v>
                </c:pt>
                <c:pt idx="361">
                  <c:v>0.27007506514458601</c:v>
                </c:pt>
                <c:pt idx="362">
                  <c:v>0.26760921617987043</c:v>
                </c:pt>
                <c:pt idx="363">
                  <c:v>0.26064318784292384</c:v>
                </c:pt>
                <c:pt idx="364">
                  <c:v>0.26182176427439918</c:v>
                </c:pt>
                <c:pt idx="365">
                  <c:v>0.24935109633106722</c:v>
                </c:pt>
                <c:pt idx="366">
                  <c:v>0.24273537075305618</c:v>
                </c:pt>
                <c:pt idx="367">
                  <c:v>0.25394679268503895</c:v>
                </c:pt>
                <c:pt idx="368">
                  <c:v>0.25103387407675171</c:v>
                </c:pt>
                <c:pt idx="369">
                  <c:v>0.25433923347634968</c:v>
                </c:pt>
                <c:pt idx="370">
                  <c:v>0.27246808852632265</c:v>
                </c:pt>
                <c:pt idx="371">
                  <c:v>0.24594196772621335</c:v>
                </c:pt>
                <c:pt idx="372">
                  <c:v>0.19476923590434225</c:v>
                </c:pt>
                <c:pt idx="373">
                  <c:v>0.17676295300491907</c:v>
                </c:pt>
                <c:pt idx="374">
                  <c:v>0.19767856026946307</c:v>
                </c:pt>
                <c:pt idx="375">
                  <c:v>0.20401796132162953</c:v>
                </c:pt>
                <c:pt idx="376">
                  <c:v>0.2008821690085727</c:v>
                </c:pt>
                <c:pt idx="377">
                  <c:v>0.18471676827459982</c:v>
                </c:pt>
                <c:pt idx="378">
                  <c:v>0.18050955953200809</c:v>
                </c:pt>
                <c:pt idx="379">
                  <c:v>0.1946338168314925</c:v>
                </c:pt>
                <c:pt idx="380">
                  <c:v>0.18246830915388101</c:v>
                </c:pt>
                <c:pt idx="381">
                  <c:v>0.1876575351125489</c:v>
                </c:pt>
                <c:pt idx="382">
                  <c:v>0.18478690604503889</c:v>
                </c:pt>
                <c:pt idx="383">
                  <c:v>0.19068395795287851</c:v>
                </c:pt>
                <c:pt idx="384">
                  <c:v>0.18601513803840586</c:v>
                </c:pt>
                <c:pt idx="385">
                  <c:v>0.2018338813180951</c:v>
                </c:pt>
                <c:pt idx="386">
                  <c:v>0.21063853393642473</c:v>
                </c:pt>
                <c:pt idx="387">
                  <c:v>0.21225587619762187</c:v>
                </c:pt>
                <c:pt idx="388">
                  <c:v>0.23951015940852516</c:v>
                </c:pt>
                <c:pt idx="389">
                  <c:v>0.24036619077926336</c:v>
                </c:pt>
                <c:pt idx="390">
                  <c:v>0.23648637322915844</c:v>
                </c:pt>
                <c:pt idx="391">
                  <c:v>0.20793715962970261</c:v>
                </c:pt>
                <c:pt idx="392">
                  <c:v>0.21489654597029673</c:v>
                </c:pt>
                <c:pt idx="393">
                  <c:v>0.19477538342517731</c:v>
                </c:pt>
                <c:pt idx="394">
                  <c:v>0.19524707104865624</c:v>
                </c:pt>
                <c:pt idx="395">
                  <c:v>0.20285642903970658</c:v>
                </c:pt>
                <c:pt idx="396">
                  <c:v>0.19170263627145046</c:v>
                </c:pt>
                <c:pt idx="397">
                  <c:v>0.16232537092120713</c:v>
                </c:pt>
                <c:pt idx="398">
                  <c:v>0.1784624149049292</c:v>
                </c:pt>
                <c:pt idx="399">
                  <c:v>0.17437156537389553</c:v>
                </c:pt>
                <c:pt idx="400">
                  <c:v>0.16124969300754977</c:v>
                </c:pt>
                <c:pt idx="401">
                  <c:v>0.16744364219287289</c:v>
                </c:pt>
                <c:pt idx="402">
                  <c:v>0.1768769801251826</c:v>
                </c:pt>
                <c:pt idx="403">
                  <c:v>0.18514093039969381</c:v>
                </c:pt>
                <c:pt idx="404">
                  <c:v>0.19490614277391805</c:v>
                </c:pt>
                <c:pt idx="405">
                  <c:v>0.19380376926682441</c:v>
                </c:pt>
                <c:pt idx="406">
                  <c:v>0.21469602456296566</c:v>
                </c:pt>
                <c:pt idx="407">
                  <c:v>0.22290681754684871</c:v>
                </c:pt>
                <c:pt idx="408">
                  <c:v>0.2313034707593038</c:v>
                </c:pt>
                <c:pt idx="409">
                  <c:v>0.24098915018458511</c:v>
                </c:pt>
                <c:pt idx="410">
                  <c:v>0.24209080471854039</c:v>
                </c:pt>
                <c:pt idx="411">
                  <c:v>0.22361015679756391</c:v>
                </c:pt>
                <c:pt idx="412">
                  <c:v>0.22620808111453683</c:v>
                </c:pt>
                <c:pt idx="413">
                  <c:v>0.25396179214159109</c:v>
                </c:pt>
                <c:pt idx="414">
                  <c:v>0.26393996013181131</c:v>
                </c:pt>
                <c:pt idx="415">
                  <c:v>0.2631110348370076</c:v>
                </c:pt>
                <c:pt idx="416">
                  <c:v>0.27646037248255584</c:v>
                </c:pt>
                <c:pt idx="417">
                  <c:v>0.3511714933036576</c:v>
                </c:pt>
                <c:pt idx="418">
                  <c:v>0.35785558934650741</c:v>
                </c:pt>
                <c:pt idx="419">
                  <c:v>0.34404987571938639</c:v>
                </c:pt>
                <c:pt idx="420">
                  <c:v>0.33058673933643568</c:v>
                </c:pt>
                <c:pt idx="421">
                  <c:v>0.34742573637361707</c:v>
                </c:pt>
                <c:pt idx="422">
                  <c:v>0.41579151435100603</c:v>
                </c:pt>
                <c:pt idx="423">
                  <c:v>0.41097682162881988</c:v>
                </c:pt>
                <c:pt idx="424">
                  <c:v>0.4323993649530975</c:v>
                </c:pt>
                <c:pt idx="425">
                  <c:v>0.43731423755573795</c:v>
                </c:pt>
                <c:pt idx="426">
                  <c:v>0.44386174718198146</c:v>
                </c:pt>
                <c:pt idx="427">
                  <c:v>0.43708777225661888</c:v>
                </c:pt>
                <c:pt idx="428">
                  <c:v>0.42363753263828263</c:v>
                </c:pt>
                <c:pt idx="429">
                  <c:v>0.41637602424368647</c:v>
                </c:pt>
                <c:pt idx="430">
                  <c:v>0.40272662080346722</c:v>
                </c:pt>
                <c:pt idx="431">
                  <c:v>0.40363053438376029</c:v>
                </c:pt>
                <c:pt idx="432">
                  <c:v>0.39124078216258007</c:v>
                </c:pt>
                <c:pt idx="433">
                  <c:v>0.39111219986187273</c:v>
                </c:pt>
                <c:pt idx="434">
                  <c:v>0.4002998715846886</c:v>
                </c:pt>
                <c:pt idx="435">
                  <c:v>0.41406149589837815</c:v>
                </c:pt>
                <c:pt idx="436">
                  <c:v>0.41503673263274843</c:v>
                </c:pt>
                <c:pt idx="437">
                  <c:v>0.40591970825866586</c:v>
                </c:pt>
                <c:pt idx="438">
                  <c:v>0.40729821588176218</c:v>
                </c:pt>
                <c:pt idx="439">
                  <c:v>0.40291133457313988</c:v>
                </c:pt>
                <c:pt idx="440">
                  <c:v>0.40467221643495166</c:v>
                </c:pt>
                <c:pt idx="441">
                  <c:v>0.41428514490910517</c:v>
                </c:pt>
                <c:pt idx="442">
                  <c:v>0.44307207559258988</c:v>
                </c:pt>
                <c:pt idx="443">
                  <c:v>0.44484610059794027</c:v>
                </c:pt>
                <c:pt idx="444">
                  <c:v>0.41679742071727044</c:v>
                </c:pt>
                <c:pt idx="445">
                  <c:v>0.40639806975341819</c:v>
                </c:pt>
                <c:pt idx="446">
                  <c:v>0.42796451070635633</c:v>
                </c:pt>
                <c:pt idx="447">
                  <c:v>0.43050196216573378</c:v>
                </c:pt>
                <c:pt idx="448">
                  <c:v>0.43070629607554167</c:v>
                </c:pt>
                <c:pt idx="449">
                  <c:v>0.44992453002295063</c:v>
                </c:pt>
                <c:pt idx="450">
                  <c:v>0.43510613307591428</c:v>
                </c:pt>
                <c:pt idx="451">
                  <c:v>0.4350527276296019</c:v>
                </c:pt>
                <c:pt idx="452">
                  <c:v>0.42892970015815401</c:v>
                </c:pt>
                <c:pt idx="453">
                  <c:v>0.42335242561363007</c:v>
                </c:pt>
                <c:pt idx="454">
                  <c:v>0.43047066005777612</c:v>
                </c:pt>
                <c:pt idx="455">
                  <c:v>0.4305712238020476</c:v>
                </c:pt>
                <c:pt idx="456">
                  <c:v>0.43404987968659037</c:v>
                </c:pt>
                <c:pt idx="457">
                  <c:v>0.42988044825809912</c:v>
                </c:pt>
                <c:pt idx="458">
                  <c:v>0.42613059176304824</c:v>
                </c:pt>
                <c:pt idx="459">
                  <c:v>0.41525100600358189</c:v>
                </c:pt>
                <c:pt idx="460">
                  <c:v>0.4218334040436893</c:v>
                </c:pt>
                <c:pt idx="461">
                  <c:v>0.43085619362750749</c:v>
                </c:pt>
                <c:pt idx="462">
                  <c:v>0.42267055511695473</c:v>
                </c:pt>
                <c:pt idx="463">
                  <c:v>0.39365403271824362</c:v>
                </c:pt>
                <c:pt idx="464">
                  <c:v>0.40418854739062748</c:v>
                </c:pt>
                <c:pt idx="465">
                  <c:v>0.39873461148183487</c:v>
                </c:pt>
                <c:pt idx="466">
                  <c:v>0.39177671298629635</c:v>
                </c:pt>
                <c:pt idx="467">
                  <c:v>0.39635743363004017</c:v>
                </c:pt>
                <c:pt idx="468">
                  <c:v>0.42638925994747012</c:v>
                </c:pt>
                <c:pt idx="469">
                  <c:v>0.41985633066390582</c:v>
                </c:pt>
                <c:pt idx="470">
                  <c:v>0.41556793302011119</c:v>
                </c:pt>
                <c:pt idx="471">
                  <c:v>0.4257860479026947</c:v>
                </c:pt>
                <c:pt idx="472">
                  <c:v>0.43135509946789674</c:v>
                </c:pt>
                <c:pt idx="473">
                  <c:v>0.42582953675324209</c:v>
                </c:pt>
                <c:pt idx="474">
                  <c:v>0.44361019191553575</c:v>
                </c:pt>
                <c:pt idx="475">
                  <c:v>0.42954338237082834</c:v>
                </c:pt>
                <c:pt idx="476">
                  <c:v>0.43478774658763153</c:v>
                </c:pt>
                <c:pt idx="477">
                  <c:v>0.42222648268979834</c:v>
                </c:pt>
                <c:pt idx="478">
                  <c:v>0.43040083735138657</c:v>
                </c:pt>
                <c:pt idx="479">
                  <c:v>0.42934990272623375</c:v>
                </c:pt>
                <c:pt idx="480">
                  <c:v>0.41232921056163541</c:v>
                </c:pt>
                <c:pt idx="481">
                  <c:v>0.41293566973150542</c:v>
                </c:pt>
                <c:pt idx="482">
                  <c:v>0.42579213066292354</c:v>
                </c:pt>
                <c:pt idx="483">
                  <c:v>0.43576348757546257</c:v>
                </c:pt>
                <c:pt idx="484">
                  <c:v>0.43099530214807125</c:v>
                </c:pt>
                <c:pt idx="485">
                  <c:v>0.40099397008928594</c:v>
                </c:pt>
                <c:pt idx="486">
                  <c:v>0.38873505508960138</c:v>
                </c:pt>
                <c:pt idx="487">
                  <c:v>0.37807822484139009</c:v>
                </c:pt>
                <c:pt idx="488">
                  <c:v>0.3828822117867654</c:v>
                </c:pt>
                <c:pt idx="489">
                  <c:v>0.39347545858469557</c:v>
                </c:pt>
                <c:pt idx="490">
                  <c:v>0.38771850303355015</c:v>
                </c:pt>
                <c:pt idx="491">
                  <c:v>0.36412688938795412</c:v>
                </c:pt>
                <c:pt idx="492">
                  <c:v>0.33439753704158193</c:v>
                </c:pt>
                <c:pt idx="493">
                  <c:v>0.32912705841358636</c:v>
                </c:pt>
                <c:pt idx="494">
                  <c:v>0.32379688950763974</c:v>
                </c:pt>
                <c:pt idx="495">
                  <c:v>0.3043996400262281</c:v>
                </c:pt>
                <c:pt idx="496">
                  <c:v>0.30885448062426368</c:v>
                </c:pt>
                <c:pt idx="497">
                  <c:v>0.28932109744189471</c:v>
                </c:pt>
                <c:pt idx="498">
                  <c:v>0.28984862816643808</c:v>
                </c:pt>
                <c:pt idx="499">
                  <c:v>0.27611496645168709</c:v>
                </c:pt>
                <c:pt idx="500">
                  <c:v>0.26717364249484921</c:v>
                </c:pt>
                <c:pt idx="501">
                  <c:v>0.26380030197782967</c:v>
                </c:pt>
                <c:pt idx="502">
                  <c:v>0.24305785005243252</c:v>
                </c:pt>
                <c:pt idx="503">
                  <c:v>0.16443873909474616</c:v>
                </c:pt>
                <c:pt idx="504">
                  <c:v>0.19158854303156625</c:v>
                </c:pt>
                <c:pt idx="505">
                  <c:v>0.21908788765089526</c:v>
                </c:pt>
                <c:pt idx="506">
                  <c:v>0.23823825180818492</c:v>
                </c:pt>
                <c:pt idx="507">
                  <c:v>0.22749541668715301</c:v>
                </c:pt>
                <c:pt idx="508">
                  <c:v>0.24546092071102743</c:v>
                </c:pt>
                <c:pt idx="509">
                  <c:v>0.25000393866356441</c:v>
                </c:pt>
                <c:pt idx="510">
                  <c:v>0.25972502636371231</c:v>
                </c:pt>
                <c:pt idx="511">
                  <c:v>0.28000922712583498</c:v>
                </c:pt>
                <c:pt idx="512">
                  <c:v>0.27536531287527777</c:v>
                </c:pt>
                <c:pt idx="513">
                  <c:v>0.26311241318754597</c:v>
                </c:pt>
                <c:pt idx="514">
                  <c:v>0.28816646537515234</c:v>
                </c:pt>
                <c:pt idx="515">
                  <c:v>0.28937383077812129</c:v>
                </c:pt>
                <c:pt idx="516">
                  <c:v>0.26605840177638251</c:v>
                </c:pt>
                <c:pt idx="517">
                  <c:v>0.26920761972377916</c:v>
                </c:pt>
                <c:pt idx="518">
                  <c:v>0.26789741209279927</c:v>
                </c:pt>
                <c:pt idx="519">
                  <c:v>0.25612153208491617</c:v>
                </c:pt>
                <c:pt idx="520">
                  <c:v>0.27275964484637139</c:v>
                </c:pt>
                <c:pt idx="521">
                  <c:v>0.27743071305546008</c:v>
                </c:pt>
                <c:pt idx="522">
                  <c:v>0.32158755106764247</c:v>
                </c:pt>
                <c:pt idx="523">
                  <c:v>0.37154893629396279</c:v>
                </c:pt>
                <c:pt idx="524">
                  <c:v>0.38057103130533898</c:v>
                </c:pt>
                <c:pt idx="525">
                  <c:v>0.41172455937309516</c:v>
                </c:pt>
                <c:pt idx="526">
                  <c:v>0.37302348722786105</c:v>
                </c:pt>
                <c:pt idx="527">
                  <c:v>0.39494509320024496</c:v>
                </c:pt>
                <c:pt idx="528">
                  <c:v>0.39338745444564438</c:v>
                </c:pt>
                <c:pt idx="529">
                  <c:v>0.38350247048789732</c:v>
                </c:pt>
                <c:pt idx="530">
                  <c:v>0.4004703908446603</c:v>
                </c:pt>
                <c:pt idx="531">
                  <c:v>0.38849830898586335</c:v>
                </c:pt>
                <c:pt idx="532">
                  <c:v>0.38695240077992521</c:v>
                </c:pt>
                <c:pt idx="533">
                  <c:v>0.36323035129403647</c:v>
                </c:pt>
                <c:pt idx="534">
                  <c:v>0.36847902384025666</c:v>
                </c:pt>
                <c:pt idx="535">
                  <c:v>0.38935506850393731</c:v>
                </c:pt>
                <c:pt idx="536">
                  <c:v>0.38761902902416989</c:v>
                </c:pt>
                <c:pt idx="537">
                  <c:v>0.38419236762801612</c:v>
                </c:pt>
                <c:pt idx="538">
                  <c:v>0.3724554863898466</c:v>
                </c:pt>
                <c:pt idx="539">
                  <c:v>0.36088693325640997</c:v>
                </c:pt>
                <c:pt idx="540">
                  <c:v>0.44761184176734137</c:v>
                </c:pt>
                <c:pt idx="541">
                  <c:v>0.46123042469300457</c:v>
                </c:pt>
                <c:pt idx="542">
                  <c:v>0.45561264755634934</c:v>
                </c:pt>
                <c:pt idx="543">
                  <c:v>0.48291031773789972</c:v>
                </c:pt>
                <c:pt idx="544">
                  <c:v>0.47823083596334004</c:v>
                </c:pt>
                <c:pt idx="545">
                  <c:v>0.47861393848378486</c:v>
                </c:pt>
                <c:pt idx="546">
                  <c:v>0.47331509188459275</c:v>
                </c:pt>
                <c:pt idx="547">
                  <c:v>0.4761061838517251</c:v>
                </c:pt>
                <c:pt idx="548">
                  <c:v>0.45727386733641406</c:v>
                </c:pt>
                <c:pt idx="549">
                  <c:v>0.44428032030321596</c:v>
                </c:pt>
                <c:pt idx="550">
                  <c:v>0.44533697546186124</c:v>
                </c:pt>
                <c:pt idx="551">
                  <c:v>0.45626269730968994</c:v>
                </c:pt>
                <c:pt idx="552">
                  <c:v>0.46515291517428126</c:v>
                </c:pt>
                <c:pt idx="553">
                  <c:v>0.46411167356785121</c:v>
                </c:pt>
                <c:pt idx="554">
                  <c:v>0.45239182857502525</c:v>
                </c:pt>
                <c:pt idx="555">
                  <c:v>0.45696608040542253</c:v>
                </c:pt>
                <c:pt idx="556">
                  <c:v>0.46463891115077582</c:v>
                </c:pt>
                <c:pt idx="557">
                  <c:v>0.4486921958673018</c:v>
                </c:pt>
                <c:pt idx="558">
                  <c:v>0.43423040438105276</c:v>
                </c:pt>
                <c:pt idx="559">
                  <c:v>0.41300712940821205</c:v>
                </c:pt>
                <c:pt idx="560">
                  <c:v>0.42267677220525379</c:v>
                </c:pt>
                <c:pt idx="561">
                  <c:v>0.42122518868466341</c:v>
                </c:pt>
                <c:pt idx="562">
                  <c:v>0.40387142000215492</c:v>
                </c:pt>
                <c:pt idx="563">
                  <c:v>0.39786188767476771</c:v>
                </c:pt>
                <c:pt idx="564">
                  <c:v>0.39861633988249245</c:v>
                </c:pt>
                <c:pt idx="565">
                  <c:v>0.40475545602110885</c:v>
                </c:pt>
                <c:pt idx="566">
                  <c:v>0.39653931713527424</c:v>
                </c:pt>
                <c:pt idx="567">
                  <c:v>0.39344921054244542</c:v>
                </c:pt>
                <c:pt idx="568">
                  <c:v>0.38014474426692058</c:v>
                </c:pt>
                <c:pt idx="569">
                  <c:v>0.37301241877449942</c:v>
                </c:pt>
                <c:pt idx="570">
                  <c:v>0.39035776629873808</c:v>
                </c:pt>
                <c:pt idx="571">
                  <c:v>0.3815288190485846</c:v>
                </c:pt>
                <c:pt idx="572">
                  <c:v>0.37208112899759804</c:v>
                </c:pt>
                <c:pt idx="573">
                  <c:v>0.37425075734255064</c:v>
                </c:pt>
                <c:pt idx="574">
                  <c:v>0.37341092989644409</c:v>
                </c:pt>
                <c:pt idx="575">
                  <c:v>0.37100256040697532</c:v>
                </c:pt>
                <c:pt idx="576">
                  <c:v>0.3899583509442337</c:v>
                </c:pt>
                <c:pt idx="577">
                  <c:v>0.39670835839774732</c:v>
                </c:pt>
                <c:pt idx="578">
                  <c:v>0.3577543608140219</c:v>
                </c:pt>
                <c:pt idx="579">
                  <c:v>0.35514045138431327</c:v>
                </c:pt>
                <c:pt idx="580">
                  <c:v>0.38093887882533539</c:v>
                </c:pt>
                <c:pt idx="581">
                  <c:v>0.3750271570105892</c:v>
                </c:pt>
                <c:pt idx="582">
                  <c:v>0.36016220250841191</c:v>
                </c:pt>
                <c:pt idx="583">
                  <c:v>0.34534460607629502</c:v>
                </c:pt>
                <c:pt idx="584">
                  <c:v>0.34891331606743536</c:v>
                </c:pt>
                <c:pt idx="585">
                  <c:v>0.36591928067550294</c:v>
                </c:pt>
                <c:pt idx="586">
                  <c:v>0.35204893974949636</c:v>
                </c:pt>
                <c:pt idx="587">
                  <c:v>0.36160030701419488</c:v>
                </c:pt>
                <c:pt idx="588">
                  <c:v>0.35828287391851421</c:v>
                </c:pt>
                <c:pt idx="589">
                  <c:v>0.36066317366375644</c:v>
                </c:pt>
                <c:pt idx="590">
                  <c:v>0.37301854299867054</c:v>
                </c:pt>
                <c:pt idx="591">
                  <c:v>0.35835429769902039</c:v>
                </c:pt>
                <c:pt idx="592">
                  <c:v>0.34983831799688669</c:v>
                </c:pt>
                <c:pt idx="593">
                  <c:v>0.35268246980659557</c:v>
                </c:pt>
                <c:pt idx="594">
                  <c:v>0.367954601188762</c:v>
                </c:pt>
                <c:pt idx="595">
                  <c:v>0.35289818099550518</c:v>
                </c:pt>
                <c:pt idx="596">
                  <c:v>0.34845121621913067</c:v>
                </c:pt>
                <c:pt idx="597">
                  <c:v>0.35059427407526988</c:v>
                </c:pt>
                <c:pt idx="598">
                  <c:v>0.37636303831326079</c:v>
                </c:pt>
                <c:pt idx="599">
                  <c:v>0.37736028542266631</c:v>
                </c:pt>
                <c:pt idx="600">
                  <c:v>0.37363226203881372</c:v>
                </c:pt>
                <c:pt idx="601">
                  <c:v>0.39838447506995456</c:v>
                </c:pt>
                <c:pt idx="602">
                  <c:v>0.42119455127461536</c:v>
                </c:pt>
                <c:pt idx="603">
                  <c:v>0.44936396818489999</c:v>
                </c:pt>
                <c:pt idx="604">
                  <c:v>0.46768555986494098</c:v>
                </c:pt>
                <c:pt idx="605">
                  <c:v>0.48488142657082101</c:v>
                </c:pt>
                <c:pt idx="606">
                  <c:v>0.4813831754630955</c:v>
                </c:pt>
                <c:pt idx="607">
                  <c:v>0.48927418507801357</c:v>
                </c:pt>
                <c:pt idx="608">
                  <c:v>0.48552227500796974</c:v>
                </c:pt>
                <c:pt idx="609">
                  <c:v>0.50128363616572735</c:v>
                </c:pt>
                <c:pt idx="610">
                  <c:v>0.49796778412023057</c:v>
                </c:pt>
                <c:pt idx="611">
                  <c:v>0.51315047971544447</c:v>
                </c:pt>
                <c:pt idx="612">
                  <c:v>0.50429018999975872</c:v>
                </c:pt>
                <c:pt idx="613">
                  <c:v>0.50710298673269505</c:v>
                </c:pt>
                <c:pt idx="614">
                  <c:v>0.49949291365059212</c:v>
                </c:pt>
                <c:pt idx="615">
                  <c:v>0.49920512348878976</c:v>
                </c:pt>
                <c:pt idx="616">
                  <c:v>0.50543165311099458</c:v>
                </c:pt>
                <c:pt idx="617">
                  <c:v>0.47056487241229816</c:v>
                </c:pt>
                <c:pt idx="618">
                  <c:v>0.47641513715208594</c:v>
                </c:pt>
                <c:pt idx="619">
                  <c:v>0.46843601230919218</c:v>
                </c:pt>
                <c:pt idx="620">
                  <c:v>0.46600066294329245</c:v>
                </c:pt>
                <c:pt idx="621">
                  <c:v>0.46654609277015835</c:v>
                </c:pt>
                <c:pt idx="622">
                  <c:v>0.46263451328050387</c:v>
                </c:pt>
                <c:pt idx="623">
                  <c:v>0.46268474973983009</c:v>
                </c:pt>
                <c:pt idx="624">
                  <c:v>0.46062418388085558</c:v>
                </c:pt>
                <c:pt idx="625">
                  <c:v>0.47835020441318421</c:v>
                </c:pt>
                <c:pt idx="626">
                  <c:v>0.46583148932019736</c:v>
                </c:pt>
                <c:pt idx="627">
                  <c:v>0.48191005898568839</c:v>
                </c:pt>
                <c:pt idx="628">
                  <c:v>0.48408101825625427</c:v>
                </c:pt>
                <c:pt idx="629">
                  <c:v>0.50341263827548421</c:v>
                </c:pt>
                <c:pt idx="630">
                  <c:v>0.49523910728483478</c:v>
                </c:pt>
                <c:pt idx="631">
                  <c:v>0.50259262958023099</c:v>
                </c:pt>
                <c:pt idx="632">
                  <c:v>0.50785578892179184</c:v>
                </c:pt>
                <c:pt idx="633">
                  <c:v>0.48926997387974258</c:v>
                </c:pt>
                <c:pt idx="634">
                  <c:v>0.49675616714478332</c:v>
                </c:pt>
                <c:pt idx="635">
                  <c:v>0.49080898816101426</c:v>
                </c:pt>
                <c:pt idx="636">
                  <c:v>0.48884111663648921</c:v>
                </c:pt>
                <c:pt idx="637">
                  <c:v>0.52108872747758062</c:v>
                </c:pt>
                <c:pt idx="638">
                  <c:v>0.51773223359531406</c:v>
                </c:pt>
                <c:pt idx="639">
                  <c:v>0.53109262639616883</c:v>
                </c:pt>
                <c:pt idx="640">
                  <c:v>0.52934095229711686</c:v>
                </c:pt>
                <c:pt idx="641">
                  <c:v>0.52858127069178185</c:v>
                </c:pt>
                <c:pt idx="642">
                  <c:v>0.55377982225245503</c:v>
                </c:pt>
                <c:pt idx="643">
                  <c:v>0.5595453876237948</c:v>
                </c:pt>
                <c:pt idx="644">
                  <c:v>0.57296184463593813</c:v>
                </c:pt>
                <c:pt idx="645">
                  <c:v>0.58900034120741607</c:v>
                </c:pt>
                <c:pt idx="646">
                  <c:v>0.5746266951096104</c:v>
                </c:pt>
                <c:pt idx="647">
                  <c:v>0.56547500217450253</c:v>
                </c:pt>
                <c:pt idx="648">
                  <c:v>0.56971353192469198</c:v>
                </c:pt>
                <c:pt idx="649">
                  <c:v>0.57095756415206189</c:v>
                </c:pt>
                <c:pt idx="650">
                  <c:v>0.5577647940341024</c:v>
                </c:pt>
                <c:pt idx="651">
                  <c:v>0.567624773705522</c:v>
                </c:pt>
                <c:pt idx="652">
                  <c:v>0.58138249495782324</c:v>
                </c:pt>
                <c:pt idx="653">
                  <c:v>0.60668601310368908</c:v>
                </c:pt>
                <c:pt idx="654">
                  <c:v>0.58848176903555061</c:v>
                </c:pt>
                <c:pt idx="655">
                  <c:v>0.60562739972404644</c:v>
                </c:pt>
                <c:pt idx="656">
                  <c:v>0.58171312842349621</c:v>
                </c:pt>
                <c:pt idx="657">
                  <c:v>0.55744973969410072</c:v>
                </c:pt>
                <c:pt idx="658">
                  <c:v>0.55582694679219458</c:v>
                </c:pt>
                <c:pt idx="659">
                  <c:v>0.53808190217947671</c:v>
                </c:pt>
                <c:pt idx="660">
                  <c:v>0.55495851002901708</c:v>
                </c:pt>
                <c:pt idx="661">
                  <c:v>0.53927028317457237</c:v>
                </c:pt>
                <c:pt idx="662">
                  <c:v>0.5126766140517649</c:v>
                </c:pt>
                <c:pt idx="663">
                  <c:v>0.52250115116701679</c:v>
                </c:pt>
                <c:pt idx="664">
                  <c:v>0.51938731387335291</c:v>
                </c:pt>
                <c:pt idx="665">
                  <c:v>0.52035456414269432</c:v>
                </c:pt>
                <c:pt idx="666">
                  <c:v>0.56343209382271264</c:v>
                </c:pt>
                <c:pt idx="667">
                  <c:v>0.55795987095514232</c:v>
                </c:pt>
                <c:pt idx="668">
                  <c:v>0.56435085320251477</c:v>
                </c:pt>
                <c:pt idx="669">
                  <c:v>0.56892359724927899</c:v>
                </c:pt>
                <c:pt idx="670">
                  <c:v>0.59697381442970765</c:v>
                </c:pt>
                <c:pt idx="671">
                  <c:v>0.54870981124174945</c:v>
                </c:pt>
                <c:pt idx="672">
                  <c:v>0.56293118963738609</c:v>
                </c:pt>
                <c:pt idx="673">
                  <c:v>0.54974940403100336</c:v>
                </c:pt>
                <c:pt idx="674">
                  <c:v>0.56486344641169683</c:v>
                </c:pt>
                <c:pt idx="675">
                  <c:v>0.56072592072347227</c:v>
                </c:pt>
                <c:pt idx="676">
                  <c:v>0.54969609246963791</c:v>
                </c:pt>
                <c:pt idx="677">
                  <c:v>0.50180988753688061</c:v>
                </c:pt>
                <c:pt idx="678">
                  <c:v>0.4969299430386247</c:v>
                </c:pt>
                <c:pt idx="679">
                  <c:v>0.51734519217222075</c:v>
                </c:pt>
                <c:pt idx="680">
                  <c:v>0.52579267460514534</c:v>
                </c:pt>
                <c:pt idx="681">
                  <c:v>0.53461980298322032</c:v>
                </c:pt>
                <c:pt idx="682">
                  <c:v>0.56741414066140816</c:v>
                </c:pt>
                <c:pt idx="683">
                  <c:v>0.5430787053788837</c:v>
                </c:pt>
                <c:pt idx="684">
                  <c:v>0.53662241871179828</c:v>
                </c:pt>
                <c:pt idx="685">
                  <c:v>0.54320201441660965</c:v>
                </c:pt>
                <c:pt idx="686">
                  <c:v>0.53674295490462054</c:v>
                </c:pt>
                <c:pt idx="687">
                  <c:v>0.53916116154902594</c:v>
                </c:pt>
                <c:pt idx="688">
                  <c:v>0.51497892666160427</c:v>
                </c:pt>
                <c:pt idx="689">
                  <c:v>0.51833578640459677</c:v>
                </c:pt>
                <c:pt idx="690">
                  <c:v>0.52206301965920576</c:v>
                </c:pt>
                <c:pt idx="691">
                  <c:v>0.53655581361506166</c:v>
                </c:pt>
                <c:pt idx="692">
                  <c:v>0.54801390538905381</c:v>
                </c:pt>
                <c:pt idx="693">
                  <c:v>0.57457602969589439</c:v>
                </c:pt>
                <c:pt idx="694">
                  <c:v>0.55255644401708515</c:v>
                </c:pt>
                <c:pt idx="695">
                  <c:v>0.55270604911074117</c:v>
                </c:pt>
                <c:pt idx="696">
                  <c:v>0.53524771339809751</c:v>
                </c:pt>
                <c:pt idx="697">
                  <c:v>0.51715614815044764</c:v>
                </c:pt>
                <c:pt idx="698">
                  <c:v>0.52196107732464858</c:v>
                </c:pt>
                <c:pt idx="699">
                  <c:v>0.50199877017013672</c:v>
                </c:pt>
                <c:pt idx="700">
                  <c:v>0.46187827058592568</c:v>
                </c:pt>
                <c:pt idx="701">
                  <c:v>0.47753973860459031</c:v>
                </c:pt>
                <c:pt idx="702">
                  <c:v>0.48903547783927337</c:v>
                </c:pt>
                <c:pt idx="703">
                  <c:v>0.47930488886427147</c:v>
                </c:pt>
                <c:pt idx="704">
                  <c:v>0.48157508593054987</c:v>
                </c:pt>
                <c:pt idx="705">
                  <c:v>0.48270575415355155</c:v>
                </c:pt>
                <c:pt idx="706">
                  <c:v>0.47683478383760836</c:v>
                </c:pt>
                <c:pt idx="707">
                  <c:v>0.47774943818363846</c:v>
                </c:pt>
                <c:pt idx="708">
                  <c:v>0.46217933119168531</c:v>
                </c:pt>
                <c:pt idx="709">
                  <c:v>0.4557508444404057</c:v>
                </c:pt>
                <c:pt idx="710">
                  <c:v>0.46873551450383943</c:v>
                </c:pt>
                <c:pt idx="711">
                  <c:v>0.47420715251233836</c:v>
                </c:pt>
                <c:pt idx="712">
                  <c:v>0.4611500259074186</c:v>
                </c:pt>
                <c:pt idx="713">
                  <c:v>0.44848769818239353</c:v>
                </c:pt>
                <c:pt idx="714">
                  <c:v>0.45764151158808075</c:v>
                </c:pt>
                <c:pt idx="715">
                  <c:v>0.49459103263334314</c:v>
                </c:pt>
                <c:pt idx="716">
                  <c:v>0.47704110185891957</c:v>
                </c:pt>
                <c:pt idx="717">
                  <c:v>0.47742076406330702</c:v>
                </c:pt>
                <c:pt idx="718">
                  <c:v>0.41717989506275877</c:v>
                </c:pt>
                <c:pt idx="719">
                  <c:v>0.42637153135629902</c:v>
                </c:pt>
                <c:pt idx="720">
                  <c:v>0.45483132471312415</c:v>
                </c:pt>
                <c:pt idx="721">
                  <c:v>0.42245709962907663</c:v>
                </c:pt>
                <c:pt idx="722">
                  <c:v>0.40556856340520753</c:v>
                </c:pt>
                <c:pt idx="723">
                  <c:v>0.41753301239706953</c:v>
                </c:pt>
                <c:pt idx="724">
                  <c:v>0.38994493531315388</c:v>
                </c:pt>
                <c:pt idx="725">
                  <c:v>0.38980475111117752</c:v>
                </c:pt>
                <c:pt idx="726">
                  <c:v>0.38318323602871285</c:v>
                </c:pt>
                <c:pt idx="727">
                  <c:v>0.38892593578059986</c:v>
                </c:pt>
                <c:pt idx="728">
                  <c:v>0.38633339451582449</c:v>
                </c:pt>
                <c:pt idx="729">
                  <c:v>0.41190048155430414</c:v>
                </c:pt>
                <c:pt idx="730">
                  <c:v>0.42617554204869323</c:v>
                </c:pt>
                <c:pt idx="731">
                  <c:v>0.41987711830797969</c:v>
                </c:pt>
                <c:pt idx="732">
                  <c:v>0.38945601949624731</c:v>
                </c:pt>
                <c:pt idx="733">
                  <c:v>0.42435453023026315</c:v>
                </c:pt>
                <c:pt idx="734">
                  <c:v>0.4546628522551317</c:v>
                </c:pt>
                <c:pt idx="735">
                  <c:v>0.45195392239372323</c:v>
                </c:pt>
                <c:pt idx="736">
                  <c:v>0.44526407775198074</c:v>
                </c:pt>
                <c:pt idx="737">
                  <c:v>0.38041241035922835</c:v>
                </c:pt>
                <c:pt idx="738">
                  <c:v>0.41043057816090345</c:v>
                </c:pt>
                <c:pt idx="739">
                  <c:v>0.42260999720499748</c:v>
                </c:pt>
                <c:pt idx="740">
                  <c:v>0.3273851435149997</c:v>
                </c:pt>
                <c:pt idx="741">
                  <c:v>0.30688812961699852</c:v>
                </c:pt>
                <c:pt idx="742">
                  <c:v>0.32687904012186175</c:v>
                </c:pt>
                <c:pt idx="743">
                  <c:v>0.3342861222870126</c:v>
                </c:pt>
                <c:pt idx="744">
                  <c:v>0.35832416373147069</c:v>
                </c:pt>
                <c:pt idx="745">
                  <c:v>0.37894013426292084</c:v>
                </c:pt>
                <c:pt idx="746">
                  <c:v>0.33281840393974793</c:v>
                </c:pt>
                <c:pt idx="747">
                  <c:v>0.34943795539240297</c:v>
                </c:pt>
                <c:pt idx="748">
                  <c:v>0.34345610872507004</c:v>
                </c:pt>
                <c:pt idx="749">
                  <c:v>0.33097513087125452</c:v>
                </c:pt>
                <c:pt idx="750">
                  <c:v>0.3369146304111319</c:v>
                </c:pt>
                <c:pt idx="751">
                  <c:v>0.31950806372200602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F7-4E47-B177-07D0716C6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50001"/>
        <c:axId val="50050002"/>
      </c:lineChart>
      <c:dateAx>
        <c:axId val="50050001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low"/>
        <c:crossAx val="50050002"/>
        <c:crosses val="autoZero"/>
        <c:auto val="1"/>
        <c:lblOffset val="100"/>
        <c:baseTimeUnit val="days"/>
        <c:majorUnit val="2"/>
        <c:majorTimeUnit val="months"/>
        <c:minorUnit val="2"/>
        <c:minorTimeUnit val="months"/>
      </c:dateAx>
      <c:valAx>
        <c:axId val="50050002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5.5145855723466392E-2"/>
          <c:y val="4.7886075051429354E-2"/>
          <c:w val="0.1259126400982607"/>
          <c:h val="5.430304320068099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Price vs EMA 200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'Share Price Analysis'!$A$36:$A$787</c:f>
              <c:numCache>
                <c:formatCode>yyyy\-mm\-dd</c:formatCode>
                <c:ptCount val="752"/>
                <c:pt idx="0">
                  <c:v>44991</c:v>
                </c:pt>
                <c:pt idx="1">
                  <c:v>44992</c:v>
                </c:pt>
                <c:pt idx="2">
                  <c:v>44993</c:v>
                </c:pt>
                <c:pt idx="3">
                  <c:v>44994</c:v>
                </c:pt>
                <c:pt idx="4">
                  <c:v>44995</c:v>
                </c:pt>
                <c:pt idx="5">
                  <c:v>44998</c:v>
                </c:pt>
                <c:pt idx="6">
                  <c:v>44999</c:v>
                </c:pt>
                <c:pt idx="7">
                  <c:v>45000</c:v>
                </c:pt>
                <c:pt idx="8">
                  <c:v>45001</c:v>
                </c:pt>
                <c:pt idx="9">
                  <c:v>45002</c:v>
                </c:pt>
                <c:pt idx="10">
                  <c:v>45005</c:v>
                </c:pt>
                <c:pt idx="11">
                  <c:v>45006</c:v>
                </c:pt>
                <c:pt idx="12">
                  <c:v>45007</c:v>
                </c:pt>
                <c:pt idx="13">
                  <c:v>45008</c:v>
                </c:pt>
                <c:pt idx="14">
                  <c:v>45009</c:v>
                </c:pt>
                <c:pt idx="15">
                  <c:v>45012</c:v>
                </c:pt>
                <c:pt idx="16">
                  <c:v>45013</c:v>
                </c:pt>
                <c:pt idx="17">
                  <c:v>45014</c:v>
                </c:pt>
                <c:pt idx="18">
                  <c:v>45015</c:v>
                </c:pt>
                <c:pt idx="19">
                  <c:v>45016</c:v>
                </c:pt>
                <c:pt idx="20">
                  <c:v>45019</c:v>
                </c:pt>
                <c:pt idx="21">
                  <c:v>45020</c:v>
                </c:pt>
                <c:pt idx="22">
                  <c:v>45021</c:v>
                </c:pt>
                <c:pt idx="23">
                  <c:v>45022</c:v>
                </c:pt>
                <c:pt idx="24">
                  <c:v>45026</c:v>
                </c:pt>
                <c:pt idx="25">
                  <c:v>45027</c:v>
                </c:pt>
                <c:pt idx="26">
                  <c:v>45028</c:v>
                </c:pt>
                <c:pt idx="27">
                  <c:v>45029</c:v>
                </c:pt>
                <c:pt idx="28">
                  <c:v>45030</c:v>
                </c:pt>
                <c:pt idx="29">
                  <c:v>45033</c:v>
                </c:pt>
                <c:pt idx="30">
                  <c:v>45034</c:v>
                </c:pt>
                <c:pt idx="31">
                  <c:v>45035</c:v>
                </c:pt>
                <c:pt idx="32">
                  <c:v>45036</c:v>
                </c:pt>
                <c:pt idx="33">
                  <c:v>45037</c:v>
                </c:pt>
                <c:pt idx="34">
                  <c:v>45040</c:v>
                </c:pt>
                <c:pt idx="35">
                  <c:v>45041</c:v>
                </c:pt>
                <c:pt idx="36">
                  <c:v>45042</c:v>
                </c:pt>
                <c:pt idx="37">
                  <c:v>45043</c:v>
                </c:pt>
                <c:pt idx="38">
                  <c:v>45044</c:v>
                </c:pt>
                <c:pt idx="39">
                  <c:v>45047</c:v>
                </c:pt>
                <c:pt idx="40">
                  <c:v>45048</c:v>
                </c:pt>
                <c:pt idx="41">
                  <c:v>45049</c:v>
                </c:pt>
                <c:pt idx="42">
                  <c:v>45050</c:v>
                </c:pt>
                <c:pt idx="43">
                  <c:v>45051</c:v>
                </c:pt>
                <c:pt idx="44">
                  <c:v>45054</c:v>
                </c:pt>
                <c:pt idx="45">
                  <c:v>45055</c:v>
                </c:pt>
                <c:pt idx="46">
                  <c:v>45056</c:v>
                </c:pt>
                <c:pt idx="47">
                  <c:v>45057</c:v>
                </c:pt>
                <c:pt idx="48">
                  <c:v>45058</c:v>
                </c:pt>
                <c:pt idx="49">
                  <c:v>45061</c:v>
                </c:pt>
                <c:pt idx="50">
                  <c:v>45062</c:v>
                </c:pt>
                <c:pt idx="51">
                  <c:v>45063</c:v>
                </c:pt>
                <c:pt idx="52">
                  <c:v>45064</c:v>
                </c:pt>
                <c:pt idx="53">
                  <c:v>45065</c:v>
                </c:pt>
                <c:pt idx="54">
                  <c:v>45068</c:v>
                </c:pt>
                <c:pt idx="55">
                  <c:v>45069</c:v>
                </c:pt>
                <c:pt idx="56">
                  <c:v>45070</c:v>
                </c:pt>
                <c:pt idx="57">
                  <c:v>45071</c:v>
                </c:pt>
                <c:pt idx="58">
                  <c:v>45072</c:v>
                </c:pt>
                <c:pt idx="59">
                  <c:v>45076</c:v>
                </c:pt>
                <c:pt idx="60">
                  <c:v>45077</c:v>
                </c:pt>
                <c:pt idx="61">
                  <c:v>45078</c:v>
                </c:pt>
                <c:pt idx="62">
                  <c:v>45079</c:v>
                </c:pt>
                <c:pt idx="63">
                  <c:v>45082</c:v>
                </c:pt>
                <c:pt idx="64">
                  <c:v>45083</c:v>
                </c:pt>
                <c:pt idx="65">
                  <c:v>45084</c:v>
                </c:pt>
                <c:pt idx="66">
                  <c:v>45085</c:v>
                </c:pt>
                <c:pt idx="67">
                  <c:v>45086</c:v>
                </c:pt>
                <c:pt idx="68">
                  <c:v>45089</c:v>
                </c:pt>
                <c:pt idx="69">
                  <c:v>45090</c:v>
                </c:pt>
                <c:pt idx="70">
                  <c:v>45091</c:v>
                </c:pt>
                <c:pt idx="71">
                  <c:v>45092</c:v>
                </c:pt>
                <c:pt idx="72">
                  <c:v>45093</c:v>
                </c:pt>
                <c:pt idx="73">
                  <c:v>45097</c:v>
                </c:pt>
                <c:pt idx="74">
                  <c:v>45098</c:v>
                </c:pt>
                <c:pt idx="75">
                  <c:v>45099</c:v>
                </c:pt>
                <c:pt idx="76">
                  <c:v>45100</c:v>
                </c:pt>
                <c:pt idx="77">
                  <c:v>45103</c:v>
                </c:pt>
                <c:pt idx="78">
                  <c:v>45104</c:v>
                </c:pt>
                <c:pt idx="79">
                  <c:v>45105</c:v>
                </c:pt>
                <c:pt idx="80">
                  <c:v>45106</c:v>
                </c:pt>
                <c:pt idx="81">
                  <c:v>45107</c:v>
                </c:pt>
                <c:pt idx="82">
                  <c:v>45110</c:v>
                </c:pt>
                <c:pt idx="83">
                  <c:v>45112</c:v>
                </c:pt>
                <c:pt idx="84">
                  <c:v>45113</c:v>
                </c:pt>
                <c:pt idx="85">
                  <c:v>45114</c:v>
                </c:pt>
                <c:pt idx="86">
                  <c:v>45117</c:v>
                </c:pt>
                <c:pt idx="87">
                  <c:v>45118</c:v>
                </c:pt>
                <c:pt idx="88">
                  <c:v>45119</c:v>
                </c:pt>
                <c:pt idx="89">
                  <c:v>45120</c:v>
                </c:pt>
                <c:pt idx="90">
                  <c:v>45121</c:v>
                </c:pt>
                <c:pt idx="91">
                  <c:v>45124</c:v>
                </c:pt>
                <c:pt idx="92">
                  <c:v>45125</c:v>
                </c:pt>
                <c:pt idx="93">
                  <c:v>45126</c:v>
                </c:pt>
                <c:pt idx="94">
                  <c:v>45127</c:v>
                </c:pt>
                <c:pt idx="95">
                  <c:v>45128</c:v>
                </c:pt>
                <c:pt idx="96">
                  <c:v>45131</c:v>
                </c:pt>
                <c:pt idx="97">
                  <c:v>45132</c:v>
                </c:pt>
                <c:pt idx="98">
                  <c:v>45133</c:v>
                </c:pt>
                <c:pt idx="99">
                  <c:v>45134</c:v>
                </c:pt>
                <c:pt idx="100">
                  <c:v>45135</c:v>
                </c:pt>
                <c:pt idx="101">
                  <c:v>45138</c:v>
                </c:pt>
                <c:pt idx="102">
                  <c:v>45139</c:v>
                </c:pt>
                <c:pt idx="103">
                  <c:v>45140</c:v>
                </c:pt>
                <c:pt idx="104">
                  <c:v>45141</c:v>
                </c:pt>
                <c:pt idx="105">
                  <c:v>45142</c:v>
                </c:pt>
                <c:pt idx="106">
                  <c:v>45145</c:v>
                </c:pt>
                <c:pt idx="107">
                  <c:v>45146</c:v>
                </c:pt>
                <c:pt idx="108">
                  <c:v>45147</c:v>
                </c:pt>
                <c:pt idx="109">
                  <c:v>45148</c:v>
                </c:pt>
                <c:pt idx="110">
                  <c:v>45149</c:v>
                </c:pt>
                <c:pt idx="111">
                  <c:v>45152</c:v>
                </c:pt>
                <c:pt idx="112">
                  <c:v>45153</c:v>
                </c:pt>
                <c:pt idx="113">
                  <c:v>45154</c:v>
                </c:pt>
                <c:pt idx="114">
                  <c:v>45155</c:v>
                </c:pt>
                <c:pt idx="115">
                  <c:v>45156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45166</c:v>
                </c:pt>
                <c:pt idx="122">
                  <c:v>45167</c:v>
                </c:pt>
                <c:pt idx="123">
                  <c:v>45168</c:v>
                </c:pt>
                <c:pt idx="124">
                  <c:v>45169</c:v>
                </c:pt>
                <c:pt idx="125">
                  <c:v>45170</c:v>
                </c:pt>
                <c:pt idx="126">
                  <c:v>45174</c:v>
                </c:pt>
                <c:pt idx="127">
                  <c:v>45175</c:v>
                </c:pt>
                <c:pt idx="128">
                  <c:v>45176</c:v>
                </c:pt>
                <c:pt idx="129">
                  <c:v>45177</c:v>
                </c:pt>
                <c:pt idx="130">
                  <c:v>45180</c:v>
                </c:pt>
                <c:pt idx="131">
                  <c:v>45181</c:v>
                </c:pt>
                <c:pt idx="132">
                  <c:v>45182</c:v>
                </c:pt>
                <c:pt idx="133">
                  <c:v>45183</c:v>
                </c:pt>
                <c:pt idx="134">
                  <c:v>45184</c:v>
                </c:pt>
                <c:pt idx="135">
                  <c:v>45187</c:v>
                </c:pt>
                <c:pt idx="136">
                  <c:v>45188</c:v>
                </c:pt>
                <c:pt idx="137">
                  <c:v>45189</c:v>
                </c:pt>
                <c:pt idx="138">
                  <c:v>45190</c:v>
                </c:pt>
                <c:pt idx="139">
                  <c:v>45191</c:v>
                </c:pt>
                <c:pt idx="140">
                  <c:v>45194</c:v>
                </c:pt>
                <c:pt idx="141">
                  <c:v>45195</c:v>
                </c:pt>
                <c:pt idx="142">
                  <c:v>45196</c:v>
                </c:pt>
                <c:pt idx="143">
                  <c:v>45197</c:v>
                </c:pt>
                <c:pt idx="144">
                  <c:v>45198</c:v>
                </c:pt>
                <c:pt idx="145">
                  <c:v>45201</c:v>
                </c:pt>
                <c:pt idx="146">
                  <c:v>45202</c:v>
                </c:pt>
                <c:pt idx="147">
                  <c:v>45203</c:v>
                </c:pt>
                <c:pt idx="148">
                  <c:v>45204</c:v>
                </c:pt>
                <c:pt idx="149">
                  <c:v>45205</c:v>
                </c:pt>
                <c:pt idx="150">
                  <c:v>45208</c:v>
                </c:pt>
                <c:pt idx="151">
                  <c:v>45209</c:v>
                </c:pt>
                <c:pt idx="152">
                  <c:v>45210</c:v>
                </c:pt>
                <c:pt idx="153">
                  <c:v>45211</c:v>
                </c:pt>
                <c:pt idx="154">
                  <c:v>45212</c:v>
                </c:pt>
                <c:pt idx="155">
                  <c:v>45215</c:v>
                </c:pt>
                <c:pt idx="156">
                  <c:v>45216</c:v>
                </c:pt>
                <c:pt idx="157">
                  <c:v>45217</c:v>
                </c:pt>
                <c:pt idx="158">
                  <c:v>45218</c:v>
                </c:pt>
                <c:pt idx="159">
                  <c:v>45219</c:v>
                </c:pt>
                <c:pt idx="160">
                  <c:v>45222</c:v>
                </c:pt>
                <c:pt idx="161">
                  <c:v>45223</c:v>
                </c:pt>
                <c:pt idx="162">
                  <c:v>45224</c:v>
                </c:pt>
                <c:pt idx="163">
                  <c:v>45225</c:v>
                </c:pt>
                <c:pt idx="164">
                  <c:v>45226</c:v>
                </c:pt>
                <c:pt idx="165">
                  <c:v>45229</c:v>
                </c:pt>
                <c:pt idx="166">
                  <c:v>45230</c:v>
                </c:pt>
                <c:pt idx="167">
                  <c:v>45231</c:v>
                </c:pt>
                <c:pt idx="168">
                  <c:v>45232</c:v>
                </c:pt>
                <c:pt idx="169">
                  <c:v>45233</c:v>
                </c:pt>
                <c:pt idx="170">
                  <c:v>45236</c:v>
                </c:pt>
                <c:pt idx="171">
                  <c:v>45237</c:v>
                </c:pt>
                <c:pt idx="172">
                  <c:v>45238</c:v>
                </c:pt>
                <c:pt idx="173">
                  <c:v>45239</c:v>
                </c:pt>
                <c:pt idx="174">
                  <c:v>45240</c:v>
                </c:pt>
                <c:pt idx="175">
                  <c:v>45243</c:v>
                </c:pt>
                <c:pt idx="176">
                  <c:v>45244</c:v>
                </c:pt>
                <c:pt idx="177">
                  <c:v>45245</c:v>
                </c:pt>
                <c:pt idx="178">
                  <c:v>45246</c:v>
                </c:pt>
                <c:pt idx="179">
                  <c:v>45247</c:v>
                </c:pt>
                <c:pt idx="180">
                  <c:v>45250</c:v>
                </c:pt>
                <c:pt idx="181">
                  <c:v>45251</c:v>
                </c:pt>
                <c:pt idx="182">
                  <c:v>45252</c:v>
                </c:pt>
                <c:pt idx="183">
                  <c:v>45254</c:v>
                </c:pt>
                <c:pt idx="184">
                  <c:v>45257</c:v>
                </c:pt>
                <c:pt idx="185">
                  <c:v>45258</c:v>
                </c:pt>
                <c:pt idx="186">
                  <c:v>45259</c:v>
                </c:pt>
                <c:pt idx="187">
                  <c:v>45260</c:v>
                </c:pt>
                <c:pt idx="188">
                  <c:v>45261</c:v>
                </c:pt>
                <c:pt idx="189">
                  <c:v>45264</c:v>
                </c:pt>
                <c:pt idx="190">
                  <c:v>45265</c:v>
                </c:pt>
                <c:pt idx="191">
                  <c:v>45266</c:v>
                </c:pt>
                <c:pt idx="192">
                  <c:v>45267</c:v>
                </c:pt>
                <c:pt idx="193">
                  <c:v>45268</c:v>
                </c:pt>
                <c:pt idx="194">
                  <c:v>45271</c:v>
                </c:pt>
                <c:pt idx="195">
                  <c:v>45272</c:v>
                </c:pt>
                <c:pt idx="196">
                  <c:v>45273</c:v>
                </c:pt>
                <c:pt idx="197">
                  <c:v>45274</c:v>
                </c:pt>
                <c:pt idx="198">
                  <c:v>45275</c:v>
                </c:pt>
                <c:pt idx="199">
                  <c:v>45278</c:v>
                </c:pt>
                <c:pt idx="200">
                  <c:v>45279</c:v>
                </c:pt>
                <c:pt idx="201">
                  <c:v>45280</c:v>
                </c:pt>
                <c:pt idx="202">
                  <c:v>45281</c:v>
                </c:pt>
                <c:pt idx="203">
                  <c:v>45282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45307</c:v>
                </c:pt>
                <c:pt idx="218">
                  <c:v>45308</c:v>
                </c:pt>
                <c:pt idx="219">
                  <c:v>45309</c:v>
                </c:pt>
                <c:pt idx="220">
                  <c:v>45310</c:v>
                </c:pt>
                <c:pt idx="221">
                  <c:v>45313</c:v>
                </c:pt>
                <c:pt idx="222">
                  <c:v>45314</c:v>
                </c:pt>
                <c:pt idx="223">
                  <c:v>45315</c:v>
                </c:pt>
                <c:pt idx="224">
                  <c:v>45316</c:v>
                </c:pt>
                <c:pt idx="225">
                  <c:v>45317</c:v>
                </c:pt>
                <c:pt idx="226">
                  <c:v>45320</c:v>
                </c:pt>
                <c:pt idx="227">
                  <c:v>45321</c:v>
                </c:pt>
                <c:pt idx="228">
                  <c:v>45322</c:v>
                </c:pt>
                <c:pt idx="229">
                  <c:v>45323</c:v>
                </c:pt>
                <c:pt idx="230">
                  <c:v>45324</c:v>
                </c:pt>
                <c:pt idx="231">
                  <c:v>45327</c:v>
                </c:pt>
                <c:pt idx="232">
                  <c:v>45328</c:v>
                </c:pt>
                <c:pt idx="233">
                  <c:v>45329</c:v>
                </c:pt>
                <c:pt idx="234">
                  <c:v>45330</c:v>
                </c:pt>
                <c:pt idx="235">
                  <c:v>45331</c:v>
                </c:pt>
                <c:pt idx="236">
                  <c:v>45334</c:v>
                </c:pt>
                <c:pt idx="237">
                  <c:v>45335</c:v>
                </c:pt>
                <c:pt idx="238">
                  <c:v>45336</c:v>
                </c:pt>
                <c:pt idx="239">
                  <c:v>45337</c:v>
                </c:pt>
                <c:pt idx="240">
                  <c:v>45338</c:v>
                </c:pt>
                <c:pt idx="241">
                  <c:v>45342</c:v>
                </c:pt>
                <c:pt idx="242">
                  <c:v>45343</c:v>
                </c:pt>
                <c:pt idx="243">
                  <c:v>45344</c:v>
                </c:pt>
                <c:pt idx="244">
                  <c:v>45345</c:v>
                </c:pt>
                <c:pt idx="245">
                  <c:v>45348</c:v>
                </c:pt>
                <c:pt idx="246">
                  <c:v>45349</c:v>
                </c:pt>
                <c:pt idx="247">
                  <c:v>45350</c:v>
                </c:pt>
                <c:pt idx="248">
                  <c:v>45351</c:v>
                </c:pt>
                <c:pt idx="249">
                  <c:v>45352</c:v>
                </c:pt>
                <c:pt idx="250">
                  <c:v>45355</c:v>
                </c:pt>
                <c:pt idx="251">
                  <c:v>45356</c:v>
                </c:pt>
                <c:pt idx="252">
                  <c:v>45357</c:v>
                </c:pt>
                <c:pt idx="253">
                  <c:v>45358</c:v>
                </c:pt>
                <c:pt idx="254">
                  <c:v>45359</c:v>
                </c:pt>
                <c:pt idx="255">
                  <c:v>45362</c:v>
                </c:pt>
                <c:pt idx="256">
                  <c:v>45363</c:v>
                </c:pt>
                <c:pt idx="257">
                  <c:v>45364</c:v>
                </c:pt>
                <c:pt idx="258">
                  <c:v>45365</c:v>
                </c:pt>
                <c:pt idx="259">
                  <c:v>45366</c:v>
                </c:pt>
                <c:pt idx="260">
                  <c:v>45369</c:v>
                </c:pt>
                <c:pt idx="261">
                  <c:v>45370</c:v>
                </c:pt>
                <c:pt idx="262">
                  <c:v>45371</c:v>
                </c:pt>
                <c:pt idx="263">
                  <c:v>45372</c:v>
                </c:pt>
                <c:pt idx="264">
                  <c:v>45373</c:v>
                </c:pt>
                <c:pt idx="265">
                  <c:v>45376</c:v>
                </c:pt>
                <c:pt idx="266">
                  <c:v>45377</c:v>
                </c:pt>
                <c:pt idx="267">
                  <c:v>45378</c:v>
                </c:pt>
                <c:pt idx="268">
                  <c:v>45379</c:v>
                </c:pt>
                <c:pt idx="269">
                  <c:v>45383</c:v>
                </c:pt>
                <c:pt idx="270">
                  <c:v>45384</c:v>
                </c:pt>
                <c:pt idx="271">
                  <c:v>45385</c:v>
                </c:pt>
                <c:pt idx="272">
                  <c:v>45386</c:v>
                </c:pt>
                <c:pt idx="273">
                  <c:v>45387</c:v>
                </c:pt>
                <c:pt idx="274">
                  <c:v>45390</c:v>
                </c:pt>
                <c:pt idx="275">
                  <c:v>45391</c:v>
                </c:pt>
                <c:pt idx="276">
                  <c:v>45392</c:v>
                </c:pt>
                <c:pt idx="277">
                  <c:v>45393</c:v>
                </c:pt>
                <c:pt idx="278">
                  <c:v>45394</c:v>
                </c:pt>
                <c:pt idx="279">
                  <c:v>45397</c:v>
                </c:pt>
                <c:pt idx="280">
                  <c:v>45398</c:v>
                </c:pt>
                <c:pt idx="281">
                  <c:v>45399</c:v>
                </c:pt>
                <c:pt idx="282">
                  <c:v>45400</c:v>
                </c:pt>
                <c:pt idx="283">
                  <c:v>45401</c:v>
                </c:pt>
                <c:pt idx="284">
                  <c:v>45404</c:v>
                </c:pt>
                <c:pt idx="285">
                  <c:v>45405</c:v>
                </c:pt>
                <c:pt idx="286">
                  <c:v>45406</c:v>
                </c:pt>
                <c:pt idx="287">
                  <c:v>45407</c:v>
                </c:pt>
                <c:pt idx="288">
                  <c:v>45408</c:v>
                </c:pt>
                <c:pt idx="289">
                  <c:v>45411</c:v>
                </c:pt>
                <c:pt idx="290">
                  <c:v>45412</c:v>
                </c:pt>
                <c:pt idx="291">
                  <c:v>45413</c:v>
                </c:pt>
                <c:pt idx="292">
                  <c:v>45414</c:v>
                </c:pt>
                <c:pt idx="293">
                  <c:v>45415</c:v>
                </c:pt>
                <c:pt idx="294">
                  <c:v>45418</c:v>
                </c:pt>
                <c:pt idx="295">
                  <c:v>45419</c:v>
                </c:pt>
                <c:pt idx="296">
                  <c:v>45420</c:v>
                </c:pt>
                <c:pt idx="297">
                  <c:v>45421</c:v>
                </c:pt>
                <c:pt idx="298">
                  <c:v>45422</c:v>
                </c:pt>
                <c:pt idx="299">
                  <c:v>45425</c:v>
                </c:pt>
                <c:pt idx="300">
                  <c:v>45426</c:v>
                </c:pt>
                <c:pt idx="301">
                  <c:v>45427</c:v>
                </c:pt>
                <c:pt idx="302">
                  <c:v>45428</c:v>
                </c:pt>
                <c:pt idx="303">
                  <c:v>45429</c:v>
                </c:pt>
                <c:pt idx="304">
                  <c:v>45432</c:v>
                </c:pt>
                <c:pt idx="305">
                  <c:v>45433</c:v>
                </c:pt>
                <c:pt idx="306">
                  <c:v>45434</c:v>
                </c:pt>
                <c:pt idx="307">
                  <c:v>45435</c:v>
                </c:pt>
                <c:pt idx="308">
                  <c:v>45436</c:v>
                </c:pt>
                <c:pt idx="309">
                  <c:v>45440</c:v>
                </c:pt>
                <c:pt idx="310">
                  <c:v>45441</c:v>
                </c:pt>
                <c:pt idx="311">
                  <c:v>45442</c:v>
                </c:pt>
                <c:pt idx="312">
                  <c:v>45443</c:v>
                </c:pt>
                <c:pt idx="313">
                  <c:v>45446</c:v>
                </c:pt>
                <c:pt idx="314">
                  <c:v>45447</c:v>
                </c:pt>
                <c:pt idx="315">
                  <c:v>45448</c:v>
                </c:pt>
                <c:pt idx="316">
                  <c:v>45449</c:v>
                </c:pt>
                <c:pt idx="317">
                  <c:v>45450</c:v>
                </c:pt>
                <c:pt idx="318">
                  <c:v>45453</c:v>
                </c:pt>
                <c:pt idx="319">
                  <c:v>45454</c:v>
                </c:pt>
                <c:pt idx="320">
                  <c:v>45455</c:v>
                </c:pt>
                <c:pt idx="321">
                  <c:v>45456</c:v>
                </c:pt>
                <c:pt idx="322">
                  <c:v>45457</c:v>
                </c:pt>
                <c:pt idx="323">
                  <c:v>45460</c:v>
                </c:pt>
                <c:pt idx="324">
                  <c:v>45461</c:v>
                </c:pt>
                <c:pt idx="325">
                  <c:v>45463</c:v>
                </c:pt>
                <c:pt idx="326">
                  <c:v>45464</c:v>
                </c:pt>
                <c:pt idx="327">
                  <c:v>45467</c:v>
                </c:pt>
                <c:pt idx="328">
                  <c:v>45468</c:v>
                </c:pt>
                <c:pt idx="329">
                  <c:v>45469</c:v>
                </c:pt>
                <c:pt idx="330">
                  <c:v>45470</c:v>
                </c:pt>
                <c:pt idx="331">
                  <c:v>45471</c:v>
                </c:pt>
                <c:pt idx="332">
                  <c:v>45474</c:v>
                </c:pt>
                <c:pt idx="333">
                  <c:v>45475</c:v>
                </c:pt>
                <c:pt idx="334">
                  <c:v>45476</c:v>
                </c:pt>
                <c:pt idx="335">
                  <c:v>45478</c:v>
                </c:pt>
                <c:pt idx="336">
                  <c:v>45481</c:v>
                </c:pt>
                <c:pt idx="337">
                  <c:v>45482</c:v>
                </c:pt>
                <c:pt idx="338">
                  <c:v>45483</c:v>
                </c:pt>
                <c:pt idx="339">
                  <c:v>45484</c:v>
                </c:pt>
                <c:pt idx="340">
                  <c:v>45485</c:v>
                </c:pt>
                <c:pt idx="341">
                  <c:v>45488</c:v>
                </c:pt>
                <c:pt idx="342">
                  <c:v>45489</c:v>
                </c:pt>
                <c:pt idx="343">
                  <c:v>45490</c:v>
                </c:pt>
                <c:pt idx="344">
                  <c:v>45491</c:v>
                </c:pt>
                <c:pt idx="345">
                  <c:v>45492</c:v>
                </c:pt>
                <c:pt idx="346">
                  <c:v>45495</c:v>
                </c:pt>
                <c:pt idx="347">
                  <c:v>45496</c:v>
                </c:pt>
                <c:pt idx="348">
                  <c:v>45497</c:v>
                </c:pt>
                <c:pt idx="349">
                  <c:v>45498</c:v>
                </c:pt>
                <c:pt idx="350">
                  <c:v>45499</c:v>
                </c:pt>
                <c:pt idx="351">
                  <c:v>45502</c:v>
                </c:pt>
                <c:pt idx="352">
                  <c:v>45503</c:v>
                </c:pt>
                <c:pt idx="353">
                  <c:v>45504</c:v>
                </c:pt>
                <c:pt idx="354">
                  <c:v>45505</c:v>
                </c:pt>
                <c:pt idx="355">
                  <c:v>45506</c:v>
                </c:pt>
                <c:pt idx="356">
                  <c:v>45509</c:v>
                </c:pt>
                <c:pt idx="357">
                  <c:v>45510</c:v>
                </c:pt>
                <c:pt idx="358">
                  <c:v>45511</c:v>
                </c:pt>
                <c:pt idx="359">
                  <c:v>45512</c:v>
                </c:pt>
                <c:pt idx="360">
                  <c:v>45513</c:v>
                </c:pt>
                <c:pt idx="361">
                  <c:v>45516</c:v>
                </c:pt>
                <c:pt idx="362">
                  <c:v>45517</c:v>
                </c:pt>
                <c:pt idx="363">
                  <c:v>45518</c:v>
                </c:pt>
                <c:pt idx="364">
                  <c:v>45519</c:v>
                </c:pt>
                <c:pt idx="365">
                  <c:v>45520</c:v>
                </c:pt>
                <c:pt idx="366">
                  <c:v>45523</c:v>
                </c:pt>
                <c:pt idx="367">
                  <c:v>45524</c:v>
                </c:pt>
                <c:pt idx="368">
                  <c:v>45525</c:v>
                </c:pt>
                <c:pt idx="369">
                  <c:v>45526</c:v>
                </c:pt>
                <c:pt idx="370">
                  <c:v>45527</c:v>
                </c:pt>
                <c:pt idx="371">
                  <c:v>45530</c:v>
                </c:pt>
                <c:pt idx="372">
                  <c:v>45531</c:v>
                </c:pt>
                <c:pt idx="373">
                  <c:v>45532</c:v>
                </c:pt>
                <c:pt idx="374">
                  <c:v>45533</c:v>
                </c:pt>
                <c:pt idx="375">
                  <c:v>45534</c:v>
                </c:pt>
                <c:pt idx="376">
                  <c:v>45538</c:v>
                </c:pt>
                <c:pt idx="377">
                  <c:v>45539</c:v>
                </c:pt>
                <c:pt idx="378">
                  <c:v>45540</c:v>
                </c:pt>
                <c:pt idx="379">
                  <c:v>45541</c:v>
                </c:pt>
                <c:pt idx="380">
                  <c:v>45544</c:v>
                </c:pt>
                <c:pt idx="381">
                  <c:v>45545</c:v>
                </c:pt>
                <c:pt idx="382">
                  <c:v>45546</c:v>
                </c:pt>
                <c:pt idx="383">
                  <c:v>45547</c:v>
                </c:pt>
                <c:pt idx="384">
                  <c:v>45548</c:v>
                </c:pt>
                <c:pt idx="385">
                  <c:v>45551</c:v>
                </c:pt>
                <c:pt idx="386">
                  <c:v>45552</c:v>
                </c:pt>
                <c:pt idx="387">
                  <c:v>45553</c:v>
                </c:pt>
                <c:pt idx="388">
                  <c:v>45554</c:v>
                </c:pt>
                <c:pt idx="389">
                  <c:v>45555</c:v>
                </c:pt>
                <c:pt idx="390">
                  <c:v>45558</c:v>
                </c:pt>
                <c:pt idx="391">
                  <c:v>45559</c:v>
                </c:pt>
                <c:pt idx="392">
                  <c:v>45560</c:v>
                </c:pt>
                <c:pt idx="393">
                  <c:v>45561</c:v>
                </c:pt>
                <c:pt idx="394">
                  <c:v>45562</c:v>
                </c:pt>
                <c:pt idx="395">
                  <c:v>45565</c:v>
                </c:pt>
                <c:pt idx="396">
                  <c:v>45566</c:v>
                </c:pt>
                <c:pt idx="397">
                  <c:v>45567</c:v>
                </c:pt>
                <c:pt idx="398">
                  <c:v>45568</c:v>
                </c:pt>
                <c:pt idx="399">
                  <c:v>45569</c:v>
                </c:pt>
                <c:pt idx="400">
                  <c:v>45572</c:v>
                </c:pt>
                <c:pt idx="401">
                  <c:v>45573</c:v>
                </c:pt>
                <c:pt idx="402">
                  <c:v>45574</c:v>
                </c:pt>
                <c:pt idx="403">
                  <c:v>45575</c:v>
                </c:pt>
                <c:pt idx="404">
                  <c:v>45576</c:v>
                </c:pt>
                <c:pt idx="405">
                  <c:v>45579</c:v>
                </c:pt>
                <c:pt idx="406">
                  <c:v>45580</c:v>
                </c:pt>
                <c:pt idx="407">
                  <c:v>45581</c:v>
                </c:pt>
                <c:pt idx="408">
                  <c:v>45582</c:v>
                </c:pt>
                <c:pt idx="409">
                  <c:v>45583</c:v>
                </c:pt>
                <c:pt idx="410">
                  <c:v>45586</c:v>
                </c:pt>
                <c:pt idx="411">
                  <c:v>45587</c:v>
                </c:pt>
                <c:pt idx="412">
                  <c:v>45588</c:v>
                </c:pt>
                <c:pt idx="413">
                  <c:v>45589</c:v>
                </c:pt>
                <c:pt idx="414">
                  <c:v>45590</c:v>
                </c:pt>
                <c:pt idx="415">
                  <c:v>45593</c:v>
                </c:pt>
                <c:pt idx="416">
                  <c:v>45594</c:v>
                </c:pt>
                <c:pt idx="417">
                  <c:v>45595</c:v>
                </c:pt>
                <c:pt idx="418">
                  <c:v>45596</c:v>
                </c:pt>
                <c:pt idx="419">
                  <c:v>45597</c:v>
                </c:pt>
                <c:pt idx="420">
                  <c:v>45600</c:v>
                </c:pt>
                <c:pt idx="421">
                  <c:v>45601</c:v>
                </c:pt>
                <c:pt idx="422">
                  <c:v>45602</c:v>
                </c:pt>
                <c:pt idx="423">
                  <c:v>45603</c:v>
                </c:pt>
                <c:pt idx="424">
                  <c:v>45604</c:v>
                </c:pt>
                <c:pt idx="425">
                  <c:v>45607</c:v>
                </c:pt>
                <c:pt idx="426">
                  <c:v>45608</c:v>
                </c:pt>
                <c:pt idx="427">
                  <c:v>45609</c:v>
                </c:pt>
                <c:pt idx="428">
                  <c:v>45610</c:v>
                </c:pt>
                <c:pt idx="429">
                  <c:v>45611</c:v>
                </c:pt>
                <c:pt idx="430">
                  <c:v>45614</c:v>
                </c:pt>
                <c:pt idx="431">
                  <c:v>45615</c:v>
                </c:pt>
                <c:pt idx="432">
                  <c:v>45616</c:v>
                </c:pt>
                <c:pt idx="433">
                  <c:v>45617</c:v>
                </c:pt>
                <c:pt idx="434">
                  <c:v>45618</c:v>
                </c:pt>
                <c:pt idx="435">
                  <c:v>45621</c:v>
                </c:pt>
                <c:pt idx="436">
                  <c:v>45622</c:v>
                </c:pt>
                <c:pt idx="437">
                  <c:v>45623</c:v>
                </c:pt>
                <c:pt idx="438">
                  <c:v>45625</c:v>
                </c:pt>
                <c:pt idx="439">
                  <c:v>45628</c:v>
                </c:pt>
                <c:pt idx="440">
                  <c:v>45629</c:v>
                </c:pt>
                <c:pt idx="441">
                  <c:v>45630</c:v>
                </c:pt>
                <c:pt idx="442">
                  <c:v>45631</c:v>
                </c:pt>
                <c:pt idx="443">
                  <c:v>45632</c:v>
                </c:pt>
                <c:pt idx="444">
                  <c:v>45635</c:v>
                </c:pt>
                <c:pt idx="445">
                  <c:v>45636</c:v>
                </c:pt>
                <c:pt idx="446">
                  <c:v>45637</c:v>
                </c:pt>
                <c:pt idx="447">
                  <c:v>45638</c:v>
                </c:pt>
                <c:pt idx="448">
                  <c:v>45639</c:v>
                </c:pt>
                <c:pt idx="449">
                  <c:v>45642</c:v>
                </c:pt>
                <c:pt idx="450">
                  <c:v>45643</c:v>
                </c:pt>
                <c:pt idx="451">
                  <c:v>45644</c:v>
                </c:pt>
                <c:pt idx="452">
                  <c:v>45645</c:v>
                </c:pt>
                <c:pt idx="453">
                  <c:v>45646</c:v>
                </c:pt>
                <c:pt idx="454">
                  <c:v>45649</c:v>
                </c:pt>
                <c:pt idx="455">
                  <c:v>45650</c:v>
                </c:pt>
                <c:pt idx="456">
                  <c:v>45652</c:v>
                </c:pt>
                <c:pt idx="457">
                  <c:v>45653</c:v>
                </c:pt>
                <c:pt idx="458">
                  <c:v>45656</c:v>
                </c:pt>
                <c:pt idx="459">
                  <c:v>45657</c:v>
                </c:pt>
                <c:pt idx="460">
                  <c:v>45659</c:v>
                </c:pt>
                <c:pt idx="461">
                  <c:v>45660</c:v>
                </c:pt>
                <c:pt idx="462">
                  <c:v>45663</c:v>
                </c:pt>
                <c:pt idx="463">
                  <c:v>45664</c:v>
                </c:pt>
                <c:pt idx="464">
                  <c:v>45665</c:v>
                </c:pt>
                <c:pt idx="465">
                  <c:v>45667</c:v>
                </c:pt>
                <c:pt idx="466">
                  <c:v>45670</c:v>
                </c:pt>
                <c:pt idx="467">
                  <c:v>45671</c:v>
                </c:pt>
                <c:pt idx="468">
                  <c:v>45672</c:v>
                </c:pt>
                <c:pt idx="469">
                  <c:v>45673</c:v>
                </c:pt>
                <c:pt idx="470">
                  <c:v>45674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45684</c:v>
                </c:pt>
                <c:pt idx="476">
                  <c:v>45685</c:v>
                </c:pt>
                <c:pt idx="477">
                  <c:v>45686</c:v>
                </c:pt>
                <c:pt idx="478">
                  <c:v>45687</c:v>
                </c:pt>
                <c:pt idx="479">
                  <c:v>45688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45706</c:v>
                </c:pt>
                <c:pt idx="491">
                  <c:v>45707</c:v>
                </c:pt>
                <c:pt idx="492">
                  <c:v>45708</c:v>
                </c:pt>
                <c:pt idx="493">
                  <c:v>45709</c:v>
                </c:pt>
                <c:pt idx="494">
                  <c:v>45712</c:v>
                </c:pt>
                <c:pt idx="495">
                  <c:v>45713</c:v>
                </c:pt>
                <c:pt idx="496">
                  <c:v>45714</c:v>
                </c:pt>
                <c:pt idx="497">
                  <c:v>45715</c:v>
                </c:pt>
                <c:pt idx="498">
                  <c:v>45716</c:v>
                </c:pt>
                <c:pt idx="499">
                  <c:v>45719</c:v>
                </c:pt>
                <c:pt idx="500">
                  <c:v>45720</c:v>
                </c:pt>
                <c:pt idx="501">
                  <c:v>45721</c:v>
                </c:pt>
                <c:pt idx="502">
                  <c:v>45722</c:v>
                </c:pt>
                <c:pt idx="503">
                  <c:v>45723</c:v>
                </c:pt>
                <c:pt idx="504">
                  <c:v>45726</c:v>
                </c:pt>
                <c:pt idx="505">
                  <c:v>45727</c:v>
                </c:pt>
                <c:pt idx="506">
                  <c:v>45728</c:v>
                </c:pt>
                <c:pt idx="507">
                  <c:v>45729</c:v>
                </c:pt>
                <c:pt idx="508">
                  <c:v>45730</c:v>
                </c:pt>
                <c:pt idx="509">
                  <c:v>45733</c:v>
                </c:pt>
                <c:pt idx="510">
                  <c:v>45734</c:v>
                </c:pt>
                <c:pt idx="511">
                  <c:v>45735</c:v>
                </c:pt>
                <c:pt idx="512">
                  <c:v>45736</c:v>
                </c:pt>
                <c:pt idx="513">
                  <c:v>45737</c:v>
                </c:pt>
                <c:pt idx="514">
                  <c:v>45740</c:v>
                </c:pt>
                <c:pt idx="515">
                  <c:v>45741</c:v>
                </c:pt>
                <c:pt idx="516">
                  <c:v>45742</c:v>
                </c:pt>
                <c:pt idx="517">
                  <c:v>45743</c:v>
                </c:pt>
                <c:pt idx="518">
                  <c:v>45744</c:v>
                </c:pt>
                <c:pt idx="519">
                  <c:v>45747</c:v>
                </c:pt>
                <c:pt idx="520">
                  <c:v>45748</c:v>
                </c:pt>
                <c:pt idx="521">
                  <c:v>45749</c:v>
                </c:pt>
                <c:pt idx="522">
                  <c:v>45750</c:v>
                </c:pt>
                <c:pt idx="523">
                  <c:v>45751</c:v>
                </c:pt>
                <c:pt idx="524">
                  <c:v>45754</c:v>
                </c:pt>
                <c:pt idx="525">
                  <c:v>45755</c:v>
                </c:pt>
                <c:pt idx="526">
                  <c:v>45756</c:v>
                </c:pt>
                <c:pt idx="527">
                  <c:v>45757</c:v>
                </c:pt>
                <c:pt idx="528">
                  <c:v>45758</c:v>
                </c:pt>
                <c:pt idx="529">
                  <c:v>45761</c:v>
                </c:pt>
                <c:pt idx="530">
                  <c:v>45762</c:v>
                </c:pt>
                <c:pt idx="531">
                  <c:v>45763</c:v>
                </c:pt>
                <c:pt idx="532">
                  <c:v>45764</c:v>
                </c:pt>
                <c:pt idx="533">
                  <c:v>45768</c:v>
                </c:pt>
                <c:pt idx="534">
                  <c:v>45769</c:v>
                </c:pt>
                <c:pt idx="535">
                  <c:v>45770</c:v>
                </c:pt>
                <c:pt idx="536">
                  <c:v>45771</c:v>
                </c:pt>
                <c:pt idx="537">
                  <c:v>45772</c:v>
                </c:pt>
                <c:pt idx="538">
                  <c:v>45775</c:v>
                </c:pt>
                <c:pt idx="539">
                  <c:v>45776</c:v>
                </c:pt>
                <c:pt idx="540">
                  <c:v>45777</c:v>
                </c:pt>
                <c:pt idx="541">
                  <c:v>45778</c:v>
                </c:pt>
                <c:pt idx="542">
                  <c:v>45779</c:v>
                </c:pt>
                <c:pt idx="543">
                  <c:v>45782</c:v>
                </c:pt>
                <c:pt idx="544">
                  <c:v>45783</c:v>
                </c:pt>
                <c:pt idx="545">
                  <c:v>45784</c:v>
                </c:pt>
                <c:pt idx="546">
                  <c:v>45785</c:v>
                </c:pt>
                <c:pt idx="547">
                  <c:v>45786</c:v>
                </c:pt>
                <c:pt idx="548">
                  <c:v>45789</c:v>
                </c:pt>
                <c:pt idx="549">
                  <c:v>45790</c:v>
                </c:pt>
                <c:pt idx="550">
                  <c:v>45791</c:v>
                </c:pt>
                <c:pt idx="551">
                  <c:v>45792</c:v>
                </c:pt>
                <c:pt idx="552">
                  <c:v>45793</c:v>
                </c:pt>
                <c:pt idx="553">
                  <c:v>45796</c:v>
                </c:pt>
                <c:pt idx="554">
                  <c:v>45797</c:v>
                </c:pt>
                <c:pt idx="555">
                  <c:v>45798</c:v>
                </c:pt>
                <c:pt idx="556">
                  <c:v>45799</c:v>
                </c:pt>
                <c:pt idx="557">
                  <c:v>45800</c:v>
                </c:pt>
                <c:pt idx="558">
                  <c:v>45804</c:v>
                </c:pt>
                <c:pt idx="559">
                  <c:v>45805</c:v>
                </c:pt>
                <c:pt idx="560">
                  <c:v>45806</c:v>
                </c:pt>
                <c:pt idx="561">
                  <c:v>45807</c:v>
                </c:pt>
                <c:pt idx="562">
                  <c:v>45810</c:v>
                </c:pt>
                <c:pt idx="563">
                  <c:v>45811</c:v>
                </c:pt>
                <c:pt idx="564">
                  <c:v>45812</c:v>
                </c:pt>
                <c:pt idx="565">
                  <c:v>45813</c:v>
                </c:pt>
                <c:pt idx="566">
                  <c:v>45814</c:v>
                </c:pt>
                <c:pt idx="567">
                  <c:v>45817</c:v>
                </c:pt>
                <c:pt idx="568">
                  <c:v>45818</c:v>
                </c:pt>
                <c:pt idx="569">
                  <c:v>45819</c:v>
                </c:pt>
                <c:pt idx="570">
                  <c:v>45820</c:v>
                </c:pt>
                <c:pt idx="571">
                  <c:v>45821</c:v>
                </c:pt>
                <c:pt idx="572">
                  <c:v>45824</c:v>
                </c:pt>
                <c:pt idx="573">
                  <c:v>45825</c:v>
                </c:pt>
                <c:pt idx="574">
                  <c:v>45826</c:v>
                </c:pt>
                <c:pt idx="575">
                  <c:v>45828</c:v>
                </c:pt>
                <c:pt idx="576">
                  <c:v>45831</c:v>
                </c:pt>
                <c:pt idx="577">
                  <c:v>45832</c:v>
                </c:pt>
                <c:pt idx="578">
                  <c:v>45833</c:v>
                </c:pt>
                <c:pt idx="579">
                  <c:v>45834</c:v>
                </c:pt>
                <c:pt idx="580">
                  <c:v>45835</c:v>
                </c:pt>
                <c:pt idx="581">
                  <c:v>45838</c:v>
                </c:pt>
                <c:pt idx="582">
                  <c:v>45839</c:v>
                </c:pt>
                <c:pt idx="583">
                  <c:v>45840</c:v>
                </c:pt>
                <c:pt idx="584">
                  <c:v>45841</c:v>
                </c:pt>
                <c:pt idx="585">
                  <c:v>45845</c:v>
                </c:pt>
                <c:pt idx="586">
                  <c:v>45846</c:v>
                </c:pt>
                <c:pt idx="587">
                  <c:v>45847</c:v>
                </c:pt>
                <c:pt idx="588">
                  <c:v>45848</c:v>
                </c:pt>
                <c:pt idx="589">
                  <c:v>45849</c:v>
                </c:pt>
                <c:pt idx="590">
                  <c:v>45852</c:v>
                </c:pt>
                <c:pt idx="591">
                  <c:v>45853</c:v>
                </c:pt>
                <c:pt idx="592">
                  <c:v>45854</c:v>
                </c:pt>
                <c:pt idx="593">
                  <c:v>45855</c:v>
                </c:pt>
                <c:pt idx="594">
                  <c:v>45856</c:v>
                </c:pt>
                <c:pt idx="595">
                  <c:v>45859</c:v>
                </c:pt>
                <c:pt idx="596">
                  <c:v>45860</c:v>
                </c:pt>
                <c:pt idx="597">
                  <c:v>45861</c:v>
                </c:pt>
                <c:pt idx="598">
                  <c:v>45862</c:v>
                </c:pt>
                <c:pt idx="599">
                  <c:v>45863</c:v>
                </c:pt>
                <c:pt idx="600">
                  <c:v>45866</c:v>
                </c:pt>
                <c:pt idx="601">
                  <c:v>45867</c:v>
                </c:pt>
                <c:pt idx="602">
                  <c:v>45868</c:v>
                </c:pt>
                <c:pt idx="603">
                  <c:v>45869</c:v>
                </c:pt>
                <c:pt idx="604">
                  <c:v>45870</c:v>
                </c:pt>
                <c:pt idx="605">
                  <c:v>45873</c:v>
                </c:pt>
                <c:pt idx="606">
                  <c:v>45874</c:v>
                </c:pt>
                <c:pt idx="607">
                  <c:v>45875</c:v>
                </c:pt>
                <c:pt idx="608">
                  <c:v>45876</c:v>
                </c:pt>
                <c:pt idx="609">
                  <c:v>45877</c:v>
                </c:pt>
                <c:pt idx="610">
                  <c:v>45880</c:v>
                </c:pt>
                <c:pt idx="611">
                  <c:v>45881</c:v>
                </c:pt>
                <c:pt idx="612">
                  <c:v>45882</c:v>
                </c:pt>
                <c:pt idx="613">
                  <c:v>45883</c:v>
                </c:pt>
                <c:pt idx="614">
                  <c:v>45884</c:v>
                </c:pt>
                <c:pt idx="615">
                  <c:v>45887</c:v>
                </c:pt>
                <c:pt idx="616">
                  <c:v>45888</c:v>
                </c:pt>
                <c:pt idx="617">
                  <c:v>45889</c:v>
                </c:pt>
                <c:pt idx="618">
                  <c:v>45890</c:v>
                </c:pt>
                <c:pt idx="619">
                  <c:v>45891</c:v>
                </c:pt>
                <c:pt idx="620">
                  <c:v>45894</c:v>
                </c:pt>
                <c:pt idx="621">
                  <c:v>45895</c:v>
                </c:pt>
                <c:pt idx="622">
                  <c:v>45896</c:v>
                </c:pt>
                <c:pt idx="623">
                  <c:v>45897</c:v>
                </c:pt>
                <c:pt idx="624">
                  <c:v>45898</c:v>
                </c:pt>
                <c:pt idx="625">
                  <c:v>45902</c:v>
                </c:pt>
                <c:pt idx="626">
                  <c:v>45903</c:v>
                </c:pt>
                <c:pt idx="627">
                  <c:v>45904</c:v>
                </c:pt>
                <c:pt idx="628">
                  <c:v>45905</c:v>
                </c:pt>
                <c:pt idx="629">
                  <c:v>45908</c:v>
                </c:pt>
                <c:pt idx="630">
                  <c:v>45909</c:v>
                </c:pt>
                <c:pt idx="631">
                  <c:v>45910</c:v>
                </c:pt>
                <c:pt idx="632">
                  <c:v>45911</c:v>
                </c:pt>
                <c:pt idx="633">
                  <c:v>45912</c:v>
                </c:pt>
                <c:pt idx="634">
                  <c:v>45915</c:v>
                </c:pt>
                <c:pt idx="635">
                  <c:v>45916</c:v>
                </c:pt>
                <c:pt idx="636">
                  <c:v>45917</c:v>
                </c:pt>
                <c:pt idx="637">
                  <c:v>45918</c:v>
                </c:pt>
                <c:pt idx="638">
                  <c:v>45919</c:v>
                </c:pt>
                <c:pt idx="639">
                  <c:v>45922</c:v>
                </c:pt>
                <c:pt idx="640">
                  <c:v>45923</c:v>
                </c:pt>
                <c:pt idx="641">
                  <c:v>45924</c:v>
                </c:pt>
                <c:pt idx="642">
                  <c:v>45925</c:v>
                </c:pt>
                <c:pt idx="643">
                  <c:v>45926</c:v>
                </c:pt>
                <c:pt idx="644">
                  <c:v>45929</c:v>
                </c:pt>
                <c:pt idx="645">
                  <c:v>45930</c:v>
                </c:pt>
                <c:pt idx="646">
                  <c:v>45931</c:v>
                </c:pt>
                <c:pt idx="647">
                  <c:v>45932</c:v>
                </c:pt>
                <c:pt idx="648">
                  <c:v>45933</c:v>
                </c:pt>
                <c:pt idx="649">
                  <c:v>45936</c:v>
                </c:pt>
                <c:pt idx="650">
                  <c:v>45937</c:v>
                </c:pt>
                <c:pt idx="651">
                  <c:v>45938</c:v>
                </c:pt>
                <c:pt idx="652">
                  <c:v>45939</c:v>
                </c:pt>
                <c:pt idx="653">
                  <c:v>45940</c:v>
                </c:pt>
                <c:pt idx="654">
                  <c:v>45943</c:v>
                </c:pt>
                <c:pt idx="655">
                  <c:v>45944</c:v>
                </c:pt>
                <c:pt idx="656">
                  <c:v>45945</c:v>
                </c:pt>
                <c:pt idx="657">
                  <c:v>45946</c:v>
                </c:pt>
                <c:pt idx="658">
                  <c:v>45947</c:v>
                </c:pt>
                <c:pt idx="659">
                  <c:v>45950</c:v>
                </c:pt>
                <c:pt idx="660">
                  <c:v>45951</c:v>
                </c:pt>
                <c:pt idx="661">
                  <c:v>45952</c:v>
                </c:pt>
                <c:pt idx="662">
                  <c:v>45953</c:v>
                </c:pt>
                <c:pt idx="663">
                  <c:v>45954</c:v>
                </c:pt>
                <c:pt idx="664">
                  <c:v>45957</c:v>
                </c:pt>
                <c:pt idx="665">
                  <c:v>45958</c:v>
                </c:pt>
                <c:pt idx="666">
                  <c:v>45959</c:v>
                </c:pt>
                <c:pt idx="667">
                  <c:v>45960</c:v>
                </c:pt>
                <c:pt idx="668">
                  <c:v>45961</c:v>
                </c:pt>
                <c:pt idx="669">
                  <c:v>45964</c:v>
                </c:pt>
                <c:pt idx="670">
                  <c:v>45965</c:v>
                </c:pt>
                <c:pt idx="671">
                  <c:v>45966</c:v>
                </c:pt>
                <c:pt idx="672">
                  <c:v>45967</c:v>
                </c:pt>
                <c:pt idx="673">
                  <c:v>45968</c:v>
                </c:pt>
                <c:pt idx="674">
                  <c:v>45971</c:v>
                </c:pt>
                <c:pt idx="675">
                  <c:v>45972</c:v>
                </c:pt>
                <c:pt idx="676">
                  <c:v>45973</c:v>
                </c:pt>
                <c:pt idx="677">
                  <c:v>45974</c:v>
                </c:pt>
                <c:pt idx="678">
                  <c:v>45975</c:v>
                </c:pt>
                <c:pt idx="679">
                  <c:v>45978</c:v>
                </c:pt>
                <c:pt idx="680">
                  <c:v>45979</c:v>
                </c:pt>
                <c:pt idx="681">
                  <c:v>45980</c:v>
                </c:pt>
                <c:pt idx="682">
                  <c:v>45981</c:v>
                </c:pt>
                <c:pt idx="683">
                  <c:v>45982</c:v>
                </c:pt>
                <c:pt idx="684">
                  <c:v>45985</c:v>
                </c:pt>
                <c:pt idx="685">
                  <c:v>45986</c:v>
                </c:pt>
                <c:pt idx="686">
                  <c:v>45987</c:v>
                </c:pt>
                <c:pt idx="687">
                  <c:v>45989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45999</c:v>
                </c:pt>
                <c:pt idx="694">
                  <c:v>46000</c:v>
                </c:pt>
                <c:pt idx="695">
                  <c:v>46001</c:v>
                </c:pt>
                <c:pt idx="696">
                  <c:v>46002</c:v>
                </c:pt>
                <c:pt idx="697">
                  <c:v>46003</c:v>
                </c:pt>
                <c:pt idx="698">
                  <c:v>46006</c:v>
                </c:pt>
                <c:pt idx="699">
                  <c:v>46007</c:v>
                </c:pt>
                <c:pt idx="700">
                  <c:v>46008</c:v>
                </c:pt>
                <c:pt idx="701">
                  <c:v>46009</c:v>
                </c:pt>
                <c:pt idx="702">
                  <c:v>46010</c:v>
                </c:pt>
                <c:pt idx="703">
                  <c:v>46013</c:v>
                </c:pt>
                <c:pt idx="704">
                  <c:v>46014</c:v>
                </c:pt>
                <c:pt idx="705">
                  <c:v>46015</c:v>
                </c:pt>
                <c:pt idx="706">
                  <c:v>46017</c:v>
                </c:pt>
                <c:pt idx="707">
                  <c:v>46020</c:v>
                </c:pt>
                <c:pt idx="708">
                  <c:v>46021</c:v>
                </c:pt>
                <c:pt idx="709">
                  <c:v>46022</c:v>
                </c:pt>
                <c:pt idx="710">
                  <c:v>46024</c:v>
                </c:pt>
                <c:pt idx="711">
                  <c:v>46027</c:v>
                </c:pt>
                <c:pt idx="712">
                  <c:v>46028</c:v>
                </c:pt>
                <c:pt idx="713">
                  <c:v>46029</c:v>
                </c:pt>
                <c:pt idx="714">
                  <c:v>46030</c:v>
                </c:pt>
                <c:pt idx="715">
                  <c:v>46031</c:v>
                </c:pt>
                <c:pt idx="716">
                  <c:v>46034</c:v>
                </c:pt>
                <c:pt idx="717">
                  <c:v>46035</c:v>
                </c:pt>
                <c:pt idx="718">
                  <c:v>46036</c:v>
                </c:pt>
                <c:pt idx="719">
                  <c:v>46037</c:v>
                </c:pt>
                <c:pt idx="720">
                  <c:v>46038</c:v>
                </c:pt>
                <c:pt idx="721">
                  <c:v>46042</c:v>
                </c:pt>
                <c:pt idx="722">
                  <c:v>46043</c:v>
                </c:pt>
                <c:pt idx="723">
                  <c:v>46044</c:v>
                </c:pt>
                <c:pt idx="724">
                  <c:v>46045</c:v>
                </c:pt>
                <c:pt idx="725">
                  <c:v>46048</c:v>
                </c:pt>
                <c:pt idx="726">
                  <c:v>46049</c:v>
                </c:pt>
                <c:pt idx="727">
                  <c:v>46050</c:v>
                </c:pt>
                <c:pt idx="728">
                  <c:v>46051</c:v>
                </c:pt>
                <c:pt idx="729">
                  <c:v>46052</c:v>
                </c:pt>
                <c:pt idx="730">
                  <c:v>46055</c:v>
                </c:pt>
                <c:pt idx="731">
                  <c:v>46056</c:v>
                </c:pt>
                <c:pt idx="732">
                  <c:v>46057</c:v>
                </c:pt>
                <c:pt idx="733">
                  <c:v>46058</c:v>
                </c:pt>
                <c:pt idx="734">
                  <c:v>46059</c:v>
                </c:pt>
                <c:pt idx="735">
                  <c:v>46062</c:v>
                </c:pt>
                <c:pt idx="736">
                  <c:v>46063</c:v>
                </c:pt>
                <c:pt idx="737">
                  <c:v>46064</c:v>
                </c:pt>
                <c:pt idx="738">
                  <c:v>46065</c:v>
                </c:pt>
                <c:pt idx="739">
                  <c:v>46066</c:v>
                </c:pt>
                <c:pt idx="740">
                  <c:v>46070</c:v>
                </c:pt>
                <c:pt idx="741">
                  <c:v>46071</c:v>
                </c:pt>
                <c:pt idx="742">
                  <c:v>46072</c:v>
                </c:pt>
                <c:pt idx="743">
                  <c:v>46073</c:v>
                </c:pt>
                <c:pt idx="744">
                  <c:v>46076</c:v>
                </c:pt>
                <c:pt idx="745">
                  <c:v>46077</c:v>
                </c:pt>
                <c:pt idx="746">
                  <c:v>46078</c:v>
                </c:pt>
                <c:pt idx="747">
                  <c:v>46079</c:v>
                </c:pt>
                <c:pt idx="748">
                  <c:v>46080</c:v>
                </c:pt>
                <c:pt idx="749">
                  <c:v>46083</c:v>
                </c:pt>
                <c:pt idx="750">
                  <c:v>46084</c:v>
                </c:pt>
                <c:pt idx="751">
                  <c:v>46085</c:v>
                </c:pt>
              </c:numCache>
            </c:numRef>
          </c:cat>
          <c:val>
            <c:numRef>
              <c:f>'Share Price Analysis'!$B$36:$B$787</c:f>
              <c:numCache>
                <c:formatCode>\$#,##0.00</c:formatCode>
                <c:ptCount val="752"/>
                <c:pt idx="0">
                  <c:v>179.79</c:v>
                </c:pt>
                <c:pt idx="1">
                  <c:v>177.23</c:v>
                </c:pt>
                <c:pt idx="2">
                  <c:v>178.92</c:v>
                </c:pt>
                <c:pt idx="3">
                  <c:v>174.07</c:v>
                </c:pt>
                <c:pt idx="4">
                  <c:v>169.29</c:v>
                </c:pt>
                <c:pt idx="5">
                  <c:v>165.98</c:v>
                </c:pt>
                <c:pt idx="6">
                  <c:v>167.51</c:v>
                </c:pt>
                <c:pt idx="7">
                  <c:v>162.81</c:v>
                </c:pt>
                <c:pt idx="8">
                  <c:v>166.21</c:v>
                </c:pt>
                <c:pt idx="9">
                  <c:v>161.02000000000001</c:v>
                </c:pt>
                <c:pt idx="10">
                  <c:v>163.27000000000001</c:v>
                </c:pt>
                <c:pt idx="11">
                  <c:v>166.14</c:v>
                </c:pt>
                <c:pt idx="12">
                  <c:v>163.71</c:v>
                </c:pt>
                <c:pt idx="13">
                  <c:v>164.5</c:v>
                </c:pt>
                <c:pt idx="14">
                  <c:v>166.2</c:v>
                </c:pt>
                <c:pt idx="15">
                  <c:v>165.8</c:v>
                </c:pt>
                <c:pt idx="16">
                  <c:v>168.04</c:v>
                </c:pt>
                <c:pt idx="17">
                  <c:v>169.99</c:v>
                </c:pt>
                <c:pt idx="18">
                  <c:v>170.14</c:v>
                </c:pt>
                <c:pt idx="19">
                  <c:v>171.56</c:v>
                </c:pt>
                <c:pt idx="20">
                  <c:v>172.93</c:v>
                </c:pt>
                <c:pt idx="21">
                  <c:v>168.86</c:v>
                </c:pt>
                <c:pt idx="22">
                  <c:v>164.06</c:v>
                </c:pt>
                <c:pt idx="23">
                  <c:v>164.93</c:v>
                </c:pt>
                <c:pt idx="24">
                  <c:v>166.01</c:v>
                </c:pt>
                <c:pt idx="25">
                  <c:v>166.57</c:v>
                </c:pt>
                <c:pt idx="26">
                  <c:v>167.32</c:v>
                </c:pt>
                <c:pt idx="27">
                  <c:v>169.46</c:v>
                </c:pt>
                <c:pt idx="28">
                  <c:v>169.08</c:v>
                </c:pt>
                <c:pt idx="29">
                  <c:v>171.88</c:v>
                </c:pt>
                <c:pt idx="30">
                  <c:v>172.36</c:v>
                </c:pt>
                <c:pt idx="31">
                  <c:v>173.54</c:v>
                </c:pt>
                <c:pt idx="32">
                  <c:v>172.44</c:v>
                </c:pt>
                <c:pt idx="33">
                  <c:v>171.14</c:v>
                </c:pt>
                <c:pt idx="34">
                  <c:v>171.41</c:v>
                </c:pt>
                <c:pt idx="35">
                  <c:v>169.67</c:v>
                </c:pt>
                <c:pt idx="36">
                  <c:v>166.65</c:v>
                </c:pt>
                <c:pt idx="37">
                  <c:v>172.98</c:v>
                </c:pt>
                <c:pt idx="38">
                  <c:v>175.12</c:v>
                </c:pt>
                <c:pt idx="39">
                  <c:v>177.51</c:v>
                </c:pt>
                <c:pt idx="40">
                  <c:v>179.27</c:v>
                </c:pt>
                <c:pt idx="41">
                  <c:v>178.62</c:v>
                </c:pt>
                <c:pt idx="42">
                  <c:v>190.23</c:v>
                </c:pt>
                <c:pt idx="43">
                  <c:v>193.57</c:v>
                </c:pt>
                <c:pt idx="44">
                  <c:v>192.83</c:v>
                </c:pt>
                <c:pt idx="45">
                  <c:v>193.11</c:v>
                </c:pt>
                <c:pt idx="46">
                  <c:v>196.09</c:v>
                </c:pt>
                <c:pt idx="47">
                  <c:v>194.83</c:v>
                </c:pt>
                <c:pt idx="48">
                  <c:v>195.38</c:v>
                </c:pt>
                <c:pt idx="49">
                  <c:v>196.17</c:v>
                </c:pt>
                <c:pt idx="50">
                  <c:v>195.01</c:v>
                </c:pt>
                <c:pt idx="51">
                  <c:v>196.51</c:v>
                </c:pt>
                <c:pt idx="52">
                  <c:v>196.41</c:v>
                </c:pt>
                <c:pt idx="53">
                  <c:v>197.22</c:v>
                </c:pt>
                <c:pt idx="54">
                  <c:v>197.26</c:v>
                </c:pt>
                <c:pt idx="55">
                  <c:v>195.2</c:v>
                </c:pt>
                <c:pt idx="56">
                  <c:v>194.1</c:v>
                </c:pt>
                <c:pt idx="57">
                  <c:v>195.1</c:v>
                </c:pt>
                <c:pt idx="58">
                  <c:v>196</c:v>
                </c:pt>
                <c:pt idx="59">
                  <c:v>196.05</c:v>
                </c:pt>
                <c:pt idx="60">
                  <c:v>195.5</c:v>
                </c:pt>
                <c:pt idx="61">
                  <c:v>198.8</c:v>
                </c:pt>
                <c:pt idx="62">
                  <c:v>202.73</c:v>
                </c:pt>
                <c:pt idx="63">
                  <c:v>202.24</c:v>
                </c:pt>
                <c:pt idx="64">
                  <c:v>203.12</c:v>
                </c:pt>
                <c:pt idx="65">
                  <c:v>204.99</c:v>
                </c:pt>
                <c:pt idx="66">
                  <c:v>206.18</c:v>
                </c:pt>
                <c:pt idx="67">
                  <c:v>206.64</c:v>
                </c:pt>
                <c:pt idx="68">
                  <c:v>205.89</c:v>
                </c:pt>
                <c:pt idx="69">
                  <c:v>207.7</c:v>
                </c:pt>
                <c:pt idx="70">
                  <c:v>207.39</c:v>
                </c:pt>
                <c:pt idx="71">
                  <c:v>208.94</c:v>
                </c:pt>
                <c:pt idx="72">
                  <c:v>207.31</c:v>
                </c:pt>
                <c:pt idx="73">
                  <c:v>208.68</c:v>
                </c:pt>
                <c:pt idx="74">
                  <c:v>210.57</c:v>
                </c:pt>
                <c:pt idx="75">
                  <c:v>213.45</c:v>
                </c:pt>
                <c:pt idx="76">
                  <c:v>214.43</c:v>
                </c:pt>
                <c:pt idx="77">
                  <c:v>214.77</c:v>
                </c:pt>
                <c:pt idx="78">
                  <c:v>220.42</c:v>
                </c:pt>
                <c:pt idx="79">
                  <c:v>220.86</c:v>
                </c:pt>
                <c:pt idx="80">
                  <c:v>224.84</c:v>
                </c:pt>
                <c:pt idx="81">
                  <c:v>225.44</c:v>
                </c:pt>
                <c:pt idx="82">
                  <c:v>223.34</c:v>
                </c:pt>
                <c:pt idx="83">
                  <c:v>220.63</c:v>
                </c:pt>
                <c:pt idx="84">
                  <c:v>217.99</c:v>
                </c:pt>
                <c:pt idx="85">
                  <c:v>217.38</c:v>
                </c:pt>
                <c:pt idx="86">
                  <c:v>219.39</c:v>
                </c:pt>
                <c:pt idx="87">
                  <c:v>223.61</c:v>
                </c:pt>
                <c:pt idx="88">
                  <c:v>220.28</c:v>
                </c:pt>
                <c:pt idx="89">
                  <c:v>223.36</c:v>
                </c:pt>
                <c:pt idx="90">
                  <c:v>224.75</c:v>
                </c:pt>
                <c:pt idx="91">
                  <c:v>223.71</c:v>
                </c:pt>
                <c:pt idx="92">
                  <c:v>223.9</c:v>
                </c:pt>
                <c:pt idx="93">
                  <c:v>221.34</c:v>
                </c:pt>
                <c:pt idx="94">
                  <c:v>221.63</c:v>
                </c:pt>
                <c:pt idx="95">
                  <c:v>222.3</c:v>
                </c:pt>
                <c:pt idx="96">
                  <c:v>222.6</c:v>
                </c:pt>
                <c:pt idx="97">
                  <c:v>222.25</c:v>
                </c:pt>
                <c:pt idx="98">
                  <c:v>223.46</c:v>
                </c:pt>
                <c:pt idx="99">
                  <c:v>218.29</c:v>
                </c:pt>
                <c:pt idx="100">
                  <c:v>220.19</c:v>
                </c:pt>
                <c:pt idx="101">
                  <c:v>220.5</c:v>
                </c:pt>
                <c:pt idx="102">
                  <c:v>223.97</c:v>
                </c:pt>
                <c:pt idx="103">
                  <c:v>223.08</c:v>
                </c:pt>
                <c:pt idx="104">
                  <c:v>226.19</c:v>
                </c:pt>
                <c:pt idx="105">
                  <c:v>226</c:v>
                </c:pt>
                <c:pt idx="106">
                  <c:v>228.72</c:v>
                </c:pt>
                <c:pt idx="107">
                  <c:v>226.84</c:v>
                </c:pt>
                <c:pt idx="108">
                  <c:v>223.38</c:v>
                </c:pt>
                <c:pt idx="109">
                  <c:v>224.31</c:v>
                </c:pt>
                <c:pt idx="110">
                  <c:v>223.92</c:v>
                </c:pt>
                <c:pt idx="111">
                  <c:v>225.13</c:v>
                </c:pt>
                <c:pt idx="112">
                  <c:v>224.14</c:v>
                </c:pt>
                <c:pt idx="113">
                  <c:v>222.5</c:v>
                </c:pt>
                <c:pt idx="114">
                  <c:v>213.33</c:v>
                </c:pt>
                <c:pt idx="115">
                  <c:v>211.8</c:v>
                </c:pt>
                <c:pt idx="116">
                  <c:v>212.57</c:v>
                </c:pt>
                <c:pt idx="117">
                  <c:v>214.58</c:v>
                </c:pt>
                <c:pt idx="118">
                  <c:v>217.06</c:v>
                </c:pt>
                <c:pt idx="119">
                  <c:v>214.98</c:v>
                </c:pt>
                <c:pt idx="120">
                  <c:v>214.83</c:v>
                </c:pt>
                <c:pt idx="121">
                  <c:v>215.11</c:v>
                </c:pt>
                <c:pt idx="122">
                  <c:v>218.59</c:v>
                </c:pt>
                <c:pt idx="123">
                  <c:v>218.24</c:v>
                </c:pt>
                <c:pt idx="124">
                  <c:v>218.25</c:v>
                </c:pt>
                <c:pt idx="125">
                  <c:v>222.92</c:v>
                </c:pt>
                <c:pt idx="126">
                  <c:v>216.24</c:v>
                </c:pt>
                <c:pt idx="127">
                  <c:v>215.2</c:v>
                </c:pt>
                <c:pt idx="128">
                  <c:v>215.56</c:v>
                </c:pt>
                <c:pt idx="129">
                  <c:v>216.25</c:v>
                </c:pt>
                <c:pt idx="130">
                  <c:v>216.59</c:v>
                </c:pt>
                <c:pt idx="131">
                  <c:v>214.77</c:v>
                </c:pt>
                <c:pt idx="132">
                  <c:v>213.74</c:v>
                </c:pt>
                <c:pt idx="133">
                  <c:v>214.97</c:v>
                </c:pt>
                <c:pt idx="134">
                  <c:v>210.59</c:v>
                </c:pt>
                <c:pt idx="135">
                  <c:v>211.69</c:v>
                </c:pt>
                <c:pt idx="136">
                  <c:v>209.88</c:v>
                </c:pt>
                <c:pt idx="137">
                  <c:v>209.55</c:v>
                </c:pt>
                <c:pt idx="138">
                  <c:v>202.35</c:v>
                </c:pt>
                <c:pt idx="139">
                  <c:v>200.62</c:v>
                </c:pt>
                <c:pt idx="140">
                  <c:v>202.04</c:v>
                </c:pt>
                <c:pt idx="141">
                  <c:v>201.35</c:v>
                </c:pt>
                <c:pt idx="142">
                  <c:v>203.6</c:v>
                </c:pt>
                <c:pt idx="143">
                  <c:v>205.03</c:v>
                </c:pt>
                <c:pt idx="144">
                  <c:v>202.02</c:v>
                </c:pt>
                <c:pt idx="145">
                  <c:v>200.93</c:v>
                </c:pt>
                <c:pt idx="146">
                  <c:v>199.99</c:v>
                </c:pt>
                <c:pt idx="147">
                  <c:v>205.03</c:v>
                </c:pt>
                <c:pt idx="148">
                  <c:v>206.95</c:v>
                </c:pt>
                <c:pt idx="149">
                  <c:v>212.4</c:v>
                </c:pt>
                <c:pt idx="150">
                  <c:v>210.25</c:v>
                </c:pt>
                <c:pt idx="151">
                  <c:v>211</c:v>
                </c:pt>
                <c:pt idx="152">
                  <c:v>214.76</c:v>
                </c:pt>
                <c:pt idx="153">
                  <c:v>210.63</c:v>
                </c:pt>
                <c:pt idx="154">
                  <c:v>209.29</c:v>
                </c:pt>
                <c:pt idx="155">
                  <c:v>213.04</c:v>
                </c:pt>
                <c:pt idx="156">
                  <c:v>214.79</c:v>
                </c:pt>
                <c:pt idx="157">
                  <c:v>203.74</c:v>
                </c:pt>
                <c:pt idx="158">
                  <c:v>202.69</c:v>
                </c:pt>
                <c:pt idx="159">
                  <c:v>201.55</c:v>
                </c:pt>
                <c:pt idx="160">
                  <c:v>202.5</c:v>
                </c:pt>
                <c:pt idx="161">
                  <c:v>205.15</c:v>
                </c:pt>
                <c:pt idx="162">
                  <c:v>203.37</c:v>
                </c:pt>
                <c:pt idx="163">
                  <c:v>193.97</c:v>
                </c:pt>
                <c:pt idx="164">
                  <c:v>193.69</c:v>
                </c:pt>
                <c:pt idx="165">
                  <c:v>195.99</c:v>
                </c:pt>
                <c:pt idx="166">
                  <c:v>196.49</c:v>
                </c:pt>
                <c:pt idx="167">
                  <c:v>203.8</c:v>
                </c:pt>
                <c:pt idx="168">
                  <c:v>206.82</c:v>
                </c:pt>
                <c:pt idx="169">
                  <c:v>207.78</c:v>
                </c:pt>
                <c:pt idx="170">
                  <c:v>207.14</c:v>
                </c:pt>
                <c:pt idx="171">
                  <c:v>207.21</c:v>
                </c:pt>
                <c:pt idx="172">
                  <c:v>208.43</c:v>
                </c:pt>
                <c:pt idx="173">
                  <c:v>209.23</c:v>
                </c:pt>
                <c:pt idx="174">
                  <c:v>211.66</c:v>
                </c:pt>
                <c:pt idx="175">
                  <c:v>210.49</c:v>
                </c:pt>
                <c:pt idx="176">
                  <c:v>216.54</c:v>
                </c:pt>
                <c:pt idx="177">
                  <c:v>210.87</c:v>
                </c:pt>
                <c:pt idx="178">
                  <c:v>212.27</c:v>
                </c:pt>
                <c:pt idx="179">
                  <c:v>212.35</c:v>
                </c:pt>
                <c:pt idx="180">
                  <c:v>210.38</c:v>
                </c:pt>
                <c:pt idx="181">
                  <c:v>209.84</c:v>
                </c:pt>
                <c:pt idx="182">
                  <c:v>211.9</c:v>
                </c:pt>
                <c:pt idx="183">
                  <c:v>211.68</c:v>
                </c:pt>
                <c:pt idx="184">
                  <c:v>212.85</c:v>
                </c:pt>
                <c:pt idx="185">
                  <c:v>211.16</c:v>
                </c:pt>
                <c:pt idx="186">
                  <c:v>212.68</c:v>
                </c:pt>
                <c:pt idx="187">
                  <c:v>213.56</c:v>
                </c:pt>
                <c:pt idx="188">
                  <c:v>215.63</c:v>
                </c:pt>
                <c:pt idx="189">
                  <c:v>214.8</c:v>
                </c:pt>
                <c:pt idx="190">
                  <c:v>212.02</c:v>
                </c:pt>
                <c:pt idx="191">
                  <c:v>211.93</c:v>
                </c:pt>
                <c:pt idx="192">
                  <c:v>214.17</c:v>
                </c:pt>
                <c:pt idx="193">
                  <c:v>216.03</c:v>
                </c:pt>
                <c:pt idx="194">
                  <c:v>218.86</c:v>
                </c:pt>
                <c:pt idx="195">
                  <c:v>220.9</c:v>
                </c:pt>
                <c:pt idx="196">
                  <c:v>223.67</c:v>
                </c:pt>
                <c:pt idx="197">
                  <c:v>224.76</c:v>
                </c:pt>
                <c:pt idx="198">
                  <c:v>224.35</c:v>
                </c:pt>
                <c:pt idx="199">
                  <c:v>222.7</c:v>
                </c:pt>
                <c:pt idx="200">
                  <c:v>224.69</c:v>
                </c:pt>
                <c:pt idx="201">
                  <c:v>221.18</c:v>
                </c:pt>
                <c:pt idx="202">
                  <c:v>223.28</c:v>
                </c:pt>
                <c:pt idx="203">
                  <c:v>224.93</c:v>
                </c:pt>
                <c:pt idx="204">
                  <c:v>225.65</c:v>
                </c:pt>
                <c:pt idx="205">
                  <c:v>225.82</c:v>
                </c:pt>
                <c:pt idx="206">
                  <c:v>225.44</c:v>
                </c:pt>
                <c:pt idx="207">
                  <c:v>227.01</c:v>
                </c:pt>
                <c:pt idx="208">
                  <c:v>223.6</c:v>
                </c:pt>
                <c:pt idx="209">
                  <c:v>219.33</c:v>
                </c:pt>
                <c:pt idx="210">
                  <c:v>220.68</c:v>
                </c:pt>
                <c:pt idx="211">
                  <c:v>221.62</c:v>
                </c:pt>
                <c:pt idx="212">
                  <c:v>224</c:v>
                </c:pt>
                <c:pt idx="213">
                  <c:v>223.42</c:v>
                </c:pt>
                <c:pt idx="214">
                  <c:v>226.11</c:v>
                </c:pt>
                <c:pt idx="215">
                  <c:v>224.36</c:v>
                </c:pt>
                <c:pt idx="216">
                  <c:v>223.96</c:v>
                </c:pt>
                <c:pt idx="217">
                  <c:v>222.38</c:v>
                </c:pt>
                <c:pt idx="218">
                  <c:v>221.26</c:v>
                </c:pt>
                <c:pt idx="219">
                  <c:v>225.12</c:v>
                </c:pt>
                <c:pt idx="220">
                  <c:v>226.08</c:v>
                </c:pt>
                <c:pt idx="221">
                  <c:v>227.28</c:v>
                </c:pt>
                <c:pt idx="222">
                  <c:v>222.8</c:v>
                </c:pt>
                <c:pt idx="223">
                  <c:v>219.8</c:v>
                </c:pt>
                <c:pt idx="224">
                  <c:v>223.41</c:v>
                </c:pt>
                <c:pt idx="225">
                  <c:v>222.36</c:v>
                </c:pt>
                <c:pt idx="226">
                  <c:v>229.37</c:v>
                </c:pt>
                <c:pt idx="227">
                  <c:v>231.05</c:v>
                </c:pt>
                <c:pt idx="228">
                  <c:v>226.01</c:v>
                </c:pt>
                <c:pt idx="229">
                  <c:v>230.36</c:v>
                </c:pt>
                <c:pt idx="230">
                  <c:v>234.44</c:v>
                </c:pt>
                <c:pt idx="231">
                  <c:v>229.65</c:v>
                </c:pt>
                <c:pt idx="232">
                  <c:v>231.58</c:v>
                </c:pt>
                <c:pt idx="233">
                  <c:v>236.52</c:v>
                </c:pt>
                <c:pt idx="234">
                  <c:v>238.44</c:v>
                </c:pt>
                <c:pt idx="235">
                  <c:v>240</c:v>
                </c:pt>
                <c:pt idx="236">
                  <c:v>240.13</c:v>
                </c:pt>
                <c:pt idx="237">
                  <c:v>237.12</c:v>
                </c:pt>
                <c:pt idx="238">
                  <c:v>241.1</c:v>
                </c:pt>
                <c:pt idx="239">
                  <c:v>242.46</c:v>
                </c:pt>
                <c:pt idx="240">
                  <c:v>255.15</c:v>
                </c:pt>
                <c:pt idx="241">
                  <c:v>251.38</c:v>
                </c:pt>
                <c:pt idx="242">
                  <c:v>253.43</c:v>
                </c:pt>
                <c:pt idx="243">
                  <c:v>256.94</c:v>
                </c:pt>
                <c:pt idx="244">
                  <c:v>257.23</c:v>
                </c:pt>
                <c:pt idx="245">
                  <c:v>261.08</c:v>
                </c:pt>
                <c:pt idx="246">
                  <c:v>263.56</c:v>
                </c:pt>
                <c:pt idx="247">
                  <c:v>262.3</c:v>
                </c:pt>
                <c:pt idx="248">
                  <c:v>265.85000000000002</c:v>
                </c:pt>
                <c:pt idx="249">
                  <c:v>267.43</c:v>
                </c:pt>
                <c:pt idx="250">
                  <c:v>267.85000000000002</c:v>
                </c:pt>
                <c:pt idx="251">
                  <c:v>264.98</c:v>
                </c:pt>
                <c:pt idx="252">
                  <c:v>267.33999999999997</c:v>
                </c:pt>
                <c:pt idx="253">
                  <c:v>271.17</c:v>
                </c:pt>
                <c:pt idx="254">
                  <c:v>266.7</c:v>
                </c:pt>
                <c:pt idx="255">
                  <c:v>264.95</c:v>
                </c:pt>
                <c:pt idx="256">
                  <c:v>269.58</c:v>
                </c:pt>
                <c:pt idx="257">
                  <c:v>269.32</c:v>
                </c:pt>
                <c:pt idx="258">
                  <c:v>270.73</c:v>
                </c:pt>
                <c:pt idx="259">
                  <c:v>266.86</c:v>
                </c:pt>
                <c:pt idx="260">
                  <c:v>269.42</c:v>
                </c:pt>
                <c:pt idx="261">
                  <c:v>269.01</c:v>
                </c:pt>
                <c:pt idx="262">
                  <c:v>271.74</c:v>
                </c:pt>
                <c:pt idx="263">
                  <c:v>275.58999999999997</c:v>
                </c:pt>
                <c:pt idx="264">
                  <c:v>274.36</c:v>
                </c:pt>
                <c:pt idx="265">
                  <c:v>272.62</c:v>
                </c:pt>
                <c:pt idx="266">
                  <c:v>273.87</c:v>
                </c:pt>
                <c:pt idx="267">
                  <c:v>272.79000000000002</c:v>
                </c:pt>
                <c:pt idx="268">
                  <c:v>272.92</c:v>
                </c:pt>
                <c:pt idx="269">
                  <c:v>269.69</c:v>
                </c:pt>
                <c:pt idx="270">
                  <c:v>266.25</c:v>
                </c:pt>
                <c:pt idx="271">
                  <c:v>268.77</c:v>
                </c:pt>
                <c:pt idx="272">
                  <c:v>265.89</c:v>
                </c:pt>
                <c:pt idx="273">
                  <c:v>270.14999999999998</c:v>
                </c:pt>
                <c:pt idx="274">
                  <c:v>269.72000000000003</c:v>
                </c:pt>
                <c:pt idx="275">
                  <c:v>265.62</c:v>
                </c:pt>
                <c:pt idx="276">
                  <c:v>264.56</c:v>
                </c:pt>
                <c:pt idx="277">
                  <c:v>265.5</c:v>
                </c:pt>
                <c:pt idx="278">
                  <c:v>262.77999999999997</c:v>
                </c:pt>
                <c:pt idx="279">
                  <c:v>260.47000000000003</c:v>
                </c:pt>
                <c:pt idx="280">
                  <c:v>258.54000000000002</c:v>
                </c:pt>
                <c:pt idx="281">
                  <c:v>258.26</c:v>
                </c:pt>
                <c:pt idx="282">
                  <c:v>255.07</c:v>
                </c:pt>
                <c:pt idx="283">
                  <c:v>252.06</c:v>
                </c:pt>
                <c:pt idx="284">
                  <c:v>254.48</c:v>
                </c:pt>
                <c:pt idx="285">
                  <c:v>259.33999999999997</c:v>
                </c:pt>
                <c:pt idx="286">
                  <c:v>256.39999999999998</c:v>
                </c:pt>
                <c:pt idx="287">
                  <c:v>258.54000000000002</c:v>
                </c:pt>
                <c:pt idx="288">
                  <c:v>261.24</c:v>
                </c:pt>
                <c:pt idx="289">
                  <c:v>261.45</c:v>
                </c:pt>
                <c:pt idx="290">
                  <c:v>257.63</c:v>
                </c:pt>
                <c:pt idx="291">
                  <c:v>259.73</c:v>
                </c:pt>
                <c:pt idx="292">
                  <c:v>264.41000000000003</c:v>
                </c:pt>
                <c:pt idx="293">
                  <c:v>264.44</c:v>
                </c:pt>
                <c:pt idx="294">
                  <c:v>266.61</c:v>
                </c:pt>
                <c:pt idx="295">
                  <c:v>268.35000000000002</c:v>
                </c:pt>
                <c:pt idx="296">
                  <c:v>267.93</c:v>
                </c:pt>
                <c:pt idx="297">
                  <c:v>270.69</c:v>
                </c:pt>
                <c:pt idx="298">
                  <c:v>272.07</c:v>
                </c:pt>
                <c:pt idx="299">
                  <c:v>270.08999999999997</c:v>
                </c:pt>
                <c:pt idx="300">
                  <c:v>267.75</c:v>
                </c:pt>
                <c:pt idx="301">
                  <c:v>270.5</c:v>
                </c:pt>
                <c:pt idx="302">
                  <c:v>260</c:v>
                </c:pt>
                <c:pt idx="303">
                  <c:v>259.10000000000002</c:v>
                </c:pt>
                <c:pt idx="304">
                  <c:v>260.20999999999998</c:v>
                </c:pt>
                <c:pt idx="305">
                  <c:v>262.18</c:v>
                </c:pt>
                <c:pt idx="306">
                  <c:v>260.87</c:v>
                </c:pt>
                <c:pt idx="307">
                  <c:v>257.20999999999998</c:v>
                </c:pt>
                <c:pt idx="308">
                  <c:v>259.25</c:v>
                </c:pt>
                <c:pt idx="309">
                  <c:v>253.98</c:v>
                </c:pt>
                <c:pt idx="310">
                  <c:v>251.91</c:v>
                </c:pt>
                <c:pt idx="311">
                  <c:v>254.08</c:v>
                </c:pt>
                <c:pt idx="312">
                  <c:v>255.77</c:v>
                </c:pt>
                <c:pt idx="313">
                  <c:v>252.19</c:v>
                </c:pt>
                <c:pt idx="314">
                  <c:v>250.46</c:v>
                </c:pt>
                <c:pt idx="315">
                  <c:v>251.18</c:v>
                </c:pt>
                <c:pt idx="316">
                  <c:v>248.58</c:v>
                </c:pt>
                <c:pt idx="317">
                  <c:v>247.59</c:v>
                </c:pt>
                <c:pt idx="318">
                  <c:v>247.81</c:v>
                </c:pt>
                <c:pt idx="319">
                  <c:v>244.64</c:v>
                </c:pt>
                <c:pt idx="320">
                  <c:v>249.12</c:v>
                </c:pt>
                <c:pt idx="321">
                  <c:v>253.95</c:v>
                </c:pt>
                <c:pt idx="322">
                  <c:v>252.64</c:v>
                </c:pt>
                <c:pt idx="323">
                  <c:v>256.35000000000002</c:v>
                </c:pt>
                <c:pt idx="324">
                  <c:v>255.61</c:v>
                </c:pt>
                <c:pt idx="325">
                  <c:v>246.46</c:v>
                </c:pt>
                <c:pt idx="326">
                  <c:v>247.81</c:v>
                </c:pt>
                <c:pt idx="327">
                  <c:v>247.58</c:v>
                </c:pt>
                <c:pt idx="328">
                  <c:v>246.15</c:v>
                </c:pt>
                <c:pt idx="329">
                  <c:v>245.88</c:v>
                </c:pt>
                <c:pt idx="330">
                  <c:v>247.76</c:v>
                </c:pt>
                <c:pt idx="331">
                  <c:v>248.68</c:v>
                </c:pt>
                <c:pt idx="332">
                  <c:v>243.72</c:v>
                </c:pt>
                <c:pt idx="333">
                  <c:v>245.07</c:v>
                </c:pt>
                <c:pt idx="334">
                  <c:v>243.92</c:v>
                </c:pt>
                <c:pt idx="335">
                  <c:v>244.21</c:v>
                </c:pt>
                <c:pt idx="336">
                  <c:v>241.97</c:v>
                </c:pt>
                <c:pt idx="337">
                  <c:v>242.25</c:v>
                </c:pt>
                <c:pt idx="338">
                  <c:v>247.72</c:v>
                </c:pt>
                <c:pt idx="339">
                  <c:v>254.69</c:v>
                </c:pt>
                <c:pt idx="340">
                  <c:v>252.51</c:v>
                </c:pt>
                <c:pt idx="341">
                  <c:v>253.9</c:v>
                </c:pt>
                <c:pt idx="342">
                  <c:v>262.81</c:v>
                </c:pt>
                <c:pt idx="343">
                  <c:v>255.8</c:v>
                </c:pt>
                <c:pt idx="344">
                  <c:v>256.08999999999997</c:v>
                </c:pt>
                <c:pt idx="345">
                  <c:v>256.14</c:v>
                </c:pt>
                <c:pt idx="346">
                  <c:v>260.61</c:v>
                </c:pt>
                <c:pt idx="347">
                  <c:v>260.14999999999998</c:v>
                </c:pt>
                <c:pt idx="348">
                  <c:v>250.51</c:v>
                </c:pt>
                <c:pt idx="349">
                  <c:v>253.77</c:v>
                </c:pt>
                <c:pt idx="350">
                  <c:v>261.70999999999998</c:v>
                </c:pt>
                <c:pt idx="351">
                  <c:v>264.52999999999997</c:v>
                </c:pt>
                <c:pt idx="352">
                  <c:v>270</c:v>
                </c:pt>
                <c:pt idx="353">
                  <c:v>274.51</c:v>
                </c:pt>
                <c:pt idx="354">
                  <c:v>271.13</c:v>
                </c:pt>
                <c:pt idx="355">
                  <c:v>266.33999999999997</c:v>
                </c:pt>
                <c:pt idx="356">
                  <c:v>257.43</c:v>
                </c:pt>
                <c:pt idx="357">
                  <c:v>246.14</c:v>
                </c:pt>
                <c:pt idx="358">
                  <c:v>241.22</c:v>
                </c:pt>
                <c:pt idx="359">
                  <c:v>246.33</c:v>
                </c:pt>
                <c:pt idx="360">
                  <c:v>244.34</c:v>
                </c:pt>
                <c:pt idx="361">
                  <c:v>241.9</c:v>
                </c:pt>
                <c:pt idx="362">
                  <c:v>243.84</c:v>
                </c:pt>
                <c:pt idx="363">
                  <c:v>242.5</c:v>
                </c:pt>
                <c:pt idx="364">
                  <c:v>246.57</c:v>
                </c:pt>
                <c:pt idx="365">
                  <c:v>244.43</c:v>
                </c:pt>
                <c:pt idx="366">
                  <c:v>244.29</c:v>
                </c:pt>
                <c:pt idx="367">
                  <c:v>245.6</c:v>
                </c:pt>
                <c:pt idx="368">
                  <c:v>247.84</c:v>
                </c:pt>
                <c:pt idx="369">
                  <c:v>247.98</c:v>
                </c:pt>
                <c:pt idx="370">
                  <c:v>254.89</c:v>
                </c:pt>
                <c:pt idx="371">
                  <c:v>250.68</c:v>
                </c:pt>
                <c:pt idx="372">
                  <c:v>240.41</c:v>
                </c:pt>
                <c:pt idx="373">
                  <c:v>235.77</c:v>
                </c:pt>
                <c:pt idx="374">
                  <c:v>241.28</c:v>
                </c:pt>
                <c:pt idx="375">
                  <c:v>245.21</c:v>
                </c:pt>
                <c:pt idx="376">
                  <c:v>239.02</c:v>
                </c:pt>
                <c:pt idx="377">
                  <c:v>234.83</c:v>
                </c:pt>
                <c:pt idx="378">
                  <c:v>232.16</c:v>
                </c:pt>
                <c:pt idx="379">
                  <c:v>231.97</c:v>
                </c:pt>
                <c:pt idx="380">
                  <c:v>231.83</c:v>
                </c:pt>
                <c:pt idx="381">
                  <c:v>232.95</c:v>
                </c:pt>
                <c:pt idx="382">
                  <c:v>232.95</c:v>
                </c:pt>
                <c:pt idx="383">
                  <c:v>236.27</c:v>
                </c:pt>
                <c:pt idx="384">
                  <c:v>237.47</c:v>
                </c:pt>
                <c:pt idx="385">
                  <c:v>242.87</c:v>
                </c:pt>
                <c:pt idx="386">
                  <c:v>245.12</c:v>
                </c:pt>
                <c:pt idx="387">
                  <c:v>244.4</c:v>
                </c:pt>
                <c:pt idx="388">
                  <c:v>253.67</c:v>
                </c:pt>
                <c:pt idx="389">
                  <c:v>252.05</c:v>
                </c:pt>
                <c:pt idx="390">
                  <c:v>252.33</c:v>
                </c:pt>
                <c:pt idx="391">
                  <c:v>249.87</c:v>
                </c:pt>
                <c:pt idx="392">
                  <c:v>249.63</c:v>
                </c:pt>
                <c:pt idx="393">
                  <c:v>250.58</c:v>
                </c:pt>
                <c:pt idx="394">
                  <c:v>250.24</c:v>
                </c:pt>
                <c:pt idx="395">
                  <c:v>250.43</c:v>
                </c:pt>
                <c:pt idx="396">
                  <c:v>247.49</c:v>
                </c:pt>
                <c:pt idx="397">
                  <c:v>240.46</c:v>
                </c:pt>
                <c:pt idx="398">
                  <c:v>241.1</c:v>
                </c:pt>
                <c:pt idx="399">
                  <c:v>241.43</c:v>
                </c:pt>
                <c:pt idx="400">
                  <c:v>238.03</c:v>
                </c:pt>
                <c:pt idx="401">
                  <c:v>238.19</c:v>
                </c:pt>
                <c:pt idx="402">
                  <c:v>241.64</c:v>
                </c:pt>
                <c:pt idx="403">
                  <c:v>243.9</c:v>
                </c:pt>
                <c:pt idx="404">
                  <c:v>247.51</c:v>
                </c:pt>
                <c:pt idx="405">
                  <c:v>248.7</c:v>
                </c:pt>
                <c:pt idx="406">
                  <c:v>252.79</c:v>
                </c:pt>
                <c:pt idx="407">
                  <c:v>256.48</c:v>
                </c:pt>
                <c:pt idx="408">
                  <c:v>258.64</c:v>
                </c:pt>
                <c:pt idx="409">
                  <c:v>261.72000000000003</c:v>
                </c:pt>
                <c:pt idx="410">
                  <c:v>259.94</c:v>
                </c:pt>
                <c:pt idx="411">
                  <c:v>253.72</c:v>
                </c:pt>
                <c:pt idx="412">
                  <c:v>253.57</c:v>
                </c:pt>
                <c:pt idx="413">
                  <c:v>256.14</c:v>
                </c:pt>
                <c:pt idx="414">
                  <c:v>256.54000000000002</c:v>
                </c:pt>
                <c:pt idx="415">
                  <c:v>258.5</c:v>
                </c:pt>
                <c:pt idx="416">
                  <c:v>259.55</c:v>
                </c:pt>
                <c:pt idx="417">
                  <c:v>276.23</c:v>
                </c:pt>
                <c:pt idx="418">
                  <c:v>273.93</c:v>
                </c:pt>
                <c:pt idx="419">
                  <c:v>270.39</c:v>
                </c:pt>
                <c:pt idx="420">
                  <c:v>268.86</c:v>
                </c:pt>
                <c:pt idx="421">
                  <c:v>272.67</c:v>
                </c:pt>
                <c:pt idx="422">
                  <c:v>290.45</c:v>
                </c:pt>
                <c:pt idx="423">
                  <c:v>290.58999999999997</c:v>
                </c:pt>
                <c:pt idx="424">
                  <c:v>292.31</c:v>
                </c:pt>
                <c:pt idx="425">
                  <c:v>292.04000000000002</c:v>
                </c:pt>
                <c:pt idx="426">
                  <c:v>288.38</c:v>
                </c:pt>
                <c:pt idx="427">
                  <c:v>287.70999999999998</c:v>
                </c:pt>
                <c:pt idx="428">
                  <c:v>282.68</c:v>
                </c:pt>
                <c:pt idx="429">
                  <c:v>279.27999999999997</c:v>
                </c:pt>
                <c:pt idx="430">
                  <c:v>278.74</c:v>
                </c:pt>
                <c:pt idx="431">
                  <c:v>278.01</c:v>
                </c:pt>
                <c:pt idx="432">
                  <c:v>277.81</c:v>
                </c:pt>
                <c:pt idx="433">
                  <c:v>281.18</c:v>
                </c:pt>
                <c:pt idx="434">
                  <c:v>284.61</c:v>
                </c:pt>
                <c:pt idx="435">
                  <c:v>290.37</c:v>
                </c:pt>
                <c:pt idx="436">
                  <c:v>288.39999999999998</c:v>
                </c:pt>
                <c:pt idx="437">
                  <c:v>286.39</c:v>
                </c:pt>
                <c:pt idx="438">
                  <c:v>288.13</c:v>
                </c:pt>
                <c:pt idx="439">
                  <c:v>287.05</c:v>
                </c:pt>
                <c:pt idx="440">
                  <c:v>286.5</c:v>
                </c:pt>
                <c:pt idx="441">
                  <c:v>285.64999999999998</c:v>
                </c:pt>
                <c:pt idx="442">
                  <c:v>287.63</c:v>
                </c:pt>
                <c:pt idx="443">
                  <c:v>286.86</c:v>
                </c:pt>
                <c:pt idx="444">
                  <c:v>281.23</c:v>
                </c:pt>
                <c:pt idx="445">
                  <c:v>276.31</c:v>
                </c:pt>
                <c:pt idx="446">
                  <c:v>279.56</c:v>
                </c:pt>
                <c:pt idx="447">
                  <c:v>278.11</c:v>
                </c:pt>
                <c:pt idx="448">
                  <c:v>275.77</c:v>
                </c:pt>
                <c:pt idx="449">
                  <c:v>277</c:v>
                </c:pt>
                <c:pt idx="450">
                  <c:v>272.64999999999998</c:v>
                </c:pt>
                <c:pt idx="451">
                  <c:v>264.89</c:v>
                </c:pt>
                <c:pt idx="452">
                  <c:v>260.92</c:v>
                </c:pt>
                <c:pt idx="453">
                  <c:v>263.13</c:v>
                </c:pt>
                <c:pt idx="454">
                  <c:v>262.87</c:v>
                </c:pt>
                <c:pt idx="455">
                  <c:v>264.31</c:v>
                </c:pt>
                <c:pt idx="456">
                  <c:v>264.55</c:v>
                </c:pt>
                <c:pt idx="457">
                  <c:v>262.36</c:v>
                </c:pt>
                <c:pt idx="458">
                  <c:v>258.16000000000003</c:v>
                </c:pt>
                <c:pt idx="459">
                  <c:v>257.23</c:v>
                </c:pt>
                <c:pt idx="460">
                  <c:v>255.57</c:v>
                </c:pt>
                <c:pt idx="461">
                  <c:v>257.13</c:v>
                </c:pt>
                <c:pt idx="462">
                  <c:v>257.38</c:v>
                </c:pt>
                <c:pt idx="463">
                  <c:v>251.98</c:v>
                </c:pt>
                <c:pt idx="464">
                  <c:v>255.28</c:v>
                </c:pt>
                <c:pt idx="465">
                  <c:v>251.69</c:v>
                </c:pt>
                <c:pt idx="466">
                  <c:v>256.02999999999997</c:v>
                </c:pt>
                <c:pt idx="467">
                  <c:v>260.07</c:v>
                </c:pt>
                <c:pt idx="468">
                  <c:v>268.19</c:v>
                </c:pt>
                <c:pt idx="469">
                  <c:v>269.17</c:v>
                </c:pt>
                <c:pt idx="470">
                  <c:v>270.10000000000002</c:v>
                </c:pt>
                <c:pt idx="471">
                  <c:v>275.52999999999997</c:v>
                </c:pt>
                <c:pt idx="472">
                  <c:v>274.38</c:v>
                </c:pt>
                <c:pt idx="473">
                  <c:v>274.83</c:v>
                </c:pt>
                <c:pt idx="474">
                  <c:v>277.54000000000002</c:v>
                </c:pt>
                <c:pt idx="475">
                  <c:v>274.99</c:v>
                </c:pt>
                <c:pt idx="476">
                  <c:v>275.10000000000002</c:v>
                </c:pt>
                <c:pt idx="477">
                  <c:v>272.2</c:v>
                </c:pt>
                <c:pt idx="478">
                  <c:v>276.36</c:v>
                </c:pt>
                <c:pt idx="479">
                  <c:v>274.14999999999998</c:v>
                </c:pt>
                <c:pt idx="480">
                  <c:v>271.16000000000003</c:v>
                </c:pt>
                <c:pt idx="481">
                  <c:v>272.07</c:v>
                </c:pt>
                <c:pt idx="482">
                  <c:v>274.33</c:v>
                </c:pt>
                <c:pt idx="483">
                  <c:v>277.20999999999998</c:v>
                </c:pt>
                <c:pt idx="484">
                  <c:v>272.92</c:v>
                </c:pt>
                <c:pt idx="485">
                  <c:v>268.56</c:v>
                </c:pt>
                <c:pt idx="486">
                  <c:v>267.77</c:v>
                </c:pt>
                <c:pt idx="487">
                  <c:v>263.81</c:v>
                </c:pt>
                <c:pt idx="488">
                  <c:v>269.33</c:v>
                </c:pt>
                <c:pt idx="489">
                  <c:v>270.45999999999998</c:v>
                </c:pt>
                <c:pt idx="490">
                  <c:v>272.76</c:v>
                </c:pt>
                <c:pt idx="491">
                  <c:v>264.97000000000003</c:v>
                </c:pt>
                <c:pt idx="492">
                  <c:v>258.58999999999997</c:v>
                </c:pt>
                <c:pt idx="493">
                  <c:v>252.86</c:v>
                </c:pt>
                <c:pt idx="494">
                  <c:v>251.56</c:v>
                </c:pt>
                <c:pt idx="495">
                  <c:v>249.79</c:v>
                </c:pt>
                <c:pt idx="496">
                  <c:v>250.53</c:v>
                </c:pt>
                <c:pt idx="497">
                  <c:v>245.12</c:v>
                </c:pt>
                <c:pt idx="498">
                  <c:v>247.31</c:v>
                </c:pt>
                <c:pt idx="499">
                  <c:v>239.77</c:v>
                </c:pt>
                <c:pt idx="500">
                  <c:v>234.86</c:v>
                </c:pt>
                <c:pt idx="501">
                  <c:v>240.35</c:v>
                </c:pt>
                <c:pt idx="502">
                  <c:v>235.17</c:v>
                </c:pt>
                <c:pt idx="503">
                  <c:v>220.9</c:v>
                </c:pt>
                <c:pt idx="504">
                  <c:v>221.34</c:v>
                </c:pt>
                <c:pt idx="505">
                  <c:v>224.71</c:v>
                </c:pt>
                <c:pt idx="506">
                  <c:v>227.17</c:v>
                </c:pt>
                <c:pt idx="507">
                  <c:v>225.04</c:v>
                </c:pt>
                <c:pt idx="508">
                  <c:v>231.32</c:v>
                </c:pt>
                <c:pt idx="509">
                  <c:v>235.08</c:v>
                </c:pt>
                <c:pt idx="510">
                  <c:v>236.5</c:v>
                </c:pt>
                <c:pt idx="511">
                  <c:v>241.11</c:v>
                </c:pt>
                <c:pt idx="512">
                  <c:v>238.72</c:v>
                </c:pt>
                <c:pt idx="513">
                  <c:v>234.08</c:v>
                </c:pt>
                <c:pt idx="514">
                  <c:v>240.81</c:v>
                </c:pt>
                <c:pt idx="515">
                  <c:v>240.98</c:v>
                </c:pt>
                <c:pt idx="516">
                  <c:v>237.06</c:v>
                </c:pt>
                <c:pt idx="517">
                  <c:v>237.54</c:v>
                </c:pt>
                <c:pt idx="518">
                  <c:v>232.94</c:v>
                </c:pt>
                <c:pt idx="519">
                  <c:v>233.3</c:v>
                </c:pt>
                <c:pt idx="520">
                  <c:v>237.27</c:v>
                </c:pt>
                <c:pt idx="521">
                  <c:v>240.1</c:v>
                </c:pt>
                <c:pt idx="522">
                  <c:v>237.18</c:v>
                </c:pt>
                <c:pt idx="523">
                  <c:v>230.74</c:v>
                </c:pt>
                <c:pt idx="524">
                  <c:v>228.53</c:v>
                </c:pt>
                <c:pt idx="525">
                  <c:v>226.49</c:v>
                </c:pt>
                <c:pt idx="526">
                  <c:v>239.53</c:v>
                </c:pt>
                <c:pt idx="527">
                  <c:v>235.58</c:v>
                </c:pt>
                <c:pt idx="528">
                  <c:v>242.3</c:v>
                </c:pt>
                <c:pt idx="529">
                  <c:v>243.48</c:v>
                </c:pt>
                <c:pt idx="530">
                  <c:v>244.53</c:v>
                </c:pt>
                <c:pt idx="531">
                  <c:v>240.55</c:v>
                </c:pt>
                <c:pt idx="532">
                  <c:v>241.93</c:v>
                </c:pt>
                <c:pt idx="533">
                  <c:v>234.17</c:v>
                </c:pt>
                <c:pt idx="534">
                  <c:v>240.57</c:v>
                </c:pt>
                <c:pt idx="535">
                  <c:v>244.54</c:v>
                </c:pt>
                <c:pt idx="536">
                  <c:v>249.51</c:v>
                </c:pt>
                <c:pt idx="537">
                  <c:v>247.04</c:v>
                </c:pt>
                <c:pt idx="538">
                  <c:v>245.39</c:v>
                </c:pt>
                <c:pt idx="539">
                  <c:v>245.35</c:v>
                </c:pt>
                <c:pt idx="540">
                  <c:v>262.33</c:v>
                </c:pt>
                <c:pt idx="541">
                  <c:v>263.63</c:v>
                </c:pt>
                <c:pt idx="542">
                  <c:v>267.05</c:v>
                </c:pt>
                <c:pt idx="543">
                  <c:v>270.04000000000002</c:v>
                </c:pt>
                <c:pt idx="544">
                  <c:v>267.24</c:v>
                </c:pt>
                <c:pt idx="545">
                  <c:v>265.83999999999997</c:v>
                </c:pt>
                <c:pt idx="546">
                  <c:v>268.42</c:v>
                </c:pt>
                <c:pt idx="547">
                  <c:v>269.63</c:v>
                </c:pt>
                <c:pt idx="548">
                  <c:v>272.36</c:v>
                </c:pt>
                <c:pt idx="549">
                  <c:v>268.58999999999997</c:v>
                </c:pt>
                <c:pt idx="550">
                  <c:v>266.32</c:v>
                </c:pt>
                <c:pt idx="551">
                  <c:v>271.07</c:v>
                </c:pt>
                <c:pt idx="552">
                  <c:v>275.51</c:v>
                </c:pt>
                <c:pt idx="553">
                  <c:v>276.01</c:v>
                </c:pt>
                <c:pt idx="554">
                  <c:v>273.33</c:v>
                </c:pt>
                <c:pt idx="555">
                  <c:v>270.54000000000002</c:v>
                </c:pt>
                <c:pt idx="556">
                  <c:v>271.68</c:v>
                </c:pt>
                <c:pt idx="557">
                  <c:v>268.19</c:v>
                </c:pt>
                <c:pt idx="558">
                  <c:v>270.16000000000003</c:v>
                </c:pt>
                <c:pt idx="559">
                  <c:v>262.52999999999997</c:v>
                </c:pt>
                <c:pt idx="560">
                  <c:v>265.31</c:v>
                </c:pt>
                <c:pt idx="561">
                  <c:v>265.07</c:v>
                </c:pt>
                <c:pt idx="562">
                  <c:v>263.38</c:v>
                </c:pt>
                <c:pt idx="563">
                  <c:v>264.94</c:v>
                </c:pt>
                <c:pt idx="564">
                  <c:v>266.08</c:v>
                </c:pt>
                <c:pt idx="565">
                  <c:v>265.67</c:v>
                </c:pt>
                <c:pt idx="566">
                  <c:v>264.81</c:v>
                </c:pt>
                <c:pt idx="567">
                  <c:v>266</c:v>
                </c:pt>
                <c:pt idx="568">
                  <c:v>265.10000000000002</c:v>
                </c:pt>
                <c:pt idx="569">
                  <c:v>261.12</c:v>
                </c:pt>
                <c:pt idx="570">
                  <c:v>265.52999999999997</c:v>
                </c:pt>
                <c:pt idx="571">
                  <c:v>260.77</c:v>
                </c:pt>
                <c:pt idx="572">
                  <c:v>261.18</c:v>
                </c:pt>
                <c:pt idx="573">
                  <c:v>259.04000000000002</c:v>
                </c:pt>
                <c:pt idx="574">
                  <c:v>258.14</c:v>
                </c:pt>
                <c:pt idx="575">
                  <c:v>255.94</c:v>
                </c:pt>
                <c:pt idx="576">
                  <c:v>261.04000000000002</c:v>
                </c:pt>
                <c:pt idx="577">
                  <c:v>264.48</c:v>
                </c:pt>
                <c:pt idx="578">
                  <c:v>254.64</c:v>
                </c:pt>
                <c:pt idx="579">
                  <c:v>256.95999999999998</c:v>
                </c:pt>
                <c:pt idx="580">
                  <c:v>262.18</c:v>
                </c:pt>
                <c:pt idx="581">
                  <c:v>260.82</c:v>
                </c:pt>
                <c:pt idx="582">
                  <c:v>264.67</c:v>
                </c:pt>
                <c:pt idx="583">
                  <c:v>265.70999999999998</c:v>
                </c:pt>
                <c:pt idx="584">
                  <c:v>266.24</c:v>
                </c:pt>
                <c:pt idx="585">
                  <c:v>267</c:v>
                </c:pt>
                <c:pt idx="586">
                  <c:v>266.45</c:v>
                </c:pt>
                <c:pt idx="587">
                  <c:v>269.95</c:v>
                </c:pt>
                <c:pt idx="588">
                  <c:v>270.73</c:v>
                </c:pt>
                <c:pt idx="589">
                  <c:v>269</c:v>
                </c:pt>
                <c:pt idx="590">
                  <c:v>269.93</c:v>
                </c:pt>
                <c:pt idx="591">
                  <c:v>261.56</c:v>
                </c:pt>
                <c:pt idx="592">
                  <c:v>260.62</c:v>
                </c:pt>
                <c:pt idx="593">
                  <c:v>263.01</c:v>
                </c:pt>
                <c:pt idx="594">
                  <c:v>266.60000000000002</c:v>
                </c:pt>
                <c:pt idx="595">
                  <c:v>265.01</c:v>
                </c:pt>
                <c:pt idx="596">
                  <c:v>267.77999999999997</c:v>
                </c:pt>
                <c:pt idx="597">
                  <c:v>269.11</c:v>
                </c:pt>
                <c:pt idx="598">
                  <c:v>271.42</c:v>
                </c:pt>
                <c:pt idx="599">
                  <c:v>274.83</c:v>
                </c:pt>
                <c:pt idx="600">
                  <c:v>270.11</c:v>
                </c:pt>
                <c:pt idx="601">
                  <c:v>273.92</c:v>
                </c:pt>
                <c:pt idx="602">
                  <c:v>272.77</c:v>
                </c:pt>
                <c:pt idx="603">
                  <c:v>274.67</c:v>
                </c:pt>
                <c:pt idx="604">
                  <c:v>274.94</c:v>
                </c:pt>
                <c:pt idx="605">
                  <c:v>281.85000000000002</c:v>
                </c:pt>
                <c:pt idx="606">
                  <c:v>283.17</c:v>
                </c:pt>
                <c:pt idx="607">
                  <c:v>281.58999999999997</c:v>
                </c:pt>
                <c:pt idx="608">
                  <c:v>282.10000000000002</c:v>
                </c:pt>
                <c:pt idx="609">
                  <c:v>286.52</c:v>
                </c:pt>
                <c:pt idx="610">
                  <c:v>285.24</c:v>
                </c:pt>
                <c:pt idx="611">
                  <c:v>291.89</c:v>
                </c:pt>
                <c:pt idx="612">
                  <c:v>295.64</c:v>
                </c:pt>
                <c:pt idx="613">
                  <c:v>293.10000000000002</c:v>
                </c:pt>
                <c:pt idx="614">
                  <c:v>291.62</c:v>
                </c:pt>
                <c:pt idx="615">
                  <c:v>289.88</c:v>
                </c:pt>
                <c:pt idx="616">
                  <c:v>292.83999999999997</c:v>
                </c:pt>
                <c:pt idx="617">
                  <c:v>286.27999999999997</c:v>
                </c:pt>
                <c:pt idx="618">
                  <c:v>288.27999999999997</c:v>
                </c:pt>
                <c:pt idx="619">
                  <c:v>292.39999999999998</c:v>
                </c:pt>
                <c:pt idx="620">
                  <c:v>290.3</c:v>
                </c:pt>
                <c:pt idx="621">
                  <c:v>291.2</c:v>
                </c:pt>
                <c:pt idx="622">
                  <c:v>291.14999999999998</c:v>
                </c:pt>
                <c:pt idx="623">
                  <c:v>291.16000000000003</c:v>
                </c:pt>
                <c:pt idx="624">
                  <c:v>291.16000000000003</c:v>
                </c:pt>
                <c:pt idx="625">
                  <c:v>292.49</c:v>
                </c:pt>
                <c:pt idx="626">
                  <c:v>288.05</c:v>
                </c:pt>
                <c:pt idx="627">
                  <c:v>292.33</c:v>
                </c:pt>
                <c:pt idx="628">
                  <c:v>294.81</c:v>
                </c:pt>
                <c:pt idx="629">
                  <c:v>298.91000000000003</c:v>
                </c:pt>
                <c:pt idx="630">
                  <c:v>292.44</c:v>
                </c:pt>
                <c:pt idx="631">
                  <c:v>294.43</c:v>
                </c:pt>
                <c:pt idx="632">
                  <c:v>301.64999999999998</c:v>
                </c:pt>
                <c:pt idx="633">
                  <c:v>294.94</c:v>
                </c:pt>
                <c:pt idx="634">
                  <c:v>294.02999999999997</c:v>
                </c:pt>
                <c:pt idx="635">
                  <c:v>291.95999999999998</c:v>
                </c:pt>
                <c:pt idx="636">
                  <c:v>292.25</c:v>
                </c:pt>
                <c:pt idx="637">
                  <c:v>298.58</c:v>
                </c:pt>
                <c:pt idx="638">
                  <c:v>297.79000000000002</c:v>
                </c:pt>
                <c:pt idx="639">
                  <c:v>298.89</c:v>
                </c:pt>
                <c:pt idx="640">
                  <c:v>297.58999999999997</c:v>
                </c:pt>
                <c:pt idx="641">
                  <c:v>293.81</c:v>
                </c:pt>
                <c:pt idx="642">
                  <c:v>294.76</c:v>
                </c:pt>
                <c:pt idx="643">
                  <c:v>299.29000000000002</c:v>
                </c:pt>
                <c:pt idx="644">
                  <c:v>303.02</c:v>
                </c:pt>
                <c:pt idx="645">
                  <c:v>307.62</c:v>
                </c:pt>
                <c:pt idx="646">
                  <c:v>301.64</c:v>
                </c:pt>
                <c:pt idx="647">
                  <c:v>303.37</c:v>
                </c:pt>
                <c:pt idx="648">
                  <c:v>304.7</c:v>
                </c:pt>
                <c:pt idx="649">
                  <c:v>304.67</c:v>
                </c:pt>
                <c:pt idx="650">
                  <c:v>300.89999999999998</c:v>
                </c:pt>
                <c:pt idx="651">
                  <c:v>304.43</c:v>
                </c:pt>
                <c:pt idx="652">
                  <c:v>302.89999999999998</c:v>
                </c:pt>
                <c:pt idx="653">
                  <c:v>301.43</c:v>
                </c:pt>
                <c:pt idx="654">
                  <c:v>302.75</c:v>
                </c:pt>
                <c:pt idx="655">
                  <c:v>309.07</c:v>
                </c:pt>
                <c:pt idx="656">
                  <c:v>303.10000000000002</c:v>
                </c:pt>
                <c:pt idx="657">
                  <c:v>296.23</c:v>
                </c:pt>
                <c:pt idx="658">
                  <c:v>295.35000000000002</c:v>
                </c:pt>
                <c:pt idx="659">
                  <c:v>295.47000000000003</c:v>
                </c:pt>
                <c:pt idx="660">
                  <c:v>297.57</c:v>
                </c:pt>
                <c:pt idx="661">
                  <c:v>293.67</c:v>
                </c:pt>
                <c:pt idx="662">
                  <c:v>292.06</c:v>
                </c:pt>
                <c:pt idx="663">
                  <c:v>292.74</c:v>
                </c:pt>
                <c:pt idx="664">
                  <c:v>292.01</c:v>
                </c:pt>
                <c:pt idx="665">
                  <c:v>292.58999999999997</c:v>
                </c:pt>
                <c:pt idx="666">
                  <c:v>294.97000000000003</c:v>
                </c:pt>
                <c:pt idx="667">
                  <c:v>290</c:v>
                </c:pt>
                <c:pt idx="668">
                  <c:v>289.5</c:v>
                </c:pt>
                <c:pt idx="669">
                  <c:v>288.55</c:v>
                </c:pt>
                <c:pt idx="670">
                  <c:v>292.26</c:v>
                </c:pt>
                <c:pt idx="671">
                  <c:v>285.10000000000002</c:v>
                </c:pt>
                <c:pt idx="672">
                  <c:v>286.3</c:v>
                </c:pt>
                <c:pt idx="673">
                  <c:v>287.3</c:v>
                </c:pt>
                <c:pt idx="674">
                  <c:v>292.83999999999997</c:v>
                </c:pt>
                <c:pt idx="675">
                  <c:v>295.10000000000002</c:v>
                </c:pt>
                <c:pt idx="676">
                  <c:v>295.08999999999997</c:v>
                </c:pt>
                <c:pt idx="677">
                  <c:v>284.08999999999997</c:v>
                </c:pt>
                <c:pt idx="678">
                  <c:v>280.58</c:v>
                </c:pt>
                <c:pt idx="679">
                  <c:v>280.08</c:v>
                </c:pt>
                <c:pt idx="680">
                  <c:v>281.87</c:v>
                </c:pt>
                <c:pt idx="681">
                  <c:v>284.23</c:v>
                </c:pt>
                <c:pt idx="682">
                  <c:v>285.97000000000003</c:v>
                </c:pt>
                <c:pt idx="683">
                  <c:v>287.83</c:v>
                </c:pt>
                <c:pt idx="684">
                  <c:v>287.19</c:v>
                </c:pt>
                <c:pt idx="685">
                  <c:v>292.72000000000003</c:v>
                </c:pt>
                <c:pt idx="686">
                  <c:v>295.08</c:v>
                </c:pt>
                <c:pt idx="687">
                  <c:v>297.24</c:v>
                </c:pt>
                <c:pt idx="688">
                  <c:v>291.85000000000002</c:v>
                </c:pt>
                <c:pt idx="689">
                  <c:v>289.83999999999997</c:v>
                </c:pt>
                <c:pt idx="690">
                  <c:v>292.58999999999997</c:v>
                </c:pt>
                <c:pt idx="691">
                  <c:v>293.64999999999998</c:v>
                </c:pt>
                <c:pt idx="692">
                  <c:v>294.87</c:v>
                </c:pt>
                <c:pt idx="693">
                  <c:v>295.77999999999997</c:v>
                </c:pt>
                <c:pt idx="694">
                  <c:v>291.04000000000002</c:v>
                </c:pt>
                <c:pt idx="695">
                  <c:v>296.77</c:v>
                </c:pt>
                <c:pt idx="696">
                  <c:v>299.27</c:v>
                </c:pt>
                <c:pt idx="697">
                  <c:v>295.94</c:v>
                </c:pt>
                <c:pt idx="698">
                  <c:v>296.68</c:v>
                </c:pt>
                <c:pt idx="699">
                  <c:v>292.01</c:v>
                </c:pt>
                <c:pt idx="700">
                  <c:v>285.41000000000003</c:v>
                </c:pt>
                <c:pt idx="701">
                  <c:v>288.33999999999997</c:v>
                </c:pt>
                <c:pt idx="702">
                  <c:v>291.87</c:v>
                </c:pt>
                <c:pt idx="703">
                  <c:v>291.88</c:v>
                </c:pt>
                <c:pt idx="704">
                  <c:v>292.83999999999997</c:v>
                </c:pt>
                <c:pt idx="705">
                  <c:v>293.64</c:v>
                </c:pt>
                <c:pt idx="706">
                  <c:v>294.2</c:v>
                </c:pt>
                <c:pt idx="707">
                  <c:v>292.02</c:v>
                </c:pt>
                <c:pt idx="708">
                  <c:v>288.88</c:v>
                </c:pt>
                <c:pt idx="709">
                  <c:v>285.22000000000003</c:v>
                </c:pt>
                <c:pt idx="710">
                  <c:v>292.64999999999998</c:v>
                </c:pt>
                <c:pt idx="711">
                  <c:v>296.67</c:v>
                </c:pt>
                <c:pt idx="712">
                  <c:v>299.85000000000002</c:v>
                </c:pt>
                <c:pt idx="713">
                  <c:v>292.12</c:v>
                </c:pt>
                <c:pt idx="714">
                  <c:v>299.13</c:v>
                </c:pt>
                <c:pt idx="715">
                  <c:v>311.62</c:v>
                </c:pt>
                <c:pt idx="716">
                  <c:v>309.62</c:v>
                </c:pt>
                <c:pt idx="717">
                  <c:v>311.04000000000002</c:v>
                </c:pt>
                <c:pt idx="718">
                  <c:v>298.48</c:v>
                </c:pt>
                <c:pt idx="719">
                  <c:v>301.70999999999998</c:v>
                </c:pt>
                <c:pt idx="720">
                  <c:v>305.97000000000003</c:v>
                </c:pt>
                <c:pt idx="721">
                  <c:v>296.14999999999998</c:v>
                </c:pt>
                <c:pt idx="722">
                  <c:v>299.01</c:v>
                </c:pt>
                <c:pt idx="723">
                  <c:v>303.27</c:v>
                </c:pt>
                <c:pt idx="724">
                  <c:v>300.07</c:v>
                </c:pt>
                <c:pt idx="725">
                  <c:v>300.39999999999998</c:v>
                </c:pt>
                <c:pt idx="726">
                  <c:v>298.67</c:v>
                </c:pt>
                <c:pt idx="727">
                  <c:v>299.73</c:v>
                </c:pt>
                <c:pt idx="728">
                  <c:v>299.47000000000003</c:v>
                </c:pt>
                <c:pt idx="729">
                  <c:v>300.54000000000002</c:v>
                </c:pt>
                <c:pt idx="730">
                  <c:v>305.92</c:v>
                </c:pt>
                <c:pt idx="731">
                  <c:v>311.01</c:v>
                </c:pt>
                <c:pt idx="732">
                  <c:v>311.49</c:v>
                </c:pt>
                <c:pt idx="733">
                  <c:v>310.76</c:v>
                </c:pt>
                <c:pt idx="734">
                  <c:v>323.72000000000003</c:v>
                </c:pt>
                <c:pt idx="735">
                  <c:v>327.32</c:v>
                </c:pt>
                <c:pt idx="736">
                  <c:v>330.37</c:v>
                </c:pt>
                <c:pt idx="737">
                  <c:v>319.77999999999997</c:v>
                </c:pt>
                <c:pt idx="738">
                  <c:v>321.92</c:v>
                </c:pt>
                <c:pt idx="739">
                  <c:v>327.64999999999998</c:v>
                </c:pt>
                <c:pt idx="740">
                  <c:v>302.22000000000003</c:v>
                </c:pt>
                <c:pt idx="741">
                  <c:v>299.36</c:v>
                </c:pt>
                <c:pt idx="742">
                  <c:v>302.85000000000002</c:v>
                </c:pt>
                <c:pt idx="743">
                  <c:v>305.29000000000002</c:v>
                </c:pt>
                <c:pt idx="744">
                  <c:v>310.79000000000002</c:v>
                </c:pt>
                <c:pt idx="745">
                  <c:v>317.89</c:v>
                </c:pt>
                <c:pt idx="746">
                  <c:v>305.52999999999997</c:v>
                </c:pt>
                <c:pt idx="747">
                  <c:v>308.99</c:v>
                </c:pt>
                <c:pt idx="748">
                  <c:v>310</c:v>
                </c:pt>
                <c:pt idx="749">
                  <c:v>306.2</c:v>
                </c:pt>
                <c:pt idx="750">
                  <c:v>300</c:v>
                </c:pt>
                <c:pt idx="751">
                  <c:v>295.98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DC-5646-B533-90B4F68E35E2}"/>
            </c:ext>
          </c:extLst>
        </c:ser>
        <c:ser>
          <c:idx val="1"/>
          <c:order val="1"/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'Share Price Analysis'!$A$36:$A$787</c:f>
              <c:numCache>
                <c:formatCode>yyyy\-mm\-dd</c:formatCode>
                <c:ptCount val="752"/>
                <c:pt idx="0">
                  <c:v>44991</c:v>
                </c:pt>
                <c:pt idx="1">
                  <c:v>44992</c:v>
                </c:pt>
                <c:pt idx="2">
                  <c:v>44993</c:v>
                </c:pt>
                <c:pt idx="3">
                  <c:v>44994</c:v>
                </c:pt>
                <c:pt idx="4">
                  <c:v>44995</c:v>
                </c:pt>
                <c:pt idx="5">
                  <c:v>44998</c:v>
                </c:pt>
                <c:pt idx="6">
                  <c:v>44999</c:v>
                </c:pt>
                <c:pt idx="7">
                  <c:v>45000</c:v>
                </c:pt>
                <c:pt idx="8">
                  <c:v>45001</c:v>
                </c:pt>
                <c:pt idx="9">
                  <c:v>45002</c:v>
                </c:pt>
                <c:pt idx="10">
                  <c:v>45005</c:v>
                </c:pt>
                <c:pt idx="11">
                  <c:v>45006</c:v>
                </c:pt>
                <c:pt idx="12">
                  <c:v>45007</c:v>
                </c:pt>
                <c:pt idx="13">
                  <c:v>45008</c:v>
                </c:pt>
                <c:pt idx="14">
                  <c:v>45009</c:v>
                </c:pt>
                <c:pt idx="15">
                  <c:v>45012</c:v>
                </c:pt>
                <c:pt idx="16">
                  <c:v>45013</c:v>
                </c:pt>
                <c:pt idx="17">
                  <c:v>45014</c:v>
                </c:pt>
                <c:pt idx="18">
                  <c:v>45015</c:v>
                </c:pt>
                <c:pt idx="19">
                  <c:v>45016</c:v>
                </c:pt>
                <c:pt idx="20">
                  <c:v>45019</c:v>
                </c:pt>
                <c:pt idx="21">
                  <c:v>45020</c:v>
                </c:pt>
                <c:pt idx="22">
                  <c:v>45021</c:v>
                </c:pt>
                <c:pt idx="23">
                  <c:v>45022</c:v>
                </c:pt>
                <c:pt idx="24">
                  <c:v>45026</c:v>
                </c:pt>
                <c:pt idx="25">
                  <c:v>45027</c:v>
                </c:pt>
                <c:pt idx="26">
                  <c:v>45028</c:v>
                </c:pt>
                <c:pt idx="27">
                  <c:v>45029</c:v>
                </c:pt>
                <c:pt idx="28">
                  <c:v>45030</c:v>
                </c:pt>
                <c:pt idx="29">
                  <c:v>45033</c:v>
                </c:pt>
                <c:pt idx="30">
                  <c:v>45034</c:v>
                </c:pt>
                <c:pt idx="31">
                  <c:v>45035</c:v>
                </c:pt>
                <c:pt idx="32">
                  <c:v>45036</c:v>
                </c:pt>
                <c:pt idx="33">
                  <c:v>45037</c:v>
                </c:pt>
                <c:pt idx="34">
                  <c:v>45040</c:v>
                </c:pt>
                <c:pt idx="35">
                  <c:v>45041</c:v>
                </c:pt>
                <c:pt idx="36">
                  <c:v>45042</c:v>
                </c:pt>
                <c:pt idx="37">
                  <c:v>45043</c:v>
                </c:pt>
                <c:pt idx="38">
                  <c:v>45044</c:v>
                </c:pt>
                <c:pt idx="39">
                  <c:v>45047</c:v>
                </c:pt>
                <c:pt idx="40">
                  <c:v>45048</c:v>
                </c:pt>
                <c:pt idx="41">
                  <c:v>45049</c:v>
                </c:pt>
                <c:pt idx="42">
                  <c:v>45050</c:v>
                </c:pt>
                <c:pt idx="43">
                  <c:v>45051</c:v>
                </c:pt>
                <c:pt idx="44">
                  <c:v>45054</c:v>
                </c:pt>
                <c:pt idx="45">
                  <c:v>45055</c:v>
                </c:pt>
                <c:pt idx="46">
                  <c:v>45056</c:v>
                </c:pt>
                <c:pt idx="47">
                  <c:v>45057</c:v>
                </c:pt>
                <c:pt idx="48">
                  <c:v>45058</c:v>
                </c:pt>
                <c:pt idx="49">
                  <c:v>45061</c:v>
                </c:pt>
                <c:pt idx="50">
                  <c:v>45062</c:v>
                </c:pt>
                <c:pt idx="51">
                  <c:v>45063</c:v>
                </c:pt>
                <c:pt idx="52">
                  <c:v>45064</c:v>
                </c:pt>
                <c:pt idx="53">
                  <c:v>45065</c:v>
                </c:pt>
                <c:pt idx="54">
                  <c:v>45068</c:v>
                </c:pt>
                <c:pt idx="55">
                  <c:v>45069</c:v>
                </c:pt>
                <c:pt idx="56">
                  <c:v>45070</c:v>
                </c:pt>
                <c:pt idx="57">
                  <c:v>45071</c:v>
                </c:pt>
                <c:pt idx="58">
                  <c:v>45072</c:v>
                </c:pt>
                <c:pt idx="59">
                  <c:v>45076</c:v>
                </c:pt>
                <c:pt idx="60">
                  <c:v>45077</c:v>
                </c:pt>
                <c:pt idx="61">
                  <c:v>45078</c:v>
                </c:pt>
                <c:pt idx="62">
                  <c:v>45079</c:v>
                </c:pt>
                <c:pt idx="63">
                  <c:v>45082</c:v>
                </c:pt>
                <c:pt idx="64">
                  <c:v>45083</c:v>
                </c:pt>
                <c:pt idx="65">
                  <c:v>45084</c:v>
                </c:pt>
                <c:pt idx="66">
                  <c:v>45085</c:v>
                </c:pt>
                <c:pt idx="67">
                  <c:v>45086</c:v>
                </c:pt>
                <c:pt idx="68">
                  <c:v>45089</c:v>
                </c:pt>
                <c:pt idx="69">
                  <c:v>45090</c:v>
                </c:pt>
                <c:pt idx="70">
                  <c:v>45091</c:v>
                </c:pt>
                <c:pt idx="71">
                  <c:v>45092</c:v>
                </c:pt>
                <c:pt idx="72">
                  <c:v>45093</c:v>
                </c:pt>
                <c:pt idx="73">
                  <c:v>45097</c:v>
                </c:pt>
                <c:pt idx="74">
                  <c:v>45098</c:v>
                </c:pt>
                <c:pt idx="75">
                  <c:v>45099</c:v>
                </c:pt>
                <c:pt idx="76">
                  <c:v>45100</c:v>
                </c:pt>
                <c:pt idx="77">
                  <c:v>45103</c:v>
                </c:pt>
                <c:pt idx="78">
                  <c:v>45104</c:v>
                </c:pt>
                <c:pt idx="79">
                  <c:v>45105</c:v>
                </c:pt>
                <c:pt idx="80">
                  <c:v>45106</c:v>
                </c:pt>
                <c:pt idx="81">
                  <c:v>45107</c:v>
                </c:pt>
                <c:pt idx="82">
                  <c:v>45110</c:v>
                </c:pt>
                <c:pt idx="83">
                  <c:v>45112</c:v>
                </c:pt>
                <c:pt idx="84">
                  <c:v>45113</c:v>
                </c:pt>
                <c:pt idx="85">
                  <c:v>45114</c:v>
                </c:pt>
                <c:pt idx="86">
                  <c:v>45117</c:v>
                </c:pt>
                <c:pt idx="87">
                  <c:v>45118</c:v>
                </c:pt>
                <c:pt idx="88">
                  <c:v>45119</c:v>
                </c:pt>
                <c:pt idx="89">
                  <c:v>45120</c:v>
                </c:pt>
                <c:pt idx="90">
                  <c:v>45121</c:v>
                </c:pt>
                <c:pt idx="91">
                  <c:v>45124</c:v>
                </c:pt>
                <c:pt idx="92">
                  <c:v>45125</c:v>
                </c:pt>
                <c:pt idx="93">
                  <c:v>45126</c:v>
                </c:pt>
                <c:pt idx="94">
                  <c:v>45127</c:v>
                </c:pt>
                <c:pt idx="95">
                  <c:v>45128</c:v>
                </c:pt>
                <c:pt idx="96">
                  <c:v>45131</c:v>
                </c:pt>
                <c:pt idx="97">
                  <c:v>45132</c:v>
                </c:pt>
                <c:pt idx="98">
                  <c:v>45133</c:v>
                </c:pt>
                <c:pt idx="99">
                  <c:v>45134</c:v>
                </c:pt>
                <c:pt idx="100">
                  <c:v>45135</c:v>
                </c:pt>
                <c:pt idx="101">
                  <c:v>45138</c:v>
                </c:pt>
                <c:pt idx="102">
                  <c:v>45139</c:v>
                </c:pt>
                <c:pt idx="103">
                  <c:v>45140</c:v>
                </c:pt>
                <c:pt idx="104">
                  <c:v>45141</c:v>
                </c:pt>
                <c:pt idx="105">
                  <c:v>45142</c:v>
                </c:pt>
                <c:pt idx="106">
                  <c:v>45145</c:v>
                </c:pt>
                <c:pt idx="107">
                  <c:v>45146</c:v>
                </c:pt>
                <c:pt idx="108">
                  <c:v>45147</c:v>
                </c:pt>
                <c:pt idx="109">
                  <c:v>45148</c:v>
                </c:pt>
                <c:pt idx="110">
                  <c:v>45149</c:v>
                </c:pt>
                <c:pt idx="111">
                  <c:v>45152</c:v>
                </c:pt>
                <c:pt idx="112">
                  <c:v>45153</c:v>
                </c:pt>
                <c:pt idx="113">
                  <c:v>45154</c:v>
                </c:pt>
                <c:pt idx="114">
                  <c:v>45155</c:v>
                </c:pt>
                <c:pt idx="115">
                  <c:v>45156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45166</c:v>
                </c:pt>
                <c:pt idx="122">
                  <c:v>45167</c:v>
                </c:pt>
                <c:pt idx="123">
                  <c:v>45168</c:v>
                </c:pt>
                <c:pt idx="124">
                  <c:v>45169</c:v>
                </c:pt>
                <c:pt idx="125">
                  <c:v>45170</c:v>
                </c:pt>
                <c:pt idx="126">
                  <c:v>45174</c:v>
                </c:pt>
                <c:pt idx="127">
                  <c:v>45175</c:v>
                </c:pt>
                <c:pt idx="128">
                  <c:v>45176</c:v>
                </c:pt>
                <c:pt idx="129">
                  <c:v>45177</c:v>
                </c:pt>
                <c:pt idx="130">
                  <c:v>45180</c:v>
                </c:pt>
                <c:pt idx="131">
                  <c:v>45181</c:v>
                </c:pt>
                <c:pt idx="132">
                  <c:v>45182</c:v>
                </c:pt>
                <c:pt idx="133">
                  <c:v>45183</c:v>
                </c:pt>
                <c:pt idx="134">
                  <c:v>45184</c:v>
                </c:pt>
                <c:pt idx="135">
                  <c:v>45187</c:v>
                </c:pt>
                <c:pt idx="136">
                  <c:v>45188</c:v>
                </c:pt>
                <c:pt idx="137">
                  <c:v>45189</c:v>
                </c:pt>
                <c:pt idx="138">
                  <c:v>45190</c:v>
                </c:pt>
                <c:pt idx="139">
                  <c:v>45191</c:v>
                </c:pt>
                <c:pt idx="140">
                  <c:v>45194</c:v>
                </c:pt>
                <c:pt idx="141">
                  <c:v>45195</c:v>
                </c:pt>
                <c:pt idx="142">
                  <c:v>45196</c:v>
                </c:pt>
                <c:pt idx="143">
                  <c:v>45197</c:v>
                </c:pt>
                <c:pt idx="144">
                  <c:v>45198</c:v>
                </c:pt>
                <c:pt idx="145">
                  <c:v>45201</c:v>
                </c:pt>
                <c:pt idx="146">
                  <c:v>45202</c:v>
                </c:pt>
                <c:pt idx="147">
                  <c:v>45203</c:v>
                </c:pt>
                <c:pt idx="148">
                  <c:v>45204</c:v>
                </c:pt>
                <c:pt idx="149">
                  <c:v>45205</c:v>
                </c:pt>
                <c:pt idx="150">
                  <c:v>45208</c:v>
                </c:pt>
                <c:pt idx="151">
                  <c:v>45209</c:v>
                </c:pt>
                <c:pt idx="152">
                  <c:v>45210</c:v>
                </c:pt>
                <c:pt idx="153">
                  <c:v>45211</c:v>
                </c:pt>
                <c:pt idx="154">
                  <c:v>45212</c:v>
                </c:pt>
                <c:pt idx="155">
                  <c:v>45215</c:v>
                </c:pt>
                <c:pt idx="156">
                  <c:v>45216</c:v>
                </c:pt>
                <c:pt idx="157">
                  <c:v>45217</c:v>
                </c:pt>
                <c:pt idx="158">
                  <c:v>45218</c:v>
                </c:pt>
                <c:pt idx="159">
                  <c:v>45219</c:v>
                </c:pt>
                <c:pt idx="160">
                  <c:v>45222</c:v>
                </c:pt>
                <c:pt idx="161">
                  <c:v>45223</c:v>
                </c:pt>
                <c:pt idx="162">
                  <c:v>45224</c:v>
                </c:pt>
                <c:pt idx="163">
                  <c:v>45225</c:v>
                </c:pt>
                <c:pt idx="164">
                  <c:v>45226</c:v>
                </c:pt>
                <c:pt idx="165">
                  <c:v>45229</c:v>
                </c:pt>
                <c:pt idx="166">
                  <c:v>45230</c:v>
                </c:pt>
                <c:pt idx="167">
                  <c:v>45231</c:v>
                </c:pt>
                <c:pt idx="168">
                  <c:v>45232</c:v>
                </c:pt>
                <c:pt idx="169">
                  <c:v>45233</c:v>
                </c:pt>
                <c:pt idx="170">
                  <c:v>45236</c:v>
                </c:pt>
                <c:pt idx="171">
                  <c:v>45237</c:v>
                </c:pt>
                <c:pt idx="172">
                  <c:v>45238</c:v>
                </c:pt>
                <c:pt idx="173">
                  <c:v>45239</c:v>
                </c:pt>
                <c:pt idx="174">
                  <c:v>45240</c:v>
                </c:pt>
                <c:pt idx="175">
                  <c:v>45243</c:v>
                </c:pt>
                <c:pt idx="176">
                  <c:v>45244</c:v>
                </c:pt>
                <c:pt idx="177">
                  <c:v>45245</c:v>
                </c:pt>
                <c:pt idx="178">
                  <c:v>45246</c:v>
                </c:pt>
                <c:pt idx="179">
                  <c:v>45247</c:v>
                </c:pt>
                <c:pt idx="180">
                  <c:v>45250</c:v>
                </c:pt>
                <c:pt idx="181">
                  <c:v>45251</c:v>
                </c:pt>
                <c:pt idx="182">
                  <c:v>45252</c:v>
                </c:pt>
                <c:pt idx="183">
                  <c:v>45254</c:v>
                </c:pt>
                <c:pt idx="184">
                  <c:v>45257</c:v>
                </c:pt>
                <c:pt idx="185">
                  <c:v>45258</c:v>
                </c:pt>
                <c:pt idx="186">
                  <c:v>45259</c:v>
                </c:pt>
                <c:pt idx="187">
                  <c:v>45260</c:v>
                </c:pt>
                <c:pt idx="188">
                  <c:v>45261</c:v>
                </c:pt>
                <c:pt idx="189">
                  <c:v>45264</c:v>
                </c:pt>
                <c:pt idx="190">
                  <c:v>45265</c:v>
                </c:pt>
                <c:pt idx="191">
                  <c:v>45266</c:v>
                </c:pt>
                <c:pt idx="192">
                  <c:v>45267</c:v>
                </c:pt>
                <c:pt idx="193">
                  <c:v>45268</c:v>
                </c:pt>
                <c:pt idx="194">
                  <c:v>45271</c:v>
                </c:pt>
                <c:pt idx="195">
                  <c:v>45272</c:v>
                </c:pt>
                <c:pt idx="196">
                  <c:v>45273</c:v>
                </c:pt>
                <c:pt idx="197">
                  <c:v>45274</c:v>
                </c:pt>
                <c:pt idx="198">
                  <c:v>45275</c:v>
                </c:pt>
                <c:pt idx="199">
                  <c:v>45278</c:v>
                </c:pt>
                <c:pt idx="200">
                  <c:v>45279</c:v>
                </c:pt>
                <c:pt idx="201">
                  <c:v>45280</c:v>
                </c:pt>
                <c:pt idx="202">
                  <c:v>45281</c:v>
                </c:pt>
                <c:pt idx="203">
                  <c:v>45282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45307</c:v>
                </c:pt>
                <c:pt idx="218">
                  <c:v>45308</c:v>
                </c:pt>
                <c:pt idx="219">
                  <c:v>45309</c:v>
                </c:pt>
                <c:pt idx="220">
                  <c:v>45310</c:v>
                </c:pt>
                <c:pt idx="221">
                  <c:v>45313</c:v>
                </c:pt>
                <c:pt idx="222">
                  <c:v>45314</c:v>
                </c:pt>
                <c:pt idx="223">
                  <c:v>45315</c:v>
                </c:pt>
                <c:pt idx="224">
                  <c:v>45316</c:v>
                </c:pt>
                <c:pt idx="225">
                  <c:v>45317</c:v>
                </c:pt>
                <c:pt idx="226">
                  <c:v>45320</c:v>
                </c:pt>
                <c:pt idx="227">
                  <c:v>45321</c:v>
                </c:pt>
                <c:pt idx="228">
                  <c:v>45322</c:v>
                </c:pt>
                <c:pt idx="229">
                  <c:v>45323</c:v>
                </c:pt>
                <c:pt idx="230">
                  <c:v>45324</c:v>
                </c:pt>
                <c:pt idx="231">
                  <c:v>45327</c:v>
                </c:pt>
                <c:pt idx="232">
                  <c:v>45328</c:v>
                </c:pt>
                <c:pt idx="233">
                  <c:v>45329</c:v>
                </c:pt>
                <c:pt idx="234">
                  <c:v>45330</c:v>
                </c:pt>
                <c:pt idx="235">
                  <c:v>45331</c:v>
                </c:pt>
                <c:pt idx="236">
                  <c:v>45334</c:v>
                </c:pt>
                <c:pt idx="237">
                  <c:v>45335</c:v>
                </c:pt>
                <c:pt idx="238">
                  <c:v>45336</c:v>
                </c:pt>
                <c:pt idx="239">
                  <c:v>45337</c:v>
                </c:pt>
                <c:pt idx="240">
                  <c:v>45338</c:v>
                </c:pt>
                <c:pt idx="241">
                  <c:v>45342</c:v>
                </c:pt>
                <c:pt idx="242">
                  <c:v>45343</c:v>
                </c:pt>
                <c:pt idx="243">
                  <c:v>45344</c:v>
                </c:pt>
                <c:pt idx="244">
                  <c:v>45345</c:v>
                </c:pt>
                <c:pt idx="245">
                  <c:v>45348</c:v>
                </c:pt>
                <c:pt idx="246">
                  <c:v>45349</c:v>
                </c:pt>
                <c:pt idx="247">
                  <c:v>45350</c:v>
                </c:pt>
                <c:pt idx="248">
                  <c:v>45351</c:v>
                </c:pt>
                <c:pt idx="249">
                  <c:v>45352</c:v>
                </c:pt>
                <c:pt idx="250">
                  <c:v>45355</c:v>
                </c:pt>
                <c:pt idx="251">
                  <c:v>45356</c:v>
                </c:pt>
                <c:pt idx="252">
                  <c:v>45357</c:v>
                </c:pt>
                <c:pt idx="253">
                  <c:v>45358</c:v>
                </c:pt>
                <c:pt idx="254">
                  <c:v>45359</c:v>
                </c:pt>
                <c:pt idx="255">
                  <c:v>45362</c:v>
                </c:pt>
                <c:pt idx="256">
                  <c:v>45363</c:v>
                </c:pt>
                <c:pt idx="257">
                  <c:v>45364</c:v>
                </c:pt>
                <c:pt idx="258">
                  <c:v>45365</c:v>
                </c:pt>
                <c:pt idx="259">
                  <c:v>45366</c:v>
                </c:pt>
                <c:pt idx="260">
                  <c:v>45369</c:v>
                </c:pt>
                <c:pt idx="261">
                  <c:v>45370</c:v>
                </c:pt>
                <c:pt idx="262">
                  <c:v>45371</c:v>
                </c:pt>
                <c:pt idx="263">
                  <c:v>45372</c:v>
                </c:pt>
                <c:pt idx="264">
                  <c:v>45373</c:v>
                </c:pt>
                <c:pt idx="265">
                  <c:v>45376</c:v>
                </c:pt>
                <c:pt idx="266">
                  <c:v>45377</c:v>
                </c:pt>
                <c:pt idx="267">
                  <c:v>45378</c:v>
                </c:pt>
                <c:pt idx="268">
                  <c:v>45379</c:v>
                </c:pt>
                <c:pt idx="269">
                  <c:v>45383</c:v>
                </c:pt>
                <c:pt idx="270">
                  <c:v>45384</c:v>
                </c:pt>
                <c:pt idx="271">
                  <c:v>45385</c:v>
                </c:pt>
                <c:pt idx="272">
                  <c:v>45386</c:v>
                </c:pt>
                <c:pt idx="273">
                  <c:v>45387</c:v>
                </c:pt>
                <c:pt idx="274">
                  <c:v>45390</c:v>
                </c:pt>
                <c:pt idx="275">
                  <c:v>45391</c:v>
                </c:pt>
                <c:pt idx="276">
                  <c:v>45392</c:v>
                </c:pt>
                <c:pt idx="277">
                  <c:v>45393</c:v>
                </c:pt>
                <c:pt idx="278">
                  <c:v>45394</c:v>
                </c:pt>
                <c:pt idx="279">
                  <c:v>45397</c:v>
                </c:pt>
                <c:pt idx="280">
                  <c:v>45398</c:v>
                </c:pt>
                <c:pt idx="281">
                  <c:v>45399</c:v>
                </c:pt>
                <c:pt idx="282">
                  <c:v>45400</c:v>
                </c:pt>
                <c:pt idx="283">
                  <c:v>45401</c:v>
                </c:pt>
                <c:pt idx="284">
                  <c:v>45404</c:v>
                </c:pt>
                <c:pt idx="285">
                  <c:v>45405</c:v>
                </c:pt>
                <c:pt idx="286">
                  <c:v>45406</c:v>
                </c:pt>
                <c:pt idx="287">
                  <c:v>45407</c:v>
                </c:pt>
                <c:pt idx="288">
                  <c:v>45408</c:v>
                </c:pt>
                <c:pt idx="289">
                  <c:v>45411</c:v>
                </c:pt>
                <c:pt idx="290">
                  <c:v>45412</c:v>
                </c:pt>
                <c:pt idx="291">
                  <c:v>45413</c:v>
                </c:pt>
                <c:pt idx="292">
                  <c:v>45414</c:v>
                </c:pt>
                <c:pt idx="293">
                  <c:v>45415</c:v>
                </c:pt>
                <c:pt idx="294">
                  <c:v>45418</c:v>
                </c:pt>
                <c:pt idx="295">
                  <c:v>45419</c:v>
                </c:pt>
                <c:pt idx="296">
                  <c:v>45420</c:v>
                </c:pt>
                <c:pt idx="297">
                  <c:v>45421</c:v>
                </c:pt>
                <c:pt idx="298">
                  <c:v>45422</c:v>
                </c:pt>
                <c:pt idx="299">
                  <c:v>45425</c:v>
                </c:pt>
                <c:pt idx="300">
                  <c:v>45426</c:v>
                </c:pt>
                <c:pt idx="301">
                  <c:v>45427</c:v>
                </c:pt>
                <c:pt idx="302">
                  <c:v>45428</c:v>
                </c:pt>
                <c:pt idx="303">
                  <c:v>45429</c:v>
                </c:pt>
                <c:pt idx="304">
                  <c:v>45432</c:v>
                </c:pt>
                <c:pt idx="305">
                  <c:v>45433</c:v>
                </c:pt>
                <c:pt idx="306">
                  <c:v>45434</c:v>
                </c:pt>
                <c:pt idx="307">
                  <c:v>45435</c:v>
                </c:pt>
                <c:pt idx="308">
                  <c:v>45436</c:v>
                </c:pt>
                <c:pt idx="309">
                  <c:v>45440</c:v>
                </c:pt>
                <c:pt idx="310">
                  <c:v>45441</c:v>
                </c:pt>
                <c:pt idx="311">
                  <c:v>45442</c:v>
                </c:pt>
                <c:pt idx="312">
                  <c:v>45443</c:v>
                </c:pt>
                <c:pt idx="313">
                  <c:v>45446</c:v>
                </c:pt>
                <c:pt idx="314">
                  <c:v>45447</c:v>
                </c:pt>
                <c:pt idx="315">
                  <c:v>45448</c:v>
                </c:pt>
                <c:pt idx="316">
                  <c:v>45449</c:v>
                </c:pt>
                <c:pt idx="317">
                  <c:v>45450</c:v>
                </c:pt>
                <c:pt idx="318">
                  <c:v>45453</c:v>
                </c:pt>
                <c:pt idx="319">
                  <c:v>45454</c:v>
                </c:pt>
                <c:pt idx="320">
                  <c:v>45455</c:v>
                </c:pt>
                <c:pt idx="321">
                  <c:v>45456</c:v>
                </c:pt>
                <c:pt idx="322">
                  <c:v>45457</c:v>
                </c:pt>
                <c:pt idx="323">
                  <c:v>45460</c:v>
                </c:pt>
                <c:pt idx="324">
                  <c:v>45461</c:v>
                </c:pt>
                <c:pt idx="325">
                  <c:v>45463</c:v>
                </c:pt>
                <c:pt idx="326">
                  <c:v>45464</c:v>
                </c:pt>
                <c:pt idx="327">
                  <c:v>45467</c:v>
                </c:pt>
                <c:pt idx="328">
                  <c:v>45468</c:v>
                </c:pt>
                <c:pt idx="329">
                  <c:v>45469</c:v>
                </c:pt>
                <c:pt idx="330">
                  <c:v>45470</c:v>
                </c:pt>
                <c:pt idx="331">
                  <c:v>45471</c:v>
                </c:pt>
                <c:pt idx="332">
                  <c:v>45474</c:v>
                </c:pt>
                <c:pt idx="333">
                  <c:v>45475</c:v>
                </c:pt>
                <c:pt idx="334">
                  <c:v>45476</c:v>
                </c:pt>
                <c:pt idx="335">
                  <c:v>45478</c:v>
                </c:pt>
                <c:pt idx="336">
                  <c:v>45481</c:v>
                </c:pt>
                <c:pt idx="337">
                  <c:v>45482</c:v>
                </c:pt>
                <c:pt idx="338">
                  <c:v>45483</c:v>
                </c:pt>
                <c:pt idx="339">
                  <c:v>45484</c:v>
                </c:pt>
                <c:pt idx="340">
                  <c:v>45485</c:v>
                </c:pt>
                <c:pt idx="341">
                  <c:v>45488</c:v>
                </c:pt>
                <c:pt idx="342">
                  <c:v>45489</c:v>
                </c:pt>
                <c:pt idx="343">
                  <c:v>45490</c:v>
                </c:pt>
                <c:pt idx="344">
                  <c:v>45491</c:v>
                </c:pt>
                <c:pt idx="345">
                  <c:v>45492</c:v>
                </c:pt>
                <c:pt idx="346">
                  <c:v>45495</c:v>
                </c:pt>
                <c:pt idx="347">
                  <c:v>45496</c:v>
                </c:pt>
                <c:pt idx="348">
                  <c:v>45497</c:v>
                </c:pt>
                <c:pt idx="349">
                  <c:v>45498</c:v>
                </c:pt>
                <c:pt idx="350">
                  <c:v>45499</c:v>
                </c:pt>
                <c:pt idx="351">
                  <c:v>45502</c:v>
                </c:pt>
                <c:pt idx="352">
                  <c:v>45503</c:v>
                </c:pt>
                <c:pt idx="353">
                  <c:v>45504</c:v>
                </c:pt>
                <c:pt idx="354">
                  <c:v>45505</c:v>
                </c:pt>
                <c:pt idx="355">
                  <c:v>45506</c:v>
                </c:pt>
                <c:pt idx="356">
                  <c:v>45509</c:v>
                </c:pt>
                <c:pt idx="357">
                  <c:v>45510</c:v>
                </c:pt>
                <c:pt idx="358">
                  <c:v>45511</c:v>
                </c:pt>
                <c:pt idx="359">
                  <c:v>45512</c:v>
                </c:pt>
                <c:pt idx="360">
                  <c:v>45513</c:v>
                </c:pt>
                <c:pt idx="361">
                  <c:v>45516</c:v>
                </c:pt>
                <c:pt idx="362">
                  <c:v>45517</c:v>
                </c:pt>
                <c:pt idx="363">
                  <c:v>45518</c:v>
                </c:pt>
                <c:pt idx="364">
                  <c:v>45519</c:v>
                </c:pt>
                <c:pt idx="365">
                  <c:v>45520</c:v>
                </c:pt>
                <c:pt idx="366">
                  <c:v>45523</c:v>
                </c:pt>
                <c:pt idx="367">
                  <c:v>45524</c:v>
                </c:pt>
                <c:pt idx="368">
                  <c:v>45525</c:v>
                </c:pt>
                <c:pt idx="369">
                  <c:v>45526</c:v>
                </c:pt>
                <c:pt idx="370">
                  <c:v>45527</c:v>
                </c:pt>
                <c:pt idx="371">
                  <c:v>45530</c:v>
                </c:pt>
                <c:pt idx="372">
                  <c:v>45531</c:v>
                </c:pt>
                <c:pt idx="373">
                  <c:v>45532</c:v>
                </c:pt>
                <c:pt idx="374">
                  <c:v>45533</c:v>
                </c:pt>
                <c:pt idx="375">
                  <c:v>45534</c:v>
                </c:pt>
                <c:pt idx="376">
                  <c:v>45538</c:v>
                </c:pt>
                <c:pt idx="377">
                  <c:v>45539</c:v>
                </c:pt>
                <c:pt idx="378">
                  <c:v>45540</c:v>
                </c:pt>
                <c:pt idx="379">
                  <c:v>45541</c:v>
                </c:pt>
                <c:pt idx="380">
                  <c:v>45544</c:v>
                </c:pt>
                <c:pt idx="381">
                  <c:v>45545</c:v>
                </c:pt>
                <c:pt idx="382">
                  <c:v>45546</c:v>
                </c:pt>
                <c:pt idx="383">
                  <c:v>45547</c:v>
                </c:pt>
                <c:pt idx="384">
                  <c:v>45548</c:v>
                </c:pt>
                <c:pt idx="385">
                  <c:v>45551</c:v>
                </c:pt>
                <c:pt idx="386">
                  <c:v>45552</c:v>
                </c:pt>
                <c:pt idx="387">
                  <c:v>45553</c:v>
                </c:pt>
                <c:pt idx="388">
                  <c:v>45554</c:v>
                </c:pt>
                <c:pt idx="389">
                  <c:v>45555</c:v>
                </c:pt>
                <c:pt idx="390">
                  <c:v>45558</c:v>
                </c:pt>
                <c:pt idx="391">
                  <c:v>45559</c:v>
                </c:pt>
                <c:pt idx="392">
                  <c:v>45560</c:v>
                </c:pt>
                <c:pt idx="393">
                  <c:v>45561</c:v>
                </c:pt>
                <c:pt idx="394">
                  <c:v>45562</c:v>
                </c:pt>
                <c:pt idx="395">
                  <c:v>45565</c:v>
                </c:pt>
                <c:pt idx="396">
                  <c:v>45566</c:v>
                </c:pt>
                <c:pt idx="397">
                  <c:v>45567</c:v>
                </c:pt>
                <c:pt idx="398">
                  <c:v>45568</c:v>
                </c:pt>
                <c:pt idx="399">
                  <c:v>45569</c:v>
                </c:pt>
                <c:pt idx="400">
                  <c:v>45572</c:v>
                </c:pt>
                <c:pt idx="401">
                  <c:v>45573</c:v>
                </c:pt>
                <c:pt idx="402">
                  <c:v>45574</c:v>
                </c:pt>
                <c:pt idx="403">
                  <c:v>45575</c:v>
                </c:pt>
                <c:pt idx="404">
                  <c:v>45576</c:v>
                </c:pt>
                <c:pt idx="405">
                  <c:v>45579</c:v>
                </c:pt>
                <c:pt idx="406">
                  <c:v>45580</c:v>
                </c:pt>
                <c:pt idx="407">
                  <c:v>45581</c:v>
                </c:pt>
                <c:pt idx="408">
                  <c:v>45582</c:v>
                </c:pt>
                <c:pt idx="409">
                  <c:v>45583</c:v>
                </c:pt>
                <c:pt idx="410">
                  <c:v>45586</c:v>
                </c:pt>
                <c:pt idx="411">
                  <c:v>45587</c:v>
                </c:pt>
                <c:pt idx="412">
                  <c:v>45588</c:v>
                </c:pt>
                <c:pt idx="413">
                  <c:v>45589</c:v>
                </c:pt>
                <c:pt idx="414">
                  <c:v>45590</c:v>
                </c:pt>
                <c:pt idx="415">
                  <c:v>45593</c:v>
                </c:pt>
                <c:pt idx="416">
                  <c:v>45594</c:v>
                </c:pt>
                <c:pt idx="417">
                  <c:v>45595</c:v>
                </c:pt>
                <c:pt idx="418">
                  <c:v>45596</c:v>
                </c:pt>
                <c:pt idx="419">
                  <c:v>45597</c:v>
                </c:pt>
                <c:pt idx="420">
                  <c:v>45600</c:v>
                </c:pt>
                <c:pt idx="421">
                  <c:v>45601</c:v>
                </c:pt>
                <c:pt idx="422">
                  <c:v>45602</c:v>
                </c:pt>
                <c:pt idx="423">
                  <c:v>45603</c:v>
                </c:pt>
                <c:pt idx="424">
                  <c:v>45604</c:v>
                </c:pt>
                <c:pt idx="425">
                  <c:v>45607</c:v>
                </c:pt>
                <c:pt idx="426">
                  <c:v>45608</c:v>
                </c:pt>
                <c:pt idx="427">
                  <c:v>45609</c:v>
                </c:pt>
                <c:pt idx="428">
                  <c:v>45610</c:v>
                </c:pt>
                <c:pt idx="429">
                  <c:v>45611</c:v>
                </c:pt>
                <c:pt idx="430">
                  <c:v>45614</c:v>
                </c:pt>
                <c:pt idx="431">
                  <c:v>45615</c:v>
                </c:pt>
                <c:pt idx="432">
                  <c:v>45616</c:v>
                </c:pt>
                <c:pt idx="433">
                  <c:v>45617</c:v>
                </c:pt>
                <c:pt idx="434">
                  <c:v>45618</c:v>
                </c:pt>
                <c:pt idx="435">
                  <c:v>45621</c:v>
                </c:pt>
                <c:pt idx="436">
                  <c:v>45622</c:v>
                </c:pt>
                <c:pt idx="437">
                  <c:v>45623</c:v>
                </c:pt>
                <c:pt idx="438">
                  <c:v>45625</c:v>
                </c:pt>
                <c:pt idx="439">
                  <c:v>45628</c:v>
                </c:pt>
                <c:pt idx="440">
                  <c:v>45629</c:v>
                </c:pt>
                <c:pt idx="441">
                  <c:v>45630</c:v>
                </c:pt>
                <c:pt idx="442">
                  <c:v>45631</c:v>
                </c:pt>
                <c:pt idx="443">
                  <c:v>45632</c:v>
                </c:pt>
                <c:pt idx="444">
                  <c:v>45635</c:v>
                </c:pt>
                <c:pt idx="445">
                  <c:v>45636</c:v>
                </c:pt>
                <c:pt idx="446">
                  <c:v>45637</c:v>
                </c:pt>
                <c:pt idx="447">
                  <c:v>45638</c:v>
                </c:pt>
                <c:pt idx="448">
                  <c:v>45639</c:v>
                </c:pt>
                <c:pt idx="449">
                  <c:v>45642</c:v>
                </c:pt>
                <c:pt idx="450">
                  <c:v>45643</c:v>
                </c:pt>
                <c:pt idx="451">
                  <c:v>45644</c:v>
                </c:pt>
                <c:pt idx="452">
                  <c:v>45645</c:v>
                </c:pt>
                <c:pt idx="453">
                  <c:v>45646</c:v>
                </c:pt>
                <c:pt idx="454">
                  <c:v>45649</c:v>
                </c:pt>
                <c:pt idx="455">
                  <c:v>45650</c:v>
                </c:pt>
                <c:pt idx="456">
                  <c:v>45652</c:v>
                </c:pt>
                <c:pt idx="457">
                  <c:v>45653</c:v>
                </c:pt>
                <c:pt idx="458">
                  <c:v>45656</c:v>
                </c:pt>
                <c:pt idx="459">
                  <c:v>45657</c:v>
                </c:pt>
                <c:pt idx="460">
                  <c:v>45659</c:v>
                </c:pt>
                <c:pt idx="461">
                  <c:v>45660</c:v>
                </c:pt>
                <c:pt idx="462">
                  <c:v>45663</c:v>
                </c:pt>
                <c:pt idx="463">
                  <c:v>45664</c:v>
                </c:pt>
                <c:pt idx="464">
                  <c:v>45665</c:v>
                </c:pt>
                <c:pt idx="465">
                  <c:v>45667</c:v>
                </c:pt>
                <c:pt idx="466">
                  <c:v>45670</c:v>
                </c:pt>
                <c:pt idx="467">
                  <c:v>45671</c:v>
                </c:pt>
                <c:pt idx="468">
                  <c:v>45672</c:v>
                </c:pt>
                <c:pt idx="469">
                  <c:v>45673</c:v>
                </c:pt>
                <c:pt idx="470">
                  <c:v>45674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45684</c:v>
                </c:pt>
                <c:pt idx="476">
                  <c:v>45685</c:v>
                </c:pt>
                <c:pt idx="477">
                  <c:v>45686</c:v>
                </c:pt>
                <c:pt idx="478">
                  <c:v>45687</c:v>
                </c:pt>
                <c:pt idx="479">
                  <c:v>45688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45706</c:v>
                </c:pt>
                <c:pt idx="491">
                  <c:v>45707</c:v>
                </c:pt>
                <c:pt idx="492">
                  <c:v>45708</c:v>
                </c:pt>
                <c:pt idx="493">
                  <c:v>45709</c:v>
                </c:pt>
                <c:pt idx="494">
                  <c:v>45712</c:v>
                </c:pt>
                <c:pt idx="495">
                  <c:v>45713</c:v>
                </c:pt>
                <c:pt idx="496">
                  <c:v>45714</c:v>
                </c:pt>
                <c:pt idx="497">
                  <c:v>45715</c:v>
                </c:pt>
                <c:pt idx="498">
                  <c:v>45716</c:v>
                </c:pt>
                <c:pt idx="499">
                  <c:v>45719</c:v>
                </c:pt>
                <c:pt idx="500">
                  <c:v>45720</c:v>
                </c:pt>
                <c:pt idx="501">
                  <c:v>45721</c:v>
                </c:pt>
                <c:pt idx="502">
                  <c:v>45722</c:v>
                </c:pt>
                <c:pt idx="503">
                  <c:v>45723</c:v>
                </c:pt>
                <c:pt idx="504">
                  <c:v>45726</c:v>
                </c:pt>
                <c:pt idx="505">
                  <c:v>45727</c:v>
                </c:pt>
                <c:pt idx="506">
                  <c:v>45728</c:v>
                </c:pt>
                <c:pt idx="507">
                  <c:v>45729</c:v>
                </c:pt>
                <c:pt idx="508">
                  <c:v>45730</c:v>
                </c:pt>
                <c:pt idx="509">
                  <c:v>45733</c:v>
                </c:pt>
                <c:pt idx="510">
                  <c:v>45734</c:v>
                </c:pt>
                <c:pt idx="511">
                  <c:v>45735</c:v>
                </c:pt>
                <c:pt idx="512">
                  <c:v>45736</c:v>
                </c:pt>
                <c:pt idx="513">
                  <c:v>45737</c:v>
                </c:pt>
                <c:pt idx="514">
                  <c:v>45740</c:v>
                </c:pt>
                <c:pt idx="515">
                  <c:v>45741</c:v>
                </c:pt>
                <c:pt idx="516">
                  <c:v>45742</c:v>
                </c:pt>
                <c:pt idx="517">
                  <c:v>45743</c:v>
                </c:pt>
                <c:pt idx="518">
                  <c:v>45744</c:v>
                </c:pt>
                <c:pt idx="519">
                  <c:v>45747</c:v>
                </c:pt>
                <c:pt idx="520">
                  <c:v>45748</c:v>
                </c:pt>
                <c:pt idx="521">
                  <c:v>45749</c:v>
                </c:pt>
                <c:pt idx="522">
                  <c:v>45750</c:v>
                </c:pt>
                <c:pt idx="523">
                  <c:v>45751</c:v>
                </c:pt>
                <c:pt idx="524">
                  <c:v>45754</c:v>
                </c:pt>
                <c:pt idx="525">
                  <c:v>45755</c:v>
                </c:pt>
                <c:pt idx="526">
                  <c:v>45756</c:v>
                </c:pt>
                <c:pt idx="527">
                  <c:v>45757</c:v>
                </c:pt>
                <c:pt idx="528">
                  <c:v>45758</c:v>
                </c:pt>
                <c:pt idx="529">
                  <c:v>45761</c:v>
                </c:pt>
                <c:pt idx="530">
                  <c:v>45762</c:v>
                </c:pt>
                <c:pt idx="531">
                  <c:v>45763</c:v>
                </c:pt>
                <c:pt idx="532">
                  <c:v>45764</c:v>
                </c:pt>
                <c:pt idx="533">
                  <c:v>45768</c:v>
                </c:pt>
                <c:pt idx="534">
                  <c:v>45769</c:v>
                </c:pt>
                <c:pt idx="535">
                  <c:v>45770</c:v>
                </c:pt>
                <c:pt idx="536">
                  <c:v>45771</c:v>
                </c:pt>
                <c:pt idx="537">
                  <c:v>45772</c:v>
                </c:pt>
                <c:pt idx="538">
                  <c:v>45775</c:v>
                </c:pt>
                <c:pt idx="539">
                  <c:v>45776</c:v>
                </c:pt>
                <c:pt idx="540">
                  <c:v>45777</c:v>
                </c:pt>
                <c:pt idx="541">
                  <c:v>45778</c:v>
                </c:pt>
                <c:pt idx="542">
                  <c:v>45779</c:v>
                </c:pt>
                <c:pt idx="543">
                  <c:v>45782</c:v>
                </c:pt>
                <c:pt idx="544">
                  <c:v>45783</c:v>
                </c:pt>
                <c:pt idx="545">
                  <c:v>45784</c:v>
                </c:pt>
                <c:pt idx="546">
                  <c:v>45785</c:v>
                </c:pt>
                <c:pt idx="547">
                  <c:v>45786</c:v>
                </c:pt>
                <c:pt idx="548">
                  <c:v>45789</c:v>
                </c:pt>
                <c:pt idx="549">
                  <c:v>45790</c:v>
                </c:pt>
                <c:pt idx="550">
                  <c:v>45791</c:v>
                </c:pt>
                <c:pt idx="551">
                  <c:v>45792</c:v>
                </c:pt>
                <c:pt idx="552">
                  <c:v>45793</c:v>
                </c:pt>
                <c:pt idx="553">
                  <c:v>45796</c:v>
                </c:pt>
                <c:pt idx="554">
                  <c:v>45797</c:v>
                </c:pt>
                <c:pt idx="555">
                  <c:v>45798</c:v>
                </c:pt>
                <c:pt idx="556">
                  <c:v>45799</c:v>
                </c:pt>
                <c:pt idx="557">
                  <c:v>45800</c:v>
                </c:pt>
                <c:pt idx="558">
                  <c:v>45804</c:v>
                </c:pt>
                <c:pt idx="559">
                  <c:v>45805</c:v>
                </c:pt>
                <c:pt idx="560">
                  <c:v>45806</c:v>
                </c:pt>
                <c:pt idx="561">
                  <c:v>45807</c:v>
                </c:pt>
                <c:pt idx="562">
                  <c:v>45810</c:v>
                </c:pt>
                <c:pt idx="563">
                  <c:v>45811</c:v>
                </c:pt>
                <c:pt idx="564">
                  <c:v>45812</c:v>
                </c:pt>
                <c:pt idx="565">
                  <c:v>45813</c:v>
                </c:pt>
                <c:pt idx="566">
                  <c:v>45814</c:v>
                </c:pt>
                <c:pt idx="567">
                  <c:v>45817</c:v>
                </c:pt>
                <c:pt idx="568">
                  <c:v>45818</c:v>
                </c:pt>
                <c:pt idx="569">
                  <c:v>45819</c:v>
                </c:pt>
                <c:pt idx="570">
                  <c:v>45820</c:v>
                </c:pt>
                <c:pt idx="571">
                  <c:v>45821</c:v>
                </c:pt>
                <c:pt idx="572">
                  <c:v>45824</c:v>
                </c:pt>
                <c:pt idx="573">
                  <c:v>45825</c:v>
                </c:pt>
                <c:pt idx="574">
                  <c:v>45826</c:v>
                </c:pt>
                <c:pt idx="575">
                  <c:v>45828</c:v>
                </c:pt>
                <c:pt idx="576">
                  <c:v>45831</c:v>
                </c:pt>
                <c:pt idx="577">
                  <c:v>45832</c:v>
                </c:pt>
                <c:pt idx="578">
                  <c:v>45833</c:v>
                </c:pt>
                <c:pt idx="579">
                  <c:v>45834</c:v>
                </c:pt>
                <c:pt idx="580">
                  <c:v>45835</c:v>
                </c:pt>
                <c:pt idx="581">
                  <c:v>45838</c:v>
                </c:pt>
                <c:pt idx="582">
                  <c:v>45839</c:v>
                </c:pt>
                <c:pt idx="583">
                  <c:v>45840</c:v>
                </c:pt>
                <c:pt idx="584">
                  <c:v>45841</c:v>
                </c:pt>
                <c:pt idx="585">
                  <c:v>45845</c:v>
                </c:pt>
                <c:pt idx="586">
                  <c:v>45846</c:v>
                </c:pt>
                <c:pt idx="587">
                  <c:v>45847</c:v>
                </c:pt>
                <c:pt idx="588">
                  <c:v>45848</c:v>
                </c:pt>
                <c:pt idx="589">
                  <c:v>45849</c:v>
                </c:pt>
                <c:pt idx="590">
                  <c:v>45852</c:v>
                </c:pt>
                <c:pt idx="591">
                  <c:v>45853</c:v>
                </c:pt>
                <c:pt idx="592">
                  <c:v>45854</c:v>
                </c:pt>
                <c:pt idx="593">
                  <c:v>45855</c:v>
                </c:pt>
                <c:pt idx="594">
                  <c:v>45856</c:v>
                </c:pt>
                <c:pt idx="595">
                  <c:v>45859</c:v>
                </c:pt>
                <c:pt idx="596">
                  <c:v>45860</c:v>
                </c:pt>
                <c:pt idx="597">
                  <c:v>45861</c:v>
                </c:pt>
                <c:pt idx="598">
                  <c:v>45862</c:v>
                </c:pt>
                <c:pt idx="599">
                  <c:v>45863</c:v>
                </c:pt>
                <c:pt idx="600">
                  <c:v>45866</c:v>
                </c:pt>
                <c:pt idx="601">
                  <c:v>45867</c:v>
                </c:pt>
                <c:pt idx="602">
                  <c:v>45868</c:v>
                </c:pt>
                <c:pt idx="603">
                  <c:v>45869</c:v>
                </c:pt>
                <c:pt idx="604">
                  <c:v>45870</c:v>
                </c:pt>
                <c:pt idx="605">
                  <c:v>45873</c:v>
                </c:pt>
                <c:pt idx="606">
                  <c:v>45874</c:v>
                </c:pt>
                <c:pt idx="607">
                  <c:v>45875</c:v>
                </c:pt>
                <c:pt idx="608">
                  <c:v>45876</c:v>
                </c:pt>
                <c:pt idx="609">
                  <c:v>45877</c:v>
                </c:pt>
                <c:pt idx="610">
                  <c:v>45880</c:v>
                </c:pt>
                <c:pt idx="611">
                  <c:v>45881</c:v>
                </c:pt>
                <c:pt idx="612">
                  <c:v>45882</c:v>
                </c:pt>
                <c:pt idx="613">
                  <c:v>45883</c:v>
                </c:pt>
                <c:pt idx="614">
                  <c:v>45884</c:v>
                </c:pt>
                <c:pt idx="615">
                  <c:v>45887</c:v>
                </c:pt>
                <c:pt idx="616">
                  <c:v>45888</c:v>
                </c:pt>
                <c:pt idx="617">
                  <c:v>45889</c:v>
                </c:pt>
                <c:pt idx="618">
                  <c:v>45890</c:v>
                </c:pt>
                <c:pt idx="619">
                  <c:v>45891</c:v>
                </c:pt>
                <c:pt idx="620">
                  <c:v>45894</c:v>
                </c:pt>
                <c:pt idx="621">
                  <c:v>45895</c:v>
                </c:pt>
                <c:pt idx="622">
                  <c:v>45896</c:v>
                </c:pt>
                <c:pt idx="623">
                  <c:v>45897</c:v>
                </c:pt>
                <c:pt idx="624">
                  <c:v>45898</c:v>
                </c:pt>
                <c:pt idx="625">
                  <c:v>45902</c:v>
                </c:pt>
                <c:pt idx="626">
                  <c:v>45903</c:v>
                </c:pt>
                <c:pt idx="627">
                  <c:v>45904</c:v>
                </c:pt>
                <c:pt idx="628">
                  <c:v>45905</c:v>
                </c:pt>
                <c:pt idx="629">
                  <c:v>45908</c:v>
                </c:pt>
                <c:pt idx="630">
                  <c:v>45909</c:v>
                </c:pt>
                <c:pt idx="631">
                  <c:v>45910</c:v>
                </c:pt>
                <c:pt idx="632">
                  <c:v>45911</c:v>
                </c:pt>
                <c:pt idx="633">
                  <c:v>45912</c:v>
                </c:pt>
                <c:pt idx="634">
                  <c:v>45915</c:v>
                </c:pt>
                <c:pt idx="635">
                  <c:v>45916</c:v>
                </c:pt>
                <c:pt idx="636">
                  <c:v>45917</c:v>
                </c:pt>
                <c:pt idx="637">
                  <c:v>45918</c:v>
                </c:pt>
                <c:pt idx="638">
                  <c:v>45919</c:v>
                </c:pt>
                <c:pt idx="639">
                  <c:v>45922</c:v>
                </c:pt>
                <c:pt idx="640">
                  <c:v>45923</c:v>
                </c:pt>
                <c:pt idx="641">
                  <c:v>45924</c:v>
                </c:pt>
                <c:pt idx="642">
                  <c:v>45925</c:v>
                </c:pt>
                <c:pt idx="643">
                  <c:v>45926</c:v>
                </c:pt>
                <c:pt idx="644">
                  <c:v>45929</c:v>
                </c:pt>
                <c:pt idx="645">
                  <c:v>45930</c:v>
                </c:pt>
                <c:pt idx="646">
                  <c:v>45931</c:v>
                </c:pt>
                <c:pt idx="647">
                  <c:v>45932</c:v>
                </c:pt>
                <c:pt idx="648">
                  <c:v>45933</c:v>
                </c:pt>
                <c:pt idx="649">
                  <c:v>45936</c:v>
                </c:pt>
                <c:pt idx="650">
                  <c:v>45937</c:v>
                </c:pt>
                <c:pt idx="651">
                  <c:v>45938</c:v>
                </c:pt>
                <c:pt idx="652">
                  <c:v>45939</c:v>
                </c:pt>
                <c:pt idx="653">
                  <c:v>45940</c:v>
                </c:pt>
                <c:pt idx="654">
                  <c:v>45943</c:v>
                </c:pt>
                <c:pt idx="655">
                  <c:v>45944</c:v>
                </c:pt>
                <c:pt idx="656">
                  <c:v>45945</c:v>
                </c:pt>
                <c:pt idx="657">
                  <c:v>45946</c:v>
                </c:pt>
                <c:pt idx="658">
                  <c:v>45947</c:v>
                </c:pt>
                <c:pt idx="659">
                  <c:v>45950</c:v>
                </c:pt>
                <c:pt idx="660">
                  <c:v>45951</c:v>
                </c:pt>
                <c:pt idx="661">
                  <c:v>45952</c:v>
                </c:pt>
                <c:pt idx="662">
                  <c:v>45953</c:v>
                </c:pt>
                <c:pt idx="663">
                  <c:v>45954</c:v>
                </c:pt>
                <c:pt idx="664">
                  <c:v>45957</c:v>
                </c:pt>
                <c:pt idx="665">
                  <c:v>45958</c:v>
                </c:pt>
                <c:pt idx="666">
                  <c:v>45959</c:v>
                </c:pt>
                <c:pt idx="667">
                  <c:v>45960</c:v>
                </c:pt>
                <c:pt idx="668">
                  <c:v>45961</c:v>
                </c:pt>
                <c:pt idx="669">
                  <c:v>45964</c:v>
                </c:pt>
                <c:pt idx="670">
                  <c:v>45965</c:v>
                </c:pt>
                <c:pt idx="671">
                  <c:v>45966</c:v>
                </c:pt>
                <c:pt idx="672">
                  <c:v>45967</c:v>
                </c:pt>
                <c:pt idx="673">
                  <c:v>45968</c:v>
                </c:pt>
                <c:pt idx="674">
                  <c:v>45971</c:v>
                </c:pt>
                <c:pt idx="675">
                  <c:v>45972</c:v>
                </c:pt>
                <c:pt idx="676">
                  <c:v>45973</c:v>
                </c:pt>
                <c:pt idx="677">
                  <c:v>45974</c:v>
                </c:pt>
                <c:pt idx="678">
                  <c:v>45975</c:v>
                </c:pt>
                <c:pt idx="679">
                  <c:v>45978</c:v>
                </c:pt>
                <c:pt idx="680">
                  <c:v>45979</c:v>
                </c:pt>
                <c:pt idx="681">
                  <c:v>45980</c:v>
                </c:pt>
                <c:pt idx="682">
                  <c:v>45981</c:v>
                </c:pt>
                <c:pt idx="683">
                  <c:v>45982</c:v>
                </c:pt>
                <c:pt idx="684">
                  <c:v>45985</c:v>
                </c:pt>
                <c:pt idx="685">
                  <c:v>45986</c:v>
                </c:pt>
                <c:pt idx="686">
                  <c:v>45987</c:v>
                </c:pt>
                <c:pt idx="687">
                  <c:v>45989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45999</c:v>
                </c:pt>
                <c:pt idx="694">
                  <c:v>46000</c:v>
                </c:pt>
                <c:pt idx="695">
                  <c:v>46001</c:v>
                </c:pt>
                <c:pt idx="696">
                  <c:v>46002</c:v>
                </c:pt>
                <c:pt idx="697">
                  <c:v>46003</c:v>
                </c:pt>
                <c:pt idx="698">
                  <c:v>46006</c:v>
                </c:pt>
                <c:pt idx="699">
                  <c:v>46007</c:v>
                </c:pt>
                <c:pt idx="700">
                  <c:v>46008</c:v>
                </c:pt>
                <c:pt idx="701">
                  <c:v>46009</c:v>
                </c:pt>
                <c:pt idx="702">
                  <c:v>46010</c:v>
                </c:pt>
                <c:pt idx="703">
                  <c:v>46013</c:v>
                </c:pt>
                <c:pt idx="704">
                  <c:v>46014</c:v>
                </c:pt>
                <c:pt idx="705">
                  <c:v>46015</c:v>
                </c:pt>
                <c:pt idx="706">
                  <c:v>46017</c:v>
                </c:pt>
                <c:pt idx="707">
                  <c:v>46020</c:v>
                </c:pt>
                <c:pt idx="708">
                  <c:v>46021</c:v>
                </c:pt>
                <c:pt idx="709">
                  <c:v>46022</c:v>
                </c:pt>
                <c:pt idx="710">
                  <c:v>46024</c:v>
                </c:pt>
                <c:pt idx="711">
                  <c:v>46027</c:v>
                </c:pt>
                <c:pt idx="712">
                  <c:v>46028</c:v>
                </c:pt>
                <c:pt idx="713">
                  <c:v>46029</c:v>
                </c:pt>
                <c:pt idx="714">
                  <c:v>46030</c:v>
                </c:pt>
                <c:pt idx="715">
                  <c:v>46031</c:v>
                </c:pt>
                <c:pt idx="716">
                  <c:v>46034</c:v>
                </c:pt>
                <c:pt idx="717">
                  <c:v>46035</c:v>
                </c:pt>
                <c:pt idx="718">
                  <c:v>46036</c:v>
                </c:pt>
                <c:pt idx="719">
                  <c:v>46037</c:v>
                </c:pt>
                <c:pt idx="720">
                  <c:v>46038</c:v>
                </c:pt>
                <c:pt idx="721">
                  <c:v>46042</c:v>
                </c:pt>
                <c:pt idx="722">
                  <c:v>46043</c:v>
                </c:pt>
                <c:pt idx="723">
                  <c:v>46044</c:v>
                </c:pt>
                <c:pt idx="724">
                  <c:v>46045</c:v>
                </c:pt>
                <c:pt idx="725">
                  <c:v>46048</c:v>
                </c:pt>
                <c:pt idx="726">
                  <c:v>46049</c:v>
                </c:pt>
                <c:pt idx="727">
                  <c:v>46050</c:v>
                </c:pt>
                <c:pt idx="728">
                  <c:v>46051</c:v>
                </c:pt>
                <c:pt idx="729">
                  <c:v>46052</c:v>
                </c:pt>
                <c:pt idx="730">
                  <c:v>46055</c:v>
                </c:pt>
                <c:pt idx="731">
                  <c:v>46056</c:v>
                </c:pt>
                <c:pt idx="732">
                  <c:v>46057</c:v>
                </c:pt>
                <c:pt idx="733">
                  <c:v>46058</c:v>
                </c:pt>
                <c:pt idx="734">
                  <c:v>46059</c:v>
                </c:pt>
                <c:pt idx="735">
                  <c:v>46062</c:v>
                </c:pt>
                <c:pt idx="736">
                  <c:v>46063</c:v>
                </c:pt>
                <c:pt idx="737">
                  <c:v>46064</c:v>
                </c:pt>
                <c:pt idx="738">
                  <c:v>46065</c:v>
                </c:pt>
                <c:pt idx="739">
                  <c:v>46066</c:v>
                </c:pt>
                <c:pt idx="740">
                  <c:v>46070</c:v>
                </c:pt>
                <c:pt idx="741">
                  <c:v>46071</c:v>
                </c:pt>
                <c:pt idx="742">
                  <c:v>46072</c:v>
                </c:pt>
                <c:pt idx="743">
                  <c:v>46073</c:v>
                </c:pt>
                <c:pt idx="744">
                  <c:v>46076</c:v>
                </c:pt>
                <c:pt idx="745">
                  <c:v>46077</c:v>
                </c:pt>
                <c:pt idx="746">
                  <c:v>46078</c:v>
                </c:pt>
                <c:pt idx="747">
                  <c:v>46079</c:v>
                </c:pt>
                <c:pt idx="748">
                  <c:v>46080</c:v>
                </c:pt>
                <c:pt idx="749">
                  <c:v>46083</c:v>
                </c:pt>
                <c:pt idx="750">
                  <c:v>46084</c:v>
                </c:pt>
                <c:pt idx="751">
                  <c:v>46085</c:v>
                </c:pt>
              </c:numCache>
            </c:numRef>
          </c:cat>
          <c:val>
            <c:numRef>
              <c:f>'Share Price Analysis'!$P$36:$P$787</c:f>
              <c:numCache>
                <c:formatCode>\$#,##0.00</c:formatCode>
                <c:ptCount val="752"/>
                <c:pt idx="0">
                  <c:v>179.79</c:v>
                </c:pt>
                <c:pt idx="1">
                  <c:v>179.7645273631841</c:v>
                </c:pt>
                <c:pt idx="2">
                  <c:v>179.75612410583898</c:v>
                </c:pt>
                <c:pt idx="3">
                  <c:v>179.69954575652713</c:v>
                </c:pt>
                <c:pt idx="4">
                  <c:v>179.59596818681047</c:v>
                </c:pt>
                <c:pt idx="5">
                  <c:v>179.46048591629494</c:v>
                </c:pt>
                <c:pt idx="6">
                  <c:v>179.3415756086701</c:v>
                </c:pt>
                <c:pt idx="7">
                  <c:v>179.1770823190316</c:v>
                </c:pt>
                <c:pt idx="8">
                  <c:v>179.04805662431488</c:v>
                </c:pt>
                <c:pt idx="9">
                  <c:v>178.86867297631176</c:v>
                </c:pt>
                <c:pt idx="10">
                  <c:v>178.71346229993057</c:v>
                </c:pt>
                <c:pt idx="11">
                  <c:v>178.58835322231934</c:v>
                </c:pt>
                <c:pt idx="12">
                  <c:v>178.4403099066744</c:v>
                </c:pt>
                <c:pt idx="13">
                  <c:v>178.30160035536423</c:v>
                </c:pt>
                <c:pt idx="14">
                  <c:v>178.18118642147999</c:v>
                </c:pt>
                <c:pt idx="15">
                  <c:v>178.05799053668915</c:v>
                </c:pt>
                <c:pt idx="16">
                  <c:v>177.95830903881168</c:v>
                </c:pt>
                <c:pt idx="17">
                  <c:v>177.87902238170906</c:v>
                </c:pt>
                <c:pt idx="18">
                  <c:v>177.80201718388113</c:v>
                </c:pt>
                <c:pt idx="19">
                  <c:v>177.73990756016093</c:v>
                </c:pt>
                <c:pt idx="20">
                  <c:v>177.69204778344292</c:v>
                </c:pt>
                <c:pt idx="21">
                  <c:v>177.60416671097084</c:v>
                </c:pt>
                <c:pt idx="22">
                  <c:v>177.46939888300099</c:v>
                </c:pt>
                <c:pt idx="23">
                  <c:v>177.34462874486169</c:v>
                </c:pt>
                <c:pt idx="24">
                  <c:v>177.23184636929096</c:v>
                </c:pt>
                <c:pt idx="25">
                  <c:v>177.12575834571592</c:v>
                </c:pt>
                <c:pt idx="26">
                  <c:v>177.02818861093269</c:v>
                </c:pt>
                <c:pt idx="27">
                  <c:v>176.95288325161994</c:v>
                </c:pt>
                <c:pt idx="28">
                  <c:v>176.87454610483763</c:v>
                </c:pt>
                <c:pt idx="29">
                  <c:v>176.82484912867011</c:v>
                </c:pt>
                <c:pt idx="30">
                  <c:v>176.78042276918086</c:v>
                </c:pt>
                <c:pt idx="31">
                  <c:v>176.74817975655219</c:v>
                </c:pt>
                <c:pt idx="32">
                  <c:v>176.70531229628801</c:v>
                </c:pt>
                <c:pt idx="33">
                  <c:v>176.64993605453392</c:v>
                </c:pt>
                <c:pt idx="34">
                  <c:v>176.59779738732465</c:v>
                </c:pt>
                <c:pt idx="35">
                  <c:v>176.52886407998807</c:v>
                </c:pt>
                <c:pt idx="36">
                  <c:v>176.4305669249633</c:v>
                </c:pt>
                <c:pt idx="37">
                  <c:v>176.39623292570994</c:v>
                </c:pt>
                <c:pt idx="38">
                  <c:v>176.38353409062825</c:v>
                </c:pt>
                <c:pt idx="39">
                  <c:v>176.39474270664189</c:v>
                </c:pt>
                <c:pt idx="40">
                  <c:v>176.42335223194894</c:v>
                </c:pt>
                <c:pt idx="41">
                  <c:v>176.44520942367086</c:v>
                </c:pt>
                <c:pt idx="42">
                  <c:v>176.58237151895773</c:v>
                </c:pt>
                <c:pt idx="43">
                  <c:v>176.75140264812234</c:v>
                </c:pt>
                <c:pt idx="44">
                  <c:v>176.91138869142461</c:v>
                </c:pt>
                <c:pt idx="45">
                  <c:v>177.07256890345025</c:v>
                </c:pt>
                <c:pt idx="46">
                  <c:v>177.26179707356516</c:v>
                </c:pt>
                <c:pt idx="47">
                  <c:v>177.43660506288293</c:v>
                </c:pt>
                <c:pt idx="48">
                  <c:v>177.61514630603833</c:v>
                </c:pt>
                <c:pt idx="49">
                  <c:v>177.7997717159285</c:v>
                </c:pt>
                <c:pt idx="50">
                  <c:v>177.97101776850636</c:v>
                </c:pt>
                <c:pt idx="51">
                  <c:v>178.15548525339688</c:v>
                </c:pt>
                <c:pt idx="52">
                  <c:v>178.33712221604966</c:v>
                </c:pt>
                <c:pt idx="53">
                  <c:v>178.52501154723325</c:v>
                </c:pt>
                <c:pt idx="54">
                  <c:v>178.71142934278316</c:v>
                </c:pt>
                <c:pt idx="55">
                  <c:v>178.87549472245698</c:v>
                </c:pt>
                <c:pt idx="56">
                  <c:v>179.0269823371589</c:v>
                </c:pt>
                <c:pt idx="57">
                  <c:v>179.18691286116729</c:v>
                </c:pt>
                <c:pt idx="58">
                  <c:v>179.35420726055867</c:v>
                </c:pt>
                <c:pt idx="59">
                  <c:v>179.52033455149839</c:v>
                </c:pt>
                <c:pt idx="60">
                  <c:v>179.67933619775215</c:v>
                </c:pt>
                <c:pt idx="61">
                  <c:v>179.86959155896855</c:v>
                </c:pt>
                <c:pt idx="62">
                  <c:v>180.09705830962557</c:v>
                </c:pt>
                <c:pt idx="63">
                  <c:v>180.31738608763925</c:v>
                </c:pt>
                <c:pt idx="64">
                  <c:v>180.54427776835925</c:v>
                </c:pt>
                <c:pt idx="65">
                  <c:v>180.78751878558953</c:v>
                </c:pt>
                <c:pt idx="66">
                  <c:v>181.04018029021054</c:v>
                </c:pt>
                <c:pt idx="67">
                  <c:v>181.29490486443731</c:v>
                </c:pt>
                <c:pt idx="68">
                  <c:v>181.53963217921904</c:v>
                </c:pt>
                <c:pt idx="69">
                  <c:v>181.79993434658999</c:v>
                </c:pt>
                <c:pt idx="70">
                  <c:v>182.05456186552939</c:v>
                </c:pt>
                <c:pt idx="71">
                  <c:v>182.32207866288732</c:v>
                </c:pt>
                <c:pt idx="72">
                  <c:v>182.57071469609244</c:v>
                </c:pt>
                <c:pt idx="73">
                  <c:v>182.83050857971341</c:v>
                </c:pt>
                <c:pt idx="74">
                  <c:v>183.10652341971627</c:v>
                </c:pt>
                <c:pt idx="75">
                  <c:v>183.40844855981859</c:v>
                </c:pt>
                <c:pt idx="76">
                  <c:v>183.71712071345226</c:v>
                </c:pt>
                <c:pt idx="77">
                  <c:v>184.02610458695025</c:v>
                </c:pt>
                <c:pt idx="78">
                  <c:v>184.38823289951793</c:v>
                </c:pt>
                <c:pt idx="79">
                  <c:v>184.75113605474661</c:v>
                </c:pt>
                <c:pt idx="80">
                  <c:v>185.15003022335608</c:v>
                </c:pt>
                <c:pt idx="81">
                  <c:v>185.55092544501426</c:v>
                </c:pt>
                <c:pt idx="82">
                  <c:v>185.92693613710367</c:v>
                </c:pt>
                <c:pt idx="83">
                  <c:v>186.27224025514244</c:v>
                </c:pt>
                <c:pt idx="84">
                  <c:v>186.58783985459377</c:v>
                </c:pt>
                <c:pt idx="85">
                  <c:v>186.89422950778192</c:v>
                </c:pt>
                <c:pt idx="86">
                  <c:v>187.21757050770449</c:v>
                </c:pt>
                <c:pt idx="87">
                  <c:v>187.57968423399601</c:v>
                </c:pt>
                <c:pt idx="88">
                  <c:v>187.90506051027467</c:v>
                </c:pt>
                <c:pt idx="89">
                  <c:v>188.25784597783414</c:v>
                </c:pt>
                <c:pt idx="90">
                  <c:v>188.62095198800495</c:v>
                </c:pt>
                <c:pt idx="91">
                  <c:v>188.97009674434321</c:v>
                </c:pt>
                <c:pt idx="92">
                  <c:v>189.31765797076767</c:v>
                </c:pt>
                <c:pt idx="93">
                  <c:v>189.63628823971527</c:v>
                </c:pt>
                <c:pt idx="94">
                  <c:v>189.95463363036487</c:v>
                </c:pt>
                <c:pt idx="95">
                  <c:v>190.2764780718538</c:v>
                </c:pt>
                <c:pt idx="96">
                  <c:v>190.59810515571596</c:v>
                </c:pt>
                <c:pt idx="97">
                  <c:v>190.91304938302227</c:v>
                </c:pt>
                <c:pt idx="98">
                  <c:v>191.23689963791756</c:v>
                </c:pt>
                <c:pt idx="99">
                  <c:v>191.50608471614726</c:v>
                </c:pt>
                <c:pt idx="100">
                  <c:v>191.7914968085239</c:v>
                </c:pt>
                <c:pt idx="101">
                  <c:v>192.07715355669779</c:v>
                </c:pt>
                <c:pt idx="102">
                  <c:v>192.39449531235255</c:v>
                </c:pt>
                <c:pt idx="103">
                  <c:v>192.69982371720479</c:v>
                </c:pt>
                <c:pt idx="104">
                  <c:v>193.03305930210823</c:v>
                </c:pt>
                <c:pt idx="105">
                  <c:v>193.36108856278378</c:v>
                </c:pt>
                <c:pt idx="106">
                  <c:v>193.71291852733322</c:v>
                </c:pt>
                <c:pt idx="107">
                  <c:v>194.0425412285538</c:v>
                </c:pt>
                <c:pt idx="108">
                  <c:v>194.334456241205</c:v>
                </c:pt>
                <c:pt idx="109">
                  <c:v>194.63272035820793</c:v>
                </c:pt>
                <c:pt idx="110">
                  <c:v>194.92413607603672</c:v>
                </c:pt>
                <c:pt idx="111">
                  <c:v>195.22469193597667</c:v>
                </c:pt>
                <c:pt idx="112">
                  <c:v>195.51240644407642</c:v>
                </c:pt>
                <c:pt idx="113">
                  <c:v>195.7809397132896</c:v>
                </c:pt>
                <c:pt idx="114">
                  <c:v>195.95555722858026</c:v>
                </c:pt>
                <c:pt idx="115">
                  <c:v>196.11321337555958</c:v>
                </c:pt>
                <c:pt idx="116">
                  <c:v>196.27696249620078</c:v>
                </c:pt>
                <c:pt idx="117">
                  <c:v>196.45908227235799</c:v>
                </c:pt>
                <c:pt idx="118">
                  <c:v>196.66406652835445</c:v>
                </c:pt>
                <c:pt idx="119">
                  <c:v>196.84631462259969</c:v>
                </c:pt>
                <c:pt idx="120">
                  <c:v>197.02525676565841</c:v>
                </c:pt>
                <c:pt idx="121">
                  <c:v>197.20520445953247</c:v>
                </c:pt>
                <c:pt idx="122">
                  <c:v>197.417988494761</c:v>
                </c:pt>
                <c:pt idx="123">
                  <c:v>197.62517268884301</c:v>
                </c:pt>
                <c:pt idx="124">
                  <c:v>197.8303948511431</c:v>
                </c:pt>
                <c:pt idx="125">
                  <c:v>198.08004266356954</c:v>
                </c:pt>
                <c:pt idx="126">
                  <c:v>198.26073875646935</c:v>
                </c:pt>
                <c:pt idx="127">
                  <c:v>198.42928861958904</c:v>
                </c:pt>
                <c:pt idx="128">
                  <c:v>198.59974345919514</c:v>
                </c:pt>
                <c:pt idx="129">
                  <c:v>198.77536790238722</c:v>
                </c:pt>
                <c:pt idx="130">
                  <c:v>198.952627923259</c:v>
                </c:pt>
                <c:pt idx="131">
                  <c:v>199.11001471009226</c:v>
                </c:pt>
                <c:pt idx="132">
                  <c:v>199.25558670302667</c:v>
                </c:pt>
                <c:pt idx="133">
                  <c:v>199.4119490243896</c:v>
                </c:pt>
                <c:pt idx="134">
                  <c:v>199.52317341220663</c:v>
                </c:pt>
                <c:pt idx="135">
                  <c:v>199.64423636332896</c:v>
                </c:pt>
                <c:pt idx="136">
                  <c:v>199.74608475772368</c:v>
                </c:pt>
                <c:pt idx="137">
                  <c:v>199.8436361531692</c:v>
                </c:pt>
                <c:pt idx="138">
                  <c:v>199.86857509691879</c:v>
                </c:pt>
                <c:pt idx="139">
                  <c:v>199.87605196162608</c:v>
                </c:pt>
                <c:pt idx="140">
                  <c:v>199.89758378290344</c:v>
                </c:pt>
                <c:pt idx="141">
                  <c:v>199.91203568556111</c:v>
                </c:pt>
                <c:pt idx="142">
                  <c:v>199.94873184789384</c:v>
                </c:pt>
                <c:pt idx="143">
                  <c:v>199.99929173000436</c:v>
                </c:pt>
                <c:pt idx="144">
                  <c:v>200.01939827995457</c:v>
                </c:pt>
                <c:pt idx="145">
                  <c:v>200.02845899358687</c:v>
                </c:pt>
                <c:pt idx="146">
                  <c:v>200.02807631703379</c:v>
                </c:pt>
                <c:pt idx="147">
                  <c:v>200.07784670193894</c:v>
                </c:pt>
                <c:pt idx="148">
                  <c:v>200.14622633674554</c:v>
                </c:pt>
                <c:pt idx="149">
                  <c:v>200.26815443289735</c:v>
                </c:pt>
                <c:pt idx="150">
                  <c:v>200.36747627933619</c:v>
                </c:pt>
                <c:pt idx="151">
                  <c:v>200.47327253526319</c:v>
                </c:pt>
                <c:pt idx="152">
                  <c:v>200.61542902744964</c:v>
                </c:pt>
                <c:pt idx="153">
                  <c:v>200.71507649981334</c:v>
                </c:pt>
                <c:pt idx="154">
                  <c:v>200.80039912170574</c:v>
                </c:pt>
                <c:pt idx="155">
                  <c:v>200.92218619512158</c:v>
                </c:pt>
                <c:pt idx="156">
                  <c:v>201.06017439218505</c:v>
                </c:pt>
                <c:pt idx="157">
                  <c:v>201.08683932360611</c:v>
                </c:pt>
                <c:pt idx="158">
                  <c:v>201.10279117113242</c:v>
                </c:pt>
                <c:pt idx="159">
                  <c:v>201.10724101022564</c:v>
                </c:pt>
                <c:pt idx="160">
                  <c:v>201.12109930863136</c:v>
                </c:pt>
                <c:pt idx="161">
                  <c:v>201.16118787272458</c:v>
                </c:pt>
                <c:pt idx="162">
                  <c:v>201.18316610284674</c:v>
                </c:pt>
                <c:pt idx="163">
                  <c:v>201.11139330580352</c:v>
                </c:pt>
                <c:pt idx="164">
                  <c:v>201.03754859629305</c:v>
                </c:pt>
                <c:pt idx="165">
                  <c:v>200.98732423215085</c:v>
                </c:pt>
                <c:pt idx="166">
                  <c:v>200.94257473730357</c:v>
                </c:pt>
                <c:pt idx="167">
                  <c:v>200.97100682946973</c:v>
                </c:pt>
                <c:pt idx="168">
                  <c:v>201.02920576648995</c:v>
                </c:pt>
                <c:pt idx="169">
                  <c:v>201.09637784841541</c:v>
                </c:pt>
                <c:pt idx="170">
                  <c:v>201.1565133922123</c:v>
                </c:pt>
                <c:pt idx="171">
                  <c:v>201.21674708980225</c:v>
                </c:pt>
                <c:pt idx="172">
                  <c:v>201.28852075060024</c:v>
                </c:pt>
                <c:pt idx="173">
                  <c:v>201.36754044462413</c:v>
                </c:pt>
                <c:pt idx="174">
                  <c:v>201.46995297751343</c:v>
                </c:pt>
                <c:pt idx="175">
                  <c:v>201.55970468917999</c:v>
                </c:pt>
                <c:pt idx="176">
                  <c:v>201.70876235396429</c:v>
                </c:pt>
                <c:pt idx="177">
                  <c:v>201.79991894745717</c:v>
                </c:pt>
                <c:pt idx="178">
                  <c:v>201.90409885842777</c:v>
                </c:pt>
                <c:pt idx="179">
                  <c:v>202.00803817326928</c:v>
                </c:pt>
                <c:pt idx="180">
                  <c:v>202.09134127602283</c:v>
                </c:pt>
                <c:pt idx="181">
                  <c:v>202.16844235785348</c:v>
                </c:pt>
                <c:pt idx="182">
                  <c:v>202.26527377717832</c:v>
                </c:pt>
                <c:pt idx="183">
                  <c:v>202.35895264506712</c:v>
                </c:pt>
                <c:pt idx="184">
                  <c:v>202.463341175962</c:v>
                </c:pt>
                <c:pt idx="185">
                  <c:v>202.54987509460915</c:v>
                </c:pt>
                <c:pt idx="186">
                  <c:v>202.65067235734935</c:v>
                </c:pt>
                <c:pt idx="187">
                  <c:v>202.7592228811568</c:v>
                </c:pt>
                <c:pt idx="188">
                  <c:v>202.88729031517516</c:v>
                </c:pt>
                <c:pt idx="189">
                  <c:v>203.00582473989979</c:v>
                </c:pt>
                <c:pt idx="190">
                  <c:v>203.09551802606995</c:v>
                </c:pt>
                <c:pt idx="191">
                  <c:v>203.18342331934292</c:v>
                </c:pt>
                <c:pt idx="192">
                  <c:v>203.29274249029476</c:v>
                </c:pt>
                <c:pt idx="193">
                  <c:v>203.41948137098834</c:v>
                </c:pt>
                <c:pt idx="194">
                  <c:v>203.57311837227203</c:v>
                </c:pt>
                <c:pt idx="195">
                  <c:v>203.74552515463748</c:v>
                </c:pt>
                <c:pt idx="196">
                  <c:v>203.94377863568587</c:v>
                </c:pt>
                <c:pt idx="197">
                  <c:v>204.15090521642531</c:v>
                </c:pt>
                <c:pt idx="198">
                  <c:v>204.35189123417234</c:v>
                </c:pt>
                <c:pt idx="199">
                  <c:v>204.53445948059851</c:v>
                </c:pt>
                <c:pt idx="200">
                  <c:v>204.73501212258262</c:v>
                </c:pt>
                <c:pt idx="201">
                  <c:v>204.89864384275594</c:v>
                </c:pt>
                <c:pt idx="202">
                  <c:v>205.08154290899719</c:v>
                </c:pt>
                <c:pt idx="203">
                  <c:v>205.27903999447983</c:v>
                </c:pt>
                <c:pt idx="204">
                  <c:v>205.48173611393776</c:v>
                </c:pt>
                <c:pt idx="205">
                  <c:v>205.68410689887369</c:v>
                </c:pt>
                <c:pt idx="206">
                  <c:v>205.88068294963119</c:v>
                </c:pt>
                <c:pt idx="207">
                  <c:v>206.09092491033138</c:v>
                </c:pt>
                <c:pt idx="208">
                  <c:v>206.26514456296491</c:v>
                </c:pt>
                <c:pt idx="209">
                  <c:v>206.39514312452744</c:v>
                </c:pt>
                <c:pt idx="210">
                  <c:v>206.53728100388537</c:v>
                </c:pt>
                <c:pt idx="211">
                  <c:v>206.68735780981686</c:v>
                </c:pt>
                <c:pt idx="212">
                  <c:v>206.85962290623661</c:v>
                </c:pt>
                <c:pt idx="213">
                  <c:v>207.02440277781636</c:v>
                </c:pt>
                <c:pt idx="214">
                  <c:v>207.21430921783809</c:v>
                </c:pt>
                <c:pt idx="215">
                  <c:v>207.38491310621782</c:v>
                </c:pt>
                <c:pt idx="216">
                  <c:v>207.54983934396691</c:v>
                </c:pt>
                <c:pt idx="217">
                  <c:v>207.69740313158914</c:v>
                </c:pt>
                <c:pt idx="218">
                  <c:v>207.83235434421016</c:v>
                </c:pt>
                <c:pt idx="219">
                  <c:v>208.00437071889465</c:v>
                </c:pt>
                <c:pt idx="220">
                  <c:v>208.18422772666685</c:v>
                </c:pt>
                <c:pt idx="221">
                  <c:v>208.37423541097863</c:v>
                </c:pt>
                <c:pt idx="222">
                  <c:v>208.51777535713805</c:v>
                </c:pt>
                <c:pt idx="223">
                  <c:v>208.6300362988581</c:v>
                </c:pt>
                <c:pt idx="224">
                  <c:v>208.77710061429238</c:v>
                </c:pt>
                <c:pt idx="225">
                  <c:v>208.9122538420109</c:v>
                </c:pt>
                <c:pt idx="226">
                  <c:v>209.11581350527447</c:v>
                </c:pt>
                <c:pt idx="227">
                  <c:v>209.33406411716228</c:v>
                </c:pt>
                <c:pt idx="228">
                  <c:v>209.49999382743928</c:v>
                </c:pt>
                <c:pt idx="229">
                  <c:v>209.70755607791256</c:v>
                </c:pt>
                <c:pt idx="230">
                  <c:v>209.95365004728657</c:v>
                </c:pt>
                <c:pt idx="231">
                  <c:v>210.14963362890563</c:v>
                </c:pt>
                <c:pt idx="232">
                  <c:v>210.36287110523494</c:v>
                </c:pt>
                <c:pt idx="233">
                  <c:v>210.62314104448635</c:v>
                </c:pt>
                <c:pt idx="234">
                  <c:v>210.89992571071039</c:v>
                </c:pt>
                <c:pt idx="235">
                  <c:v>211.18947868871328</c:v>
                </c:pt>
                <c:pt idx="236">
                  <c:v>211.47744407489523</c:v>
                </c:pt>
                <c:pt idx="237">
                  <c:v>211.7325938850953</c:v>
                </c:pt>
                <c:pt idx="238">
                  <c:v>212.02480688126352</c:v>
                </c:pt>
                <c:pt idx="239">
                  <c:v>212.32764462373851</c:v>
                </c:pt>
                <c:pt idx="240">
                  <c:v>212.75373771205952</c:v>
                </c:pt>
                <c:pt idx="241">
                  <c:v>213.13807863034748</c:v>
                </c:pt>
                <c:pt idx="242">
                  <c:v>213.53899327084153</c:v>
                </c:pt>
                <c:pt idx="243">
                  <c:v>213.97084408406701</c:v>
                </c:pt>
                <c:pt idx="244">
                  <c:v>214.4012834464146</c:v>
                </c:pt>
                <c:pt idx="245">
                  <c:v>214.86574828774383</c:v>
                </c:pt>
                <c:pt idx="246">
                  <c:v>215.35026820527872</c:v>
                </c:pt>
                <c:pt idx="247">
                  <c:v>215.81742971567397</c:v>
                </c:pt>
                <c:pt idx="248">
                  <c:v>216.31526623591603</c:v>
                </c:pt>
                <c:pt idx="249">
                  <c:v>216.8238705519766</c:v>
                </c:pt>
                <c:pt idx="250">
                  <c:v>217.33159323305148</c:v>
                </c:pt>
                <c:pt idx="251">
                  <c:v>217.80570673322012</c:v>
                </c:pt>
                <c:pt idx="252">
                  <c:v>218.29858527318808</c:v>
                </c:pt>
                <c:pt idx="253">
                  <c:v>218.82466900181311</c:v>
                </c:pt>
                <c:pt idx="254">
                  <c:v>219.30104045453137</c:v>
                </c:pt>
                <c:pt idx="255">
                  <c:v>219.75525895747137</c:v>
                </c:pt>
                <c:pt idx="256">
                  <c:v>220.2510275250587</c:v>
                </c:pt>
                <c:pt idx="257">
                  <c:v>220.73927600739643</c:v>
                </c:pt>
                <c:pt idx="258">
                  <c:v>221.23669614662631</c:v>
                </c:pt>
                <c:pt idx="259">
                  <c:v>221.69065936904795</c:v>
                </c:pt>
                <c:pt idx="260">
                  <c:v>222.16557818129624</c:v>
                </c:pt>
                <c:pt idx="261">
                  <c:v>222.63169183123361</c:v>
                </c:pt>
                <c:pt idx="262">
                  <c:v>223.1203317135099</c:v>
                </c:pt>
                <c:pt idx="263">
                  <c:v>223.64241796511678</c:v>
                </c:pt>
                <c:pt idx="264">
                  <c:v>224.14707052267781</c:v>
                </c:pt>
                <c:pt idx="265">
                  <c:v>224.62938822891985</c:v>
                </c:pt>
                <c:pt idx="266">
                  <c:v>225.11934456495052</c:v>
                </c:pt>
                <c:pt idx="267">
                  <c:v>225.59367944490126</c:v>
                </c:pt>
                <c:pt idx="268">
                  <c:v>226.06458810714105</c:v>
                </c:pt>
                <c:pt idx="269">
                  <c:v>226.49867180756752</c:v>
                </c:pt>
                <c:pt idx="270">
                  <c:v>226.89420741147234</c:v>
                </c:pt>
                <c:pt idx="271">
                  <c:v>227.31088196459203</c:v>
                </c:pt>
                <c:pt idx="272">
                  <c:v>227.69475378583988</c:v>
                </c:pt>
                <c:pt idx="273">
                  <c:v>228.1171940466773</c:v>
                </c:pt>
                <c:pt idx="274">
                  <c:v>228.53115231486959</c:v>
                </c:pt>
                <c:pt idx="275">
                  <c:v>228.90019557541817</c:v>
                </c:pt>
                <c:pt idx="276">
                  <c:v>229.25501950004087</c:v>
                </c:pt>
                <c:pt idx="277">
                  <c:v>229.61566607217978</c:v>
                </c:pt>
                <c:pt idx="278">
                  <c:v>229.94565944459592</c:v>
                </c:pt>
                <c:pt idx="279">
                  <c:v>230.24938422624172</c:v>
                </c:pt>
                <c:pt idx="280">
                  <c:v>230.53088289065724</c:v>
                </c:pt>
                <c:pt idx="281">
                  <c:v>230.80679450368555</c:v>
                </c:pt>
                <c:pt idx="282">
                  <c:v>231.04821943399713</c:v>
                </c:pt>
                <c:pt idx="283">
                  <c:v>231.25729187743994</c:v>
                </c:pt>
                <c:pt idx="284">
                  <c:v>231.48836360005248</c:v>
                </c:pt>
                <c:pt idx="285">
                  <c:v>231.76549431049972</c:v>
                </c:pt>
                <c:pt idx="286">
                  <c:v>232.01061377009674</c:v>
                </c:pt>
                <c:pt idx="287">
                  <c:v>232.27458776243409</c:v>
                </c:pt>
                <c:pt idx="288">
                  <c:v>232.56280081952431</c:v>
                </c:pt>
                <c:pt idx="289">
                  <c:v>232.85023563724047</c:v>
                </c:pt>
                <c:pt idx="290">
                  <c:v>233.09680045677041</c:v>
                </c:pt>
                <c:pt idx="291">
                  <c:v>233.36180741739958</c:v>
                </c:pt>
                <c:pt idx="292">
                  <c:v>233.67074465702746</c:v>
                </c:pt>
                <c:pt idx="293">
                  <c:v>233.97690640173366</c:v>
                </c:pt>
                <c:pt idx="294">
                  <c:v>234.30161380072138</c:v>
                </c:pt>
                <c:pt idx="295">
                  <c:v>234.64040371315204</c:v>
                </c:pt>
                <c:pt idx="296">
                  <c:v>234.97164347720027</c:v>
                </c:pt>
                <c:pt idx="297">
                  <c:v>235.32705000976546</c:v>
                </c:pt>
                <c:pt idx="298">
                  <c:v>235.69265150220559</c:v>
                </c:pt>
                <c:pt idx="299">
                  <c:v>236.03491367631301</c:v>
                </c:pt>
                <c:pt idx="300">
                  <c:v>236.35048667455865</c:v>
                </c:pt>
                <c:pt idx="301">
                  <c:v>236.69028282705059</c:v>
                </c:pt>
                <c:pt idx="302">
                  <c:v>236.92222031135856</c:v>
                </c:pt>
                <c:pt idx="303">
                  <c:v>237.14289473612118</c:v>
                </c:pt>
                <c:pt idx="304">
                  <c:v>237.37241817158269</c:v>
                </c:pt>
                <c:pt idx="305">
                  <c:v>237.61925978181571</c:v>
                </c:pt>
                <c:pt idx="306">
                  <c:v>237.85061043075288</c:v>
                </c:pt>
                <c:pt idx="307">
                  <c:v>238.04324117273546</c:v>
                </c:pt>
                <c:pt idx="308">
                  <c:v>238.2542536983799</c:v>
                </c:pt>
                <c:pt idx="309">
                  <c:v>238.41072878595824</c:v>
                </c:pt>
                <c:pt idx="310">
                  <c:v>238.54504989256563</c:v>
                </c:pt>
                <c:pt idx="311">
                  <c:v>238.69962651055005</c:v>
                </c:pt>
                <c:pt idx="312">
                  <c:v>238.86948097313166</c:v>
                </c:pt>
                <c:pt idx="313">
                  <c:v>239.00202345101096</c:v>
                </c:pt>
                <c:pt idx="314">
                  <c:v>239.11603316791633</c:v>
                </c:pt>
                <c:pt idx="315">
                  <c:v>239.23607263888235</c:v>
                </c:pt>
                <c:pt idx="316">
                  <c:v>239.32904704048551</c:v>
                </c:pt>
                <c:pt idx="317">
                  <c:v>239.4112455773961</c:v>
                </c:pt>
                <c:pt idx="318">
                  <c:v>239.49481527314342</c:v>
                </c:pt>
                <c:pt idx="319">
                  <c:v>239.54601114107234</c:v>
                </c:pt>
                <c:pt idx="320">
                  <c:v>239.64127471180794</c:v>
                </c:pt>
                <c:pt idx="321">
                  <c:v>239.78365008780986</c:v>
                </c:pt>
                <c:pt idx="322">
                  <c:v>239.91157396753314</c:v>
                </c:pt>
                <c:pt idx="323">
                  <c:v>240.07514039571691</c:v>
                </c:pt>
                <c:pt idx="324">
                  <c:v>240.22971611317246</c:v>
                </c:pt>
                <c:pt idx="325">
                  <c:v>240.29170898766827</c:v>
                </c:pt>
                <c:pt idx="326">
                  <c:v>240.36651785346265</c:v>
                </c:pt>
                <c:pt idx="327">
                  <c:v>240.43829379521927</c:v>
                </c:pt>
                <c:pt idx="328">
                  <c:v>240.49512669277928</c:v>
                </c:pt>
                <c:pt idx="329">
                  <c:v>240.54870752170686</c:v>
                </c:pt>
                <c:pt idx="330">
                  <c:v>240.62046167571975</c:v>
                </c:pt>
                <c:pt idx="331">
                  <c:v>240.70065608690663</c:v>
                </c:pt>
                <c:pt idx="332">
                  <c:v>240.7306993099225</c:v>
                </c:pt>
                <c:pt idx="333">
                  <c:v>240.77387643121682</c:v>
                </c:pt>
                <c:pt idx="334">
                  <c:v>240.80518114334402</c:v>
                </c:pt>
                <c:pt idx="335">
                  <c:v>240.83905993793763</c:v>
                </c:pt>
                <c:pt idx="336">
                  <c:v>240.85031307288352</c:v>
                </c:pt>
                <c:pt idx="337">
                  <c:v>240.86424030598917</c:v>
                </c:pt>
                <c:pt idx="338">
                  <c:v>240.93245682035743</c:v>
                </c:pt>
                <c:pt idx="339">
                  <c:v>241.0693477972693</c:v>
                </c:pt>
                <c:pt idx="340">
                  <c:v>241.18318513261985</c:v>
                </c:pt>
                <c:pt idx="341">
                  <c:v>241.30972060393708</c:v>
                </c:pt>
                <c:pt idx="342">
                  <c:v>241.52365373225612</c:v>
                </c:pt>
                <c:pt idx="343">
                  <c:v>241.6657069289501</c:v>
                </c:pt>
                <c:pt idx="344">
                  <c:v>241.80923223313968</c:v>
                </c:pt>
                <c:pt idx="345">
                  <c:v>241.95182693728754</c:v>
                </c:pt>
                <c:pt idx="346">
                  <c:v>242.13748040059812</c:v>
                </c:pt>
                <c:pt idx="347">
                  <c:v>242.31670945133845</c:v>
                </c:pt>
                <c:pt idx="348">
                  <c:v>242.39823473042964</c:v>
                </c:pt>
                <c:pt idx="349">
                  <c:v>242.51138662365918</c:v>
                </c:pt>
                <c:pt idx="350">
                  <c:v>242.70241760252824</c:v>
                </c:pt>
                <c:pt idx="351">
                  <c:v>242.91960747712994</c:v>
                </c:pt>
                <c:pt idx="352">
                  <c:v>243.18906411914855</c:v>
                </c:pt>
                <c:pt idx="353">
                  <c:v>243.50071522244062</c:v>
                </c:pt>
                <c:pt idx="354">
                  <c:v>243.77563347893377</c:v>
                </c:pt>
                <c:pt idx="355">
                  <c:v>244.0001545388449</c:v>
                </c:pt>
                <c:pt idx="356">
                  <c:v>244.13378484194098</c:v>
                </c:pt>
                <c:pt idx="357">
                  <c:v>244.15374718182218</c:v>
                </c:pt>
                <c:pt idx="358">
                  <c:v>244.12455566757521</c:v>
                </c:pt>
                <c:pt idx="359">
                  <c:v>244.14650038730085</c:v>
                </c:pt>
                <c:pt idx="360">
                  <c:v>244.14842575658145</c:v>
                </c:pt>
                <c:pt idx="361">
                  <c:v>244.12605336099358</c:v>
                </c:pt>
                <c:pt idx="362">
                  <c:v>244.12320705889414</c:v>
                </c:pt>
                <c:pt idx="363">
                  <c:v>244.10705574487531</c:v>
                </c:pt>
                <c:pt idx="364">
                  <c:v>244.13156265288652</c:v>
                </c:pt>
                <c:pt idx="365">
                  <c:v>244.13453217872845</c:v>
                </c:pt>
                <c:pt idx="366">
                  <c:v>244.13607912222369</c:v>
                </c:pt>
                <c:pt idx="367">
                  <c:v>244.15064549911699</c:v>
                </c:pt>
                <c:pt idx="368">
                  <c:v>244.18735549415067</c:v>
                </c:pt>
                <c:pt idx="369">
                  <c:v>244.22509325042779</c:v>
                </c:pt>
                <c:pt idx="370">
                  <c:v>244.33121172554792</c:v>
                </c:pt>
                <c:pt idx="371">
                  <c:v>244.39438374817928</c:v>
                </c:pt>
                <c:pt idx="372">
                  <c:v>244.35473813874466</c:v>
                </c:pt>
                <c:pt idx="373">
                  <c:v>244.26931785875718</c:v>
                </c:pt>
                <c:pt idx="374">
                  <c:v>244.23957340245116</c:v>
                </c:pt>
                <c:pt idx="375">
                  <c:v>244.24922938849645</c:v>
                </c:pt>
                <c:pt idx="376">
                  <c:v>244.19719725527759</c:v>
                </c:pt>
                <c:pt idx="377">
                  <c:v>244.10399131243904</c:v>
                </c:pt>
                <c:pt idx="378">
                  <c:v>243.98514562773815</c:v>
                </c:pt>
                <c:pt idx="379">
                  <c:v>243.86559193989996</c:v>
                </c:pt>
                <c:pt idx="380">
                  <c:v>243.74583480616963</c:v>
                </c:pt>
                <c:pt idx="381">
                  <c:v>243.6384135643172</c:v>
                </c:pt>
                <c:pt idx="382">
                  <c:v>243.53206119054292</c:v>
                </c:pt>
                <c:pt idx="383">
                  <c:v>243.45980187521417</c:v>
                </c:pt>
                <c:pt idx="384">
                  <c:v>243.40020185655533</c:v>
                </c:pt>
                <c:pt idx="385">
                  <c:v>243.39492621619161</c:v>
                </c:pt>
                <c:pt idx="386">
                  <c:v>243.41209112946336</c:v>
                </c:pt>
                <c:pt idx="387">
                  <c:v>243.42192106847369</c:v>
                </c:pt>
                <c:pt idx="388">
                  <c:v>243.52389200311575</c:v>
                </c:pt>
                <c:pt idx="389">
                  <c:v>243.60872889860713</c:v>
                </c:pt>
                <c:pt idx="390">
                  <c:v>243.69550771553639</c:v>
                </c:pt>
                <c:pt idx="391">
                  <c:v>243.75694544971017</c:v>
                </c:pt>
                <c:pt idx="392">
                  <c:v>243.8153838034444</c:v>
                </c:pt>
                <c:pt idx="393">
                  <c:v>243.8826934173405</c:v>
                </c:pt>
                <c:pt idx="394">
                  <c:v>243.94595019925754</c:v>
                </c:pt>
                <c:pt idx="395">
                  <c:v>244.01046810772263</c:v>
                </c:pt>
                <c:pt idx="396">
                  <c:v>244.04509031560602</c:v>
                </c:pt>
                <c:pt idx="397">
                  <c:v>244.00941777515223</c:v>
                </c:pt>
                <c:pt idx="398">
                  <c:v>243.98046834455371</c:v>
                </c:pt>
                <c:pt idx="399">
                  <c:v>243.95509055008054</c:v>
                </c:pt>
                <c:pt idx="400">
                  <c:v>243.89613442520411</c:v>
                </c:pt>
                <c:pt idx="401">
                  <c:v>243.83935696823693</c:v>
                </c:pt>
                <c:pt idx="402">
                  <c:v>243.81747281929924</c:v>
                </c:pt>
                <c:pt idx="403">
                  <c:v>243.81829398527637</c:v>
                </c:pt>
                <c:pt idx="404">
                  <c:v>243.85502737845772</c:v>
                </c:pt>
                <c:pt idx="405">
                  <c:v>243.90323606125915</c:v>
                </c:pt>
                <c:pt idx="406">
                  <c:v>243.99166157308741</c:v>
                </c:pt>
                <c:pt idx="407">
                  <c:v>244.11592364698706</c:v>
                </c:pt>
                <c:pt idx="408">
                  <c:v>244.26044181965386</c:v>
                </c:pt>
                <c:pt idx="409">
                  <c:v>244.434168766722</c:v>
                </c:pt>
                <c:pt idx="410">
                  <c:v>244.58845564466506</c:v>
                </c:pt>
                <c:pt idx="411">
                  <c:v>244.6793167825291</c:v>
                </c:pt>
                <c:pt idx="412">
                  <c:v>244.76778129215569</c:v>
                </c:pt>
                <c:pt idx="413">
                  <c:v>244.88093769720885</c:v>
                </c:pt>
                <c:pt idx="414">
                  <c:v>244.9969482673859</c:v>
                </c:pt>
                <c:pt idx="415">
                  <c:v>245.13130699109351</c:v>
                </c:pt>
                <c:pt idx="416">
                  <c:v>245.27477657327168</c:v>
                </c:pt>
                <c:pt idx="417">
                  <c:v>245.58278874667198</c:v>
                </c:pt>
                <c:pt idx="418">
                  <c:v>245.8648505501877</c:v>
                </c:pt>
                <c:pt idx="419">
                  <c:v>246.1088818879968</c:v>
                </c:pt>
                <c:pt idx="420">
                  <c:v>246.33526117269335</c:v>
                </c:pt>
                <c:pt idx="421">
                  <c:v>246.5972983749551</c:v>
                </c:pt>
                <c:pt idx="422">
                  <c:v>247.03364366475654</c:v>
                </c:pt>
                <c:pt idx="423">
                  <c:v>247.46704024520673</c:v>
                </c:pt>
                <c:pt idx="424">
                  <c:v>247.91323884973204</c:v>
                </c:pt>
                <c:pt idx="425">
                  <c:v>248.35231109998347</c:v>
                </c:pt>
                <c:pt idx="426">
                  <c:v>248.7505965616752</c:v>
                </c:pt>
                <c:pt idx="427">
                  <c:v>249.13825231728043</c:v>
                </c:pt>
                <c:pt idx="428">
                  <c:v>249.47200105044183</c:v>
                </c:pt>
                <c:pt idx="429">
                  <c:v>249.76859805491506</c:v>
                </c:pt>
                <c:pt idx="430">
                  <c:v>250.05687071108508</c:v>
                </c:pt>
                <c:pt idx="431">
                  <c:v>250.33501130102454</c:v>
                </c:pt>
                <c:pt idx="432">
                  <c:v>250.60839427315366</c:v>
                </c:pt>
                <c:pt idx="433">
                  <c:v>250.91258935501284</c:v>
                </c:pt>
                <c:pt idx="434">
                  <c:v>251.24788697337092</c:v>
                </c:pt>
                <c:pt idx="435">
                  <c:v>251.6371617298548</c:v>
                </c:pt>
                <c:pt idx="436">
                  <c:v>252.00296111562739</c:v>
                </c:pt>
                <c:pt idx="437">
                  <c:v>252.3451207065167</c:v>
                </c:pt>
                <c:pt idx="438">
                  <c:v>252.70118915719812</c:v>
                </c:pt>
                <c:pt idx="439">
                  <c:v>253.04296836956433</c:v>
                </c:pt>
                <c:pt idx="440">
                  <c:v>253.37587415693184</c:v>
                </c:pt>
                <c:pt idx="441">
                  <c:v>253.69700973745989</c:v>
                </c:pt>
                <c:pt idx="442">
                  <c:v>254.03465143161455</c:v>
                </c:pt>
                <c:pt idx="443">
                  <c:v>254.36127181537958</c:v>
                </c:pt>
                <c:pt idx="444">
                  <c:v>254.62862234457978</c:v>
                </c:pt>
                <c:pt idx="445">
                  <c:v>254.84435744562876</c:v>
                </c:pt>
                <c:pt idx="446">
                  <c:v>255.09028423721458</c:v>
                </c:pt>
                <c:pt idx="447">
                  <c:v>255.31933613535173</c:v>
                </c:pt>
                <c:pt idx="448">
                  <c:v>255.52282532803483</c:v>
                </c:pt>
                <c:pt idx="449">
                  <c:v>255.73652855860163</c:v>
                </c:pt>
                <c:pt idx="450">
                  <c:v>255.90482180677475</c:v>
                </c:pt>
                <c:pt idx="451">
                  <c:v>255.99422656491632</c:v>
                </c:pt>
                <c:pt idx="452">
                  <c:v>256.04323923591221</c:v>
                </c:pt>
                <c:pt idx="453">
                  <c:v>256.11375426839072</c:v>
                </c:pt>
                <c:pt idx="454">
                  <c:v>256.18098059407839</c:v>
                </c:pt>
                <c:pt idx="455">
                  <c:v>256.26186635931145</c:v>
                </c:pt>
                <c:pt idx="456">
                  <c:v>256.34433535076107</c:v>
                </c:pt>
                <c:pt idx="457">
                  <c:v>256.40419271045499</c:v>
                </c:pt>
                <c:pt idx="458">
                  <c:v>256.42166342975395</c:v>
                </c:pt>
                <c:pt idx="459">
                  <c:v>256.42970657970665</c:v>
                </c:pt>
                <c:pt idx="460">
                  <c:v>256.4211522853812</c:v>
                </c:pt>
                <c:pt idx="461">
                  <c:v>256.42820549647195</c:v>
                </c:pt>
                <c:pt idx="462">
                  <c:v>256.43767608854688</c:v>
                </c:pt>
                <c:pt idx="463">
                  <c:v>256.39332110259119</c:v>
                </c:pt>
                <c:pt idx="464">
                  <c:v>256.38224328067486</c:v>
                </c:pt>
                <c:pt idx="465">
                  <c:v>256.33555429280744</c:v>
                </c:pt>
                <c:pt idx="466">
                  <c:v>256.3325139515855</c:v>
                </c:pt>
                <c:pt idx="467">
                  <c:v>256.3697028674901</c:v>
                </c:pt>
                <c:pt idx="468">
                  <c:v>256.48731776433101</c:v>
                </c:pt>
                <c:pt idx="469">
                  <c:v>256.61351360747204</c:v>
                </c:pt>
                <c:pt idx="470">
                  <c:v>256.74770750192505</c:v>
                </c:pt>
                <c:pt idx="471">
                  <c:v>256.934595984493</c:v>
                </c:pt>
                <c:pt idx="472">
                  <c:v>257.10818209410007</c:v>
                </c:pt>
                <c:pt idx="473">
                  <c:v>257.28451859067621</c:v>
                </c:pt>
                <c:pt idx="474">
                  <c:v>257.48606566937593</c:v>
                </c:pt>
                <c:pt idx="475">
                  <c:v>257.66023417017817</c:v>
                </c:pt>
                <c:pt idx="476">
                  <c:v>257.8337641784351</c:v>
                </c:pt>
                <c:pt idx="477">
                  <c:v>257.97671179855018</c:v>
                </c:pt>
                <c:pt idx="478">
                  <c:v>258.15963008911189</c:v>
                </c:pt>
                <c:pt idx="479">
                  <c:v>258.31873824742922</c:v>
                </c:pt>
                <c:pt idx="480">
                  <c:v>258.44651199621103</c:v>
                </c:pt>
                <c:pt idx="481">
                  <c:v>258.58206909077609</c:v>
                </c:pt>
                <c:pt idx="482">
                  <c:v>258.73876492071861</c:v>
                </c:pt>
                <c:pt idx="483">
                  <c:v>258.92255830459209</c:v>
                </c:pt>
                <c:pt idx="484">
                  <c:v>259.06183633141205</c:v>
                </c:pt>
                <c:pt idx="485">
                  <c:v>259.15634542264178</c:v>
                </c:pt>
                <c:pt idx="486">
                  <c:v>259.24205342838667</c:v>
                </c:pt>
                <c:pt idx="487">
                  <c:v>259.28750563307938</c:v>
                </c:pt>
                <c:pt idx="488">
                  <c:v>259.38743095016321</c:v>
                </c:pt>
                <c:pt idx="489">
                  <c:v>259.49760576657945</c:v>
                </c:pt>
                <c:pt idx="490">
                  <c:v>259.62956988830507</c:v>
                </c:pt>
                <c:pt idx="491">
                  <c:v>259.68270849638168</c:v>
                </c:pt>
                <c:pt idx="492">
                  <c:v>259.67183577502465</c:v>
                </c:pt>
                <c:pt idx="493">
                  <c:v>259.60405631457661</c:v>
                </c:pt>
                <c:pt idx="494">
                  <c:v>259.52401595323755</c:v>
                </c:pt>
                <c:pt idx="495">
                  <c:v>259.42716007310588</c:v>
                </c:pt>
                <c:pt idx="496">
                  <c:v>259.33863111715453</c:v>
                </c:pt>
                <c:pt idx="497">
                  <c:v>259.19715220056594</c:v>
                </c:pt>
                <c:pt idx="498">
                  <c:v>259.0788720791673</c:v>
                </c:pt>
                <c:pt idx="499">
                  <c:v>258.88674399877755</c:v>
                </c:pt>
                <c:pt idx="500">
                  <c:v>258.6476719191877</c:v>
                </c:pt>
                <c:pt idx="501">
                  <c:v>258.46560553193211</c:v>
                </c:pt>
                <c:pt idx="502">
                  <c:v>258.23380846196267</c:v>
                </c:pt>
                <c:pt idx="503">
                  <c:v>257.86232778074913</c:v>
                </c:pt>
                <c:pt idx="504">
                  <c:v>257.49892153417454</c:v>
                </c:pt>
                <c:pt idx="505">
                  <c:v>257.17266360846139</c:v>
                </c:pt>
                <c:pt idx="506">
                  <c:v>256.87412964220806</c:v>
                </c:pt>
                <c:pt idx="507">
                  <c:v>256.55737213333038</c:v>
                </c:pt>
                <c:pt idx="508">
                  <c:v>256.30625400265052</c:v>
                </c:pt>
                <c:pt idx="509">
                  <c:v>256.09504749516145</c:v>
                </c:pt>
                <c:pt idx="510">
                  <c:v>255.90007189819468</c:v>
                </c:pt>
                <c:pt idx="511">
                  <c:v>255.75290700368529</c:v>
                </c:pt>
                <c:pt idx="512">
                  <c:v>255.58342534195708</c:v>
                </c:pt>
                <c:pt idx="513">
                  <c:v>255.36946091069382</c:v>
                </c:pt>
                <c:pt idx="514">
                  <c:v>255.22459065287597</c:v>
                </c:pt>
                <c:pt idx="515">
                  <c:v>255.08285343244935</c:v>
                </c:pt>
                <c:pt idx="516">
                  <c:v>254.90352155749963</c:v>
                </c:pt>
                <c:pt idx="517">
                  <c:v>254.73075019871854</c:v>
                </c:pt>
                <c:pt idx="518">
                  <c:v>254.51392681365667</c:v>
                </c:pt>
                <c:pt idx="519">
                  <c:v>254.30284296476455</c:v>
                </c:pt>
                <c:pt idx="520">
                  <c:v>254.13336194023955</c:v>
                </c:pt>
                <c:pt idx="521">
                  <c:v>253.99372649804812</c:v>
                </c:pt>
                <c:pt idx="522">
                  <c:v>253.82642573687352</c:v>
                </c:pt>
                <c:pt idx="523">
                  <c:v>253.59671005789966</c:v>
                </c:pt>
                <c:pt idx="524">
                  <c:v>253.34729005732356</c:v>
                </c:pt>
                <c:pt idx="525">
                  <c:v>253.0800533403353</c:v>
                </c:pt>
                <c:pt idx="526">
                  <c:v>252.94522693893893</c:v>
                </c:pt>
                <c:pt idx="527">
                  <c:v>252.77243861118831</c:v>
                </c:pt>
                <c:pt idx="528">
                  <c:v>252.66823524192279</c:v>
                </c:pt>
                <c:pt idx="529">
                  <c:v>252.57681001563503</c:v>
                </c:pt>
                <c:pt idx="530">
                  <c:v>252.49674225428546</c:v>
                </c:pt>
                <c:pt idx="531">
                  <c:v>252.3778691970289</c:v>
                </c:pt>
                <c:pt idx="532">
                  <c:v>252.27391029954603</c:v>
                </c:pt>
                <c:pt idx="533">
                  <c:v>252.09377188860529</c:v>
                </c:pt>
                <c:pt idx="534">
                  <c:v>251.97910749170376</c:v>
                </c:pt>
                <c:pt idx="535">
                  <c:v>251.90508652163706</c:v>
                </c:pt>
                <c:pt idx="536">
                  <c:v>251.8812548149541</c:v>
                </c:pt>
                <c:pt idx="537">
                  <c:v>251.8330831252531</c:v>
                </c:pt>
                <c:pt idx="538">
                  <c:v>251.76897284539984</c:v>
                </c:pt>
                <c:pt idx="539">
                  <c:v>251.7051024688287</c:v>
                </c:pt>
                <c:pt idx="540">
                  <c:v>251.81082284227321</c:v>
                </c:pt>
                <c:pt idx="541">
                  <c:v>251.92842659508642</c:v>
                </c:pt>
                <c:pt idx="542">
                  <c:v>252.07889001205075</c:v>
                </c:pt>
                <c:pt idx="543">
                  <c:v>252.25760752436864</c:v>
                </c:pt>
                <c:pt idx="544">
                  <c:v>252.40668605646448</c:v>
                </c:pt>
                <c:pt idx="545">
                  <c:v>252.54035087182305</c:v>
                </c:pt>
                <c:pt idx="546">
                  <c:v>252.6983573308099</c:v>
                </c:pt>
                <c:pt idx="547">
                  <c:v>252.86683138721975</c:v>
                </c:pt>
                <c:pt idx="548">
                  <c:v>253.06079326396386</c:v>
                </c:pt>
                <c:pt idx="549">
                  <c:v>253.21531273397417</c:v>
                </c:pt>
                <c:pt idx="550">
                  <c:v>253.34570763214361</c:v>
                </c:pt>
                <c:pt idx="551">
                  <c:v>253.52206875023174</c:v>
                </c:pt>
                <c:pt idx="552">
                  <c:v>253.74085413580158</c:v>
                </c:pt>
                <c:pt idx="553">
                  <c:v>253.96243767673889</c:v>
                </c:pt>
                <c:pt idx="554">
                  <c:v>254.15514973965693</c:v>
                </c:pt>
                <c:pt idx="555">
                  <c:v>254.31818307558075</c:v>
                </c:pt>
                <c:pt idx="556">
                  <c:v>254.49093747283865</c:v>
                </c:pt>
                <c:pt idx="557">
                  <c:v>254.62724655271091</c:v>
                </c:pt>
                <c:pt idx="558">
                  <c:v>254.78180131338047</c:v>
                </c:pt>
                <c:pt idx="559">
                  <c:v>254.85889781772497</c:v>
                </c:pt>
                <c:pt idx="560">
                  <c:v>254.96288888421526</c:v>
                </c:pt>
                <c:pt idx="561">
                  <c:v>255.06345715402409</c:v>
                </c:pt>
                <c:pt idx="562">
                  <c:v>255.14620882413331</c:v>
                </c:pt>
                <c:pt idx="563">
                  <c:v>255.24365948259967</c:v>
                </c:pt>
                <c:pt idx="564">
                  <c:v>255.3514837663549</c:v>
                </c:pt>
                <c:pt idx="565">
                  <c:v>255.45415556967478</c:v>
                </c:pt>
                <c:pt idx="566">
                  <c:v>255.54724854908102</c:v>
                </c:pt>
                <c:pt idx="567">
                  <c:v>255.65125602620461</c:v>
                </c:pt>
                <c:pt idx="568">
                  <c:v>255.74527337917769</c:v>
                </c:pt>
                <c:pt idx="569">
                  <c:v>255.79875324605155</c:v>
                </c:pt>
                <c:pt idx="570">
                  <c:v>255.89558157196151</c:v>
                </c:pt>
                <c:pt idx="571">
                  <c:v>255.94408324786241</c:v>
                </c:pt>
                <c:pt idx="572">
                  <c:v>255.99618192201302</c:v>
                </c:pt>
                <c:pt idx="573">
                  <c:v>256.02646866905769</c:v>
                </c:pt>
                <c:pt idx="574">
                  <c:v>256.04749883155461</c:v>
                </c:pt>
                <c:pt idx="575">
                  <c:v>256.04642919143964</c:v>
                </c:pt>
                <c:pt idx="576">
                  <c:v>256.09611646316665</c:v>
                </c:pt>
                <c:pt idx="577">
                  <c:v>256.17953818990134</c:v>
                </c:pt>
                <c:pt idx="578">
                  <c:v>256.16421940194215</c:v>
                </c:pt>
                <c:pt idx="579">
                  <c:v>256.1721376168482</c:v>
                </c:pt>
                <c:pt idx="580">
                  <c:v>256.23191734205369</c:v>
                </c:pt>
                <c:pt idx="581">
                  <c:v>256.27756990581435</c:v>
                </c:pt>
                <c:pt idx="582">
                  <c:v>256.36107667292066</c:v>
                </c:pt>
                <c:pt idx="583">
                  <c:v>256.45410078562793</c:v>
                </c:pt>
                <c:pt idx="584">
                  <c:v>256.55147291711421</c:v>
                </c:pt>
                <c:pt idx="585">
                  <c:v>256.65543836072504</c:v>
                </c:pt>
                <c:pt idx="586">
                  <c:v>256.75289668549397</c:v>
                </c:pt>
                <c:pt idx="587">
                  <c:v>256.88421114633479</c:v>
                </c:pt>
                <c:pt idx="588">
                  <c:v>257.02198018965487</c:v>
                </c:pt>
                <c:pt idx="589">
                  <c:v>257.14116446637473</c:v>
                </c:pt>
                <c:pt idx="590">
                  <c:v>257.26841656123668</c:v>
                </c:pt>
                <c:pt idx="591">
                  <c:v>257.31111888401045</c:v>
                </c:pt>
                <c:pt idx="592">
                  <c:v>257.34404307421931</c:v>
                </c:pt>
                <c:pt idx="593">
                  <c:v>257.40042075507284</c:v>
                </c:pt>
                <c:pt idx="594">
                  <c:v>257.49195885701243</c:v>
                </c:pt>
                <c:pt idx="595">
                  <c:v>257.56676523654465</c:v>
                </c:pt>
                <c:pt idx="596">
                  <c:v>257.66838946304671</c:v>
                </c:pt>
                <c:pt idx="597">
                  <c:v>257.78223633406117</c:v>
                </c:pt>
                <c:pt idx="598">
                  <c:v>257.91793547501578</c:v>
                </c:pt>
                <c:pt idx="599">
                  <c:v>258.08621472402064</c:v>
                </c:pt>
                <c:pt idx="600">
                  <c:v>258.20585437850798</c:v>
                </c:pt>
                <c:pt idx="601">
                  <c:v>258.36221403643327</c:v>
                </c:pt>
                <c:pt idx="602">
                  <c:v>258.50557509079709</c:v>
                </c:pt>
                <c:pt idx="603">
                  <c:v>258.66641513964487</c:v>
                </c:pt>
                <c:pt idx="604">
                  <c:v>258.82834135716087</c:v>
                </c:pt>
                <c:pt idx="605">
                  <c:v>259.05741258743785</c:v>
                </c:pt>
                <c:pt idx="606">
                  <c:v>259.29733883034891</c:v>
                </c:pt>
                <c:pt idx="607">
                  <c:v>259.51915635442504</c:v>
                </c:pt>
                <c:pt idx="608">
                  <c:v>259.74384136582381</c:v>
                </c:pt>
                <c:pt idx="609">
                  <c:v>260.01027080496988</c:v>
                </c:pt>
                <c:pt idx="610">
                  <c:v>260.26131288651248</c:v>
                </c:pt>
                <c:pt idx="611">
                  <c:v>260.5760261911243</c:v>
                </c:pt>
                <c:pt idx="612">
                  <c:v>260.92492145290413</c:v>
                </c:pt>
                <c:pt idx="613">
                  <c:v>261.24507148819862</c:v>
                </c:pt>
                <c:pt idx="614">
                  <c:v>261.54730958284341</c:v>
                </c:pt>
                <c:pt idx="615">
                  <c:v>261.82922690042705</c:v>
                </c:pt>
                <c:pt idx="616">
                  <c:v>262.13779180689045</c:v>
                </c:pt>
                <c:pt idx="617">
                  <c:v>262.3780127839363</c:v>
                </c:pt>
                <c:pt idx="618">
                  <c:v>262.63574400001653</c:v>
                </c:pt>
                <c:pt idx="619">
                  <c:v>262.93190575126016</c:v>
                </c:pt>
                <c:pt idx="620">
                  <c:v>263.20422509701882</c:v>
                </c:pt>
                <c:pt idx="621">
                  <c:v>263.48279002142658</c:v>
                </c:pt>
                <c:pt idx="622">
                  <c:v>263.75808564310393</c:v>
                </c:pt>
                <c:pt idx="623">
                  <c:v>264.03074150735165</c:v>
                </c:pt>
                <c:pt idx="624">
                  <c:v>264.30068437792528</c:v>
                </c:pt>
                <c:pt idx="625">
                  <c:v>264.58117508063248</c:v>
                </c:pt>
                <c:pt idx="626">
                  <c:v>264.81469572659631</c:v>
                </c:pt>
                <c:pt idx="627">
                  <c:v>265.08847984871971</c:v>
                </c:pt>
                <c:pt idx="628">
                  <c:v>265.38421636763792</c:v>
                </c:pt>
                <c:pt idx="629">
                  <c:v>265.71780625452709</c:v>
                </c:pt>
                <c:pt idx="630">
                  <c:v>265.98369872960643</c:v>
                </c:pt>
                <c:pt idx="631">
                  <c:v>266.2667465034412</c:v>
                </c:pt>
                <c:pt idx="632">
                  <c:v>266.6188186775363</c:v>
                </c:pt>
                <c:pt idx="633">
                  <c:v>266.9006214767648</c:v>
                </c:pt>
                <c:pt idx="634">
                  <c:v>267.1705655416726</c:v>
                </c:pt>
                <c:pt idx="635">
                  <c:v>267.41722658105891</c:v>
                </c:pt>
                <c:pt idx="636">
                  <c:v>267.6643188538842</c:v>
                </c:pt>
                <c:pt idx="637">
                  <c:v>267.97193757175603</c:v>
                </c:pt>
                <c:pt idx="638">
                  <c:v>268.26863471034557</c:v>
                </c:pt>
                <c:pt idx="639">
                  <c:v>268.57332491223269</c:v>
                </c:pt>
                <c:pt idx="640">
                  <c:v>268.86204804743437</c:v>
                </c:pt>
                <c:pt idx="641">
                  <c:v>269.11028637532058</c:v>
                </c:pt>
                <c:pt idx="642">
                  <c:v>269.36550740641195</c:v>
                </c:pt>
                <c:pt idx="643">
                  <c:v>269.66326355162181</c:v>
                </c:pt>
                <c:pt idx="644">
                  <c:v>269.99517137697882</c:v>
                </c:pt>
                <c:pt idx="645">
                  <c:v>270.36954778118803</c:v>
                </c:pt>
                <c:pt idx="646">
                  <c:v>270.68069655948466</c:v>
                </c:pt>
                <c:pt idx="647">
                  <c:v>271.00596326038533</c:v>
                </c:pt>
                <c:pt idx="648">
                  <c:v>271.34122730754564</c:v>
                </c:pt>
                <c:pt idx="649">
                  <c:v>271.67285688657506</c:v>
                </c:pt>
                <c:pt idx="650">
                  <c:v>271.96367423098724</c:v>
                </c:pt>
                <c:pt idx="651">
                  <c:v>272.28672224858934</c:v>
                </c:pt>
                <c:pt idx="652">
                  <c:v>272.59133197745911</c:v>
                </c:pt>
                <c:pt idx="653">
                  <c:v>272.87828389808141</c:v>
                </c:pt>
                <c:pt idx="654">
                  <c:v>273.17551490407061</c:v>
                </c:pt>
                <c:pt idx="655">
                  <c:v>273.53267395975155</c:v>
                </c:pt>
                <c:pt idx="656">
                  <c:v>273.82687620890823</c:v>
                </c:pt>
                <c:pt idx="657">
                  <c:v>274.04979286354597</c:v>
                </c:pt>
                <c:pt idx="658">
                  <c:v>274.26173522311268</c:v>
                </c:pt>
                <c:pt idx="659">
                  <c:v>274.47276273333046</c:v>
                </c:pt>
                <c:pt idx="660">
                  <c:v>274.70258598971526</c:v>
                </c:pt>
                <c:pt idx="661">
                  <c:v>274.8913164773798</c:v>
                </c:pt>
                <c:pt idx="662">
                  <c:v>275.06214914924669</c:v>
                </c:pt>
                <c:pt idx="663">
                  <c:v>275.23804816268705</c:v>
                </c:pt>
                <c:pt idx="664">
                  <c:v>275.40493325559567</c:v>
                </c:pt>
                <c:pt idx="665">
                  <c:v>275.57592894459469</c:v>
                </c:pt>
                <c:pt idx="666">
                  <c:v>275.76890477599176</c:v>
                </c:pt>
                <c:pt idx="667">
                  <c:v>275.91050771354406</c:v>
                </c:pt>
                <c:pt idx="668">
                  <c:v>276.04572654226507</c:v>
                </c:pt>
                <c:pt idx="669">
                  <c:v>276.17014717368534</c:v>
                </c:pt>
                <c:pt idx="670">
                  <c:v>276.33024521175815</c:v>
                </c:pt>
                <c:pt idx="671">
                  <c:v>276.41750645343222</c:v>
                </c:pt>
                <c:pt idx="672">
                  <c:v>276.5158397225523</c:v>
                </c:pt>
                <c:pt idx="673">
                  <c:v>276.62314479993984</c:v>
                </c:pt>
                <c:pt idx="674">
                  <c:v>276.78450654322404</c:v>
                </c:pt>
                <c:pt idx="675">
                  <c:v>276.96675025921184</c:v>
                </c:pt>
                <c:pt idx="676">
                  <c:v>277.14708110240377</c:v>
                </c:pt>
                <c:pt idx="677">
                  <c:v>277.21616487252908</c:v>
                </c:pt>
                <c:pt idx="678">
                  <c:v>277.24963586882234</c:v>
                </c:pt>
                <c:pt idx="679">
                  <c:v>277.27779869599829</c:v>
                </c:pt>
                <c:pt idx="680">
                  <c:v>277.32349224131173</c:v>
                </c:pt>
                <c:pt idx="681">
                  <c:v>277.39221371154741</c:v>
                </c:pt>
                <c:pt idx="682">
                  <c:v>277.47756481889525</c:v>
                </c:pt>
                <c:pt idx="683">
                  <c:v>277.58057412417992</c:v>
                </c:pt>
                <c:pt idx="684">
                  <c:v>277.67619030204878</c:v>
                </c:pt>
                <c:pt idx="685">
                  <c:v>277.82587995078461</c:v>
                </c:pt>
                <c:pt idx="686">
                  <c:v>277.99756273734397</c:v>
                </c:pt>
                <c:pt idx="687">
                  <c:v>278.18902977478336</c:v>
                </c:pt>
                <c:pt idx="688">
                  <c:v>278.32495982677557</c:v>
                </c:pt>
                <c:pt idx="689">
                  <c:v>278.43953734093702</c:v>
                </c:pt>
                <c:pt idx="690">
                  <c:v>278.58033796441032</c:v>
                </c:pt>
                <c:pt idx="691">
                  <c:v>278.7302848503366</c:v>
                </c:pt>
                <c:pt idx="692">
                  <c:v>278.89087903093025</c:v>
                </c:pt>
                <c:pt idx="693">
                  <c:v>279.05892998584636</c:v>
                </c:pt>
                <c:pt idx="694">
                  <c:v>279.17814461285286</c:v>
                </c:pt>
                <c:pt idx="695">
                  <c:v>279.35318795003843</c:v>
                </c:pt>
                <c:pt idx="696">
                  <c:v>279.55136518436643</c:v>
                </c:pt>
                <c:pt idx="697">
                  <c:v>279.71443617755688</c:v>
                </c:pt>
                <c:pt idx="698">
                  <c:v>279.8832477578797</c:v>
                </c:pt>
                <c:pt idx="699">
                  <c:v>280.00391195929387</c:v>
                </c:pt>
                <c:pt idx="700">
                  <c:v>280.05770388009694</c:v>
                </c:pt>
                <c:pt idx="701">
                  <c:v>280.14011478676269</c:v>
                </c:pt>
                <c:pt idx="702">
                  <c:v>280.25683006251631</c:v>
                </c:pt>
                <c:pt idx="703">
                  <c:v>280.37248349473009</c:v>
                </c:pt>
                <c:pt idx="704">
                  <c:v>280.49653838532981</c:v>
                </c:pt>
                <c:pt idx="705">
                  <c:v>280.62731909791358</c:v>
                </c:pt>
                <c:pt idx="706">
                  <c:v>280.76237064917814</c:v>
                </c:pt>
                <c:pt idx="707">
                  <c:v>280.87438686162415</c:v>
                </c:pt>
                <c:pt idx="708">
                  <c:v>280.95404470379708</c:v>
                </c:pt>
                <c:pt idx="709">
                  <c:v>280.99649202017724</c:v>
                </c:pt>
                <c:pt idx="710">
                  <c:v>281.11244732345909</c:v>
                </c:pt>
                <c:pt idx="711">
                  <c:v>281.26724884262865</c:v>
                </c:pt>
                <c:pt idx="712">
                  <c:v>281.45215183921937</c:v>
                </c:pt>
                <c:pt idx="713">
                  <c:v>281.55829958211268</c:v>
                </c:pt>
                <c:pt idx="714">
                  <c:v>281.73314237234041</c:v>
                </c:pt>
                <c:pt idx="715">
                  <c:v>282.03052404027733</c:v>
                </c:pt>
                <c:pt idx="716">
                  <c:v>282.30504618913034</c:v>
                </c:pt>
                <c:pt idx="717">
                  <c:v>282.59096612754701</c:v>
                </c:pt>
                <c:pt idx="718">
                  <c:v>282.74906596707393</c:v>
                </c:pt>
                <c:pt idx="719">
                  <c:v>282.93773197735186</c:v>
                </c:pt>
                <c:pt idx="720">
                  <c:v>283.16690877359713</c:v>
                </c:pt>
                <c:pt idx="721">
                  <c:v>283.29609376092452</c:v>
                </c:pt>
                <c:pt idx="722">
                  <c:v>283.45245103693526</c:v>
                </c:pt>
                <c:pt idx="723">
                  <c:v>283.64964057885629</c:v>
                </c:pt>
                <c:pt idx="724">
                  <c:v>283.81302723976319</c:v>
                </c:pt>
                <c:pt idx="725">
                  <c:v>283.97807174484018</c:v>
                </c:pt>
                <c:pt idx="726">
                  <c:v>284.12426008568752</c:v>
                </c:pt>
                <c:pt idx="727">
                  <c:v>284.27954107985977</c:v>
                </c:pt>
                <c:pt idx="728">
                  <c:v>284.43068992483632</c:v>
                </c:pt>
                <c:pt idx="729">
                  <c:v>284.59098156737531</c:v>
                </c:pt>
                <c:pt idx="730">
                  <c:v>284.80321060650596</c:v>
                </c:pt>
                <c:pt idx="731">
                  <c:v>285.06397468007304</c:v>
                </c:pt>
                <c:pt idx="732">
                  <c:v>285.32692020564446</c:v>
                </c:pt>
                <c:pt idx="733">
                  <c:v>285.57998567623508</c:v>
                </c:pt>
                <c:pt idx="734">
                  <c:v>285.95948830632227</c:v>
                </c:pt>
                <c:pt idx="735">
                  <c:v>286.37103568635888</c:v>
                </c:pt>
                <c:pt idx="736">
                  <c:v>286.80883632629559</c:v>
                </c:pt>
                <c:pt idx="737">
                  <c:v>287.13690760663093</c:v>
                </c:pt>
                <c:pt idx="738">
                  <c:v>287.48300802845552</c:v>
                </c:pt>
                <c:pt idx="739">
                  <c:v>287.88267959036142</c:v>
                </c:pt>
                <c:pt idx="740">
                  <c:v>288.02533949493494</c:v>
                </c:pt>
                <c:pt idx="741">
                  <c:v>288.13812218652765</c:v>
                </c:pt>
                <c:pt idx="742">
                  <c:v>288.28450903044279</c:v>
                </c:pt>
                <c:pt idx="743">
                  <c:v>288.45371789581156</c:v>
                </c:pt>
                <c:pt idx="744">
                  <c:v>288.67596945903733</c:v>
                </c:pt>
                <c:pt idx="745">
                  <c:v>288.96665633009172</c:v>
                </c:pt>
                <c:pt idx="746">
                  <c:v>289.13146571984208</c:v>
                </c:pt>
                <c:pt idx="747">
                  <c:v>289.32906307586359</c:v>
                </c:pt>
                <c:pt idx="748">
                  <c:v>289.53474404028287</c:v>
                </c:pt>
                <c:pt idx="749">
                  <c:v>289.70056748266813</c:v>
                </c:pt>
                <c:pt idx="750">
                  <c:v>289.80304939826351</c:v>
                </c:pt>
                <c:pt idx="751">
                  <c:v>289.86451159330568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DC-5646-B533-90B4F68E3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397136"/>
        <c:axId val="1946248847"/>
      </c:lineChart>
      <c:dateAx>
        <c:axId val="48739713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946248847"/>
        <c:crosses val="autoZero"/>
        <c:auto val="1"/>
        <c:lblOffset val="100"/>
        <c:baseTimeUnit val="days"/>
        <c:majorUnit val="2"/>
        <c:majorTimeUnit val="months"/>
        <c:minorUnit val="2"/>
        <c:minorTimeUnit val="months"/>
      </c:dateAx>
      <c:valAx>
        <c:axId val="194624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48739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Revenue, EBITDA, EBIT, and Net Income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Analysis'!$A$65</c:f>
              <c:strCache>
                <c:ptCount val="1"/>
                <c:pt idx="0">
                  <c:v>Revenue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'Financial Analysis'!$B$64:$F$64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'Financial Analysis'!$B$65:$F$65</c:f>
              <c:numCache>
                <c:formatCode>\$#,##0.0</c:formatCode>
                <c:ptCount val="5"/>
                <c:pt idx="0">
                  <c:v>5552.2</c:v>
                </c:pt>
                <c:pt idx="1">
                  <c:v>7315.2</c:v>
                </c:pt>
                <c:pt idx="2">
                  <c:v>7781.9</c:v>
                </c:pt>
                <c:pt idx="3">
                  <c:v>7417.7</c:v>
                </c:pt>
                <c:pt idx="4">
                  <c:v>7941.1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15-574D-ACE8-BEFB3DBB898F}"/>
            </c:ext>
          </c:extLst>
        </c:ser>
        <c:ser>
          <c:idx val="1"/>
          <c:order val="1"/>
          <c:tx>
            <c:strRef>
              <c:f>'Financial Analysis'!$A$66</c:f>
              <c:strCache>
                <c:ptCount val="1"/>
                <c:pt idx="0">
                  <c:v>EBITDA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'Financial Analysis'!$B$64:$F$64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'Financial Analysis'!$B$66:$F$66</c:f>
              <c:numCache>
                <c:formatCode>\$#,##0.0</c:formatCode>
                <c:ptCount val="5"/>
                <c:pt idx="0">
                  <c:v>1434.7</c:v>
                </c:pt>
                <c:pt idx="1">
                  <c:v>1617</c:v>
                </c:pt>
                <c:pt idx="2">
                  <c:v>1939.2</c:v>
                </c:pt>
                <c:pt idx="3">
                  <c:v>2028.3</c:v>
                </c:pt>
                <c:pt idx="4">
                  <c:v>2275.9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15-574D-ACE8-BEFB3DBB898F}"/>
            </c:ext>
          </c:extLst>
        </c:ser>
        <c:ser>
          <c:idx val="2"/>
          <c:order val="2"/>
          <c:tx>
            <c:strRef>
              <c:f>'Financial Analysis'!$A$67</c:f>
              <c:strCache>
                <c:ptCount val="1"/>
                <c:pt idx="0">
                  <c:v>EBIT</c:v>
                </c:pt>
              </c:strCache>
            </c:strRef>
          </c:tx>
          <c:spPr>
            <a:ln w="19050">
              <a:solidFill>
                <a:srgbClr val="FF7F0E"/>
              </a:solidFill>
            </a:ln>
          </c:spPr>
          <c:marker>
            <c:symbol val="none"/>
          </c:marker>
          <c:cat>
            <c:numRef>
              <c:f>'Financial Analysis'!$B$64:$F$64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'Financial Analysis'!$B$67:$F$67</c:f>
              <c:numCache>
                <c:formatCode>\$#,##0.0</c:formatCode>
                <c:ptCount val="5"/>
                <c:pt idx="0">
                  <c:v>971.7</c:v>
                </c:pt>
                <c:pt idx="1">
                  <c:v>1029.5</c:v>
                </c:pt>
                <c:pt idx="2">
                  <c:v>1322.2</c:v>
                </c:pt>
                <c:pt idx="3">
                  <c:v>1396.1</c:v>
                </c:pt>
                <c:pt idx="4">
                  <c:v>1527.4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15-574D-ACE8-BEFB3DBB898F}"/>
            </c:ext>
          </c:extLst>
        </c:ser>
        <c:ser>
          <c:idx val="3"/>
          <c:order val="3"/>
          <c:tx>
            <c:strRef>
              <c:f>'Financial Analysis'!$A$68</c:f>
              <c:strCache>
                <c:ptCount val="1"/>
                <c:pt idx="0">
                  <c:v>Net Income</c:v>
                </c:pt>
              </c:strCache>
            </c:strRef>
          </c:tx>
          <c:spPr>
            <a:ln w="19050">
              <a:solidFill>
                <a:srgbClr val="7F7F7F"/>
              </a:solidFill>
            </a:ln>
          </c:spPr>
          <c:marker>
            <c:symbol val="none"/>
          </c:marker>
          <c:cat>
            <c:numRef>
              <c:f>'Financial Analysis'!$B$64:$F$64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'Financial Analysis'!$B$68:$F$68</c:f>
              <c:numCache>
                <c:formatCode>\$#,##0.0</c:formatCode>
                <c:ptCount val="5"/>
                <c:pt idx="0">
                  <c:v>670.8</c:v>
                </c:pt>
                <c:pt idx="1">
                  <c:v>575.6</c:v>
                </c:pt>
                <c:pt idx="2">
                  <c:v>933.2</c:v>
                </c:pt>
                <c:pt idx="3">
                  <c:v>911.9</c:v>
                </c:pt>
                <c:pt idx="4">
                  <c:v>1076.7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15-574D-ACE8-BEFB3DBB8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70001"/>
        <c:axId val="50070002"/>
      </c:lineChart>
      <c:catAx>
        <c:axId val="5007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</c:scaling>
        <c:delete val="0"/>
        <c:axPos val="l"/>
        <c:majorGridlines/>
        <c:numFmt formatCode="\$#,##0" sourceLinked="0"/>
        <c:majorTickMark val="out"/>
        <c:minorTickMark val="none"/>
        <c:tickLblPos val="nextTo"/>
        <c:crossAx val="500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Margin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Analysis'!$H$36</c:f>
              <c:strCache>
                <c:ptCount val="1"/>
                <c:pt idx="0">
                  <c:v>Gross Margin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'Financial Analysis'!$I$35:$M$35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'Financial Analysis'!$I$36:$M$36</c:f>
              <c:numCache>
                <c:formatCode>0.00%</c:formatCode>
                <c:ptCount val="5"/>
                <c:pt idx="0">
                  <c:v>0.24736140628939882</c:v>
                </c:pt>
                <c:pt idx="1">
                  <c:v>0.21294017935258094</c:v>
                </c:pt>
                <c:pt idx="2">
                  <c:v>0.25038872254847788</c:v>
                </c:pt>
                <c:pt idx="3">
                  <c:v>0.26957143049732396</c:v>
                </c:pt>
                <c:pt idx="4">
                  <c:v>0.27384115550742338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CB-B24E-A2A9-5DAB499B4B2B}"/>
            </c:ext>
          </c:extLst>
        </c:ser>
        <c:ser>
          <c:idx val="1"/>
          <c:order val="1"/>
          <c:tx>
            <c:strRef>
              <c:f>'Financial Analysis'!$H$37</c:f>
              <c:strCache>
                <c:ptCount val="1"/>
                <c:pt idx="0">
                  <c:v>EBITDA Margin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'Financial Analysis'!$I$35:$M$35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'Financial Analysis'!$I$37:$M$37</c:f>
              <c:numCache>
                <c:formatCode>0.00%</c:formatCode>
                <c:ptCount val="5"/>
                <c:pt idx="0">
                  <c:v>0.25840207485321137</c:v>
                </c:pt>
                <c:pt idx="1">
                  <c:v>0.22104658792650919</c:v>
                </c:pt>
                <c:pt idx="2">
                  <c:v>0.24919364165563682</c:v>
                </c:pt>
                <c:pt idx="3">
                  <c:v>0.27344055434973102</c:v>
                </c:pt>
                <c:pt idx="4">
                  <c:v>0.28659757464331137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CB-B24E-A2A9-5DAB499B4B2B}"/>
            </c:ext>
          </c:extLst>
        </c:ser>
        <c:ser>
          <c:idx val="2"/>
          <c:order val="2"/>
          <c:tx>
            <c:strRef>
              <c:f>'Financial Analysis'!$H$38</c:f>
              <c:strCache>
                <c:ptCount val="1"/>
                <c:pt idx="0">
                  <c:v>EBIT Margin</c:v>
                </c:pt>
              </c:strCache>
            </c:strRef>
          </c:tx>
          <c:spPr>
            <a:ln w="19050">
              <a:solidFill>
                <a:srgbClr val="FF7F0E"/>
              </a:solidFill>
            </a:ln>
          </c:spPr>
          <c:marker>
            <c:symbol val="none"/>
          </c:marker>
          <c:cat>
            <c:numRef>
              <c:f>'Financial Analysis'!$I$35:$M$35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'Financial Analysis'!$I$38:$M$38</c:f>
              <c:numCache>
                <c:formatCode>0.00%</c:formatCode>
                <c:ptCount val="5"/>
                <c:pt idx="0">
                  <c:v>0.17501170707107094</c:v>
                </c:pt>
                <c:pt idx="1">
                  <c:v>0.14073436132983377</c:v>
                </c:pt>
                <c:pt idx="2">
                  <c:v>0.16990709209833074</c:v>
                </c:pt>
                <c:pt idx="3">
                  <c:v>0.1882119794545479</c:v>
                </c:pt>
                <c:pt idx="4">
                  <c:v>0.1923411114329249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CB-B24E-A2A9-5DAB499B4B2B}"/>
            </c:ext>
          </c:extLst>
        </c:ser>
        <c:ser>
          <c:idx val="3"/>
          <c:order val="3"/>
          <c:tx>
            <c:strRef>
              <c:f>'Financial Analysis'!$H$39</c:f>
              <c:strCache>
                <c:ptCount val="1"/>
                <c:pt idx="0">
                  <c:v>Net Margin</c:v>
                </c:pt>
              </c:strCache>
            </c:strRef>
          </c:tx>
          <c:spPr>
            <a:ln w="19050">
              <a:solidFill>
                <a:srgbClr val="7F7F7F"/>
              </a:solidFill>
            </a:ln>
          </c:spPr>
          <c:marker>
            <c:symbol val="none"/>
          </c:marker>
          <c:cat>
            <c:numRef>
              <c:f>'Financial Analysis'!$I$35:$M$35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'Financial Analysis'!$I$39:$M$39</c:f>
              <c:numCache>
                <c:formatCode>0.00%</c:formatCode>
                <c:ptCount val="5"/>
                <c:pt idx="0">
                  <c:v>0.12081697345196499</c:v>
                </c:pt>
                <c:pt idx="1">
                  <c:v>7.8685476815398087E-2</c:v>
                </c:pt>
                <c:pt idx="2">
                  <c:v>0.11991929991390278</c:v>
                </c:pt>
                <c:pt idx="3">
                  <c:v>0.12293568087142914</c:v>
                </c:pt>
                <c:pt idx="4">
                  <c:v>0.13558575008500082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CB-B24E-A2A9-5DAB499B4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80001"/>
        <c:axId val="50080002"/>
      </c:lineChart>
      <c:catAx>
        <c:axId val="5008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500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ROE / ROIC vs Peers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ROE</c:v>
          </c:tx>
          <c:spPr>
            <a:solidFill>
              <a:srgbClr val="1F77B4"/>
            </a:solidFill>
            <a:ln>
              <a:solidFill>
                <a:srgbClr val="1F77B4"/>
              </a:solidFill>
            </a:ln>
          </c:spPr>
          <c:invertIfNegative val="0"/>
          <c:cat>
            <c:strRef>
              <c:f>'Financial Analysis'!$J$16:$J$22</c:f>
              <c:strCache>
                <c:ptCount val="7"/>
                <c:pt idx="0">
                  <c:v>VMC</c:v>
                </c:pt>
                <c:pt idx="1">
                  <c:v>MLM</c:v>
                </c:pt>
                <c:pt idx="2">
                  <c:v>CRH</c:v>
                </c:pt>
                <c:pt idx="3">
                  <c:v>EXP</c:v>
                </c:pt>
                <c:pt idx="4">
                  <c:v>KNF</c:v>
                </c:pt>
                <c:pt idx="5">
                  <c:v>USLM</c:v>
                </c:pt>
                <c:pt idx="6">
                  <c:v>CX</c:v>
                </c:pt>
              </c:strCache>
            </c:strRef>
          </c:cat>
          <c:val>
            <c:numRef>
              <c:f>'Financial Analysis'!$N$16:$N$22</c:f>
              <c:numCache>
                <c:formatCode>0.00%</c:formatCode>
                <c:ptCount val="7"/>
                <c:pt idx="0">
                  <c:v>0.12629763873737551</c:v>
                </c:pt>
                <c:pt idx="1">
                  <c:v>0.11333732057416268</c:v>
                </c:pt>
                <c:pt idx="2">
                  <c:v>0.15634894184302617</c:v>
                </c:pt>
                <c:pt idx="3">
                  <c:v>0.3181272739754239</c:v>
                </c:pt>
                <c:pt idx="4">
                  <c:v>9.5721964240008783E-2</c:v>
                </c:pt>
                <c:pt idx="5">
                  <c:v>0.21287811528949205</c:v>
                </c:pt>
                <c:pt idx="6">
                  <c:v>5.4706370516404264E-2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E-A04F-AC01-078F31B2216B}"/>
            </c:ext>
          </c:extLst>
        </c:ser>
        <c:ser>
          <c:idx val="1"/>
          <c:order val="1"/>
          <c:tx>
            <c:v>ROIC</c:v>
          </c:tx>
          <c:spPr>
            <a:solidFill>
              <a:srgbClr val="FF7F0E"/>
            </a:solidFill>
            <a:ln>
              <a:solidFill>
                <a:srgbClr val="FF7F0E"/>
              </a:solidFill>
            </a:ln>
          </c:spPr>
          <c:invertIfNegative val="0"/>
          <c:cat>
            <c:strRef>
              <c:f>'Financial Analysis'!$J$16:$J$22</c:f>
              <c:strCache>
                <c:ptCount val="7"/>
                <c:pt idx="0">
                  <c:v>VMC</c:v>
                </c:pt>
                <c:pt idx="1">
                  <c:v>MLM</c:v>
                </c:pt>
                <c:pt idx="2">
                  <c:v>CRH</c:v>
                </c:pt>
                <c:pt idx="3">
                  <c:v>EXP</c:v>
                </c:pt>
                <c:pt idx="4">
                  <c:v>KNF</c:v>
                </c:pt>
                <c:pt idx="5">
                  <c:v>USLM</c:v>
                </c:pt>
                <c:pt idx="6">
                  <c:v>CX</c:v>
                </c:pt>
              </c:strCache>
            </c:strRef>
          </c:cat>
          <c:val>
            <c:numRef>
              <c:f>'Financial Analysis'!$O$16:$O$22</c:f>
              <c:numCache>
                <c:formatCode>0.00%</c:formatCode>
                <c:ptCount val="7"/>
                <c:pt idx="0">
                  <c:v>9.0096502473514917E-2</c:v>
                </c:pt>
                <c:pt idx="1">
                  <c:v>7.0862732520846697E-2</c:v>
                </c:pt>
                <c:pt idx="2">
                  <c:v>0.10479721748260927</c:v>
                </c:pt>
                <c:pt idx="3">
                  <c:v>0.16926024867130407</c:v>
                </c:pt>
                <c:pt idx="4">
                  <c:v>8.3964018695072057E-2</c:v>
                </c:pt>
                <c:pt idx="5">
                  <c:v>0.45600090126176651</c:v>
                </c:pt>
                <c:pt idx="6">
                  <c:v>4.1596229988329791E-2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BE-A04F-AC01-078F31B22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90001"/>
        <c:axId val="50090002"/>
      </c:barChart>
      <c:catAx>
        <c:axId val="5009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90002"/>
        <c:crosses val="autoZero"/>
        <c:auto val="1"/>
        <c:lblAlgn val="ctr"/>
        <c:lblOffset val="100"/>
        <c:noMultiLvlLbl val="0"/>
      </c:catAx>
      <c:valAx>
        <c:axId val="50090002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500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Leverage Comparison vs Peers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Debt / Equity</c:v>
          </c:tx>
          <c:spPr>
            <a:solidFill>
              <a:srgbClr val="9467BD"/>
            </a:solidFill>
            <a:ln>
              <a:solidFill>
                <a:srgbClr val="9467BD"/>
              </a:solidFill>
            </a:ln>
          </c:spPr>
          <c:invertIfNegative val="0"/>
          <c:cat>
            <c:strRef>
              <c:f>'Financial Analysis'!$J$16:$J$22</c:f>
              <c:strCache>
                <c:ptCount val="7"/>
                <c:pt idx="0">
                  <c:v>VMC</c:v>
                </c:pt>
                <c:pt idx="1">
                  <c:v>MLM</c:v>
                </c:pt>
                <c:pt idx="2">
                  <c:v>CRH</c:v>
                </c:pt>
                <c:pt idx="3">
                  <c:v>EXP</c:v>
                </c:pt>
                <c:pt idx="4">
                  <c:v>KNF</c:v>
                </c:pt>
                <c:pt idx="5">
                  <c:v>USLM</c:v>
                </c:pt>
                <c:pt idx="6">
                  <c:v>CX</c:v>
                </c:pt>
              </c:strCache>
            </c:strRef>
          </c:cat>
          <c:val>
            <c:numRef>
              <c:f>'Financial Analysis'!$Q$16:$Q$22</c:f>
              <c:numCache>
                <c:formatCode>0.00\x</c:formatCode>
                <c:ptCount val="7"/>
                <c:pt idx="0">
                  <c:v>0.51294412968762826</c:v>
                </c:pt>
                <c:pt idx="1">
                  <c:v>0.56070574162679421</c:v>
                </c:pt>
                <c:pt idx="2">
                  <c:v>0.75766538910181636</c:v>
                </c:pt>
                <c:pt idx="3">
                  <c:v>0.85008306446076753</c:v>
                </c:pt>
                <c:pt idx="4">
                  <c:v>0.71028678684168833</c:v>
                </c:pt>
                <c:pt idx="5">
                  <c:v>0</c:v>
                </c:pt>
                <c:pt idx="6">
                  <c:v>0.50923752706454195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F-5E40-AFFF-ACF4594F1E76}"/>
            </c:ext>
          </c:extLst>
        </c:ser>
        <c:ser>
          <c:idx val="1"/>
          <c:order val="1"/>
          <c:tx>
            <c:v>Net Debt / EBITDA</c:v>
          </c:tx>
          <c:spPr>
            <a:solidFill>
              <a:srgbClr val="8C564B"/>
            </a:solidFill>
            <a:ln>
              <a:solidFill>
                <a:srgbClr val="8C564B"/>
              </a:solidFill>
            </a:ln>
          </c:spPr>
          <c:invertIfNegative val="0"/>
          <c:cat>
            <c:strRef>
              <c:f>'Financial Analysis'!$J$16:$J$22</c:f>
              <c:strCache>
                <c:ptCount val="7"/>
                <c:pt idx="0">
                  <c:v>VMC</c:v>
                </c:pt>
                <c:pt idx="1">
                  <c:v>MLM</c:v>
                </c:pt>
                <c:pt idx="2">
                  <c:v>CRH</c:v>
                </c:pt>
                <c:pt idx="3">
                  <c:v>EXP</c:v>
                </c:pt>
                <c:pt idx="4">
                  <c:v>KNF</c:v>
                </c:pt>
                <c:pt idx="5">
                  <c:v>USLM</c:v>
                </c:pt>
                <c:pt idx="6">
                  <c:v>CX</c:v>
                </c:pt>
              </c:strCache>
            </c:strRef>
          </c:cat>
          <c:val>
            <c:numRef>
              <c:f>'Financial Analysis'!$R$16:$R$22</c:f>
              <c:numCache>
                <c:formatCode>0.00\x</c:formatCode>
                <c:ptCount val="7"/>
                <c:pt idx="0">
                  <c:v>1.8408541675820551</c:v>
                </c:pt>
                <c:pt idx="1">
                  <c:v>2.6341232227488152</c:v>
                </c:pt>
                <c:pt idx="2">
                  <c:v>1.8840754111512235</c:v>
                </c:pt>
                <c:pt idx="3">
                  <c:v>1.5972446262999829</c:v>
                </c:pt>
                <c:pt idx="4">
                  <c:v>2.1238541271801643</c:v>
                </c:pt>
                <c:pt idx="5">
                  <c:v>-2.0271359748304003</c:v>
                </c:pt>
                <c:pt idx="6">
                  <c:v>2.092498765126654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3F-5E40-AFFF-ACF4594F1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00001"/>
        <c:axId val="50100002"/>
      </c:barChart>
      <c:catAx>
        <c:axId val="5010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100002"/>
        <c:crosses val="autoZero"/>
        <c:auto val="1"/>
        <c:lblAlgn val="ctr"/>
        <c:lblOffset val="100"/>
        <c:noMultiLvlLbl val="0"/>
      </c:catAx>
      <c:valAx>
        <c:axId val="50100002"/>
        <c:scaling>
          <c:orientation val="minMax"/>
        </c:scaling>
        <c:delete val="0"/>
        <c:axPos val="l"/>
        <c:majorGridlines/>
        <c:numFmt formatCode="0.00\x" sourceLinked="1"/>
        <c:majorTickMark val="out"/>
        <c:minorTickMark val="none"/>
        <c:tickLblPos val="nextTo"/>
        <c:crossAx val="501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Selected Macro Drivers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'Industry &amp; Macro Analysis'!$D$24</c:f>
              <c:strCache>
                <c:ptCount val="1"/>
                <c:pt idx="0">
                  <c:v>7365-12-15</c:v>
                </c:pt>
              </c:strCache>
            </c:strRef>
          </c:tx>
          <c:marker>
            <c:symbol val="none"/>
          </c:marker>
          <c:cat>
            <c:numRef>
              <c:f>'Industry &amp; Macro Analysis'!$A$25:$A$60</c:f>
              <c:numCache>
                <c:formatCode>#,##0.0</c:formatCode>
                <c:ptCount val="36"/>
                <c:pt idx="0">
                  <c:v>45017</c:v>
                </c:pt>
                <c:pt idx="1">
                  <c:v>45047</c:v>
                </c:pt>
                <c:pt idx="2">
                  <c:v>45078</c:v>
                </c:pt>
                <c:pt idx="3">
                  <c:v>45108</c:v>
                </c:pt>
                <c:pt idx="4">
                  <c:v>45139</c:v>
                </c:pt>
                <c:pt idx="5">
                  <c:v>45170</c:v>
                </c:pt>
                <c:pt idx="6">
                  <c:v>45200</c:v>
                </c:pt>
                <c:pt idx="7">
                  <c:v>45231</c:v>
                </c:pt>
                <c:pt idx="8">
                  <c:v>45261</c:v>
                </c:pt>
                <c:pt idx="9">
                  <c:v>45292</c:v>
                </c:pt>
                <c:pt idx="10">
                  <c:v>45323</c:v>
                </c:pt>
                <c:pt idx="11">
                  <c:v>45352</c:v>
                </c:pt>
                <c:pt idx="12">
                  <c:v>45383</c:v>
                </c:pt>
                <c:pt idx="13">
                  <c:v>45413</c:v>
                </c:pt>
                <c:pt idx="14">
                  <c:v>45444</c:v>
                </c:pt>
                <c:pt idx="15">
                  <c:v>45474</c:v>
                </c:pt>
                <c:pt idx="16">
                  <c:v>45505</c:v>
                </c:pt>
                <c:pt idx="17">
                  <c:v>45536</c:v>
                </c:pt>
                <c:pt idx="18">
                  <c:v>45566</c:v>
                </c:pt>
                <c:pt idx="19">
                  <c:v>45597</c:v>
                </c:pt>
                <c:pt idx="20">
                  <c:v>45627</c:v>
                </c:pt>
                <c:pt idx="21">
                  <c:v>45658</c:v>
                </c:pt>
                <c:pt idx="22">
                  <c:v>45689</c:v>
                </c:pt>
                <c:pt idx="23">
                  <c:v>45717</c:v>
                </c:pt>
                <c:pt idx="24">
                  <c:v>45748</c:v>
                </c:pt>
                <c:pt idx="25">
                  <c:v>45778</c:v>
                </c:pt>
                <c:pt idx="26">
                  <c:v>45809</c:v>
                </c:pt>
                <c:pt idx="27">
                  <c:v>45839</c:v>
                </c:pt>
                <c:pt idx="28">
                  <c:v>45870</c:v>
                </c:pt>
                <c:pt idx="29">
                  <c:v>45901</c:v>
                </c:pt>
                <c:pt idx="30">
                  <c:v>45931</c:v>
                </c:pt>
                <c:pt idx="31">
                  <c:v>45962</c:v>
                </c:pt>
                <c:pt idx="32">
                  <c:v>45992</c:v>
                </c:pt>
                <c:pt idx="33">
                  <c:v>46023</c:v>
                </c:pt>
                <c:pt idx="34">
                  <c:v>46054</c:v>
                </c:pt>
              </c:numCache>
            </c:numRef>
          </c:cat>
          <c:val>
            <c:numRef>
              <c:f>'Industry &amp; Macro Analysis'!$D$25:$D$60</c:f>
              <c:numCache>
                <c:formatCode>yyyy\-mm\-dd</c:formatCode>
                <c:ptCount val="36"/>
                <c:pt idx="0">
                  <c:v>2023621</c:v>
                </c:pt>
                <c:pt idx="1">
                  <c:v>2054535</c:v>
                </c:pt>
                <c:pt idx="2">
                  <c:v>2071559</c:v>
                </c:pt>
                <c:pt idx="3">
                  <c:v>2085773</c:v>
                </c:pt>
                <c:pt idx="4">
                  <c:v>2108277</c:v>
                </c:pt>
                <c:pt idx="5">
                  <c:v>2123480</c:v>
                </c:pt>
                <c:pt idx="6">
                  <c:v>2142735</c:v>
                </c:pt>
                <c:pt idx="7">
                  <c:v>2167301</c:v>
                </c:pt>
                <c:pt idx="8">
                  <c:v>2176796</c:v>
                </c:pt>
                <c:pt idx="9">
                  <c:v>2161405</c:v>
                </c:pt>
                <c:pt idx="10">
                  <c:v>2184616</c:v>
                </c:pt>
                <c:pt idx="11">
                  <c:v>2174863</c:v>
                </c:pt>
                <c:pt idx="12">
                  <c:v>2206494</c:v>
                </c:pt>
                <c:pt idx="13">
                  <c:v>2215350</c:v>
                </c:pt>
                <c:pt idx="14">
                  <c:v>2199846</c:v>
                </c:pt>
                <c:pt idx="15">
                  <c:v>2200746</c:v>
                </c:pt>
                <c:pt idx="16">
                  <c:v>2205322</c:v>
                </c:pt>
                <c:pt idx="17">
                  <c:v>2197940</c:v>
                </c:pt>
                <c:pt idx="18">
                  <c:v>2197116</c:v>
                </c:pt>
                <c:pt idx="19">
                  <c:v>2192932</c:v>
                </c:pt>
                <c:pt idx="20">
                  <c:v>2176642</c:v>
                </c:pt>
                <c:pt idx="21">
                  <c:v>2169595</c:v>
                </c:pt>
                <c:pt idx="22">
                  <c:v>2165431</c:v>
                </c:pt>
                <c:pt idx="23">
                  <c:v>2150847</c:v>
                </c:pt>
                <c:pt idx="24">
                  <c:v>2153440</c:v>
                </c:pt>
                <c:pt idx="25">
                  <c:v>2149124</c:v>
                </c:pt>
                <c:pt idx="26">
                  <c:v>2160743</c:v>
                </c:pt>
                <c:pt idx="27">
                  <c:v>2168482</c:v>
                </c:pt>
                <c:pt idx="28">
                  <c:v>2177240</c:v>
                </c:pt>
                <c:pt idx="29">
                  <c:v>2169503</c:v>
                </c:pt>
                <c:pt idx="30">
                  <c:v>2167944</c:v>
                </c:pt>
                <c:pt idx="31">
                  <c:v>2163119</c:v>
                </c:pt>
                <c:pt idx="32">
                  <c:v>2168775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8-9640-AA86-5C2A739035BA}"/>
            </c:ext>
          </c:extLst>
        </c:ser>
        <c:ser>
          <c:idx val="1"/>
          <c:order val="1"/>
          <c:tx>
            <c:strRef>
              <c:f>'Industry &amp; Macro Analysis'!$E$24</c:f>
              <c:strCache>
                <c:ptCount val="1"/>
                <c:pt idx="0">
                  <c:v>1903-10-08</c:v>
                </c:pt>
              </c:strCache>
            </c:strRef>
          </c:tx>
          <c:marker>
            <c:symbol val="none"/>
          </c:marker>
          <c:cat>
            <c:numRef>
              <c:f>'Industry &amp; Macro Analysis'!$A$25:$A$60</c:f>
              <c:numCache>
                <c:formatCode>#,##0.0</c:formatCode>
                <c:ptCount val="36"/>
                <c:pt idx="0">
                  <c:v>45017</c:v>
                </c:pt>
                <c:pt idx="1">
                  <c:v>45047</c:v>
                </c:pt>
                <c:pt idx="2">
                  <c:v>45078</c:v>
                </c:pt>
                <c:pt idx="3">
                  <c:v>45108</c:v>
                </c:pt>
                <c:pt idx="4">
                  <c:v>45139</c:v>
                </c:pt>
                <c:pt idx="5">
                  <c:v>45170</c:v>
                </c:pt>
                <c:pt idx="6">
                  <c:v>45200</c:v>
                </c:pt>
                <c:pt idx="7">
                  <c:v>45231</c:v>
                </c:pt>
                <c:pt idx="8">
                  <c:v>45261</c:v>
                </c:pt>
                <c:pt idx="9">
                  <c:v>45292</c:v>
                </c:pt>
                <c:pt idx="10">
                  <c:v>45323</c:v>
                </c:pt>
                <c:pt idx="11">
                  <c:v>45352</c:v>
                </c:pt>
                <c:pt idx="12">
                  <c:v>45383</c:v>
                </c:pt>
                <c:pt idx="13">
                  <c:v>45413</c:v>
                </c:pt>
                <c:pt idx="14">
                  <c:v>45444</c:v>
                </c:pt>
                <c:pt idx="15">
                  <c:v>45474</c:v>
                </c:pt>
                <c:pt idx="16">
                  <c:v>45505</c:v>
                </c:pt>
                <c:pt idx="17">
                  <c:v>45536</c:v>
                </c:pt>
                <c:pt idx="18">
                  <c:v>45566</c:v>
                </c:pt>
                <c:pt idx="19">
                  <c:v>45597</c:v>
                </c:pt>
                <c:pt idx="20">
                  <c:v>45627</c:v>
                </c:pt>
                <c:pt idx="21">
                  <c:v>45658</c:v>
                </c:pt>
                <c:pt idx="22">
                  <c:v>45689</c:v>
                </c:pt>
                <c:pt idx="23">
                  <c:v>45717</c:v>
                </c:pt>
                <c:pt idx="24">
                  <c:v>45748</c:v>
                </c:pt>
                <c:pt idx="25">
                  <c:v>45778</c:v>
                </c:pt>
                <c:pt idx="26">
                  <c:v>45809</c:v>
                </c:pt>
                <c:pt idx="27">
                  <c:v>45839</c:v>
                </c:pt>
                <c:pt idx="28">
                  <c:v>45870</c:v>
                </c:pt>
                <c:pt idx="29">
                  <c:v>45901</c:v>
                </c:pt>
                <c:pt idx="30">
                  <c:v>45931</c:v>
                </c:pt>
                <c:pt idx="31">
                  <c:v>45962</c:v>
                </c:pt>
                <c:pt idx="32">
                  <c:v>45992</c:v>
                </c:pt>
                <c:pt idx="33">
                  <c:v>46023</c:v>
                </c:pt>
                <c:pt idx="34">
                  <c:v>46054</c:v>
                </c:pt>
              </c:numCache>
            </c:numRef>
          </c:cat>
          <c:val>
            <c:numRef>
              <c:f>'Industry &amp; Macro Analysis'!$E$25:$E$60</c:f>
              <c:numCache>
                <c:formatCode>yyyy\-mm\-dd</c:formatCode>
                <c:ptCount val="36"/>
                <c:pt idx="0">
                  <c:v>1354</c:v>
                </c:pt>
                <c:pt idx="1">
                  <c:v>1584</c:v>
                </c:pt>
                <c:pt idx="2">
                  <c:v>1421</c:v>
                </c:pt>
                <c:pt idx="3">
                  <c:v>1460</c:v>
                </c:pt>
                <c:pt idx="4">
                  <c:v>1317</c:v>
                </c:pt>
                <c:pt idx="5">
                  <c:v>1371</c:v>
                </c:pt>
                <c:pt idx="6">
                  <c:v>1368</c:v>
                </c:pt>
                <c:pt idx="7">
                  <c:v>1514</c:v>
                </c:pt>
                <c:pt idx="8">
                  <c:v>1521</c:v>
                </c:pt>
                <c:pt idx="9">
                  <c:v>1381</c:v>
                </c:pt>
                <c:pt idx="10">
                  <c:v>1552</c:v>
                </c:pt>
                <c:pt idx="11">
                  <c:v>1312</c:v>
                </c:pt>
                <c:pt idx="12">
                  <c:v>1385</c:v>
                </c:pt>
                <c:pt idx="13">
                  <c:v>1316</c:v>
                </c:pt>
                <c:pt idx="14">
                  <c:v>1327</c:v>
                </c:pt>
                <c:pt idx="15">
                  <c:v>1265</c:v>
                </c:pt>
                <c:pt idx="16">
                  <c:v>1391</c:v>
                </c:pt>
                <c:pt idx="17">
                  <c:v>1357</c:v>
                </c:pt>
                <c:pt idx="18">
                  <c:v>1352</c:v>
                </c:pt>
                <c:pt idx="19">
                  <c:v>1295</c:v>
                </c:pt>
                <c:pt idx="20">
                  <c:v>1514</c:v>
                </c:pt>
                <c:pt idx="21">
                  <c:v>1358</c:v>
                </c:pt>
                <c:pt idx="22">
                  <c:v>1490</c:v>
                </c:pt>
                <c:pt idx="23">
                  <c:v>1355</c:v>
                </c:pt>
                <c:pt idx="24">
                  <c:v>1398</c:v>
                </c:pt>
                <c:pt idx="25">
                  <c:v>1282</c:v>
                </c:pt>
                <c:pt idx="26">
                  <c:v>1382</c:v>
                </c:pt>
                <c:pt idx="27">
                  <c:v>1420</c:v>
                </c:pt>
                <c:pt idx="28">
                  <c:v>1291</c:v>
                </c:pt>
                <c:pt idx="29">
                  <c:v>1328</c:v>
                </c:pt>
                <c:pt idx="30">
                  <c:v>1272</c:v>
                </c:pt>
                <c:pt idx="31">
                  <c:v>1322</c:v>
                </c:pt>
                <c:pt idx="32">
                  <c:v>1404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08-9640-AA86-5C2A739035BA}"/>
            </c:ext>
          </c:extLst>
        </c:ser>
        <c:ser>
          <c:idx val="2"/>
          <c:order val="2"/>
          <c:tx>
            <c:strRef>
              <c:f>'Industry &amp; Macro Analysis'!$B$24</c:f>
              <c:strCache>
                <c:ptCount val="1"/>
                <c:pt idx="0">
                  <c:v>465,00%</c:v>
                </c:pt>
              </c:strCache>
            </c:strRef>
          </c:tx>
          <c:marker>
            <c:symbol val="none"/>
          </c:marker>
          <c:cat>
            <c:numRef>
              <c:f>'Industry &amp; Macro Analysis'!$A$25:$A$60</c:f>
              <c:numCache>
                <c:formatCode>#,##0.0</c:formatCode>
                <c:ptCount val="36"/>
                <c:pt idx="0">
                  <c:v>45017</c:v>
                </c:pt>
                <c:pt idx="1">
                  <c:v>45047</c:v>
                </c:pt>
                <c:pt idx="2">
                  <c:v>45078</c:v>
                </c:pt>
                <c:pt idx="3">
                  <c:v>45108</c:v>
                </c:pt>
                <c:pt idx="4">
                  <c:v>45139</c:v>
                </c:pt>
                <c:pt idx="5">
                  <c:v>45170</c:v>
                </c:pt>
                <c:pt idx="6">
                  <c:v>45200</c:v>
                </c:pt>
                <c:pt idx="7">
                  <c:v>45231</c:v>
                </c:pt>
                <c:pt idx="8">
                  <c:v>45261</c:v>
                </c:pt>
                <c:pt idx="9">
                  <c:v>45292</c:v>
                </c:pt>
                <c:pt idx="10">
                  <c:v>45323</c:v>
                </c:pt>
                <c:pt idx="11">
                  <c:v>45352</c:v>
                </c:pt>
                <c:pt idx="12">
                  <c:v>45383</c:v>
                </c:pt>
                <c:pt idx="13">
                  <c:v>45413</c:v>
                </c:pt>
                <c:pt idx="14">
                  <c:v>45444</c:v>
                </c:pt>
                <c:pt idx="15">
                  <c:v>45474</c:v>
                </c:pt>
                <c:pt idx="16">
                  <c:v>45505</c:v>
                </c:pt>
                <c:pt idx="17">
                  <c:v>45536</c:v>
                </c:pt>
                <c:pt idx="18">
                  <c:v>45566</c:v>
                </c:pt>
                <c:pt idx="19">
                  <c:v>45597</c:v>
                </c:pt>
                <c:pt idx="20">
                  <c:v>45627</c:v>
                </c:pt>
                <c:pt idx="21">
                  <c:v>45658</c:v>
                </c:pt>
                <c:pt idx="22">
                  <c:v>45689</c:v>
                </c:pt>
                <c:pt idx="23">
                  <c:v>45717</c:v>
                </c:pt>
                <c:pt idx="24">
                  <c:v>45748</c:v>
                </c:pt>
                <c:pt idx="25">
                  <c:v>45778</c:v>
                </c:pt>
                <c:pt idx="26">
                  <c:v>45809</c:v>
                </c:pt>
                <c:pt idx="27">
                  <c:v>45839</c:v>
                </c:pt>
                <c:pt idx="28">
                  <c:v>45870</c:v>
                </c:pt>
                <c:pt idx="29">
                  <c:v>45901</c:v>
                </c:pt>
                <c:pt idx="30">
                  <c:v>45931</c:v>
                </c:pt>
                <c:pt idx="31">
                  <c:v>45962</c:v>
                </c:pt>
                <c:pt idx="32">
                  <c:v>45992</c:v>
                </c:pt>
                <c:pt idx="33">
                  <c:v>46023</c:v>
                </c:pt>
                <c:pt idx="34">
                  <c:v>46054</c:v>
                </c:pt>
              </c:numCache>
            </c:numRef>
          </c:cat>
          <c:val>
            <c:numRef>
              <c:f>'Industry &amp; Macro Analysis'!$B$25:$B$60</c:f>
              <c:numCache>
                <c:formatCode>0.00%</c:formatCode>
                <c:ptCount val="36"/>
                <c:pt idx="0">
                  <c:v>4.83</c:v>
                </c:pt>
                <c:pt idx="1">
                  <c:v>5.0599999999999996</c:v>
                </c:pt>
                <c:pt idx="2">
                  <c:v>5.08</c:v>
                </c:pt>
                <c:pt idx="3">
                  <c:v>5.12</c:v>
                </c:pt>
                <c:pt idx="4">
                  <c:v>5.33</c:v>
                </c:pt>
                <c:pt idx="5">
                  <c:v>5.33</c:v>
                </c:pt>
                <c:pt idx="6">
                  <c:v>5.33</c:v>
                </c:pt>
                <c:pt idx="7">
                  <c:v>5.33</c:v>
                </c:pt>
                <c:pt idx="8">
                  <c:v>5.33</c:v>
                </c:pt>
                <c:pt idx="9">
                  <c:v>5.33</c:v>
                </c:pt>
                <c:pt idx="10">
                  <c:v>5.33</c:v>
                </c:pt>
                <c:pt idx="11">
                  <c:v>5.33</c:v>
                </c:pt>
                <c:pt idx="12">
                  <c:v>5.33</c:v>
                </c:pt>
                <c:pt idx="13">
                  <c:v>5.33</c:v>
                </c:pt>
                <c:pt idx="14">
                  <c:v>5.33</c:v>
                </c:pt>
                <c:pt idx="15">
                  <c:v>5.33</c:v>
                </c:pt>
                <c:pt idx="16">
                  <c:v>5.33</c:v>
                </c:pt>
                <c:pt idx="17">
                  <c:v>5.13</c:v>
                </c:pt>
                <c:pt idx="18">
                  <c:v>4.83</c:v>
                </c:pt>
                <c:pt idx="19">
                  <c:v>4.6399999999999997</c:v>
                </c:pt>
                <c:pt idx="20">
                  <c:v>4.4800000000000004</c:v>
                </c:pt>
                <c:pt idx="21">
                  <c:v>4.33</c:v>
                </c:pt>
                <c:pt idx="22">
                  <c:v>4.33</c:v>
                </c:pt>
                <c:pt idx="23">
                  <c:v>4.33</c:v>
                </c:pt>
                <c:pt idx="24">
                  <c:v>4.33</c:v>
                </c:pt>
                <c:pt idx="25">
                  <c:v>4.33</c:v>
                </c:pt>
                <c:pt idx="26">
                  <c:v>4.33</c:v>
                </c:pt>
                <c:pt idx="27">
                  <c:v>4.33</c:v>
                </c:pt>
                <c:pt idx="28">
                  <c:v>4.33</c:v>
                </c:pt>
                <c:pt idx="29">
                  <c:v>4.22</c:v>
                </c:pt>
                <c:pt idx="30">
                  <c:v>4.09</c:v>
                </c:pt>
                <c:pt idx="31">
                  <c:v>3.88</c:v>
                </c:pt>
                <c:pt idx="32">
                  <c:v>3.72</c:v>
                </c:pt>
                <c:pt idx="33">
                  <c:v>3.64</c:v>
                </c:pt>
                <c:pt idx="34">
                  <c:v>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08-9640-AA86-5C2A73903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70001"/>
        <c:axId val="50070002"/>
      </c:lineChart>
      <c:catAx>
        <c:axId val="50070001"/>
        <c:scaling>
          <c:orientation val="minMax"/>
        </c:scaling>
        <c:delete val="0"/>
        <c:axPos val="b"/>
        <c:numFmt formatCode="#,##0.0" sourceLinked="1"/>
        <c:majorTickMark val="out"/>
        <c:minorTickMark val="none"/>
        <c:tickLblPos val="nextTo"/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</c:scaling>
        <c:delete val="0"/>
        <c:axPos val="l"/>
        <c:majorGridlines/>
        <c:numFmt formatCode="yyyy\-mm\-dd" sourceLinked="1"/>
        <c:majorTickMark val="out"/>
        <c:minorTickMark val="none"/>
        <c:tickLblPos val="nextTo"/>
        <c:crossAx val="500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637673</xdr:colOff>
      <xdr:row>93</xdr:row>
      <xdr:rowOff>164793</xdr:rowOff>
    </xdr:from>
    <xdr:to>
      <xdr:col>33</xdr:col>
      <xdr:colOff>259434</xdr:colOff>
      <xdr:row>115</xdr:row>
      <xdr:rowOff>15638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334819</xdr:colOff>
      <xdr:row>3</xdr:row>
      <xdr:rowOff>34636</xdr:rowOff>
    </xdr:from>
    <xdr:to>
      <xdr:col>10</xdr:col>
      <xdr:colOff>419101</xdr:colOff>
      <xdr:row>15</xdr:row>
      <xdr:rowOff>92364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539180</xdr:colOff>
      <xdr:row>74</xdr:row>
      <xdr:rowOff>154283</xdr:rowOff>
    </xdr:from>
    <xdr:to>
      <xdr:col>32</xdr:col>
      <xdr:colOff>136777</xdr:colOff>
      <xdr:row>90</xdr:row>
      <xdr:rowOff>169427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816151</xdr:colOff>
      <xdr:row>3</xdr:row>
      <xdr:rowOff>127000</xdr:rowOff>
    </xdr:from>
    <xdr:to>
      <xdr:col>17</xdr:col>
      <xdr:colOff>584200</xdr:colOff>
      <xdr:row>15</xdr:row>
      <xdr:rowOff>92364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579781</xdr:colOff>
      <xdr:row>60</xdr:row>
      <xdr:rowOff>27609</xdr:rowOff>
    </xdr:from>
    <xdr:to>
      <xdr:col>32</xdr:col>
      <xdr:colOff>183873</xdr:colOff>
      <xdr:row>72</xdr:row>
      <xdr:rowOff>75233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333662</xdr:colOff>
      <xdr:row>15</xdr:row>
      <xdr:rowOff>381000</xdr:rowOff>
    </xdr:from>
    <xdr:to>
      <xdr:col>10</xdr:col>
      <xdr:colOff>450271</xdr:colOff>
      <xdr:row>29</xdr:row>
      <xdr:rowOff>263236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FA7A7F7-18F3-4A4F-8A81-E54753D928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766618</xdr:colOff>
      <xdr:row>15</xdr:row>
      <xdr:rowOff>392546</xdr:rowOff>
    </xdr:from>
    <xdr:to>
      <xdr:col>17</xdr:col>
      <xdr:colOff>588818</xdr:colOff>
      <xdr:row>29</xdr:row>
      <xdr:rowOff>277092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606A709-7F78-A74F-808E-99CA4D7EDF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29</xdr:col>
      <xdr:colOff>104775</xdr:colOff>
      <xdr:row>14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88900</xdr:colOff>
      <xdr:row>35</xdr:row>
      <xdr:rowOff>139700</xdr:rowOff>
    </xdr:from>
    <xdr:to>
      <xdr:col>19</xdr:col>
      <xdr:colOff>546100</xdr:colOff>
      <xdr:row>55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34</xdr:row>
      <xdr:rowOff>0</xdr:rowOff>
    </xdr:from>
    <xdr:to>
      <xdr:col>29</xdr:col>
      <xdr:colOff>104775</xdr:colOff>
      <xdr:row>46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0</xdr:colOff>
      <xdr:row>50</xdr:row>
      <xdr:rowOff>0</xdr:rowOff>
    </xdr:from>
    <xdr:to>
      <xdr:col>29</xdr:col>
      <xdr:colOff>104775</xdr:colOff>
      <xdr:row>58</xdr:row>
      <xdr:rowOff>285750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419100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DA1409-8551-4E45-9D4C-54D91E7A5F25}">
  <we:reference id="wa200006575" version="1.0.0.8" store="en-US" storeType="OMEX"/>
  <we:alternateReferences>
    <we:reference id="wa200006575" version="1.0.0.8" store="wa20000657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88"/>
  <sheetViews>
    <sheetView zoomScale="110" zoomScaleNormal="11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R18" sqref="R18"/>
    </sheetView>
  </sheetViews>
  <sheetFormatPr baseColWidth="10" defaultColWidth="0" defaultRowHeight="15" x14ac:dyDescent="0.2"/>
  <cols>
    <col min="1" max="1" width="19" style="16" customWidth="1"/>
    <col min="2" max="3" width="14.6640625" style="16" customWidth="1"/>
    <col min="4" max="4" width="26" style="16" customWidth="1"/>
    <col min="5" max="8" width="14.6640625" style="16" customWidth="1"/>
    <col min="9" max="9" width="15" style="16" customWidth="1"/>
    <col min="10" max="23" width="14.6640625" style="16" customWidth="1"/>
    <col min="24" max="40" width="8.83203125" style="16" customWidth="1"/>
    <col min="41" max="16384" width="8.83203125" style="16" hidden="1"/>
  </cols>
  <sheetData>
    <row r="1" spans="1:13" ht="21" x14ac:dyDescent="0.2">
      <c r="A1" s="15" t="s">
        <v>0</v>
      </c>
    </row>
    <row r="2" spans="1:13" ht="48" x14ac:dyDescent="0.2">
      <c r="A2" s="17" t="s">
        <v>1</v>
      </c>
      <c r="E2" s="18" t="s">
        <v>2</v>
      </c>
    </row>
    <row r="3" spans="1:13" ht="80" x14ac:dyDescent="0.2">
      <c r="A3" s="19"/>
      <c r="B3" s="19"/>
      <c r="C3" s="19"/>
      <c r="D3" s="19"/>
      <c r="E3" s="18" t="s">
        <v>3</v>
      </c>
      <c r="F3" s="19"/>
      <c r="G3" s="19"/>
      <c r="H3" s="19"/>
      <c r="I3" s="19"/>
      <c r="J3" s="19"/>
      <c r="K3" s="19"/>
      <c r="L3" s="19"/>
    </row>
    <row r="4" spans="1:13" ht="20" customHeight="1" x14ac:dyDescent="0.2">
      <c r="A4" s="65" t="s">
        <v>302</v>
      </c>
      <c r="B4" s="66"/>
      <c r="C4" s="67" t="s">
        <v>8</v>
      </c>
      <c r="D4" s="68"/>
      <c r="E4" s="20"/>
      <c r="M4" s="21"/>
    </row>
    <row r="5" spans="1:13" ht="26" customHeight="1" x14ac:dyDescent="0.2">
      <c r="A5" s="60" t="s">
        <v>303</v>
      </c>
      <c r="B5" s="51" t="s">
        <v>297</v>
      </c>
      <c r="C5" s="50" t="s">
        <v>9</v>
      </c>
      <c r="D5" s="57">
        <v>0.04</v>
      </c>
      <c r="E5" s="20"/>
      <c r="M5" s="21"/>
    </row>
    <row r="6" spans="1:13" ht="26" customHeight="1" x14ac:dyDescent="0.2">
      <c r="A6" s="60" t="s">
        <v>112</v>
      </c>
      <c r="B6" s="51" t="s">
        <v>298</v>
      </c>
      <c r="C6" s="50" t="s">
        <v>10</v>
      </c>
      <c r="D6" s="57">
        <f>POWER(1+D5,1/252)-1</f>
        <v>1.5564986279126281E-4</v>
      </c>
      <c r="E6" s="20"/>
      <c r="M6" s="21"/>
    </row>
    <row r="7" spans="1:13" ht="26" customHeight="1" x14ac:dyDescent="0.2">
      <c r="A7" s="60" t="s">
        <v>304</v>
      </c>
      <c r="B7" s="51" t="s">
        <v>306</v>
      </c>
      <c r="C7" s="50" t="s">
        <v>11</v>
      </c>
      <c r="D7" s="58">
        <v>252</v>
      </c>
      <c r="E7" s="20"/>
      <c r="M7" s="21"/>
    </row>
    <row r="8" spans="1:13" ht="26" customHeight="1" x14ac:dyDescent="0.2">
      <c r="A8" s="60" t="s">
        <v>299</v>
      </c>
      <c r="B8" s="51" t="s">
        <v>300</v>
      </c>
      <c r="C8" s="50" t="s">
        <v>12</v>
      </c>
      <c r="D8" s="59">
        <v>46085</v>
      </c>
      <c r="E8" s="20"/>
      <c r="M8" s="21"/>
    </row>
    <row r="9" spans="1:13" ht="26" customHeight="1" x14ac:dyDescent="0.2">
      <c r="A9" s="61" t="s">
        <v>301</v>
      </c>
      <c r="B9" s="62" t="s">
        <v>307</v>
      </c>
      <c r="C9" s="63" t="s">
        <v>305</v>
      </c>
      <c r="D9" s="64">
        <v>44989</v>
      </c>
      <c r="E9" s="69"/>
      <c r="F9" s="49"/>
      <c r="G9" s="49"/>
      <c r="H9" s="30"/>
      <c r="I9" s="30"/>
      <c r="J9" s="30"/>
      <c r="K9" s="30"/>
      <c r="L9" s="30"/>
    </row>
    <row r="10" spans="1:13" ht="20" customHeight="1" x14ac:dyDescent="0.2">
      <c r="A10" s="30"/>
      <c r="E10" s="47"/>
      <c r="F10" s="47"/>
      <c r="G10" s="47"/>
      <c r="H10" s="21"/>
    </row>
    <row r="12" spans="1:13" x14ac:dyDescent="0.2">
      <c r="A12" s="106" t="s">
        <v>20</v>
      </c>
      <c r="B12" s="106"/>
      <c r="C12" s="106"/>
      <c r="D12" s="107"/>
    </row>
    <row r="13" spans="1:13" ht="35" customHeight="1" x14ac:dyDescent="0.2">
      <c r="A13" s="94" t="str">
        <f>IF(B22="","", "VMC delivered "&amp;TEXT(B22,"0.0%")&amp;" annualized return over the refreshed 3-year window, versus "&amp;TEXT(C22,"0.0%")&amp;" for SPY.")</f>
        <v>VMC delivered 18% annualized return over the refreshed 3-year window, versus 19% for SPY.</v>
      </c>
      <c r="B13" s="95"/>
      <c r="C13" s="95"/>
      <c r="D13" s="96"/>
    </row>
    <row r="14" spans="1:13" ht="35" customHeight="1" x14ac:dyDescent="0.2">
      <c r="A14" s="97" t="str">
        <f>IF(B22="","","Relative to SPY, VMC "&amp;IF(B22&gt;C22,"outperformed","underperformed")&amp;" over the period and recorded a tracking error of "&amp;TEXT(B28,"0.0%")&amp;".")</f>
        <v>Relative to SPY, VMC underperformed over the period and recorded a tracking error of 84%.</v>
      </c>
      <c r="B14" s="98"/>
      <c r="C14" s="98"/>
      <c r="D14" s="99"/>
      <c r="E14" s="37"/>
      <c r="F14" s="30"/>
      <c r="G14" s="30"/>
    </row>
    <row r="15" spans="1:13" ht="35" customHeight="1" x14ac:dyDescent="0.2">
      <c r="A15" s="100" t="str">
        <f>IF(D22="","", "Relative to XLB, VMC "&amp;IF(B22&gt;D22,"outperformed","underperformed")&amp;" the sector benchmark, with beta vs XLB of "&amp;TEXT(B26,"0.00x")&amp;".")</f>
        <v>Relative to XLB, VMC outperformed the sector benchmark, with beta vs XLB of 001x.</v>
      </c>
      <c r="B15" s="101"/>
      <c r="C15" s="101"/>
      <c r="D15" s="102"/>
      <c r="E15" s="21"/>
    </row>
    <row r="16" spans="1:13" ht="35" customHeight="1" x14ac:dyDescent="0.2">
      <c r="A16" s="103" t="str">
        <f>IF(B23="","", "Volatility was "&amp;IF(B23&gt;C23,"above","below")&amp;" market levels, while the latest price versus the 200-day EMA signals a "&amp;IF(W787&gt;P787,"constructive","softer")&amp;" medium-term trend.")</f>
        <v>Volatility was above market levels, while the latest price versus the 200-day EMA signals a constructive medium-term trend.</v>
      </c>
      <c r="B16" s="104"/>
      <c r="C16" s="104"/>
      <c r="D16" s="105"/>
      <c r="E16" s="21"/>
    </row>
    <row r="17" spans="1:5" ht="23" customHeight="1" x14ac:dyDescent="0.2">
      <c r="A17" s="30"/>
      <c r="B17" s="30"/>
      <c r="C17" s="30"/>
      <c r="D17" s="30"/>
      <c r="E17" s="21"/>
    </row>
    <row r="18" spans="1:5" ht="23" customHeight="1" x14ac:dyDescent="0.2">
      <c r="E18" s="21"/>
    </row>
    <row r="19" spans="1:5" ht="23" customHeight="1" x14ac:dyDescent="0.2">
      <c r="E19" s="21"/>
    </row>
    <row r="20" spans="1:5" ht="23" customHeight="1" x14ac:dyDescent="0.2">
      <c r="E20" s="21"/>
    </row>
    <row r="21" spans="1:5" ht="23" customHeight="1" x14ac:dyDescent="0.2">
      <c r="A21" s="70" t="s">
        <v>4</v>
      </c>
      <c r="B21" s="70" t="s">
        <v>5</v>
      </c>
      <c r="C21" s="70" t="s">
        <v>6</v>
      </c>
      <c r="D21" s="71" t="s">
        <v>7</v>
      </c>
      <c r="E21" s="21"/>
    </row>
    <row r="22" spans="1:5" ht="23" customHeight="1" x14ac:dyDescent="0.2">
      <c r="A22" s="22" t="s">
        <v>13</v>
      </c>
      <c r="B22" s="52">
        <f>IFERROR((1+$H$787)^(252/COUNT($E$37:$E$787))-1,"")</f>
        <v>0.18207783661684185</v>
      </c>
      <c r="C22" s="52">
        <f>IFERROR((1+$I$787)^(252/COUNT($F$37:$F$787))-1,"")</f>
        <v>0.19344804191555198</v>
      </c>
      <c r="D22" s="23">
        <f>IFERROR((1+$J$787)^(252/COUNT($G$37:$G$787))-1,"")</f>
        <v>7.7063972339758147E-2</v>
      </c>
    </row>
    <row r="23" spans="1:5" ht="23" customHeight="1" x14ac:dyDescent="0.2">
      <c r="A23" s="24" t="s">
        <v>14</v>
      </c>
      <c r="B23" s="25">
        <f>IFERROR(_xlfn.STDEV.S($E$37:$E$787)*SQRT($D$7),"")</f>
        <v>0.24100121170774341</v>
      </c>
      <c r="C23" s="25">
        <f>IFERROR(_xlfn.STDEV.S($F$37:$F$787)*SQRT($D$7),"")</f>
        <v>0.15160814132848877</v>
      </c>
      <c r="D23" s="26">
        <f>IFERROR(_xlfn.STDEV.S($G$37:$G$787)*SQRT($D$7),"")</f>
        <v>0.17071210456219382</v>
      </c>
    </row>
    <row r="24" spans="1:5" ht="23" customHeight="1" x14ac:dyDescent="0.2">
      <c r="A24" s="24" t="s">
        <v>308</v>
      </c>
      <c r="B24" s="25">
        <f>(B787/B36)-1</f>
        <v>0.64625396295678317</v>
      </c>
      <c r="C24" s="25">
        <f>(C787/C36)-1</f>
        <v>0.69389571538062134</v>
      </c>
      <c r="D24" s="26">
        <f>(D787/D36)-1</f>
        <v>0.24762705755136372</v>
      </c>
    </row>
    <row r="25" spans="1:5" ht="23" customHeight="1" x14ac:dyDescent="0.2">
      <c r="A25" s="24" t="s">
        <v>15</v>
      </c>
      <c r="B25" s="27">
        <f>IFERROR(SLOPE($E$37:$E$787,$F$37:$F$787),"")</f>
        <v>0.82769325769710733</v>
      </c>
      <c r="D25" s="28"/>
    </row>
    <row r="26" spans="1:5" ht="23" customHeight="1" x14ac:dyDescent="0.2">
      <c r="A26" s="24" t="s">
        <v>16</v>
      </c>
      <c r="B26" s="27">
        <f>IFERROR(SLOPE($E$37:$E$787,$G$37:$G$787),"")</f>
        <v>0.79887867379573518</v>
      </c>
      <c r="D26" s="28"/>
    </row>
    <row r="27" spans="1:5" ht="23" customHeight="1" x14ac:dyDescent="0.2">
      <c r="A27" s="24" t="s">
        <v>17</v>
      </c>
      <c r="B27" s="27">
        <f>IFERROR((B22-$D$5)/B23,"")</f>
        <v>0.58953162770457912</v>
      </c>
      <c r="D27" s="28"/>
    </row>
    <row r="28" spans="1:5" ht="23" customHeight="1" x14ac:dyDescent="0.2">
      <c r="A28" s="24" t="s">
        <v>18</v>
      </c>
      <c r="B28" s="27">
        <f>IFERROR((B22-$D$5)/(SQRT(SUMSQ($U$37:$U$787)/COUNT($E$37:$E$787))*SQRT($D$7)),"")</f>
        <v>0.83922425363457853</v>
      </c>
      <c r="D28" s="28"/>
    </row>
    <row r="29" spans="1:5" ht="23" customHeight="1" x14ac:dyDescent="0.2">
      <c r="A29" s="72"/>
      <c r="B29" s="73"/>
      <c r="C29" s="19"/>
      <c r="D29" s="74"/>
    </row>
    <row r="30" spans="1:5" ht="23" customHeight="1" x14ac:dyDescent="0.2">
      <c r="A30" s="29" t="s">
        <v>19</v>
      </c>
      <c r="B30" s="31">
        <f>MIN($S$36:$S$787)</f>
        <v>-0.24429543977284363</v>
      </c>
      <c r="C30" s="32"/>
      <c r="D30" s="33"/>
    </row>
    <row r="31" spans="1:5" ht="23" customHeight="1" x14ac:dyDescent="0.2">
      <c r="A31" s="55"/>
      <c r="B31" s="56"/>
      <c r="C31" s="19"/>
      <c r="D31" s="53"/>
    </row>
    <row r="32" spans="1:5" ht="23" customHeight="1" x14ac:dyDescent="0.2">
      <c r="A32" s="55"/>
      <c r="B32" s="56"/>
      <c r="C32" s="19"/>
      <c r="D32" s="53"/>
    </row>
    <row r="33" spans="1:24" s="54" customFormat="1" x14ac:dyDescent="0.2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53"/>
    </row>
    <row r="34" spans="1:24" s="20" customFormat="1" x14ac:dyDescent="0.2">
      <c r="A34" s="34" t="s">
        <v>21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48"/>
    </row>
    <row r="35" spans="1:24" s="30" customFormat="1" x14ac:dyDescent="0.2">
      <c r="A35" s="36" t="s">
        <v>22</v>
      </c>
      <c r="B35" s="36" t="s">
        <v>23</v>
      </c>
      <c r="C35" s="36" t="s">
        <v>24</v>
      </c>
      <c r="D35" s="36" t="s">
        <v>25</v>
      </c>
      <c r="E35" s="36" t="s">
        <v>26</v>
      </c>
      <c r="F35" s="36" t="s">
        <v>27</v>
      </c>
      <c r="G35" s="36" t="s">
        <v>28</v>
      </c>
      <c r="H35" s="36" t="s">
        <v>29</v>
      </c>
      <c r="I35" s="36" t="s">
        <v>30</v>
      </c>
      <c r="J35" s="36" t="s">
        <v>31</v>
      </c>
      <c r="K35" s="36" t="s">
        <v>32</v>
      </c>
      <c r="L35" s="36" t="s">
        <v>33</v>
      </c>
      <c r="M35" s="36" t="s">
        <v>34</v>
      </c>
      <c r="N35" s="36" t="s">
        <v>35</v>
      </c>
      <c r="O35" s="36" t="s">
        <v>36</v>
      </c>
      <c r="P35" s="45" t="s">
        <v>37</v>
      </c>
      <c r="Q35" s="36" t="s">
        <v>38</v>
      </c>
      <c r="R35" s="36" t="s">
        <v>39</v>
      </c>
      <c r="S35" s="36" t="s">
        <v>40</v>
      </c>
      <c r="T35" s="36" t="s">
        <v>41</v>
      </c>
      <c r="U35" s="36" t="s">
        <v>42</v>
      </c>
      <c r="V35" s="36" t="s">
        <v>43</v>
      </c>
      <c r="W35" s="36" t="s">
        <v>44</v>
      </c>
      <c r="X35" s="37"/>
    </row>
    <row r="36" spans="1:24" x14ac:dyDescent="0.2">
      <c r="A36" s="38">
        <v>44991</v>
      </c>
      <c r="B36" s="39">
        <v>179.79</v>
      </c>
      <c r="C36" s="39">
        <v>404.47</v>
      </c>
      <c r="D36" s="39">
        <v>41.615000000000002</v>
      </c>
      <c r="E36" s="40"/>
      <c r="F36" s="40"/>
      <c r="G36" s="40"/>
      <c r="H36" s="41">
        <v>0</v>
      </c>
      <c r="I36" s="41">
        <v>0</v>
      </c>
      <c r="J36" s="41">
        <v>0</v>
      </c>
      <c r="K36" s="42">
        <f t="shared" ref="K36:K99" si="0">IFERROR(B36/$B$36*100,"")</f>
        <v>100</v>
      </c>
      <c r="L36" s="42">
        <f t="shared" ref="L36:L99" si="1">IFERROR(C36/$C$36*100,"")</f>
        <v>100</v>
      </c>
      <c r="M36" s="42">
        <f t="shared" ref="M36:M99" si="2">IFERROR(D36/$D$36*100,"")</f>
        <v>100</v>
      </c>
      <c r="N36" s="41">
        <v>0</v>
      </c>
      <c r="O36" s="43">
        <v>0</v>
      </c>
      <c r="P36" s="39">
        <f>B36</f>
        <v>179.79</v>
      </c>
      <c r="Q36" s="44">
        <v>1</v>
      </c>
      <c r="R36" s="42">
        <v>1</v>
      </c>
      <c r="S36" s="41">
        <v>0</v>
      </c>
      <c r="T36" s="41" t="str">
        <f>IFERROR(_xlfn.STDEV.S(#REF!)*SQRT($D$7),"")</f>
        <v/>
      </c>
      <c r="U36" s="40"/>
      <c r="V36" s="40"/>
      <c r="W36" s="39">
        <f t="shared" ref="W36:W99" si="3">B36</f>
        <v>179.79</v>
      </c>
      <c r="X36" s="21"/>
    </row>
    <row r="37" spans="1:24" x14ac:dyDescent="0.2">
      <c r="A37" s="38">
        <v>44992</v>
      </c>
      <c r="B37" s="39">
        <v>177.23</v>
      </c>
      <c r="C37" s="39">
        <v>398.27</v>
      </c>
      <c r="D37" s="39">
        <v>40.795000000000002</v>
      </c>
      <c r="E37" s="41">
        <f t="shared" ref="E37:E100" si="4">IFERROR(B37/B36-1,"")</f>
        <v>-1.4238834195450245E-2</v>
      </c>
      <c r="F37" s="41">
        <f t="shared" ref="F37:F100" si="5">IFERROR(C37/C36-1,"")</f>
        <v>-1.5328701757856056E-2</v>
      </c>
      <c r="G37" s="41">
        <f t="shared" ref="G37:G100" si="6">IFERROR(D37/D36-1,"")</f>
        <v>-1.9704433497536922E-2</v>
      </c>
      <c r="H37" s="41">
        <f t="shared" ref="H37:H100" si="7">IFERROR((1+E37)*(1+H36)-1,"")</f>
        <v>-1.4238834195450245E-2</v>
      </c>
      <c r="I37" s="41">
        <f t="shared" ref="I37:I100" si="8">IFERROR((1+F37)*(1+I36)-1,"")</f>
        <v>-1.5328701757856056E-2</v>
      </c>
      <c r="J37" s="41">
        <f t="shared" ref="J37:J100" si="9">IFERROR((1+G37)*(1+J36)-1,"")</f>
        <v>-1.9704433497536922E-2</v>
      </c>
      <c r="K37" s="42">
        <f t="shared" si="0"/>
        <v>98.576116580454979</v>
      </c>
      <c r="L37" s="42">
        <f t="shared" si="1"/>
        <v>98.467129824214396</v>
      </c>
      <c r="M37" s="42">
        <f t="shared" si="2"/>
        <v>98.029556650246306</v>
      </c>
      <c r="N37" s="41">
        <f t="shared" ref="N37:N100" si="10">IFERROR((1+H37)/(1+I37)-1,"")</f>
        <v>1.1068338889854701E-3</v>
      </c>
      <c r="O37" s="41">
        <f t="shared" ref="O37:O100" si="11">IFERROR((1+H37)/(1+J37)-1,"")</f>
        <v>5.5754605945910196E-3</v>
      </c>
      <c r="P37" s="46">
        <f t="shared" ref="P37:P100" si="12">IFERROR(B37*0.0099502487562189+P36*(1-0.0099502487562189),"")</f>
        <v>179.7645273631841</v>
      </c>
      <c r="Q37" s="42">
        <f t="shared" ref="Q37:Q100" si="13">Q36*(1+E37)</f>
        <v>0.98576116580454975</v>
      </c>
      <c r="R37" s="42">
        <f t="shared" ref="R37:R100" si="14">MAX(R36,Q37)</f>
        <v>1</v>
      </c>
      <c r="S37" s="41">
        <f t="shared" ref="S37:S100" si="15">IFERROR(Q37/R37-1,"")</f>
        <v>-1.4238834195450245E-2</v>
      </c>
      <c r="T37" s="41" t="str">
        <f>IFERROR(_xlfn.STDEV.S(#REF!)*SQRT($D$7),"")</f>
        <v/>
      </c>
      <c r="U37" s="41">
        <f t="shared" ref="U37:U100" si="16">IFERROR(MIN(E37-$D$6,0),"")</f>
        <v>-1.4394484058241508E-2</v>
      </c>
      <c r="V37" s="41">
        <f t="shared" ref="V37:V100" si="17">IFERROR(E37-F37,"")</f>
        <v>1.0898675624058107E-3</v>
      </c>
      <c r="W37" s="39">
        <f t="shared" si="3"/>
        <v>177.23</v>
      </c>
      <c r="X37" s="21"/>
    </row>
    <row r="38" spans="1:24" x14ac:dyDescent="0.2">
      <c r="A38" s="38">
        <v>44993</v>
      </c>
      <c r="B38" s="39">
        <v>178.92</v>
      </c>
      <c r="C38" s="39">
        <v>398.92</v>
      </c>
      <c r="D38" s="39">
        <v>40.994999999999997</v>
      </c>
      <c r="E38" s="41">
        <f t="shared" si="4"/>
        <v>9.5356316650678785E-3</v>
      </c>
      <c r="F38" s="41">
        <f t="shared" si="5"/>
        <v>1.6320586536773263E-3</v>
      </c>
      <c r="G38" s="41">
        <f t="shared" si="6"/>
        <v>4.9025615884299434E-3</v>
      </c>
      <c r="H38" s="41">
        <f t="shared" si="7"/>
        <v>-4.8389788086101726E-3</v>
      </c>
      <c r="I38" s="41">
        <f t="shared" si="8"/>
        <v>-1.3721660444532269E-2</v>
      </c>
      <c r="J38" s="41">
        <f t="shared" si="9"/>
        <v>-1.48984741078938E-2</v>
      </c>
      <c r="K38" s="42">
        <f t="shared" si="0"/>
        <v>99.516102119138992</v>
      </c>
      <c r="L38" s="42">
        <f t="shared" si="1"/>
        <v>98.627833955546762</v>
      </c>
      <c r="M38" s="42">
        <f t="shared" si="2"/>
        <v>98.510152589210605</v>
      </c>
      <c r="N38" s="41">
        <f t="shared" si="10"/>
        <v>9.0062625119859963E-3</v>
      </c>
      <c r="O38" s="41">
        <f t="shared" si="11"/>
        <v>1.021163304987649E-2</v>
      </c>
      <c r="P38" s="39">
        <f t="shared" si="12"/>
        <v>179.75612410583898</v>
      </c>
      <c r="Q38" s="42">
        <f t="shared" si="13"/>
        <v>0.99516102119138983</v>
      </c>
      <c r="R38" s="42">
        <f t="shared" si="14"/>
        <v>1</v>
      </c>
      <c r="S38" s="41">
        <f t="shared" si="15"/>
        <v>-4.8389788086101726E-3</v>
      </c>
      <c r="T38" s="41" t="str">
        <f>IFERROR(_xlfn.STDEV.S(#REF!)*SQRT($D$7),"")</f>
        <v/>
      </c>
      <c r="U38" s="41">
        <f t="shared" si="16"/>
        <v>0</v>
      </c>
      <c r="V38" s="41">
        <f t="shared" si="17"/>
        <v>7.9035730113905522E-3</v>
      </c>
      <c r="W38" s="39">
        <f t="shared" si="3"/>
        <v>178.92</v>
      </c>
      <c r="X38" s="21"/>
    </row>
    <row r="39" spans="1:24" x14ac:dyDescent="0.2">
      <c r="A39" s="38">
        <v>44994</v>
      </c>
      <c r="B39" s="39">
        <v>174.07</v>
      </c>
      <c r="C39" s="39">
        <v>391.56</v>
      </c>
      <c r="D39" s="39">
        <v>39.94</v>
      </c>
      <c r="E39" s="41">
        <f t="shared" si="4"/>
        <v>-2.7107086966241867E-2</v>
      </c>
      <c r="F39" s="41">
        <f t="shared" si="5"/>
        <v>-1.8449814499147732E-2</v>
      </c>
      <c r="G39" s="41">
        <f t="shared" si="6"/>
        <v>-2.5734845712891863E-2</v>
      </c>
      <c r="H39" s="41">
        <f t="shared" si="7"/>
        <v>-3.1814895155459211E-2</v>
      </c>
      <c r="I39" s="41">
        <f t="shared" si="8"/>
        <v>-3.1918312853858044E-2</v>
      </c>
      <c r="J39" s="41">
        <f t="shared" si="9"/>
        <v>-4.0249909888261493E-2</v>
      </c>
      <c r="K39" s="42">
        <f t="shared" si="0"/>
        <v>96.818510484454094</v>
      </c>
      <c r="L39" s="42">
        <f t="shared" si="1"/>
        <v>96.808168714614183</v>
      </c>
      <c r="M39" s="42">
        <f t="shared" si="2"/>
        <v>95.975009011173853</v>
      </c>
      <c r="N39" s="41">
        <f t="shared" si="10"/>
        <v>1.0682745038148589E-4</v>
      </c>
      <c r="O39" s="41">
        <f t="shared" si="11"/>
        <v>8.7887615950317244E-3</v>
      </c>
      <c r="P39" s="39">
        <f t="shared" si="12"/>
        <v>179.69954575652713</v>
      </c>
      <c r="Q39" s="42">
        <f t="shared" si="13"/>
        <v>0.96818510484454079</v>
      </c>
      <c r="R39" s="42">
        <f t="shared" si="14"/>
        <v>1</v>
      </c>
      <c r="S39" s="41">
        <f t="shared" si="15"/>
        <v>-3.1814895155459211E-2</v>
      </c>
      <c r="T39" s="41" t="str">
        <f>IFERROR(_xlfn.STDEV.S(#REF!)*SQRT($D$7),"")</f>
        <v/>
      </c>
      <c r="U39" s="41">
        <f t="shared" si="16"/>
        <v>-2.726273682903313E-2</v>
      </c>
      <c r="V39" s="41">
        <f t="shared" si="17"/>
        <v>-8.6572724670941348E-3</v>
      </c>
      <c r="W39" s="39">
        <f t="shared" si="3"/>
        <v>174.07</v>
      </c>
      <c r="X39" s="21"/>
    </row>
    <row r="40" spans="1:24" x14ac:dyDescent="0.2">
      <c r="A40" s="38">
        <v>44995</v>
      </c>
      <c r="B40" s="39">
        <v>169.29</v>
      </c>
      <c r="C40" s="39">
        <v>385.91</v>
      </c>
      <c r="D40" s="39">
        <v>39.090000000000003</v>
      </c>
      <c r="E40" s="41">
        <f t="shared" si="4"/>
        <v>-2.7460217154018474E-2</v>
      </c>
      <c r="F40" s="41">
        <f t="shared" si="5"/>
        <v>-1.4429461640616981E-2</v>
      </c>
      <c r="G40" s="41">
        <f t="shared" si="6"/>
        <v>-2.1281922884326399E-2</v>
      </c>
      <c r="H40" s="41">
        <f t="shared" si="7"/>
        <v>-5.8401468379776444E-2</v>
      </c>
      <c r="I40" s="41">
        <f t="shared" si="8"/>
        <v>-4.5887210423517066E-2</v>
      </c>
      <c r="J40" s="41">
        <f t="shared" si="9"/>
        <v>-6.0675237294244844E-2</v>
      </c>
      <c r="K40" s="42">
        <f t="shared" si="0"/>
        <v>94.159853162022358</v>
      </c>
      <c r="L40" s="42">
        <f t="shared" si="1"/>
        <v>95.411278957648278</v>
      </c>
      <c r="M40" s="42">
        <f t="shared" si="2"/>
        <v>93.932476270575521</v>
      </c>
      <c r="N40" s="41">
        <f t="shared" si="10"/>
        <v>-1.3116120120152952E-2</v>
      </c>
      <c r="O40" s="41">
        <f t="shared" si="11"/>
        <v>2.4206419384906752E-3</v>
      </c>
      <c r="P40" s="39">
        <f t="shared" si="12"/>
        <v>179.59596818681047</v>
      </c>
      <c r="Q40" s="42">
        <f t="shared" si="13"/>
        <v>0.94159853162022356</v>
      </c>
      <c r="R40" s="42">
        <f t="shared" si="14"/>
        <v>1</v>
      </c>
      <c r="S40" s="41">
        <f t="shared" si="15"/>
        <v>-5.8401468379776444E-2</v>
      </c>
      <c r="T40" s="41" t="str">
        <f>IFERROR(_xlfn.STDEV.S(#REF!)*SQRT($D$7),"")</f>
        <v/>
      </c>
      <c r="U40" s="41">
        <f t="shared" si="16"/>
        <v>-2.7615867016809736E-2</v>
      </c>
      <c r="V40" s="41">
        <f t="shared" si="17"/>
        <v>-1.3030755513401493E-2</v>
      </c>
      <c r="W40" s="39">
        <f t="shared" si="3"/>
        <v>169.29</v>
      </c>
      <c r="X40" s="21"/>
    </row>
    <row r="41" spans="1:24" x14ac:dyDescent="0.2">
      <c r="A41" s="38">
        <v>44998</v>
      </c>
      <c r="B41" s="39">
        <v>165.98</v>
      </c>
      <c r="C41" s="39">
        <v>385.36</v>
      </c>
      <c r="D41" s="39">
        <v>38.69</v>
      </c>
      <c r="E41" s="41">
        <f t="shared" si="4"/>
        <v>-1.9552247622423025E-2</v>
      </c>
      <c r="F41" s="41">
        <f t="shared" si="5"/>
        <v>-1.4252027674847012E-3</v>
      </c>
      <c r="G41" s="41">
        <f t="shared" si="6"/>
        <v>-1.0232796111537601E-2</v>
      </c>
      <c r="H41" s="41">
        <f t="shared" si="7"/>
        <v>-7.6811836030925007E-2</v>
      </c>
      <c r="I41" s="41">
        <f t="shared" si="8"/>
        <v>-4.7247014611713989E-2</v>
      </c>
      <c r="J41" s="41">
        <f t="shared" si="9"/>
        <v>-7.0287156073531309E-2</v>
      </c>
      <c r="K41" s="42">
        <f t="shared" si="0"/>
        <v>92.318816396907494</v>
      </c>
      <c r="L41" s="42">
        <f t="shared" si="1"/>
        <v>95.275298538828594</v>
      </c>
      <c r="M41" s="42">
        <f t="shared" si="2"/>
        <v>92.971284392646865</v>
      </c>
      <c r="N41" s="41">
        <f t="shared" si="10"/>
        <v>-3.1030940729261713E-2</v>
      </c>
      <c r="O41" s="41">
        <f t="shared" si="11"/>
        <v>-7.017951833211189E-3</v>
      </c>
      <c r="P41" s="39">
        <f t="shared" si="12"/>
        <v>179.46048591629494</v>
      </c>
      <c r="Q41" s="42">
        <f t="shared" si="13"/>
        <v>0.92318816396907499</v>
      </c>
      <c r="R41" s="42">
        <f t="shared" si="14"/>
        <v>1</v>
      </c>
      <c r="S41" s="41">
        <f t="shared" si="15"/>
        <v>-7.6811836030925007E-2</v>
      </c>
      <c r="T41" s="41" t="str">
        <f>IFERROR(_xlfn.STDEV.S(#REF!)*SQRT($D$7),"")</f>
        <v/>
      </c>
      <c r="U41" s="41">
        <f t="shared" si="16"/>
        <v>-1.9707897485214287E-2</v>
      </c>
      <c r="V41" s="41">
        <f t="shared" si="17"/>
        <v>-1.8127044854938323E-2</v>
      </c>
      <c r="W41" s="39">
        <f t="shared" si="3"/>
        <v>165.98</v>
      </c>
      <c r="X41" s="21"/>
    </row>
    <row r="42" spans="1:24" x14ac:dyDescent="0.2">
      <c r="A42" s="38">
        <v>44999</v>
      </c>
      <c r="B42" s="39">
        <v>167.51</v>
      </c>
      <c r="C42" s="39">
        <v>391.73</v>
      </c>
      <c r="D42" s="39">
        <v>39.185000000000002</v>
      </c>
      <c r="E42" s="41">
        <f t="shared" si="4"/>
        <v>9.2179780696468594E-3</v>
      </c>
      <c r="F42" s="41">
        <f t="shared" si="5"/>
        <v>1.6529997924019213E-2</v>
      </c>
      <c r="G42" s="41">
        <f t="shared" si="6"/>
        <v>1.2794003618506133E-2</v>
      </c>
      <c r="H42" s="41">
        <f t="shared" si="7"/>
        <v>-6.8301907781300519E-2</v>
      </c>
      <c r="I42" s="41">
        <f t="shared" si="8"/>
        <v>-3.1498009741142474E-2</v>
      </c>
      <c r="J42" s="41">
        <f t="shared" si="9"/>
        <v>-5.8392406584164447E-2</v>
      </c>
      <c r="K42" s="42">
        <f t="shared" si="0"/>
        <v>93.169809221869954</v>
      </c>
      <c r="L42" s="42">
        <f t="shared" si="1"/>
        <v>96.850199025885729</v>
      </c>
      <c r="M42" s="42">
        <f t="shared" si="2"/>
        <v>94.160759341583571</v>
      </c>
      <c r="N42" s="41">
        <f t="shared" si="10"/>
        <v>-3.8000849157079464E-2</v>
      </c>
      <c r="O42" s="41">
        <f t="shared" si="11"/>
        <v>-1.0524024303147028E-2</v>
      </c>
      <c r="P42" s="39">
        <f t="shared" si="12"/>
        <v>179.3415756086701</v>
      </c>
      <c r="Q42" s="42">
        <f t="shared" si="13"/>
        <v>0.93169809221869948</v>
      </c>
      <c r="R42" s="42">
        <f t="shared" si="14"/>
        <v>1</v>
      </c>
      <c r="S42" s="41">
        <f t="shared" si="15"/>
        <v>-6.8301907781300519E-2</v>
      </c>
      <c r="T42" s="41" t="str">
        <f>IFERROR(_xlfn.STDEV.S(#REF!)*SQRT($D$7),"")</f>
        <v/>
      </c>
      <c r="U42" s="41">
        <f t="shared" si="16"/>
        <v>0</v>
      </c>
      <c r="V42" s="41">
        <f t="shared" si="17"/>
        <v>-7.3120198543723536E-3</v>
      </c>
      <c r="W42" s="39">
        <f t="shared" si="3"/>
        <v>167.51</v>
      </c>
      <c r="X42" s="21"/>
    </row>
    <row r="43" spans="1:24" x14ac:dyDescent="0.2">
      <c r="A43" s="38">
        <v>45000</v>
      </c>
      <c r="B43" s="39">
        <v>162.81</v>
      </c>
      <c r="C43" s="39">
        <v>389.28</v>
      </c>
      <c r="D43" s="39">
        <v>37.914999999999999</v>
      </c>
      <c r="E43" s="41">
        <f t="shared" si="4"/>
        <v>-2.8058026386484358E-2</v>
      </c>
      <c r="F43" s="41">
        <f t="shared" si="5"/>
        <v>-6.2543078140556707E-3</v>
      </c>
      <c r="G43" s="41">
        <f t="shared" si="6"/>
        <v>-3.2410361107566787E-2</v>
      </c>
      <c r="H43" s="41">
        <f t="shared" si="7"/>
        <v>-9.4443517437009961E-2</v>
      </c>
      <c r="I43" s="41">
        <f t="shared" si="8"/>
        <v>-3.7555319306746937E-2</v>
      </c>
      <c r="J43" s="41">
        <f t="shared" si="9"/>
        <v>-8.8910248708398587E-2</v>
      </c>
      <c r="K43" s="42">
        <f t="shared" si="0"/>
        <v>90.555648256299023</v>
      </c>
      <c r="L43" s="42">
        <f t="shared" si="1"/>
        <v>96.244468069325279</v>
      </c>
      <c r="M43" s="42">
        <f t="shared" si="2"/>
        <v>91.108975129160157</v>
      </c>
      <c r="N43" s="41">
        <f t="shared" si="10"/>
        <v>-5.9108018644028704E-2</v>
      </c>
      <c r="O43" s="41">
        <f t="shared" si="11"/>
        <v>-6.0732422033802358E-3</v>
      </c>
      <c r="P43" s="39">
        <f t="shared" si="12"/>
        <v>179.1770823190316</v>
      </c>
      <c r="Q43" s="42">
        <f t="shared" si="13"/>
        <v>0.90555648256299004</v>
      </c>
      <c r="R43" s="42">
        <f t="shared" si="14"/>
        <v>1</v>
      </c>
      <c r="S43" s="41">
        <f t="shared" si="15"/>
        <v>-9.4443517437009961E-2</v>
      </c>
      <c r="T43" s="41" t="str">
        <f>IFERROR(_xlfn.STDEV.S(#REF!)*SQRT($D$7),"")</f>
        <v/>
      </c>
      <c r="U43" s="41">
        <f t="shared" si="16"/>
        <v>-2.8213676249275621E-2</v>
      </c>
      <c r="V43" s="41">
        <f t="shared" si="17"/>
        <v>-2.1803718572428687E-2</v>
      </c>
      <c r="W43" s="39">
        <f t="shared" si="3"/>
        <v>162.81</v>
      </c>
      <c r="X43" s="21"/>
    </row>
    <row r="44" spans="1:24" x14ac:dyDescent="0.2">
      <c r="A44" s="38">
        <v>45001</v>
      </c>
      <c r="B44" s="39">
        <v>166.21</v>
      </c>
      <c r="C44" s="39">
        <v>396.11</v>
      </c>
      <c r="D44" s="39">
        <v>38.35</v>
      </c>
      <c r="E44" s="41">
        <f t="shared" si="4"/>
        <v>2.0883238130336101E-2</v>
      </c>
      <c r="F44" s="41">
        <f t="shared" si="5"/>
        <v>1.7545211672832073E-2</v>
      </c>
      <c r="G44" s="41">
        <f t="shared" si="6"/>
        <v>1.1473031781616738E-2</v>
      </c>
      <c r="H44" s="41">
        <f t="shared" si="7"/>
        <v>-7.5532565771177507E-2</v>
      </c>
      <c r="I44" s="41">
        <f t="shared" si="8"/>
        <v>-2.0669023660592534E-2</v>
      </c>
      <c r="J44" s="41">
        <f t="shared" si="9"/>
        <v>-7.8457287035924805E-2</v>
      </c>
      <c r="K44" s="42">
        <f t="shared" si="0"/>
        <v>92.446743422882264</v>
      </c>
      <c r="L44" s="42">
        <f t="shared" si="1"/>
        <v>97.933097633940719</v>
      </c>
      <c r="M44" s="42">
        <f t="shared" si="2"/>
        <v>92.154271296407543</v>
      </c>
      <c r="N44" s="41">
        <f t="shared" si="10"/>
        <v>-5.6021450802727246E-2</v>
      </c>
      <c r="O44" s="41">
        <f t="shared" si="11"/>
        <v>3.1737229578217008E-3</v>
      </c>
      <c r="P44" s="39">
        <f t="shared" si="12"/>
        <v>179.04805662431488</v>
      </c>
      <c r="Q44" s="42">
        <f t="shared" si="13"/>
        <v>0.92446743422882249</v>
      </c>
      <c r="R44" s="42">
        <f t="shared" si="14"/>
        <v>1</v>
      </c>
      <c r="S44" s="41">
        <f t="shared" si="15"/>
        <v>-7.5532565771177507E-2</v>
      </c>
      <c r="T44" s="41" t="str">
        <f>IFERROR(_xlfn.STDEV.S(#REF!)*SQRT($D$7),"")</f>
        <v/>
      </c>
      <c r="U44" s="41">
        <f t="shared" si="16"/>
        <v>0</v>
      </c>
      <c r="V44" s="41">
        <f t="shared" si="17"/>
        <v>3.3380264575040286E-3</v>
      </c>
      <c r="W44" s="39">
        <f t="shared" si="3"/>
        <v>166.21</v>
      </c>
      <c r="X44" s="21"/>
    </row>
    <row r="45" spans="1:24" x14ac:dyDescent="0.2">
      <c r="A45" s="38">
        <v>45002</v>
      </c>
      <c r="B45" s="39">
        <v>161.02000000000001</v>
      </c>
      <c r="C45" s="39">
        <v>389.99</v>
      </c>
      <c r="D45" s="39">
        <v>37.755000000000003</v>
      </c>
      <c r="E45" s="41">
        <f t="shared" si="4"/>
        <v>-3.1225558028999401E-2</v>
      </c>
      <c r="F45" s="41">
        <f t="shared" si="5"/>
        <v>-1.5450253717401718E-2</v>
      </c>
      <c r="G45" s="41">
        <f t="shared" si="6"/>
        <v>-1.5514993481095196E-2</v>
      </c>
      <c r="H45" s="41">
        <f t="shared" si="7"/>
        <v>-0.1043995772846098</v>
      </c>
      <c r="I45" s="41">
        <f t="shared" si="8"/>
        <v>-3.5799935718347164E-2</v>
      </c>
      <c r="J45" s="41">
        <f t="shared" si="9"/>
        <v>-9.2755016220113173E-2</v>
      </c>
      <c r="K45" s="42">
        <f t="shared" si="0"/>
        <v>89.560042271539032</v>
      </c>
      <c r="L45" s="42">
        <f t="shared" si="1"/>
        <v>96.420006428165252</v>
      </c>
      <c r="M45" s="42">
        <f t="shared" si="2"/>
        <v>90.724498377988709</v>
      </c>
      <c r="N45" s="41">
        <f t="shared" si="10"/>
        <v>-7.1146688438950334E-2</v>
      </c>
      <c r="O45" s="41">
        <f t="shared" si="11"/>
        <v>-1.2835079027917584E-2</v>
      </c>
      <c r="P45" s="39">
        <f t="shared" si="12"/>
        <v>178.86867297631176</v>
      </c>
      <c r="Q45" s="42">
        <f t="shared" si="13"/>
        <v>0.8956004227153902</v>
      </c>
      <c r="R45" s="42">
        <f t="shared" si="14"/>
        <v>1</v>
      </c>
      <c r="S45" s="41">
        <f t="shared" si="15"/>
        <v>-0.1043995772846098</v>
      </c>
      <c r="T45" s="41" t="str">
        <f>IFERROR(_xlfn.STDEV.S(#REF!)*SQRT($D$7),"")</f>
        <v/>
      </c>
      <c r="U45" s="41">
        <f t="shared" si="16"/>
        <v>-3.1381207891790663E-2</v>
      </c>
      <c r="V45" s="41">
        <f t="shared" si="17"/>
        <v>-1.5775304311597682E-2</v>
      </c>
      <c r="W45" s="39">
        <f t="shared" si="3"/>
        <v>161.02000000000001</v>
      </c>
      <c r="X45" s="21"/>
    </row>
    <row r="46" spans="1:24" x14ac:dyDescent="0.2">
      <c r="A46" s="38">
        <v>45005</v>
      </c>
      <c r="B46" s="39">
        <v>163.27000000000001</v>
      </c>
      <c r="C46" s="39">
        <v>393.74</v>
      </c>
      <c r="D46" s="39">
        <v>38.365000000000002</v>
      </c>
      <c r="E46" s="41">
        <f t="shared" si="4"/>
        <v>1.3973419450999947E-2</v>
      </c>
      <c r="F46" s="41">
        <f t="shared" si="5"/>
        <v>9.6156311700299479E-3</v>
      </c>
      <c r="G46" s="41">
        <f t="shared" si="6"/>
        <v>1.6156800423784867E-2</v>
      </c>
      <c r="H46" s="41">
        <f t="shared" si="7"/>
        <v>-9.1884976917514849E-2</v>
      </c>
      <c r="I46" s="41">
        <f t="shared" si="8"/>
        <v>-2.6528543526095572E-2</v>
      </c>
      <c r="J46" s="41">
        <f t="shared" si="9"/>
        <v>-7.8096840081701591E-2</v>
      </c>
      <c r="K46" s="42">
        <f t="shared" si="0"/>
        <v>90.811502308248521</v>
      </c>
      <c r="L46" s="42">
        <f t="shared" si="1"/>
        <v>97.347145647390406</v>
      </c>
      <c r="M46" s="42">
        <f t="shared" si="2"/>
        <v>92.190315991829877</v>
      </c>
      <c r="N46" s="41">
        <f t="shared" si="10"/>
        <v>-6.7137493304788354E-2</v>
      </c>
      <c r="O46" s="41">
        <f t="shared" si="11"/>
        <v>-1.495616615202322E-2</v>
      </c>
      <c r="P46" s="39">
        <f t="shared" si="12"/>
        <v>178.71346229993057</v>
      </c>
      <c r="Q46" s="42">
        <f t="shared" si="13"/>
        <v>0.90811502308248515</v>
      </c>
      <c r="R46" s="42">
        <f t="shared" si="14"/>
        <v>1</v>
      </c>
      <c r="S46" s="41">
        <f t="shared" si="15"/>
        <v>-9.1884976917514849E-2</v>
      </c>
      <c r="T46" s="41" t="str">
        <f>IFERROR(_xlfn.STDEV.S(#REF!)*SQRT($D$7),"")</f>
        <v/>
      </c>
      <c r="U46" s="41">
        <f t="shared" si="16"/>
        <v>0</v>
      </c>
      <c r="V46" s="41">
        <f t="shared" si="17"/>
        <v>4.3577882809699986E-3</v>
      </c>
      <c r="W46" s="39">
        <f t="shared" si="3"/>
        <v>163.27000000000001</v>
      </c>
      <c r="X46" s="21"/>
    </row>
    <row r="47" spans="1:24" x14ac:dyDescent="0.2">
      <c r="A47" s="38">
        <v>45006</v>
      </c>
      <c r="B47" s="39">
        <v>166.14</v>
      </c>
      <c r="C47" s="39">
        <v>398.91</v>
      </c>
      <c r="D47" s="39">
        <v>38.83</v>
      </c>
      <c r="E47" s="41">
        <f t="shared" si="4"/>
        <v>1.7578244625466866E-2</v>
      </c>
      <c r="F47" s="41">
        <f t="shared" si="5"/>
        <v>1.3130492202976685E-2</v>
      </c>
      <c r="G47" s="41">
        <f t="shared" si="6"/>
        <v>1.2120422259872088E-2</v>
      </c>
      <c r="H47" s="41">
        <f t="shared" si="7"/>
        <v>-7.5921908893709422E-2</v>
      </c>
      <c r="I47" s="41">
        <f t="shared" si="8"/>
        <v>-1.3746384157044655E-2</v>
      </c>
      <c r="J47" s="41">
        <f t="shared" si="9"/>
        <v>-6.692298450078138E-2</v>
      </c>
      <c r="K47" s="42">
        <f t="shared" si="0"/>
        <v>92.407809110629074</v>
      </c>
      <c r="L47" s="42">
        <f t="shared" si="1"/>
        <v>98.625361584295504</v>
      </c>
      <c r="M47" s="42">
        <f t="shared" si="2"/>
        <v>93.307701549921902</v>
      </c>
      <c r="N47" s="41">
        <f t="shared" si="10"/>
        <v>-6.3042126018998723E-2</v>
      </c>
      <c r="O47" s="41">
        <f t="shared" si="11"/>
        <v>-9.644353299296915E-3</v>
      </c>
      <c r="P47" s="39">
        <f t="shared" si="12"/>
        <v>178.58835322231934</v>
      </c>
      <c r="Q47" s="42">
        <f t="shared" si="13"/>
        <v>0.92407809110629058</v>
      </c>
      <c r="R47" s="42">
        <f t="shared" si="14"/>
        <v>1</v>
      </c>
      <c r="S47" s="41">
        <f t="shared" si="15"/>
        <v>-7.5921908893709422E-2</v>
      </c>
      <c r="T47" s="41" t="str">
        <f>IFERROR(_xlfn.STDEV.S(#REF!)*SQRT($D$7),"")</f>
        <v/>
      </c>
      <c r="U47" s="41">
        <f t="shared" si="16"/>
        <v>0</v>
      </c>
      <c r="V47" s="41">
        <f t="shared" si="17"/>
        <v>4.447752422490181E-3</v>
      </c>
      <c r="W47" s="39">
        <f t="shared" si="3"/>
        <v>166.14</v>
      </c>
      <c r="X47" s="21"/>
    </row>
    <row r="48" spans="1:24" x14ac:dyDescent="0.2">
      <c r="A48" s="38">
        <v>45007</v>
      </c>
      <c r="B48" s="39">
        <v>163.71</v>
      </c>
      <c r="C48" s="39">
        <v>392.11</v>
      </c>
      <c r="D48" s="39">
        <v>38.14</v>
      </c>
      <c r="E48" s="41">
        <f t="shared" si="4"/>
        <v>-1.4626218851570782E-2</v>
      </c>
      <c r="F48" s="41">
        <f t="shared" si="5"/>
        <v>-1.7046451580557065E-2</v>
      </c>
      <c r="G48" s="41">
        <f t="shared" si="6"/>
        <v>-1.7769765645119673E-2</v>
      </c>
      <c r="H48" s="41">
        <f t="shared" si="7"/>
        <v>-8.9437677290171824E-2</v>
      </c>
      <c r="I48" s="41">
        <f t="shared" si="8"/>
        <v>-3.05585086656609E-2</v>
      </c>
      <c r="J48" s="41">
        <f t="shared" si="9"/>
        <v>-8.3503544395050144E-2</v>
      </c>
      <c r="K48" s="42">
        <f t="shared" si="0"/>
        <v>91.056232270982818</v>
      </c>
      <c r="L48" s="42">
        <f t="shared" si="1"/>
        <v>96.944149133433882</v>
      </c>
      <c r="M48" s="42">
        <f t="shared" si="2"/>
        <v>91.649645560495003</v>
      </c>
      <c r="N48" s="41">
        <f t="shared" si="10"/>
        <v>-6.0735144050281575E-2</v>
      </c>
      <c r="O48" s="41">
        <f t="shared" si="11"/>
        <v>-6.474801794192131E-3</v>
      </c>
      <c r="P48" s="39">
        <f t="shared" si="12"/>
        <v>178.4403099066744</v>
      </c>
      <c r="Q48" s="42">
        <f t="shared" si="13"/>
        <v>0.91056232270982818</v>
      </c>
      <c r="R48" s="42">
        <f t="shared" si="14"/>
        <v>1</v>
      </c>
      <c r="S48" s="41">
        <f t="shared" si="15"/>
        <v>-8.9437677290171824E-2</v>
      </c>
      <c r="T48" s="41" t="str">
        <f>IFERROR(_xlfn.STDEV.S(#REF!)*SQRT($D$7),"")</f>
        <v/>
      </c>
      <c r="U48" s="41">
        <f t="shared" si="16"/>
        <v>-1.4781868714362045E-2</v>
      </c>
      <c r="V48" s="41">
        <f t="shared" si="17"/>
        <v>2.4202327289862824E-3</v>
      </c>
      <c r="W48" s="39">
        <f t="shared" si="3"/>
        <v>163.71</v>
      </c>
      <c r="X48" s="21"/>
    </row>
    <row r="49" spans="1:24" x14ac:dyDescent="0.2">
      <c r="A49" s="38">
        <v>45008</v>
      </c>
      <c r="B49" s="39">
        <v>164.5</v>
      </c>
      <c r="C49" s="39">
        <v>393.17</v>
      </c>
      <c r="D49" s="39">
        <v>38.094999999999999</v>
      </c>
      <c r="E49" s="41">
        <f t="shared" si="4"/>
        <v>4.8256062549629775E-3</v>
      </c>
      <c r="F49" s="41">
        <f t="shared" si="5"/>
        <v>2.7033230471040781E-3</v>
      </c>
      <c r="G49" s="41">
        <f t="shared" si="6"/>
        <v>-1.1798636601992873E-3</v>
      </c>
      <c r="H49" s="41">
        <f t="shared" si="7"/>
        <v>-8.5043662050169666E-2</v>
      </c>
      <c r="I49" s="41">
        <f t="shared" si="8"/>
        <v>-2.7937795139317823E-2</v>
      </c>
      <c r="J49" s="41">
        <f t="shared" si="9"/>
        <v>-8.45848852577199E-2</v>
      </c>
      <c r="K49" s="42">
        <f t="shared" si="0"/>
        <v>91.49563379498305</v>
      </c>
      <c r="L49" s="42">
        <f t="shared" si="1"/>
        <v>97.20622048606819</v>
      </c>
      <c r="M49" s="42">
        <f t="shared" si="2"/>
        <v>91.541511474228031</v>
      </c>
      <c r="N49" s="41">
        <f t="shared" si="10"/>
        <v>-5.8747132256866563E-2</v>
      </c>
      <c r="O49" s="41">
        <f t="shared" si="11"/>
        <v>-5.011680330173629E-4</v>
      </c>
      <c r="P49" s="39">
        <f t="shared" si="12"/>
        <v>178.30160035536423</v>
      </c>
      <c r="Q49" s="42">
        <f t="shared" si="13"/>
        <v>0.91495633794983033</v>
      </c>
      <c r="R49" s="42">
        <f t="shared" si="14"/>
        <v>1</v>
      </c>
      <c r="S49" s="41">
        <f t="shared" si="15"/>
        <v>-8.5043662050169666E-2</v>
      </c>
      <c r="T49" s="41" t="str">
        <f>IFERROR(_xlfn.STDEV.S(#REF!)*SQRT($D$7),"")</f>
        <v/>
      </c>
      <c r="U49" s="41">
        <f t="shared" si="16"/>
        <v>0</v>
      </c>
      <c r="V49" s="41">
        <f t="shared" si="17"/>
        <v>2.1222832078588993E-3</v>
      </c>
      <c r="W49" s="39">
        <f t="shared" si="3"/>
        <v>164.5</v>
      </c>
      <c r="X49" s="21"/>
    </row>
    <row r="50" spans="1:24" x14ac:dyDescent="0.2">
      <c r="A50" s="38">
        <v>45009</v>
      </c>
      <c r="B50" s="39">
        <v>166.2</v>
      </c>
      <c r="C50" s="39">
        <v>395.75</v>
      </c>
      <c r="D50" s="39">
        <v>38.405000000000001</v>
      </c>
      <c r="E50" s="41">
        <f t="shared" si="4"/>
        <v>1.0334346504559111E-2</v>
      </c>
      <c r="F50" s="41">
        <f t="shared" si="5"/>
        <v>6.5620469517002622E-3</v>
      </c>
      <c r="G50" s="41">
        <f t="shared" si="6"/>
        <v>8.1375508596930324E-3</v>
      </c>
      <c r="H50" s="41">
        <f t="shared" si="7"/>
        <v>-7.5588186217253606E-2</v>
      </c>
      <c r="I50" s="41">
        <f t="shared" si="8"/>
        <v>-2.155907731104878E-2</v>
      </c>
      <c r="J50" s="41">
        <f t="shared" si="9"/>
        <v>-7.7135648203772833E-2</v>
      </c>
      <c r="K50" s="42">
        <f t="shared" si="0"/>
        <v>92.441181378274649</v>
      </c>
      <c r="L50" s="42">
        <f t="shared" si="1"/>
        <v>97.844092268895082</v>
      </c>
      <c r="M50" s="42">
        <f t="shared" si="2"/>
        <v>92.286435179622728</v>
      </c>
      <c r="N50" s="41">
        <f t="shared" si="10"/>
        <v>-5.5219592367132475E-2</v>
      </c>
      <c r="O50" s="41">
        <f t="shared" si="11"/>
        <v>1.6768032956384626E-3</v>
      </c>
      <c r="P50" s="39">
        <f t="shared" si="12"/>
        <v>178.18118642147999</v>
      </c>
      <c r="Q50" s="42">
        <f t="shared" si="13"/>
        <v>0.92441181378274639</v>
      </c>
      <c r="R50" s="42">
        <f t="shared" si="14"/>
        <v>1</v>
      </c>
      <c r="S50" s="41">
        <f t="shared" si="15"/>
        <v>-7.5588186217253606E-2</v>
      </c>
      <c r="T50" s="41" t="str">
        <f>IFERROR(_xlfn.STDEV.S(#REF!)*SQRT($D$7),"")</f>
        <v/>
      </c>
      <c r="U50" s="41">
        <f t="shared" si="16"/>
        <v>0</v>
      </c>
      <c r="V50" s="41">
        <f t="shared" si="17"/>
        <v>3.7722995528588488E-3</v>
      </c>
      <c r="W50" s="39">
        <f t="shared" si="3"/>
        <v>166.2</v>
      </c>
      <c r="X50" s="21"/>
    </row>
    <row r="51" spans="1:24" x14ac:dyDescent="0.2">
      <c r="A51" s="38">
        <v>45012</v>
      </c>
      <c r="B51" s="39">
        <v>165.8</v>
      </c>
      <c r="C51" s="39">
        <v>396.49</v>
      </c>
      <c r="D51" s="39">
        <v>38.69</v>
      </c>
      <c r="E51" s="41">
        <f t="shared" si="4"/>
        <v>-2.4067388688325808E-3</v>
      </c>
      <c r="F51" s="41">
        <f t="shared" si="5"/>
        <v>1.8698673404926591E-3</v>
      </c>
      <c r="G51" s="41">
        <f t="shared" si="6"/>
        <v>7.4209087358416692E-3</v>
      </c>
      <c r="H51" s="41">
        <f t="shared" si="7"/>
        <v>-7.7813004060292568E-2</v>
      </c>
      <c r="I51" s="41">
        <f t="shared" si="8"/>
        <v>-1.9729522585111181E-2</v>
      </c>
      <c r="J51" s="41">
        <f t="shared" si="9"/>
        <v>-7.0287156073531309E-2</v>
      </c>
      <c r="K51" s="42">
        <f t="shared" si="0"/>
        <v>92.218699593970754</v>
      </c>
      <c r="L51" s="42">
        <f t="shared" si="1"/>
        <v>98.027047741488857</v>
      </c>
      <c r="M51" s="42">
        <f t="shared" si="2"/>
        <v>92.971284392646865</v>
      </c>
      <c r="N51" s="41">
        <f t="shared" si="10"/>
        <v>-5.9252505113033371E-2</v>
      </c>
      <c r="O51" s="41">
        <f t="shared" si="11"/>
        <v>-8.0948090971586506E-3</v>
      </c>
      <c r="P51" s="39">
        <f t="shared" si="12"/>
        <v>178.05799053668915</v>
      </c>
      <c r="Q51" s="42">
        <f t="shared" si="13"/>
        <v>0.92218699593970743</v>
      </c>
      <c r="R51" s="42">
        <f t="shared" si="14"/>
        <v>1</v>
      </c>
      <c r="S51" s="41">
        <f t="shared" si="15"/>
        <v>-7.7813004060292568E-2</v>
      </c>
      <c r="T51" s="41" t="str">
        <f>IFERROR(_xlfn.STDEV.S(#REF!)*SQRT($D$7),"")</f>
        <v/>
      </c>
      <c r="U51" s="41">
        <f t="shared" si="16"/>
        <v>-2.5623887316238436E-3</v>
      </c>
      <c r="V51" s="41">
        <f t="shared" si="17"/>
        <v>-4.2766062093252399E-3</v>
      </c>
      <c r="W51" s="39">
        <f t="shared" si="3"/>
        <v>165.8</v>
      </c>
      <c r="X51" s="21"/>
    </row>
    <row r="52" spans="1:24" x14ac:dyDescent="0.2">
      <c r="A52" s="38">
        <v>45013</v>
      </c>
      <c r="B52" s="39">
        <v>168.04</v>
      </c>
      <c r="C52" s="39">
        <v>395.6</v>
      </c>
      <c r="D52" s="39">
        <v>38.875</v>
      </c>
      <c r="E52" s="41">
        <f t="shared" si="4"/>
        <v>1.3510253317249532E-2</v>
      </c>
      <c r="F52" s="41">
        <f t="shared" si="5"/>
        <v>-2.2446972180887315E-3</v>
      </c>
      <c r="G52" s="41">
        <f t="shared" si="6"/>
        <v>4.7815973119669231E-3</v>
      </c>
      <c r="H52" s="41">
        <f t="shared" si="7"/>
        <v>-6.5354024139273714E-2</v>
      </c>
      <c r="I52" s="41">
        <f t="shared" si="8"/>
        <v>-2.192993299873891E-2</v>
      </c>
      <c r="J52" s="41">
        <f t="shared" si="9"/>
        <v>-6.5841643638111402E-2</v>
      </c>
      <c r="K52" s="42">
        <f t="shared" si="0"/>
        <v>93.464597586072642</v>
      </c>
      <c r="L52" s="42">
        <f t="shared" si="1"/>
        <v>97.807006700126081</v>
      </c>
      <c r="M52" s="42">
        <f t="shared" si="2"/>
        <v>93.415835636188874</v>
      </c>
      <c r="N52" s="41">
        <f t="shared" si="10"/>
        <v>-4.4397730393357149E-2</v>
      </c>
      <c r="O52" s="41">
        <f t="shared" si="11"/>
        <v>5.2198805000980286E-4</v>
      </c>
      <c r="P52" s="39">
        <f t="shared" si="12"/>
        <v>177.95830903881168</v>
      </c>
      <c r="Q52" s="42">
        <f t="shared" si="13"/>
        <v>0.93464597586072629</v>
      </c>
      <c r="R52" s="42">
        <f t="shared" si="14"/>
        <v>1</v>
      </c>
      <c r="S52" s="41">
        <f t="shared" si="15"/>
        <v>-6.5354024139273714E-2</v>
      </c>
      <c r="T52" s="41" t="str">
        <f>IFERROR(_xlfn.STDEV.S(#REF!)*SQRT($D$7),"")</f>
        <v/>
      </c>
      <c r="U52" s="41">
        <f t="shared" si="16"/>
        <v>0</v>
      </c>
      <c r="V52" s="41">
        <f t="shared" si="17"/>
        <v>1.5754950535338264E-2</v>
      </c>
      <c r="W52" s="39">
        <f t="shared" si="3"/>
        <v>168.04</v>
      </c>
      <c r="X52" s="21"/>
    </row>
    <row r="53" spans="1:24" x14ac:dyDescent="0.2">
      <c r="A53" s="38">
        <v>45014</v>
      </c>
      <c r="B53" s="39">
        <v>169.99</v>
      </c>
      <c r="C53" s="39">
        <v>401.35</v>
      </c>
      <c r="D53" s="39">
        <v>39.414999999999999</v>
      </c>
      <c r="E53" s="41">
        <f t="shared" si="4"/>
        <v>1.1604379909545548E-2</v>
      </c>
      <c r="F53" s="41">
        <f t="shared" si="5"/>
        <v>1.4534883720930258E-2</v>
      </c>
      <c r="G53" s="41">
        <f t="shared" si="6"/>
        <v>1.3890675241157613E-2</v>
      </c>
      <c r="H53" s="41">
        <f t="shared" si="7"/>
        <v>-5.4508037154457956E-2</v>
      </c>
      <c r="I53" s="41">
        <f t="shared" si="8"/>
        <v>-7.7137983039531344E-3</v>
      </c>
      <c r="J53" s="41">
        <f t="shared" si="9"/>
        <v>-5.2865553286074785E-2</v>
      </c>
      <c r="K53" s="42">
        <f t="shared" si="0"/>
        <v>94.549196284554213</v>
      </c>
      <c r="L53" s="42">
        <f t="shared" si="1"/>
        <v>99.228620169604667</v>
      </c>
      <c r="M53" s="42">
        <f t="shared" si="2"/>
        <v>94.713444671392523</v>
      </c>
      <c r="N53" s="41">
        <f t="shared" si="10"/>
        <v>-4.7158006198738445E-2</v>
      </c>
      <c r="O53" s="41">
        <f t="shared" si="11"/>
        <v>-1.7341612630411563E-3</v>
      </c>
      <c r="P53" s="39">
        <f t="shared" si="12"/>
        <v>177.87902238170906</v>
      </c>
      <c r="Q53" s="42">
        <f t="shared" si="13"/>
        <v>0.94549196284554204</v>
      </c>
      <c r="R53" s="42">
        <f t="shared" si="14"/>
        <v>1</v>
      </c>
      <c r="S53" s="41">
        <f t="shared" si="15"/>
        <v>-5.4508037154457956E-2</v>
      </c>
      <c r="T53" s="41" t="str">
        <f>IFERROR(_xlfn.STDEV.S(#REF!)*SQRT($D$7),"")</f>
        <v/>
      </c>
      <c r="U53" s="41">
        <f t="shared" si="16"/>
        <v>0</v>
      </c>
      <c r="V53" s="41">
        <f t="shared" si="17"/>
        <v>-2.9305038113847104E-3</v>
      </c>
      <c r="W53" s="39">
        <f t="shared" si="3"/>
        <v>169.99</v>
      </c>
      <c r="X53" s="21"/>
    </row>
    <row r="54" spans="1:24" x14ac:dyDescent="0.2">
      <c r="A54" s="38">
        <v>45015</v>
      </c>
      <c r="B54" s="39">
        <v>170.14</v>
      </c>
      <c r="C54" s="39">
        <v>403.7</v>
      </c>
      <c r="D54" s="39">
        <v>39.685000000000002</v>
      </c>
      <c r="E54" s="41">
        <f t="shared" si="4"/>
        <v>8.8240484734392055E-4</v>
      </c>
      <c r="F54" s="41">
        <f t="shared" si="5"/>
        <v>5.8552385698267262E-3</v>
      </c>
      <c r="G54" s="41">
        <f t="shared" si="6"/>
        <v>6.8501839401244879E-3</v>
      </c>
      <c r="H54" s="41">
        <f t="shared" si="7"/>
        <v>-5.3673730463318359E-2</v>
      </c>
      <c r="I54" s="41">
        <f t="shared" si="8"/>
        <v>-1.9037258634755361E-3</v>
      </c>
      <c r="J54" s="41">
        <f t="shared" si="9"/>
        <v>-4.6377508110056365E-2</v>
      </c>
      <c r="K54" s="42">
        <f t="shared" si="0"/>
        <v>94.632626953668165</v>
      </c>
      <c r="L54" s="42">
        <f t="shared" si="1"/>
        <v>99.809627413652422</v>
      </c>
      <c r="M54" s="42">
        <f t="shared" si="2"/>
        <v>95.362249188994355</v>
      </c>
      <c r="N54" s="41">
        <f t="shared" si="10"/>
        <v>-5.1868748477826188E-2</v>
      </c>
      <c r="O54" s="41">
        <f t="shared" si="11"/>
        <v>-7.6510594237368945E-3</v>
      </c>
      <c r="P54" s="39">
        <f t="shared" si="12"/>
        <v>177.80201718388113</v>
      </c>
      <c r="Q54" s="42">
        <f t="shared" si="13"/>
        <v>0.94632626953668164</v>
      </c>
      <c r="R54" s="42">
        <f t="shared" si="14"/>
        <v>1</v>
      </c>
      <c r="S54" s="41">
        <f t="shared" si="15"/>
        <v>-5.3673730463318359E-2</v>
      </c>
      <c r="T54" s="41" t="str">
        <f>IFERROR(_xlfn.STDEV.S(#REF!)*SQRT($D$7),"")</f>
        <v/>
      </c>
      <c r="U54" s="41">
        <f t="shared" si="16"/>
        <v>0</v>
      </c>
      <c r="V54" s="41">
        <f t="shared" si="17"/>
        <v>-4.9728337224828056E-3</v>
      </c>
      <c r="W54" s="39">
        <f t="shared" si="3"/>
        <v>170.14</v>
      </c>
      <c r="X54" s="21"/>
    </row>
    <row r="55" spans="1:24" x14ac:dyDescent="0.2">
      <c r="A55" s="38">
        <v>45016</v>
      </c>
      <c r="B55" s="39">
        <v>171.56</v>
      </c>
      <c r="C55" s="39">
        <v>409.39</v>
      </c>
      <c r="D55" s="39">
        <v>40.33</v>
      </c>
      <c r="E55" s="41">
        <f t="shared" si="4"/>
        <v>8.3460679440461316E-3</v>
      </c>
      <c r="F55" s="41">
        <f t="shared" si="5"/>
        <v>1.4094624721327609E-2</v>
      </c>
      <c r="G55" s="41">
        <f t="shared" si="6"/>
        <v>1.62529923144763E-2</v>
      </c>
      <c r="H55" s="41">
        <f t="shared" si="7"/>
        <v>-4.5775627120529516E-2</v>
      </c>
      <c r="I55" s="41">
        <f t="shared" si="8"/>
        <v>1.2164066556234143E-2</v>
      </c>
      <c r="J55" s="41">
        <f t="shared" si="9"/>
        <v>-3.0878289078457355E-2</v>
      </c>
      <c r="K55" s="42">
        <f t="shared" si="0"/>
        <v>95.422437287947062</v>
      </c>
      <c r="L55" s="42">
        <f t="shared" si="1"/>
        <v>101.21640665562339</v>
      </c>
      <c r="M55" s="42">
        <f t="shared" si="2"/>
        <v>96.912171092154267</v>
      </c>
      <c r="N55" s="41">
        <f t="shared" si="10"/>
        <v>-5.7243381375804425E-2</v>
      </c>
      <c r="O55" s="41">
        <f t="shared" si="11"/>
        <v>-1.537199907316722E-2</v>
      </c>
      <c r="P55" s="39">
        <f t="shared" si="12"/>
        <v>177.73990756016093</v>
      </c>
      <c r="Q55" s="42">
        <f t="shared" si="13"/>
        <v>0.95422437287947048</v>
      </c>
      <c r="R55" s="42">
        <f t="shared" si="14"/>
        <v>1</v>
      </c>
      <c r="S55" s="41">
        <f t="shared" si="15"/>
        <v>-4.5775627120529516E-2</v>
      </c>
      <c r="T55" s="41" t="str">
        <f>IFERROR(_xlfn.STDEV.S(#REF!)*SQRT($D$7),"")</f>
        <v/>
      </c>
      <c r="U55" s="41">
        <f t="shared" si="16"/>
        <v>0</v>
      </c>
      <c r="V55" s="41">
        <f t="shared" si="17"/>
        <v>-5.7485567772814772E-3</v>
      </c>
      <c r="W55" s="39">
        <f t="shared" si="3"/>
        <v>171.56</v>
      </c>
      <c r="X55" s="21"/>
    </row>
    <row r="56" spans="1:24" x14ac:dyDescent="0.2">
      <c r="A56" s="38">
        <v>45019</v>
      </c>
      <c r="B56" s="39">
        <v>172.93</v>
      </c>
      <c r="C56" s="39">
        <v>410.95</v>
      </c>
      <c r="D56" s="39">
        <v>40.585000000000001</v>
      </c>
      <c r="E56" s="41">
        <f t="shared" si="4"/>
        <v>7.9855444159477873E-3</v>
      </c>
      <c r="F56" s="41">
        <f t="shared" si="5"/>
        <v>3.8105473997900319E-3</v>
      </c>
      <c r="G56" s="41">
        <f t="shared" si="6"/>
        <v>6.322836598066095E-3</v>
      </c>
      <c r="H56" s="41">
        <f t="shared" si="7"/>
        <v>-3.8155626008120613E-2</v>
      </c>
      <c r="I56" s="41">
        <f t="shared" si="8"/>
        <v>1.6020965708210877E-2</v>
      </c>
      <c r="J56" s="41">
        <f t="shared" si="9"/>
        <v>-2.475069085666215E-2</v>
      </c>
      <c r="K56" s="42">
        <f t="shared" si="0"/>
        <v>96.184437399187956</v>
      </c>
      <c r="L56" s="42">
        <f t="shared" si="1"/>
        <v>101.60209657082106</v>
      </c>
      <c r="M56" s="42">
        <f t="shared" si="2"/>
        <v>97.52493091433378</v>
      </c>
      <c r="N56" s="41">
        <f t="shared" si="10"/>
        <v>-5.3322316708856565E-2</v>
      </c>
      <c r="O56" s="41">
        <f t="shared" si="11"/>
        <v>-1.3745136782750911E-2</v>
      </c>
      <c r="P56" s="39">
        <f t="shared" si="12"/>
        <v>177.69204778344292</v>
      </c>
      <c r="Q56" s="42">
        <f t="shared" si="13"/>
        <v>0.96184437399187939</v>
      </c>
      <c r="R56" s="42">
        <f t="shared" si="14"/>
        <v>1</v>
      </c>
      <c r="S56" s="41">
        <f t="shared" si="15"/>
        <v>-3.8155626008120613E-2</v>
      </c>
      <c r="T56" s="41" t="str">
        <f>IFERROR(_xlfn.STDEV.S(#REF!)*SQRT($D$7),"")</f>
        <v/>
      </c>
      <c r="U56" s="41">
        <f t="shared" si="16"/>
        <v>0</v>
      </c>
      <c r="V56" s="41">
        <f t="shared" si="17"/>
        <v>4.1749970161577554E-3</v>
      </c>
      <c r="W56" s="39">
        <f t="shared" si="3"/>
        <v>172.93</v>
      </c>
      <c r="X56" s="21"/>
    </row>
    <row r="57" spans="1:24" x14ac:dyDescent="0.2">
      <c r="A57" s="38">
        <v>45020</v>
      </c>
      <c r="B57" s="39">
        <v>168.86</v>
      </c>
      <c r="C57" s="39">
        <v>408.67</v>
      </c>
      <c r="D57" s="39">
        <v>40</v>
      </c>
      <c r="E57" s="41">
        <f t="shared" si="4"/>
        <v>-2.3535534609379516E-2</v>
      </c>
      <c r="F57" s="41">
        <f t="shared" si="5"/>
        <v>-5.5481202092710902E-3</v>
      </c>
      <c r="G57" s="41">
        <f t="shared" si="6"/>
        <v>-1.4414192435628914E-2</v>
      </c>
      <c r="H57" s="41">
        <f t="shared" si="7"/>
        <v>-6.0793147561043481E-2</v>
      </c>
      <c r="I57" s="41">
        <f t="shared" si="8"/>
        <v>1.0383959255322095E-2</v>
      </c>
      <c r="J57" s="41">
        <f t="shared" si="9"/>
        <v>-3.8808122071368412E-2</v>
      </c>
      <c r="K57" s="42">
        <f t="shared" si="0"/>
        <v>93.920685243895662</v>
      </c>
      <c r="L57" s="42">
        <f t="shared" si="1"/>
        <v>101.03839592553217</v>
      </c>
      <c r="M57" s="42">
        <f t="shared" si="2"/>
        <v>96.119187792863144</v>
      </c>
      <c r="N57" s="41">
        <f t="shared" si="10"/>
        <v>-7.0445602549772168E-2</v>
      </c>
      <c r="O57" s="41">
        <f t="shared" si="11"/>
        <v>-2.2872670893820723E-2</v>
      </c>
      <c r="P57" s="39">
        <f t="shared" si="12"/>
        <v>177.60416671097084</v>
      </c>
      <c r="Q57" s="42">
        <f t="shared" si="13"/>
        <v>0.93920685243895652</v>
      </c>
      <c r="R57" s="42">
        <f t="shared" si="14"/>
        <v>1</v>
      </c>
      <c r="S57" s="41">
        <f t="shared" si="15"/>
        <v>-6.0793147561043481E-2</v>
      </c>
      <c r="T57" s="41" t="str">
        <f>IFERROR(_xlfn.STDEV.S(#REF!)*SQRT($D$7),"")</f>
        <v/>
      </c>
      <c r="U57" s="41">
        <f t="shared" si="16"/>
        <v>-2.3691184472170779E-2</v>
      </c>
      <c r="V57" s="41">
        <f t="shared" si="17"/>
        <v>-1.7987414400108426E-2</v>
      </c>
      <c r="W57" s="39">
        <f t="shared" si="3"/>
        <v>168.86</v>
      </c>
      <c r="X57" s="21"/>
    </row>
    <row r="58" spans="1:24" x14ac:dyDescent="0.2">
      <c r="A58" s="38">
        <v>45021</v>
      </c>
      <c r="B58" s="39">
        <v>164.06</v>
      </c>
      <c r="C58" s="39">
        <v>407.6</v>
      </c>
      <c r="D58" s="39">
        <v>39.909999999999997</v>
      </c>
      <c r="E58" s="41">
        <f t="shared" si="4"/>
        <v>-2.8425914959137821E-2</v>
      </c>
      <c r="F58" s="41">
        <f t="shared" si="5"/>
        <v>-2.618249443316123E-3</v>
      </c>
      <c r="G58" s="41">
        <f t="shared" si="6"/>
        <v>-2.2500000000000853E-3</v>
      </c>
      <c r="H58" s="41">
        <f t="shared" si="7"/>
        <v>-8.7490961677512802E-2</v>
      </c>
      <c r="I58" s="41">
        <f t="shared" si="8"/>
        <v>7.7385220164662982E-3</v>
      </c>
      <c r="J58" s="41">
        <f t="shared" si="9"/>
        <v>-4.0970803796707922E-2</v>
      </c>
      <c r="K58" s="42">
        <f t="shared" si="0"/>
        <v>91.250903832248738</v>
      </c>
      <c r="L58" s="42">
        <f t="shared" si="1"/>
        <v>100.7738522016466</v>
      </c>
      <c r="M58" s="42">
        <f t="shared" si="2"/>
        <v>95.9029196203292</v>
      </c>
      <c r="N58" s="41">
        <f t="shared" si="10"/>
        <v>-9.4498207236760834E-2</v>
      </c>
      <c r="O58" s="41">
        <f t="shared" si="11"/>
        <v>-4.8507551245544844E-2</v>
      </c>
      <c r="P58" s="39">
        <f t="shared" si="12"/>
        <v>177.46939888300099</v>
      </c>
      <c r="Q58" s="42">
        <f t="shared" si="13"/>
        <v>0.9125090383224872</v>
      </c>
      <c r="R58" s="42">
        <f t="shared" si="14"/>
        <v>1</v>
      </c>
      <c r="S58" s="41">
        <f t="shared" si="15"/>
        <v>-8.7490961677512802E-2</v>
      </c>
      <c r="T58" s="41" t="str">
        <f>IFERROR(_xlfn.STDEV.S(#REF!)*SQRT($D$7),"")</f>
        <v/>
      </c>
      <c r="U58" s="41">
        <f t="shared" si="16"/>
        <v>-2.8581564821929084E-2</v>
      </c>
      <c r="V58" s="41">
        <f t="shared" si="17"/>
        <v>-2.5807665515821698E-2</v>
      </c>
      <c r="W58" s="39">
        <f t="shared" si="3"/>
        <v>164.06</v>
      </c>
      <c r="X58" s="21"/>
    </row>
    <row r="59" spans="1:24" x14ac:dyDescent="0.2">
      <c r="A59" s="38">
        <v>45022</v>
      </c>
      <c r="B59" s="39">
        <v>164.93</v>
      </c>
      <c r="C59" s="39">
        <v>409.19</v>
      </c>
      <c r="D59" s="39">
        <v>39.814999999999998</v>
      </c>
      <c r="E59" s="41">
        <f t="shared" si="4"/>
        <v>5.3029379495306284E-3</v>
      </c>
      <c r="F59" s="41">
        <f t="shared" si="5"/>
        <v>3.9008832188418552E-3</v>
      </c>
      <c r="G59" s="41">
        <f t="shared" si="6"/>
        <v>-2.3803558005511816E-3</v>
      </c>
      <c r="H59" s="41">
        <f t="shared" si="7"/>
        <v>-8.265198286890274E-2</v>
      </c>
      <c r="I59" s="41">
        <f t="shared" si="8"/>
        <v>1.1669592305980858E-2</v>
      </c>
      <c r="J59" s="41">
        <f t="shared" si="9"/>
        <v>-4.3253634506788319E-2</v>
      </c>
      <c r="K59" s="42">
        <f t="shared" si="0"/>
        <v>91.734801713109746</v>
      </c>
      <c r="L59" s="42">
        <f t="shared" si="1"/>
        <v>101.16695923059807</v>
      </c>
      <c r="M59" s="42">
        <f t="shared" si="2"/>
        <v>95.67463654932115</v>
      </c>
      <c r="N59" s="41">
        <f t="shared" si="10"/>
        <v>-9.3233577338119655E-2</v>
      </c>
      <c r="O59" s="41">
        <f t="shared" si="11"/>
        <v>-4.1179511919864131E-2</v>
      </c>
      <c r="P59" s="39">
        <f t="shared" si="12"/>
        <v>177.34462874486169</v>
      </c>
      <c r="Q59" s="42">
        <f t="shared" si="13"/>
        <v>0.91734801713109726</v>
      </c>
      <c r="R59" s="42">
        <f t="shared" si="14"/>
        <v>1</v>
      </c>
      <c r="S59" s="41">
        <f t="shared" si="15"/>
        <v>-8.265198286890274E-2</v>
      </c>
      <c r="T59" s="41" t="str">
        <f>IFERROR(_xlfn.STDEV.S(#REF!)*SQRT($D$7),"")</f>
        <v/>
      </c>
      <c r="U59" s="41">
        <f t="shared" si="16"/>
        <v>0</v>
      </c>
      <c r="V59" s="41">
        <f t="shared" si="17"/>
        <v>1.4020547306887732E-3</v>
      </c>
      <c r="W59" s="39">
        <f t="shared" si="3"/>
        <v>164.93</v>
      </c>
      <c r="X59" s="21"/>
    </row>
    <row r="60" spans="1:24" x14ac:dyDescent="0.2">
      <c r="A60" s="38">
        <v>45026</v>
      </c>
      <c r="B60" s="39">
        <v>166.01</v>
      </c>
      <c r="C60" s="39">
        <v>409.61</v>
      </c>
      <c r="D60" s="39">
        <v>40.005000000000003</v>
      </c>
      <c r="E60" s="41">
        <f t="shared" si="4"/>
        <v>6.5482325835202193E-3</v>
      </c>
      <c r="F60" s="41">
        <f t="shared" si="5"/>
        <v>1.0264180454067073E-3</v>
      </c>
      <c r="G60" s="41">
        <f t="shared" si="6"/>
        <v>4.7720708275775792E-3</v>
      </c>
      <c r="H60" s="41">
        <f t="shared" si="7"/>
        <v>-7.6644974692697265E-2</v>
      </c>
      <c r="I60" s="41">
        <f t="shared" si="8"/>
        <v>1.2707988231512868E-2</v>
      </c>
      <c r="J60" s="41">
        <f t="shared" si="9"/>
        <v>-3.8687973086627303E-2</v>
      </c>
      <c r="K60" s="42">
        <f t="shared" si="0"/>
        <v>92.335502530730295</v>
      </c>
      <c r="L60" s="42">
        <f t="shared" si="1"/>
        <v>101.27079882315128</v>
      </c>
      <c r="M60" s="42">
        <f t="shared" si="2"/>
        <v>96.131202691337265</v>
      </c>
      <c r="N60" s="41">
        <f t="shared" si="10"/>
        <v>-8.8231715324223692E-2</v>
      </c>
      <c r="O60" s="41">
        <f t="shared" si="11"/>
        <v>-3.9484579973418366E-2</v>
      </c>
      <c r="P60" s="39">
        <f t="shared" si="12"/>
        <v>177.23184636929096</v>
      </c>
      <c r="Q60" s="42">
        <f t="shared" si="13"/>
        <v>0.92335502530730273</v>
      </c>
      <c r="R60" s="42">
        <f t="shared" si="14"/>
        <v>1</v>
      </c>
      <c r="S60" s="41">
        <f t="shared" si="15"/>
        <v>-7.6644974692697265E-2</v>
      </c>
      <c r="T60" s="41" t="str">
        <f>IFERROR(_xlfn.STDEV.S(#REF!)*SQRT($D$7),"")</f>
        <v/>
      </c>
      <c r="U60" s="41">
        <f t="shared" si="16"/>
        <v>0</v>
      </c>
      <c r="V60" s="41">
        <f t="shared" si="17"/>
        <v>5.521814538113512E-3</v>
      </c>
      <c r="W60" s="39">
        <f t="shared" si="3"/>
        <v>166.01</v>
      </c>
      <c r="X60" s="21"/>
    </row>
    <row r="61" spans="1:24" x14ac:dyDescent="0.2">
      <c r="A61" s="38">
        <v>45027</v>
      </c>
      <c r="B61" s="39">
        <v>166.57</v>
      </c>
      <c r="C61" s="39">
        <v>409.72</v>
      </c>
      <c r="D61" s="39">
        <v>40.314999999999998</v>
      </c>
      <c r="E61" s="41">
        <f t="shared" si="4"/>
        <v>3.3732907656165434E-3</v>
      </c>
      <c r="F61" s="41">
        <f t="shared" si="5"/>
        <v>2.6854813114907117E-4</v>
      </c>
      <c r="G61" s="41">
        <f t="shared" si="6"/>
        <v>7.7490313710784076E-3</v>
      </c>
      <c r="H61" s="41">
        <f t="shared" si="7"/>
        <v>-7.3530229712442496E-2</v>
      </c>
      <c r="I61" s="41">
        <f t="shared" si="8"/>
        <v>1.297994906915223E-2</v>
      </c>
      <c r="J61" s="41">
        <f t="shared" si="9"/>
        <v>-3.123873603268057E-2</v>
      </c>
      <c r="K61" s="42">
        <f t="shared" si="0"/>
        <v>92.646977028755771</v>
      </c>
      <c r="L61" s="42">
        <f t="shared" si="1"/>
        <v>101.29799490691522</v>
      </c>
      <c r="M61" s="42">
        <f t="shared" si="2"/>
        <v>96.876126396731948</v>
      </c>
      <c r="N61" s="41">
        <f t="shared" si="10"/>
        <v>-8.5401669461563023E-2</v>
      </c>
      <c r="O61" s="41">
        <f t="shared" si="11"/>
        <v>-4.3655227818015452E-2</v>
      </c>
      <c r="P61" s="39">
        <f t="shared" si="12"/>
        <v>177.12575834571592</v>
      </c>
      <c r="Q61" s="42">
        <f t="shared" si="13"/>
        <v>0.9264697702875575</v>
      </c>
      <c r="R61" s="42">
        <f t="shared" si="14"/>
        <v>1</v>
      </c>
      <c r="S61" s="41">
        <f t="shared" si="15"/>
        <v>-7.3530229712442496E-2</v>
      </c>
      <c r="T61" s="41" t="str">
        <f>IFERROR(_xlfn.STDEV.S(#REF!)*SQRT($D$7),"")</f>
        <v/>
      </c>
      <c r="U61" s="41">
        <f t="shared" si="16"/>
        <v>0</v>
      </c>
      <c r="V61" s="41">
        <f t="shared" si="17"/>
        <v>3.1047426344674722E-3</v>
      </c>
      <c r="W61" s="39">
        <f t="shared" si="3"/>
        <v>166.57</v>
      </c>
      <c r="X61" s="21"/>
    </row>
    <row r="62" spans="1:24" x14ac:dyDescent="0.2">
      <c r="A62" s="38">
        <v>45028</v>
      </c>
      <c r="B62" s="39">
        <v>167.32</v>
      </c>
      <c r="C62" s="39">
        <v>408.05</v>
      </c>
      <c r="D62" s="39">
        <v>40.344999999999999</v>
      </c>
      <c r="E62" s="41">
        <f t="shared" si="4"/>
        <v>4.5026115146784562E-3</v>
      </c>
      <c r="F62" s="41">
        <f t="shared" si="5"/>
        <v>-4.0759543102607543E-3</v>
      </c>
      <c r="G62" s="41">
        <f t="shared" si="6"/>
        <v>7.4413989830079963E-4</v>
      </c>
      <c r="H62" s="41">
        <f t="shared" si="7"/>
        <v>-6.935869625674429E-2</v>
      </c>
      <c r="I62" s="41">
        <f t="shared" si="8"/>
        <v>8.8510890795361341E-3</v>
      </c>
      <c r="J62" s="41">
        <f t="shared" si="9"/>
        <v>-3.051784212423414E-2</v>
      </c>
      <c r="K62" s="42">
        <f t="shared" si="0"/>
        <v>93.0641303743256</v>
      </c>
      <c r="L62" s="42">
        <f t="shared" si="1"/>
        <v>100.88510890795361</v>
      </c>
      <c r="M62" s="42">
        <f t="shared" si="2"/>
        <v>96.948215787576586</v>
      </c>
      <c r="N62" s="41">
        <f t="shared" si="10"/>
        <v>-7.7523616897354097E-2</v>
      </c>
      <c r="O62" s="41">
        <f t="shared" si="11"/>
        <v>-4.0063505879896155E-2</v>
      </c>
      <c r="P62" s="39">
        <f t="shared" si="12"/>
        <v>177.02818861093269</v>
      </c>
      <c r="Q62" s="42">
        <f t="shared" si="13"/>
        <v>0.93064130374325571</v>
      </c>
      <c r="R62" s="42">
        <f t="shared" si="14"/>
        <v>1</v>
      </c>
      <c r="S62" s="41">
        <f t="shared" si="15"/>
        <v>-6.935869625674429E-2</v>
      </c>
      <c r="T62" s="41" t="str">
        <f>IFERROR(_xlfn.STDEV.S(#REF!)*SQRT($D$7),"")</f>
        <v/>
      </c>
      <c r="U62" s="41">
        <f t="shared" si="16"/>
        <v>0</v>
      </c>
      <c r="V62" s="41">
        <f t="shared" si="17"/>
        <v>8.5785658249392105E-3</v>
      </c>
      <c r="W62" s="39">
        <f t="shared" si="3"/>
        <v>167.32</v>
      </c>
      <c r="X62" s="21"/>
    </row>
    <row r="63" spans="1:24" x14ac:dyDescent="0.2">
      <c r="A63" s="38">
        <v>45029</v>
      </c>
      <c r="B63" s="39">
        <v>169.46</v>
      </c>
      <c r="C63" s="39">
        <v>413.47</v>
      </c>
      <c r="D63" s="39">
        <v>40.76</v>
      </c>
      <c r="E63" s="41">
        <f t="shared" si="4"/>
        <v>1.2789863734162132E-2</v>
      </c>
      <c r="F63" s="41">
        <f t="shared" si="5"/>
        <v>1.328268594534987E-2</v>
      </c>
      <c r="G63" s="41">
        <f t="shared" si="6"/>
        <v>1.0286280827859651E-2</v>
      </c>
      <c r="H63" s="41">
        <f t="shared" si="7"/>
        <v>-5.7455920796485094E-2</v>
      </c>
      <c r="I63" s="41">
        <f t="shared" si="8"/>
        <v>2.2251341261403823E-2</v>
      </c>
      <c r="J63" s="41">
        <f t="shared" si="9"/>
        <v>-2.0545476390724682E-2</v>
      </c>
      <c r="K63" s="42">
        <f t="shared" si="0"/>
        <v>94.254407920351539</v>
      </c>
      <c r="L63" s="42">
        <f t="shared" si="1"/>
        <v>102.22513412614038</v>
      </c>
      <c r="M63" s="42">
        <f t="shared" si="2"/>
        <v>97.945452360927547</v>
      </c>
      <c r="N63" s="41">
        <f t="shared" si="10"/>
        <v>-7.7972274371911676E-2</v>
      </c>
      <c r="O63" s="41">
        <f t="shared" si="11"/>
        <v>-3.7684694404948926E-2</v>
      </c>
      <c r="P63" s="39">
        <f t="shared" si="12"/>
        <v>176.95288325161994</v>
      </c>
      <c r="Q63" s="42">
        <f t="shared" si="13"/>
        <v>0.94254407920351491</v>
      </c>
      <c r="R63" s="42">
        <f t="shared" si="14"/>
        <v>1</v>
      </c>
      <c r="S63" s="41">
        <f t="shared" si="15"/>
        <v>-5.7455920796485094E-2</v>
      </c>
      <c r="T63" s="41" t="str">
        <f>IFERROR(_xlfn.STDEV.S(#REF!)*SQRT($D$7),"")</f>
        <v/>
      </c>
      <c r="U63" s="41">
        <f t="shared" si="16"/>
        <v>0</v>
      </c>
      <c r="V63" s="41">
        <f t="shared" si="17"/>
        <v>-4.9282221118773784E-4</v>
      </c>
      <c r="W63" s="39">
        <f t="shared" si="3"/>
        <v>169.46</v>
      </c>
      <c r="X63" s="21"/>
    </row>
    <row r="64" spans="1:24" x14ac:dyDescent="0.2">
      <c r="A64" s="38">
        <v>45030</v>
      </c>
      <c r="B64" s="39">
        <v>169.08</v>
      </c>
      <c r="C64" s="39">
        <v>412.46</v>
      </c>
      <c r="D64" s="39">
        <v>40.465000000000003</v>
      </c>
      <c r="E64" s="41">
        <f t="shared" si="4"/>
        <v>-2.2424170895786188E-3</v>
      </c>
      <c r="F64" s="41">
        <f t="shared" si="5"/>
        <v>-2.442740706701918E-3</v>
      </c>
      <c r="G64" s="41">
        <f t="shared" si="6"/>
        <v>-7.2374877330715348E-3</v>
      </c>
      <c r="H64" s="41">
        <f t="shared" si="7"/>
        <v>-5.9569497747372191E-2</v>
      </c>
      <c r="I64" s="41">
        <f t="shared" si="8"/>
        <v>1.9754246297623901E-2</v>
      </c>
      <c r="J64" s="41">
        <f t="shared" si="9"/>
        <v>-2.76342664904482E-2</v>
      </c>
      <c r="K64" s="42">
        <f t="shared" si="0"/>
        <v>94.043050225262817</v>
      </c>
      <c r="L64" s="42">
        <f t="shared" si="1"/>
        <v>101.97542462976239</v>
      </c>
      <c r="M64" s="42">
        <f t="shared" si="2"/>
        <v>97.236573350955197</v>
      </c>
      <c r="N64" s="41">
        <f t="shared" si="10"/>
        <v>-7.77871181541957E-2</v>
      </c>
      <c r="O64" s="41">
        <f t="shared" si="11"/>
        <v>-3.2842818454389966E-2</v>
      </c>
      <c r="P64" s="39">
        <f t="shared" si="12"/>
        <v>176.87454610483763</v>
      </c>
      <c r="Q64" s="42">
        <f t="shared" si="13"/>
        <v>0.94043050225262781</v>
      </c>
      <c r="R64" s="42">
        <f t="shared" si="14"/>
        <v>1</v>
      </c>
      <c r="S64" s="41">
        <f t="shared" si="15"/>
        <v>-5.9569497747372191E-2</v>
      </c>
      <c r="T64" s="41" t="str">
        <f>IFERROR(_xlfn.STDEV.S(#REF!)*SQRT($D$7),"")</f>
        <v/>
      </c>
      <c r="U64" s="41">
        <f t="shared" si="16"/>
        <v>-2.3980669523698817E-3</v>
      </c>
      <c r="V64" s="41">
        <f t="shared" si="17"/>
        <v>2.0032361712329916E-4</v>
      </c>
      <c r="W64" s="39">
        <f t="shared" si="3"/>
        <v>169.08</v>
      </c>
      <c r="X64" s="21"/>
    </row>
    <row r="65" spans="1:24" x14ac:dyDescent="0.2">
      <c r="A65" s="38">
        <v>45033</v>
      </c>
      <c r="B65" s="39">
        <v>171.88</v>
      </c>
      <c r="C65" s="39">
        <v>413.94</v>
      </c>
      <c r="D65" s="39">
        <v>40.700000000000003</v>
      </c>
      <c r="E65" s="41">
        <f t="shared" si="4"/>
        <v>1.6560208185474323E-2</v>
      </c>
      <c r="F65" s="41">
        <f t="shared" si="5"/>
        <v>3.5882267371381005E-3</v>
      </c>
      <c r="G65" s="41">
        <f t="shared" si="6"/>
        <v>5.8074879525515932E-3</v>
      </c>
      <c r="H65" s="41">
        <f t="shared" si="7"/>
        <v>-4.3995772846098458E-2</v>
      </c>
      <c r="I65" s="41">
        <f t="shared" si="8"/>
        <v>2.3413355749499098E-2</v>
      </c>
      <c r="J65" s="41">
        <f t="shared" si="9"/>
        <v>-2.1987264207617541E-2</v>
      </c>
      <c r="K65" s="42">
        <f t="shared" si="0"/>
        <v>95.600422715390181</v>
      </c>
      <c r="L65" s="42">
        <f t="shared" si="1"/>
        <v>102.34133557494994</v>
      </c>
      <c r="M65" s="42">
        <f t="shared" si="2"/>
        <v>97.801273579238256</v>
      </c>
      <c r="N65" s="41">
        <f t="shared" si="10"/>
        <v>-6.5866961982561145E-2</v>
      </c>
      <c r="O65" s="41">
        <f t="shared" si="11"/>
        <v>-2.2503294520648254E-2</v>
      </c>
      <c r="P65" s="39">
        <f t="shared" si="12"/>
        <v>176.82484912867011</v>
      </c>
      <c r="Q65" s="42">
        <f t="shared" si="13"/>
        <v>0.95600422715390154</v>
      </c>
      <c r="R65" s="42">
        <f t="shared" si="14"/>
        <v>1</v>
      </c>
      <c r="S65" s="41">
        <f t="shared" si="15"/>
        <v>-4.3995772846098458E-2</v>
      </c>
      <c r="T65" s="41" t="str">
        <f>IFERROR(_xlfn.STDEV.S(#REF!)*SQRT($D$7),"")</f>
        <v/>
      </c>
      <c r="U65" s="41">
        <f t="shared" si="16"/>
        <v>0</v>
      </c>
      <c r="V65" s="41">
        <f t="shared" si="17"/>
        <v>1.2971981448336223E-2</v>
      </c>
      <c r="W65" s="39">
        <f t="shared" si="3"/>
        <v>171.88</v>
      </c>
      <c r="X65" s="21"/>
    </row>
    <row r="66" spans="1:24" x14ac:dyDescent="0.2">
      <c r="A66" s="38">
        <v>45034</v>
      </c>
      <c r="B66" s="39">
        <v>172.36</v>
      </c>
      <c r="C66" s="39">
        <v>414.21</v>
      </c>
      <c r="D66" s="39">
        <v>40.869999999999997</v>
      </c>
      <c r="E66" s="41">
        <f t="shared" si="4"/>
        <v>2.7926460321154867E-3</v>
      </c>
      <c r="F66" s="41">
        <f t="shared" si="5"/>
        <v>6.5226844470211987E-4</v>
      </c>
      <c r="G66" s="41">
        <f t="shared" si="6"/>
        <v>4.1769041769039728E-3</v>
      </c>
      <c r="H66" s="41">
        <f t="shared" si="7"/>
        <v>-4.1325991434451481E-2</v>
      </c>
      <c r="I66" s="41">
        <f t="shared" si="8"/>
        <v>2.4080895987341311E-2</v>
      </c>
      <c r="J66" s="41">
        <f t="shared" si="9"/>
        <v>-1.790219872642107E-2</v>
      </c>
      <c r="K66" s="42">
        <f t="shared" si="0"/>
        <v>95.86740085655488</v>
      </c>
      <c r="L66" s="42">
        <f t="shared" si="1"/>
        <v>102.40808959873414</v>
      </c>
      <c r="M66" s="42">
        <f t="shared" si="2"/>
        <v>98.209780127357917</v>
      </c>
      <c r="N66" s="41">
        <f t="shared" si="10"/>
        <v>-6.386886785807333E-2</v>
      </c>
      <c r="O66" s="41">
        <f t="shared" si="11"/>
        <v>-2.3850774004029462E-2</v>
      </c>
      <c r="P66" s="39">
        <f t="shared" si="12"/>
        <v>176.78042276918086</v>
      </c>
      <c r="Q66" s="42">
        <f t="shared" si="13"/>
        <v>0.95867400856554852</v>
      </c>
      <c r="R66" s="42">
        <f t="shared" si="14"/>
        <v>1</v>
      </c>
      <c r="S66" s="41">
        <f t="shared" si="15"/>
        <v>-4.1325991434451481E-2</v>
      </c>
      <c r="T66" s="41" t="str">
        <f>IFERROR(_xlfn.STDEV.S(#REF!)*SQRT($D$7),"")</f>
        <v/>
      </c>
      <c r="U66" s="41">
        <f t="shared" si="16"/>
        <v>0</v>
      </c>
      <c r="V66" s="41">
        <f t="shared" si="17"/>
        <v>2.1403775874133668E-3</v>
      </c>
      <c r="W66" s="39">
        <f t="shared" si="3"/>
        <v>172.36</v>
      </c>
      <c r="X66" s="21"/>
    </row>
    <row r="67" spans="1:24" x14ac:dyDescent="0.2">
      <c r="A67" s="38">
        <v>45035</v>
      </c>
      <c r="B67" s="39">
        <v>173.54</v>
      </c>
      <c r="C67" s="39">
        <v>414.14</v>
      </c>
      <c r="D67" s="39">
        <v>40.755000000000003</v>
      </c>
      <c r="E67" s="41">
        <f t="shared" si="4"/>
        <v>6.8461359944300693E-3</v>
      </c>
      <c r="F67" s="41">
        <f t="shared" si="5"/>
        <v>-1.6899640279088857E-4</v>
      </c>
      <c r="G67" s="41">
        <f t="shared" si="6"/>
        <v>-2.8137998531929664E-3</v>
      </c>
      <c r="H67" s="41">
        <f t="shared" si="7"/>
        <v>-3.4762778797486349E-2</v>
      </c>
      <c r="I67" s="41">
        <f t="shared" si="8"/>
        <v>2.3907829999752606E-2</v>
      </c>
      <c r="J67" s="41">
        <f t="shared" si="9"/>
        <v>-2.066562537546579E-2</v>
      </c>
      <c r="K67" s="42">
        <f t="shared" si="0"/>
        <v>96.523722120251406</v>
      </c>
      <c r="L67" s="42">
        <f t="shared" si="1"/>
        <v>102.39078299997526</v>
      </c>
      <c r="M67" s="42">
        <f t="shared" si="2"/>
        <v>97.933437462453441</v>
      </c>
      <c r="N67" s="41">
        <f t="shared" si="10"/>
        <v>-5.7300674023806564E-2</v>
      </c>
      <c r="O67" s="41">
        <f t="shared" si="11"/>
        <v>-1.439462739927333E-2</v>
      </c>
      <c r="P67" s="39">
        <f t="shared" si="12"/>
        <v>176.74817975655219</v>
      </c>
      <c r="Q67" s="42">
        <f t="shared" si="13"/>
        <v>0.96523722120251365</v>
      </c>
      <c r="R67" s="42">
        <f t="shared" si="14"/>
        <v>1</v>
      </c>
      <c r="S67" s="41">
        <f t="shared" si="15"/>
        <v>-3.4762778797486349E-2</v>
      </c>
      <c r="T67" s="41" t="str">
        <f>IFERROR(_xlfn.STDEV.S(#REF!)*SQRT($D$7),"")</f>
        <v/>
      </c>
      <c r="U67" s="41">
        <f t="shared" si="16"/>
        <v>0</v>
      </c>
      <c r="V67" s="41">
        <f t="shared" si="17"/>
        <v>7.0151323972209578E-3</v>
      </c>
      <c r="W67" s="39">
        <f t="shared" si="3"/>
        <v>173.54</v>
      </c>
      <c r="X67" s="21"/>
    </row>
    <row r="68" spans="1:24" x14ac:dyDescent="0.2">
      <c r="A68" s="38">
        <v>45036</v>
      </c>
      <c r="B68" s="39">
        <v>172.44</v>
      </c>
      <c r="C68" s="39">
        <v>411.88</v>
      </c>
      <c r="D68" s="39">
        <v>40.71</v>
      </c>
      <c r="E68" s="41">
        <f t="shared" si="4"/>
        <v>-6.3385962890399883E-3</v>
      </c>
      <c r="F68" s="41">
        <f t="shared" si="5"/>
        <v>-5.4570918047036621E-3</v>
      </c>
      <c r="G68" s="41">
        <f t="shared" si="6"/>
        <v>-1.1041589988959322E-3</v>
      </c>
      <c r="H68" s="41">
        <f t="shared" si="7"/>
        <v>-4.0881027865843911E-2</v>
      </c>
      <c r="I68" s="41">
        <f t="shared" si="8"/>
        <v>1.8320270971889041E-2</v>
      </c>
      <c r="J68" s="41">
        <f t="shared" si="9"/>
        <v>-2.1746966238135546E-2</v>
      </c>
      <c r="K68" s="42">
        <f t="shared" si="0"/>
        <v>95.911897213415656</v>
      </c>
      <c r="L68" s="42">
        <f t="shared" si="1"/>
        <v>101.8320270971889</v>
      </c>
      <c r="M68" s="42">
        <f t="shared" si="2"/>
        <v>97.825303376186469</v>
      </c>
      <c r="N68" s="41">
        <f t="shared" si="10"/>
        <v>-5.8136227398508877E-2</v>
      </c>
      <c r="O68" s="41">
        <f t="shared" si="11"/>
        <v>-1.9559419666840716E-2</v>
      </c>
      <c r="P68" s="39">
        <f t="shared" si="12"/>
        <v>176.70531229628801</v>
      </c>
      <c r="Q68" s="42">
        <f t="shared" si="13"/>
        <v>0.95911897213415609</v>
      </c>
      <c r="R68" s="42">
        <f t="shared" si="14"/>
        <v>1</v>
      </c>
      <c r="S68" s="41">
        <f t="shared" si="15"/>
        <v>-4.0881027865843911E-2</v>
      </c>
      <c r="T68" s="41" t="str">
        <f>IFERROR(_xlfn.STDEV.S(#REF!)*SQRT($D$7),"")</f>
        <v/>
      </c>
      <c r="U68" s="41">
        <f t="shared" si="16"/>
        <v>-6.4942461518312511E-3</v>
      </c>
      <c r="V68" s="41">
        <f t="shared" si="17"/>
        <v>-8.8150448433632622E-4</v>
      </c>
      <c r="W68" s="39">
        <f t="shared" si="3"/>
        <v>172.44</v>
      </c>
      <c r="X68" s="21"/>
    </row>
    <row r="69" spans="1:24" x14ac:dyDescent="0.2">
      <c r="A69" s="38">
        <v>45037</v>
      </c>
      <c r="B69" s="39">
        <v>171.14</v>
      </c>
      <c r="C69" s="39">
        <v>412.2</v>
      </c>
      <c r="D69" s="39">
        <v>40.35</v>
      </c>
      <c r="E69" s="41">
        <f t="shared" si="4"/>
        <v>-7.5388540941777604E-3</v>
      </c>
      <c r="F69" s="41">
        <f t="shared" si="5"/>
        <v>7.769253180538449E-4</v>
      </c>
      <c r="G69" s="41">
        <f t="shared" si="6"/>
        <v>-8.8430361090641174E-3</v>
      </c>
      <c r="H69" s="41">
        <f t="shared" si="7"/>
        <v>-4.8111685855721009E-2</v>
      </c>
      <c r="I69" s="41">
        <f t="shared" si="8"/>
        <v>1.9111429772294519E-2</v>
      </c>
      <c r="J69" s="41">
        <f t="shared" si="9"/>
        <v>-3.0397693139493254E-2</v>
      </c>
      <c r="K69" s="42">
        <f t="shared" si="0"/>
        <v>95.188831414427938</v>
      </c>
      <c r="L69" s="42">
        <f t="shared" si="1"/>
        <v>101.91114297722945</v>
      </c>
      <c r="M69" s="42">
        <f t="shared" si="2"/>
        <v>96.960230686050693</v>
      </c>
      <c r="N69" s="41">
        <f t="shared" si="10"/>
        <v>-6.5962478355321319E-2</v>
      </c>
      <c r="O69" s="41">
        <f t="shared" si="11"/>
        <v>-1.826933846061507E-2</v>
      </c>
      <c r="P69" s="39">
        <f t="shared" si="12"/>
        <v>176.64993605453392</v>
      </c>
      <c r="Q69" s="42">
        <f t="shared" si="13"/>
        <v>0.95188831414427899</v>
      </c>
      <c r="R69" s="42">
        <f t="shared" si="14"/>
        <v>1</v>
      </c>
      <c r="S69" s="41">
        <f t="shared" si="15"/>
        <v>-4.8111685855721009E-2</v>
      </c>
      <c r="T69" s="41" t="str">
        <f>IFERROR(_xlfn.STDEV.S(#REF!)*SQRT($D$7),"")</f>
        <v/>
      </c>
      <c r="U69" s="41">
        <f t="shared" si="16"/>
        <v>-7.6945039569690232E-3</v>
      </c>
      <c r="V69" s="41">
        <f t="shared" si="17"/>
        <v>-8.3157794122316053E-3</v>
      </c>
      <c r="W69" s="39">
        <f t="shared" si="3"/>
        <v>171.14</v>
      </c>
      <c r="X69" s="21"/>
    </row>
    <row r="70" spans="1:24" x14ac:dyDescent="0.2">
      <c r="A70" s="38">
        <v>45040</v>
      </c>
      <c r="B70" s="39">
        <v>171.41</v>
      </c>
      <c r="C70" s="39">
        <v>412.63</v>
      </c>
      <c r="D70" s="39">
        <v>40.625</v>
      </c>
      <c r="E70" s="41">
        <f t="shared" si="4"/>
        <v>1.5776557204627562E-3</v>
      </c>
      <c r="F70" s="41">
        <f t="shared" si="5"/>
        <v>1.0431829209121002E-3</v>
      </c>
      <c r="G70" s="41">
        <f t="shared" si="6"/>
        <v>6.8153655514249234E-3</v>
      </c>
      <c r="H70" s="41">
        <f t="shared" si="7"/>
        <v>-4.6609933811669668E-2</v>
      </c>
      <c r="I70" s="41">
        <f t="shared" si="8"/>
        <v>2.017454941033936E-2</v>
      </c>
      <c r="J70" s="41">
        <f t="shared" si="9"/>
        <v>-2.3789498978734058E-2</v>
      </c>
      <c r="K70" s="42">
        <f t="shared" si="0"/>
        <v>95.339006618833082</v>
      </c>
      <c r="L70" s="42">
        <f t="shared" si="1"/>
        <v>102.01745494103393</v>
      </c>
      <c r="M70" s="42">
        <f t="shared" si="2"/>
        <v>97.621050102126631</v>
      </c>
      <c r="N70" s="41">
        <f t="shared" si="10"/>
        <v>-6.5463780938870175E-2</v>
      </c>
      <c r="O70" s="41">
        <f t="shared" si="11"/>
        <v>-2.337655127563365E-2</v>
      </c>
      <c r="P70" s="39">
        <f t="shared" si="12"/>
        <v>176.59779738732465</v>
      </c>
      <c r="Q70" s="42">
        <f t="shared" si="13"/>
        <v>0.95339006618833033</v>
      </c>
      <c r="R70" s="42">
        <f t="shared" si="14"/>
        <v>1</v>
      </c>
      <c r="S70" s="41">
        <f t="shared" si="15"/>
        <v>-4.6609933811669668E-2</v>
      </c>
      <c r="T70" s="41" t="str">
        <f>IFERROR(_xlfn.STDEV.S(#REF!)*SQRT($D$7),"")</f>
        <v/>
      </c>
      <c r="U70" s="41">
        <f t="shared" si="16"/>
        <v>0</v>
      </c>
      <c r="V70" s="41">
        <f t="shared" si="17"/>
        <v>5.3447279955065596E-4</v>
      </c>
      <c r="W70" s="39">
        <f t="shared" si="3"/>
        <v>171.41</v>
      </c>
      <c r="X70" s="21"/>
    </row>
    <row r="71" spans="1:24" x14ac:dyDescent="0.2">
      <c r="A71" s="38">
        <v>45041</v>
      </c>
      <c r="B71" s="39">
        <v>169.67</v>
      </c>
      <c r="C71" s="39">
        <v>406.08</v>
      </c>
      <c r="D71" s="39">
        <v>39.744999999999997</v>
      </c>
      <c r="E71" s="41">
        <f t="shared" si="4"/>
        <v>-1.0151099702467858E-2</v>
      </c>
      <c r="F71" s="41">
        <f t="shared" si="5"/>
        <v>-1.5873785231321103E-2</v>
      </c>
      <c r="G71" s="41">
        <f t="shared" si="6"/>
        <v>-2.166153846153851E-2</v>
      </c>
      <c r="H71" s="41">
        <f t="shared" si="7"/>
        <v>-5.6287891428889791E-2</v>
      </c>
      <c r="I71" s="41">
        <f t="shared" si="8"/>
        <v>3.9805177145397774E-3</v>
      </c>
      <c r="J71" s="41">
        <f t="shared" si="9"/>
        <v>-4.493572029316395E-2</v>
      </c>
      <c r="K71" s="42">
        <f t="shared" si="0"/>
        <v>94.37121085711108</v>
      </c>
      <c r="L71" s="42">
        <f t="shared" si="1"/>
        <v>100.39805177145399</v>
      </c>
      <c r="M71" s="42">
        <f t="shared" si="2"/>
        <v>95.506427970683632</v>
      </c>
      <c r="N71" s="41">
        <f t="shared" si="10"/>
        <v>-6.0029460811276025E-2</v>
      </c>
      <c r="O71" s="41">
        <f t="shared" si="11"/>
        <v>-1.1886290145005196E-2</v>
      </c>
      <c r="P71" s="39">
        <f t="shared" si="12"/>
        <v>176.52886407998807</v>
      </c>
      <c r="Q71" s="42">
        <f t="shared" si="13"/>
        <v>0.94371210857111021</v>
      </c>
      <c r="R71" s="42">
        <f t="shared" si="14"/>
        <v>1</v>
      </c>
      <c r="S71" s="41">
        <f t="shared" si="15"/>
        <v>-5.6287891428889791E-2</v>
      </c>
      <c r="T71" s="41" t="str">
        <f>IFERROR(_xlfn.STDEV.S(#REF!)*SQRT($D$7),"")</f>
        <v/>
      </c>
      <c r="U71" s="41">
        <f t="shared" si="16"/>
        <v>-1.0306749565259121E-2</v>
      </c>
      <c r="V71" s="41">
        <f t="shared" si="17"/>
        <v>5.7226855288532441E-3</v>
      </c>
      <c r="W71" s="39">
        <f t="shared" si="3"/>
        <v>169.67</v>
      </c>
      <c r="X71" s="21"/>
    </row>
    <row r="72" spans="1:24" x14ac:dyDescent="0.2">
      <c r="A72" s="38">
        <v>45042</v>
      </c>
      <c r="B72" s="39">
        <v>166.65</v>
      </c>
      <c r="C72" s="39">
        <v>404.36</v>
      </c>
      <c r="D72" s="39">
        <v>39.274999999999999</v>
      </c>
      <c r="E72" s="41">
        <f t="shared" si="4"/>
        <v>-1.779925738197663E-2</v>
      </c>
      <c r="F72" s="41">
        <f t="shared" si="5"/>
        <v>-4.2356185973206895E-3</v>
      </c>
      <c r="G72" s="41">
        <f t="shared" si="6"/>
        <v>-1.1825386841112007E-2</v>
      </c>
      <c r="H72" s="41">
        <f t="shared" si="7"/>
        <v>-7.3085266143834815E-2</v>
      </c>
      <c r="I72" s="41">
        <f t="shared" si="8"/>
        <v>-2.7196083763958434E-4</v>
      </c>
      <c r="J72" s="41">
        <f t="shared" si="9"/>
        <v>-5.622972485882527E-2</v>
      </c>
      <c r="K72" s="42">
        <f t="shared" si="0"/>
        <v>92.691473385616561</v>
      </c>
      <c r="L72" s="42">
        <f t="shared" si="1"/>
        <v>99.97280391623606</v>
      </c>
      <c r="M72" s="42">
        <f t="shared" si="2"/>
        <v>94.377027514117501</v>
      </c>
      <c r="N72" s="41">
        <f t="shared" si="10"/>
        <v>-7.2833113060631116E-2</v>
      </c>
      <c r="O72" s="41">
        <f t="shared" si="11"/>
        <v>-1.7859792503518102E-2</v>
      </c>
      <c r="P72" s="39">
        <f t="shared" si="12"/>
        <v>176.4305669249633</v>
      </c>
      <c r="Q72" s="42">
        <f t="shared" si="13"/>
        <v>0.92691473385616518</v>
      </c>
      <c r="R72" s="42">
        <f t="shared" si="14"/>
        <v>1</v>
      </c>
      <c r="S72" s="41">
        <f t="shared" si="15"/>
        <v>-7.3085266143834815E-2</v>
      </c>
      <c r="T72" s="41" t="str">
        <f>IFERROR(_xlfn.STDEV.S(#REF!)*SQRT($D$7),"")</f>
        <v/>
      </c>
      <c r="U72" s="41">
        <f t="shared" si="16"/>
        <v>-1.7954907244767893E-2</v>
      </c>
      <c r="V72" s="41">
        <f t="shared" si="17"/>
        <v>-1.356363878465594E-2</v>
      </c>
      <c r="W72" s="39">
        <f t="shared" si="3"/>
        <v>166.65</v>
      </c>
      <c r="X72" s="21"/>
    </row>
    <row r="73" spans="1:24" x14ac:dyDescent="0.2">
      <c r="A73" s="38">
        <v>45043</v>
      </c>
      <c r="B73" s="39">
        <v>172.98</v>
      </c>
      <c r="C73" s="39">
        <v>412.41</v>
      </c>
      <c r="D73" s="39">
        <v>39.81</v>
      </c>
      <c r="E73" s="41">
        <f t="shared" si="4"/>
        <v>3.7983798379837896E-2</v>
      </c>
      <c r="F73" s="41">
        <f t="shared" si="5"/>
        <v>1.9908002769809086E-2</v>
      </c>
      <c r="G73" s="41">
        <f t="shared" si="6"/>
        <v>1.3621896880967599E-2</v>
      </c>
      <c r="H73" s="41">
        <f t="shared" si="7"/>
        <v>-3.7877523777741118E-2</v>
      </c>
      <c r="I73" s="41">
        <f t="shared" si="8"/>
        <v>1.9630627735060413E-2</v>
      </c>
      <c r="J73" s="41">
        <f t="shared" si="9"/>
        <v>-4.337378349152976E-2</v>
      </c>
      <c r="K73" s="42">
        <f t="shared" si="0"/>
        <v>96.212247622225931</v>
      </c>
      <c r="L73" s="42">
        <f t="shared" si="1"/>
        <v>101.96306277350607</v>
      </c>
      <c r="M73" s="42">
        <f t="shared" si="2"/>
        <v>95.662621650847043</v>
      </c>
      <c r="N73" s="41">
        <f t="shared" si="10"/>
        <v>-5.6400965161811922E-2</v>
      </c>
      <c r="O73" s="41">
        <f t="shared" si="11"/>
        <v>5.7454621449213317E-3</v>
      </c>
      <c r="P73" s="39">
        <f t="shared" si="12"/>
        <v>176.39623292570994</v>
      </c>
      <c r="Q73" s="42">
        <f t="shared" si="13"/>
        <v>0.96212247622225888</v>
      </c>
      <c r="R73" s="42">
        <f t="shared" si="14"/>
        <v>1</v>
      </c>
      <c r="S73" s="41">
        <f t="shared" si="15"/>
        <v>-3.7877523777741118E-2</v>
      </c>
      <c r="T73" s="41" t="str">
        <f>IFERROR(_xlfn.STDEV.S(#REF!)*SQRT($D$7),"")</f>
        <v/>
      </c>
      <c r="U73" s="41">
        <f t="shared" si="16"/>
        <v>0</v>
      </c>
      <c r="V73" s="41">
        <f t="shared" si="17"/>
        <v>1.8075795610028811E-2</v>
      </c>
      <c r="W73" s="39">
        <f t="shared" si="3"/>
        <v>172.98</v>
      </c>
      <c r="X73" s="21"/>
    </row>
    <row r="74" spans="1:24" x14ac:dyDescent="0.2">
      <c r="A74" s="38">
        <v>45044</v>
      </c>
      <c r="B74" s="39">
        <v>175.12</v>
      </c>
      <c r="C74" s="39">
        <v>415.93</v>
      </c>
      <c r="D74" s="39">
        <v>40.274999999999999</v>
      </c>
      <c r="E74" s="41">
        <f t="shared" si="4"/>
        <v>1.2371372412995907E-2</v>
      </c>
      <c r="F74" s="41">
        <f t="shared" si="5"/>
        <v>8.5351955578185645E-3</v>
      </c>
      <c r="G74" s="41">
        <f t="shared" si="6"/>
        <v>1.1680482290881589E-2</v>
      </c>
      <c r="H74" s="41">
        <f t="shared" si="7"/>
        <v>-2.59747483174817E-2</v>
      </c>
      <c r="I74" s="41">
        <f t="shared" si="8"/>
        <v>2.8333374539520451E-2</v>
      </c>
      <c r="J74" s="41">
        <f t="shared" si="9"/>
        <v>-3.2199927910609549E-2</v>
      </c>
      <c r="K74" s="42">
        <f t="shared" si="0"/>
        <v>97.402525168251856</v>
      </c>
      <c r="L74" s="42">
        <f t="shared" si="1"/>
        <v>102.83333745395208</v>
      </c>
      <c r="M74" s="42">
        <f t="shared" si="2"/>
        <v>96.780007208939082</v>
      </c>
      <c r="N74" s="41">
        <f t="shared" si="10"/>
        <v>-5.2811786723659382E-2</v>
      </c>
      <c r="O74" s="41">
        <f t="shared" si="11"/>
        <v>6.4322991624585768E-3</v>
      </c>
      <c r="P74" s="39">
        <f t="shared" si="12"/>
        <v>176.38353409062825</v>
      </c>
      <c r="Q74" s="42">
        <f t="shared" si="13"/>
        <v>0.9740252516825183</v>
      </c>
      <c r="R74" s="42">
        <f t="shared" si="14"/>
        <v>1</v>
      </c>
      <c r="S74" s="41">
        <f t="shared" si="15"/>
        <v>-2.59747483174817E-2</v>
      </c>
      <c r="T74" s="41" t="str">
        <f>IFERROR(_xlfn.STDEV.S(#REF!)*SQRT($D$7),"")</f>
        <v/>
      </c>
      <c r="U74" s="41">
        <f t="shared" si="16"/>
        <v>0</v>
      </c>
      <c r="V74" s="41">
        <f t="shared" si="17"/>
        <v>3.8361768551773423E-3</v>
      </c>
      <c r="W74" s="39">
        <f t="shared" si="3"/>
        <v>175.12</v>
      </c>
      <c r="X74" s="21"/>
    </row>
    <row r="75" spans="1:24" x14ac:dyDescent="0.2">
      <c r="A75" s="38">
        <v>45047</v>
      </c>
      <c r="B75" s="39">
        <v>177.51</v>
      </c>
      <c r="C75" s="39">
        <v>415.51</v>
      </c>
      <c r="D75" s="39">
        <v>40.255000000000003</v>
      </c>
      <c r="E75" s="41">
        <f t="shared" si="4"/>
        <v>1.3647784376427552E-2</v>
      </c>
      <c r="F75" s="41">
        <f t="shared" si="5"/>
        <v>-1.0097853004111812E-3</v>
      </c>
      <c r="G75" s="41">
        <f t="shared" si="6"/>
        <v>-4.965859714461951E-4</v>
      </c>
      <c r="H75" s="41">
        <f t="shared" si="7"/>
        <v>-1.2681461705323138E-2</v>
      </c>
      <c r="I75" s="41">
        <f t="shared" si="8"/>
        <v>2.7294978613988219E-2</v>
      </c>
      <c r="J75" s="41">
        <f t="shared" si="9"/>
        <v>-3.2680523849573762E-2</v>
      </c>
      <c r="K75" s="42">
        <f t="shared" si="0"/>
        <v>98.73185382946771</v>
      </c>
      <c r="L75" s="42">
        <f t="shared" si="1"/>
        <v>102.72949786139887</v>
      </c>
      <c r="M75" s="42">
        <f t="shared" si="2"/>
        <v>96.731947615042657</v>
      </c>
      <c r="N75" s="41">
        <f t="shared" si="10"/>
        <v>-3.8914275988428337E-2</v>
      </c>
      <c r="O75" s="41">
        <f t="shared" si="11"/>
        <v>2.0674722919711508E-2</v>
      </c>
      <c r="P75" s="39">
        <f t="shared" si="12"/>
        <v>176.39474270664189</v>
      </c>
      <c r="Q75" s="42">
        <f t="shared" si="13"/>
        <v>0.98731853829467686</v>
      </c>
      <c r="R75" s="42">
        <f t="shared" si="14"/>
        <v>1</v>
      </c>
      <c r="S75" s="41">
        <f t="shared" si="15"/>
        <v>-1.2681461705323138E-2</v>
      </c>
      <c r="T75" s="41" t="str">
        <f>IFERROR(_xlfn.STDEV.S(#REF!)*SQRT($D$7),"")</f>
        <v/>
      </c>
      <c r="U75" s="41">
        <f t="shared" si="16"/>
        <v>0</v>
      </c>
      <c r="V75" s="41">
        <f t="shared" si="17"/>
        <v>1.4657569676838733E-2</v>
      </c>
      <c r="W75" s="39">
        <f t="shared" si="3"/>
        <v>177.51</v>
      </c>
      <c r="X75" s="21"/>
    </row>
    <row r="76" spans="1:24" x14ac:dyDescent="0.2">
      <c r="A76" s="38">
        <v>45048</v>
      </c>
      <c r="B76" s="39">
        <v>179.27</v>
      </c>
      <c r="C76" s="39">
        <v>410.84</v>
      </c>
      <c r="D76" s="39">
        <v>39.865000000000002</v>
      </c>
      <c r="E76" s="41">
        <f t="shared" si="4"/>
        <v>9.9149343698947678E-3</v>
      </c>
      <c r="F76" s="41">
        <f t="shared" si="5"/>
        <v>-1.1239200019253492E-2</v>
      </c>
      <c r="G76" s="41">
        <f t="shared" si="6"/>
        <v>-9.6882374860265408E-3</v>
      </c>
      <c r="H76" s="41">
        <f t="shared" si="7"/>
        <v>-2.8922631959509282E-3</v>
      </c>
      <c r="I76" s="41">
        <f t="shared" si="8"/>
        <v>1.5749004870570849E-2</v>
      </c>
      <c r="J76" s="41">
        <f t="shared" si="9"/>
        <v>-4.2052144659377899E-2</v>
      </c>
      <c r="K76" s="42">
        <f t="shared" si="0"/>
        <v>99.710773680404927</v>
      </c>
      <c r="L76" s="42">
        <f t="shared" si="1"/>
        <v>101.57490048705714</v>
      </c>
      <c r="M76" s="42">
        <f t="shared" si="2"/>
        <v>95.794785534062228</v>
      </c>
      <c r="N76" s="41">
        <f t="shared" si="10"/>
        <v>-1.8352238571867519E-2</v>
      </c>
      <c r="O76" s="41">
        <f t="shared" si="11"/>
        <v>4.0878928059714381E-2</v>
      </c>
      <c r="P76" s="39">
        <f t="shared" si="12"/>
        <v>176.42335223194894</v>
      </c>
      <c r="Q76" s="42">
        <f t="shared" si="13"/>
        <v>0.99710773680404907</v>
      </c>
      <c r="R76" s="42">
        <f t="shared" si="14"/>
        <v>1</v>
      </c>
      <c r="S76" s="41">
        <f t="shared" si="15"/>
        <v>-2.8922631959509282E-3</v>
      </c>
      <c r="T76" s="41">
        <f>IFERROR(_xlfn.STDEV.S(E14:E76)*SQRT($D$7),"")</f>
        <v>0.25565795309721862</v>
      </c>
      <c r="U76" s="41">
        <f t="shared" si="16"/>
        <v>0</v>
      </c>
      <c r="V76" s="41">
        <f t="shared" si="17"/>
        <v>2.115413438914826E-2</v>
      </c>
      <c r="W76" s="39">
        <f t="shared" si="3"/>
        <v>179.27</v>
      </c>
      <c r="X76" s="21"/>
    </row>
    <row r="77" spans="1:24" x14ac:dyDescent="0.2">
      <c r="A77" s="38">
        <v>45049</v>
      </c>
      <c r="B77" s="39">
        <v>178.62</v>
      </c>
      <c r="C77" s="39">
        <v>408.02</v>
      </c>
      <c r="D77" s="39">
        <v>39.424999999999997</v>
      </c>
      <c r="E77" s="41">
        <f t="shared" si="4"/>
        <v>-3.6258158085569203E-3</v>
      </c>
      <c r="F77" s="41">
        <f t="shared" si="5"/>
        <v>-6.8639859799435321E-3</v>
      </c>
      <c r="G77" s="41">
        <f t="shared" si="6"/>
        <v>-1.1037250721184111E-2</v>
      </c>
      <c r="H77" s="41">
        <f t="shared" si="7"/>
        <v>-6.5075921908894774E-3</v>
      </c>
      <c r="I77" s="41">
        <f t="shared" si="8"/>
        <v>8.7769179419976417E-3</v>
      </c>
      <c r="J77" s="41">
        <f t="shared" si="9"/>
        <v>-5.26252553165929E-2</v>
      </c>
      <c r="K77" s="42">
        <f t="shared" si="0"/>
        <v>99.349240780911074</v>
      </c>
      <c r="L77" s="42">
        <f t="shared" si="1"/>
        <v>100.87769179419981</v>
      </c>
      <c r="M77" s="42">
        <f t="shared" si="2"/>
        <v>94.737474468340736</v>
      </c>
      <c r="N77" s="41">
        <f t="shared" si="10"/>
        <v>-1.5151526428726192E-2</v>
      </c>
      <c r="O77" s="41">
        <f t="shared" si="11"/>
        <v>4.8679430589122274E-2</v>
      </c>
      <c r="P77" s="39">
        <f t="shared" si="12"/>
        <v>176.44520942367086</v>
      </c>
      <c r="Q77" s="42">
        <f t="shared" si="13"/>
        <v>0.99349240780911052</v>
      </c>
      <c r="R77" s="42">
        <f t="shared" si="14"/>
        <v>1</v>
      </c>
      <c r="S77" s="41">
        <f t="shared" si="15"/>
        <v>-6.5075921908894774E-3</v>
      </c>
      <c r="T77" s="41">
        <f>IFERROR(_xlfn.STDEV.S(E14:E77)*SQRT($D$7),"")</f>
        <v>0.25260684274948136</v>
      </c>
      <c r="U77" s="41">
        <f t="shared" si="16"/>
        <v>-3.7814656713481831E-3</v>
      </c>
      <c r="V77" s="41">
        <f t="shared" si="17"/>
        <v>3.2381701713866118E-3</v>
      </c>
      <c r="W77" s="39">
        <f t="shared" si="3"/>
        <v>178.62</v>
      </c>
      <c r="X77" s="21"/>
    </row>
    <row r="78" spans="1:24" x14ac:dyDescent="0.2">
      <c r="A78" s="38">
        <v>45050</v>
      </c>
      <c r="B78" s="39">
        <v>190.23</v>
      </c>
      <c r="C78" s="39">
        <v>405.13</v>
      </c>
      <c r="D78" s="39">
        <v>39.17</v>
      </c>
      <c r="E78" s="41">
        <f t="shared" si="4"/>
        <v>6.4998320456835623E-2</v>
      </c>
      <c r="F78" s="41">
        <f t="shared" si="5"/>
        <v>-7.0829861281309636E-3</v>
      </c>
      <c r="G78" s="41">
        <f t="shared" si="6"/>
        <v>-6.4679771718451073E-3</v>
      </c>
      <c r="H78" s="41">
        <f t="shared" si="7"/>
        <v>5.8067745703320295E-2</v>
      </c>
      <c r="I78" s="41">
        <f t="shared" si="8"/>
        <v>1.6317650258357297E-3</v>
      </c>
      <c r="J78" s="41">
        <f t="shared" si="9"/>
        <v>-5.8752853538387773E-2</v>
      </c>
      <c r="K78" s="42">
        <f t="shared" si="0"/>
        <v>105.80677457033205</v>
      </c>
      <c r="L78" s="42">
        <f t="shared" si="1"/>
        <v>100.16317650258361</v>
      </c>
      <c r="M78" s="42">
        <f t="shared" si="2"/>
        <v>94.124714646161252</v>
      </c>
      <c r="N78" s="41">
        <f t="shared" si="10"/>
        <v>5.6344040442875665E-2</v>
      </c>
      <c r="O78" s="41">
        <f t="shared" si="11"/>
        <v>0.12411256669501358</v>
      </c>
      <c r="P78" s="39">
        <f t="shared" si="12"/>
        <v>176.58237151895773</v>
      </c>
      <c r="Q78" s="42">
        <f t="shared" si="13"/>
        <v>1.0580677457033203</v>
      </c>
      <c r="R78" s="42">
        <f t="shared" si="14"/>
        <v>1.0580677457033203</v>
      </c>
      <c r="S78" s="41">
        <f t="shared" si="15"/>
        <v>0</v>
      </c>
      <c r="T78" s="41">
        <f>IFERROR(_xlfn.STDEV.S(E14:E78)*SQRT($D$7),"")</f>
        <v>0.29602370674243483</v>
      </c>
      <c r="U78" s="41">
        <f t="shared" si="16"/>
        <v>0</v>
      </c>
      <c r="V78" s="41">
        <f t="shared" si="17"/>
        <v>7.2081306584966587E-2</v>
      </c>
      <c r="W78" s="39">
        <f t="shared" si="3"/>
        <v>190.23</v>
      </c>
      <c r="X78" s="21"/>
    </row>
    <row r="79" spans="1:24" x14ac:dyDescent="0.2">
      <c r="A79" s="38">
        <v>45051</v>
      </c>
      <c r="B79" s="39">
        <v>193.57</v>
      </c>
      <c r="C79" s="39">
        <v>412.63</v>
      </c>
      <c r="D79" s="39">
        <v>39.83</v>
      </c>
      <c r="E79" s="41">
        <f t="shared" si="4"/>
        <v>1.7557693318614342E-2</v>
      </c>
      <c r="F79" s="41">
        <f t="shared" si="5"/>
        <v>1.8512576210105491E-2</v>
      </c>
      <c r="G79" s="41">
        <f t="shared" si="6"/>
        <v>1.6849629818738832E-2</v>
      </c>
      <c r="H79" s="41">
        <f t="shared" si="7"/>
        <v>7.664497469269671E-2</v>
      </c>
      <c r="I79" s="41">
        <f t="shared" si="8"/>
        <v>2.0174549410338916E-2</v>
      </c>
      <c r="J79" s="41">
        <f t="shared" si="9"/>
        <v>-4.2893187552565326E-2</v>
      </c>
      <c r="K79" s="42">
        <f t="shared" si="0"/>
        <v>107.66449746926972</v>
      </c>
      <c r="L79" s="42">
        <f t="shared" si="1"/>
        <v>102.01745494103393</v>
      </c>
      <c r="M79" s="42">
        <f t="shared" si="2"/>
        <v>95.710681244743483</v>
      </c>
      <c r="N79" s="41">
        <f t="shared" si="10"/>
        <v>5.535368953773423E-2</v>
      </c>
      <c r="O79" s="41">
        <f t="shared" si="11"/>
        <v>0.124895320658714</v>
      </c>
      <c r="P79" s="39">
        <f t="shared" si="12"/>
        <v>176.75140264812234</v>
      </c>
      <c r="Q79" s="42">
        <f t="shared" si="13"/>
        <v>1.0766449746926967</v>
      </c>
      <c r="R79" s="42">
        <f t="shared" si="14"/>
        <v>1.0766449746926967</v>
      </c>
      <c r="S79" s="41">
        <f t="shared" si="15"/>
        <v>0</v>
      </c>
      <c r="T79" s="41">
        <f>IFERROR(_xlfn.STDEV.S(E15:E79)*SQRT($D$7),"")</f>
        <v>0.29504616565798236</v>
      </c>
      <c r="U79" s="41">
        <f t="shared" si="16"/>
        <v>0</v>
      </c>
      <c r="V79" s="41">
        <f t="shared" si="17"/>
        <v>-9.5488289149114891E-4</v>
      </c>
      <c r="W79" s="39">
        <f t="shared" si="3"/>
        <v>193.57</v>
      </c>
      <c r="X79" s="21"/>
    </row>
    <row r="80" spans="1:24" x14ac:dyDescent="0.2">
      <c r="A80" s="38">
        <v>45054</v>
      </c>
      <c r="B80" s="39">
        <v>192.83</v>
      </c>
      <c r="C80" s="39">
        <v>412.74</v>
      </c>
      <c r="D80" s="39">
        <v>39.700000000000003</v>
      </c>
      <c r="E80" s="41">
        <f t="shared" si="4"/>
        <v>-3.8229064421139158E-3</v>
      </c>
      <c r="F80" s="41">
        <f t="shared" si="5"/>
        <v>2.6658265273971082E-4</v>
      </c>
      <c r="G80" s="41">
        <f t="shared" si="6"/>
        <v>-3.2638714536780133E-3</v>
      </c>
      <c r="H80" s="41">
        <f t="shared" si="7"/>
        <v>7.2529061683074492E-2</v>
      </c>
      <c r="I80" s="41">
        <f t="shared" si="8"/>
        <v>2.0446510247978278E-2</v>
      </c>
      <c r="J80" s="41">
        <f t="shared" si="9"/>
        <v>-4.6017061155833261E-2</v>
      </c>
      <c r="K80" s="42">
        <f t="shared" si="0"/>
        <v>107.25290616830748</v>
      </c>
      <c r="L80" s="42">
        <f t="shared" si="1"/>
        <v>102.04465102479787</v>
      </c>
      <c r="M80" s="42">
        <f t="shared" si="2"/>
        <v>95.398293884416674</v>
      </c>
      <c r="N80" s="41">
        <f t="shared" si="10"/>
        <v>5.1038982359241647E-2</v>
      </c>
      <c r="O80" s="41">
        <f t="shared" si="11"/>
        <v>0.12426440559045715</v>
      </c>
      <c r="P80" s="39">
        <f t="shared" si="12"/>
        <v>176.91138869142461</v>
      </c>
      <c r="Q80" s="42">
        <f t="shared" si="13"/>
        <v>1.0725290616830745</v>
      </c>
      <c r="R80" s="42">
        <f t="shared" si="14"/>
        <v>1.0766449746926967</v>
      </c>
      <c r="S80" s="41">
        <f t="shared" si="15"/>
        <v>-3.8229064421138048E-3</v>
      </c>
      <c r="T80" s="41">
        <f>IFERROR(_xlfn.STDEV.S(E16:E80)*SQRT($D$7),"")</f>
        <v>0.2919151448611203</v>
      </c>
      <c r="U80" s="41">
        <f t="shared" si="16"/>
        <v>-3.9785563049051786E-3</v>
      </c>
      <c r="V80" s="41">
        <f t="shared" si="17"/>
        <v>-4.0894890948536267E-3</v>
      </c>
      <c r="W80" s="39">
        <f t="shared" si="3"/>
        <v>192.83</v>
      </c>
      <c r="X80" s="21"/>
    </row>
    <row r="81" spans="1:24" x14ac:dyDescent="0.2">
      <c r="A81" s="38">
        <v>45055</v>
      </c>
      <c r="B81" s="39">
        <v>193.11</v>
      </c>
      <c r="C81" s="39">
        <v>410.93</v>
      </c>
      <c r="D81" s="39">
        <v>39.340000000000003</v>
      </c>
      <c r="E81" s="41">
        <f t="shared" si="4"/>
        <v>1.4520562153192973E-3</v>
      </c>
      <c r="F81" s="41">
        <f t="shared" si="5"/>
        <v>-4.3853273247080882E-3</v>
      </c>
      <c r="G81" s="41">
        <f t="shared" si="6"/>
        <v>-9.0680100755667903E-3</v>
      </c>
      <c r="H81" s="41">
        <f t="shared" si="7"/>
        <v>7.4086434173201932E-2</v>
      </c>
      <c r="I81" s="41">
        <f t="shared" si="8"/>
        <v>1.5971518283184771E-2</v>
      </c>
      <c r="J81" s="41">
        <f t="shared" si="9"/>
        <v>-5.4667788057190969E-2</v>
      </c>
      <c r="K81" s="42">
        <f t="shared" si="0"/>
        <v>107.40864341732022</v>
      </c>
      <c r="L81" s="42">
        <f t="shared" si="1"/>
        <v>101.59715182831854</v>
      </c>
      <c r="M81" s="42">
        <f t="shared" si="2"/>
        <v>94.533221194280912</v>
      </c>
      <c r="N81" s="41">
        <f t="shared" si="10"/>
        <v>5.7201323899533474E-2</v>
      </c>
      <c r="O81" s="41">
        <f t="shared" si="11"/>
        <v>0.13619997351595825</v>
      </c>
      <c r="P81" s="39">
        <f t="shared" si="12"/>
        <v>177.07256890345025</v>
      </c>
      <c r="Q81" s="42">
        <f t="shared" si="13"/>
        <v>1.0740864341732019</v>
      </c>
      <c r="R81" s="42">
        <f t="shared" si="14"/>
        <v>1.0766449746926967</v>
      </c>
      <c r="S81" s="41">
        <f t="shared" si="15"/>
        <v>-2.3764013018544583E-3</v>
      </c>
      <c r="T81" s="41">
        <f>IFERROR(_xlfn.STDEV.S(E18:E81)*SQRT($D$7),"")</f>
        <v>0.28857976195253798</v>
      </c>
      <c r="U81" s="41">
        <f t="shared" si="16"/>
        <v>0</v>
      </c>
      <c r="V81" s="41">
        <f t="shared" si="17"/>
        <v>5.8373835400273855E-3</v>
      </c>
      <c r="W81" s="39">
        <f t="shared" si="3"/>
        <v>193.11</v>
      </c>
      <c r="X81" s="21"/>
    </row>
    <row r="82" spans="1:24" x14ac:dyDescent="0.2">
      <c r="A82" s="38">
        <v>45056</v>
      </c>
      <c r="B82" s="39">
        <v>196.09</v>
      </c>
      <c r="C82" s="39">
        <v>412.85</v>
      </c>
      <c r="D82" s="39">
        <v>39.365000000000002</v>
      </c>
      <c r="E82" s="41">
        <f t="shared" si="4"/>
        <v>1.5431619284345555E-2</v>
      </c>
      <c r="F82" s="41">
        <f t="shared" si="5"/>
        <v>4.6723286204464198E-3</v>
      </c>
      <c r="G82" s="41">
        <f t="shared" si="6"/>
        <v>6.3548551093028927E-4</v>
      </c>
      <c r="H82" s="41">
        <f t="shared" si="7"/>
        <v>9.0661327103843004E-2</v>
      </c>
      <c r="I82" s="41">
        <f t="shared" si="8"/>
        <v>2.071847108561764E-2</v>
      </c>
      <c r="J82" s="41">
        <f t="shared" si="9"/>
        <v>-5.4067043133485648E-2</v>
      </c>
      <c r="K82" s="42">
        <f t="shared" si="0"/>
        <v>109.06613271038435</v>
      </c>
      <c r="L82" s="42">
        <f t="shared" si="1"/>
        <v>102.07184710856183</v>
      </c>
      <c r="M82" s="42">
        <f t="shared" si="2"/>
        <v>94.593295686651444</v>
      </c>
      <c r="N82" s="41">
        <f t="shared" si="10"/>
        <v>6.8523160890618051E-2</v>
      </c>
      <c r="O82" s="41">
        <f t="shared" si="11"/>
        <v>0.15300066372225163</v>
      </c>
      <c r="P82" s="39">
        <f t="shared" si="12"/>
        <v>177.26179707356516</v>
      </c>
      <c r="Q82" s="42">
        <f t="shared" si="13"/>
        <v>1.090661327103843</v>
      </c>
      <c r="R82" s="42">
        <f t="shared" si="14"/>
        <v>1.090661327103843</v>
      </c>
      <c r="S82" s="41">
        <f t="shared" si="15"/>
        <v>0</v>
      </c>
      <c r="T82" s="41">
        <f>IFERROR(_xlfn.STDEV.S(E19:E82)*SQRT($D$7),"")</f>
        <v>0.28714654284321095</v>
      </c>
      <c r="U82" s="41">
        <f t="shared" si="16"/>
        <v>0</v>
      </c>
      <c r="V82" s="41">
        <f t="shared" si="17"/>
        <v>1.0759290663899135E-2</v>
      </c>
      <c r="W82" s="39">
        <f t="shared" si="3"/>
        <v>196.09</v>
      </c>
      <c r="X82" s="21"/>
    </row>
    <row r="83" spans="1:24" x14ac:dyDescent="0.2">
      <c r="A83" s="38">
        <v>45057</v>
      </c>
      <c r="B83" s="39">
        <v>194.83</v>
      </c>
      <c r="C83" s="39">
        <v>412.13</v>
      </c>
      <c r="D83" s="39">
        <v>38.979999999999997</v>
      </c>
      <c r="E83" s="41">
        <f t="shared" si="4"/>
        <v>-6.4256208883675114E-3</v>
      </c>
      <c r="F83" s="41">
        <f t="shared" si="5"/>
        <v>-1.7439748092528129E-3</v>
      </c>
      <c r="G83" s="41">
        <f t="shared" si="6"/>
        <v>-9.7802616537534526E-3</v>
      </c>
      <c r="H83" s="41">
        <f t="shared" si="7"/>
        <v>8.3653150898269857E-2</v>
      </c>
      <c r="I83" s="41">
        <f t="shared" si="8"/>
        <v>1.893836378470537E-2</v>
      </c>
      <c r="J83" s="41">
        <f t="shared" si="9"/>
        <v>-6.3318514958548788E-2</v>
      </c>
      <c r="K83" s="42">
        <f t="shared" si="0"/>
        <v>108.36531508982704</v>
      </c>
      <c r="L83" s="42">
        <f t="shared" si="1"/>
        <v>101.89383637847058</v>
      </c>
      <c r="M83" s="42">
        <f t="shared" si="2"/>
        <v>93.668148504145137</v>
      </c>
      <c r="N83" s="41">
        <f t="shared" si="10"/>
        <v>6.351197424070909E-2</v>
      </c>
      <c r="O83" s="41">
        <f t="shared" si="11"/>
        <v>0.15690676948772464</v>
      </c>
      <c r="P83" s="39">
        <f t="shared" si="12"/>
        <v>177.43660506288293</v>
      </c>
      <c r="Q83" s="42">
        <f t="shared" si="13"/>
        <v>1.0836531508982699</v>
      </c>
      <c r="R83" s="42">
        <f t="shared" si="14"/>
        <v>1.090661327103843</v>
      </c>
      <c r="S83" s="41">
        <f t="shared" si="15"/>
        <v>-6.4256208883676225E-3</v>
      </c>
      <c r="T83" s="41">
        <f>IFERROR(_xlfn.STDEV.S(E20:E83)*SQRT($D$7),"")</f>
        <v>0.2846850726998702</v>
      </c>
      <c r="U83" s="41">
        <f t="shared" si="16"/>
        <v>-6.5812707511587742E-3</v>
      </c>
      <c r="V83" s="41">
        <f t="shared" si="17"/>
        <v>-4.6816460791146985E-3</v>
      </c>
      <c r="W83" s="39">
        <f t="shared" si="3"/>
        <v>194.83</v>
      </c>
      <c r="X83" s="21"/>
    </row>
    <row r="84" spans="1:24" x14ac:dyDescent="0.2">
      <c r="A84" s="38">
        <v>45058</v>
      </c>
      <c r="B84" s="39">
        <v>195.38</v>
      </c>
      <c r="C84" s="39">
        <v>411.59</v>
      </c>
      <c r="D84" s="39">
        <v>39.049999999999997</v>
      </c>
      <c r="E84" s="41">
        <f t="shared" si="4"/>
        <v>2.8229738746599065E-3</v>
      </c>
      <c r="F84" s="41">
        <f t="shared" si="5"/>
        <v>-1.3102661781476677E-3</v>
      </c>
      <c r="G84" s="41">
        <f t="shared" si="6"/>
        <v>1.7957927142124852E-3</v>
      </c>
      <c r="H84" s="41">
        <f t="shared" si="7"/>
        <v>8.6712275432448527E-2</v>
      </c>
      <c r="I84" s="41">
        <f t="shared" si="8"/>
        <v>1.7603283309021167E-2</v>
      </c>
      <c r="J84" s="41">
        <f t="shared" si="9"/>
        <v>-6.1636429172173601E-2</v>
      </c>
      <c r="K84" s="42">
        <f t="shared" si="0"/>
        <v>108.6712275432449</v>
      </c>
      <c r="L84" s="42">
        <f t="shared" si="1"/>
        <v>101.76032833090215</v>
      </c>
      <c r="M84" s="42">
        <f t="shared" si="2"/>
        <v>93.836357082782641</v>
      </c>
      <c r="N84" s="41">
        <f t="shared" si="10"/>
        <v>6.7913491688725847E-2</v>
      </c>
      <c r="O84" s="41">
        <f t="shared" si="11"/>
        <v>0.15809299211578365</v>
      </c>
      <c r="P84" s="39">
        <f t="shared" si="12"/>
        <v>177.61514630603833</v>
      </c>
      <c r="Q84" s="42">
        <f t="shared" si="13"/>
        <v>1.0867122754324485</v>
      </c>
      <c r="R84" s="42">
        <f t="shared" si="14"/>
        <v>1.090661327103843</v>
      </c>
      <c r="S84" s="41">
        <f t="shared" si="15"/>
        <v>-3.6207863736040791E-3</v>
      </c>
      <c r="T84" s="41">
        <f>IFERROR(_xlfn.STDEV.S(E21:E84)*SQRT($D$7),"")</f>
        <v>0.28164874330955258</v>
      </c>
      <c r="U84" s="41">
        <f t="shared" si="16"/>
        <v>0</v>
      </c>
      <c r="V84" s="41">
        <f t="shared" si="17"/>
        <v>4.1332400528075741E-3</v>
      </c>
      <c r="W84" s="39">
        <f t="shared" si="3"/>
        <v>195.38</v>
      </c>
      <c r="X84" s="21"/>
    </row>
    <row r="85" spans="1:24" x14ac:dyDescent="0.2">
      <c r="A85" s="38">
        <v>45061</v>
      </c>
      <c r="B85" s="39">
        <v>196.17</v>
      </c>
      <c r="C85" s="39">
        <v>413.01</v>
      </c>
      <c r="D85" s="39">
        <v>39.380000000000003</v>
      </c>
      <c r="E85" s="41">
        <f t="shared" si="4"/>
        <v>4.0434026000613077E-3</v>
      </c>
      <c r="F85" s="41">
        <f t="shared" si="5"/>
        <v>3.4500352292330394E-3</v>
      </c>
      <c r="G85" s="41">
        <f t="shared" si="6"/>
        <v>8.4507042253523235E-3</v>
      </c>
      <c r="H85" s="41">
        <f t="shared" si="7"/>
        <v>9.1106290672450685E-2</v>
      </c>
      <c r="I85" s="41">
        <f t="shared" si="8"/>
        <v>2.111405048582049E-2</v>
      </c>
      <c r="J85" s="41">
        <f t="shared" si="9"/>
        <v>-5.3706596179262212E-2</v>
      </c>
      <c r="K85" s="42">
        <f t="shared" si="0"/>
        <v>109.11062906724511</v>
      </c>
      <c r="L85" s="42">
        <f t="shared" si="1"/>
        <v>102.1114050485821</v>
      </c>
      <c r="M85" s="42">
        <f t="shared" si="2"/>
        <v>94.629340382073764</v>
      </c>
      <c r="N85" s="41">
        <f t="shared" si="10"/>
        <v>6.8544978059335904E-2</v>
      </c>
      <c r="O85" s="41">
        <f t="shared" si="11"/>
        <v>0.15303169848486631</v>
      </c>
      <c r="P85" s="39">
        <f t="shared" si="12"/>
        <v>177.7997717159285</v>
      </c>
      <c r="Q85" s="42">
        <f t="shared" si="13"/>
        <v>1.0911062906724507</v>
      </c>
      <c r="R85" s="42">
        <f t="shared" si="14"/>
        <v>1.0911062906724507</v>
      </c>
      <c r="S85" s="41">
        <f t="shared" si="15"/>
        <v>0</v>
      </c>
      <c r="T85" s="41">
        <f>IFERROR(_xlfn.STDEV.S(E22:E85)*SQRT($D$7),"")</f>
        <v>0.27874236597991764</v>
      </c>
      <c r="U85" s="41">
        <f t="shared" si="16"/>
        <v>0</v>
      </c>
      <c r="V85" s="41">
        <f t="shared" si="17"/>
        <v>5.9336737082826829E-4</v>
      </c>
      <c r="W85" s="39">
        <f t="shared" si="3"/>
        <v>196.17</v>
      </c>
      <c r="X85" s="21"/>
    </row>
    <row r="86" spans="1:24" x14ac:dyDescent="0.2">
      <c r="A86" s="38">
        <v>45062</v>
      </c>
      <c r="B86" s="39">
        <v>195.01</v>
      </c>
      <c r="C86" s="39">
        <v>410.25</v>
      </c>
      <c r="D86" s="39">
        <v>38.729999999999997</v>
      </c>
      <c r="E86" s="41">
        <f t="shared" si="4"/>
        <v>-5.9132385176122737E-3</v>
      </c>
      <c r="F86" s="41">
        <f t="shared" si="5"/>
        <v>-6.6826469092757801E-3</v>
      </c>
      <c r="G86" s="41">
        <f t="shared" si="6"/>
        <v>-1.6505840528187044E-2</v>
      </c>
      <c r="H86" s="41">
        <f t="shared" si="7"/>
        <v>8.4654318927637195E-2</v>
      </c>
      <c r="I86" s="41">
        <f t="shared" si="8"/>
        <v>1.429030583232338E-2</v>
      </c>
      <c r="J86" s="41">
        <f t="shared" si="9"/>
        <v>-6.9325964195602663E-2</v>
      </c>
      <c r="K86" s="42">
        <f t="shared" si="0"/>
        <v>108.46543189276379</v>
      </c>
      <c r="L86" s="42">
        <f t="shared" si="1"/>
        <v>101.42903058323239</v>
      </c>
      <c r="M86" s="42">
        <f t="shared" si="2"/>
        <v>93.067403580439731</v>
      </c>
      <c r="N86" s="41">
        <f t="shared" si="10"/>
        <v>6.937265661587233E-2</v>
      </c>
      <c r="O86" s="41">
        <f t="shared" si="11"/>
        <v>0.16545028355728442</v>
      </c>
      <c r="P86" s="39">
        <f t="shared" si="12"/>
        <v>177.97101776850636</v>
      </c>
      <c r="Q86" s="42">
        <f t="shared" si="13"/>
        <v>1.0846543189276372</v>
      </c>
      <c r="R86" s="42">
        <f t="shared" si="14"/>
        <v>1.0911062906724507</v>
      </c>
      <c r="S86" s="41">
        <f t="shared" si="15"/>
        <v>-5.9132385176123847E-3</v>
      </c>
      <c r="T86" s="41">
        <f>IFERROR(_xlfn.STDEV.S(E22:E86)*SQRT($D$7),"")</f>
        <v>0.27644485961291621</v>
      </c>
      <c r="U86" s="41">
        <f t="shared" si="16"/>
        <v>-6.0688883804035365E-3</v>
      </c>
      <c r="V86" s="41">
        <f t="shared" si="17"/>
        <v>7.6940839166350639E-4</v>
      </c>
      <c r="W86" s="39">
        <f t="shared" si="3"/>
        <v>195.01</v>
      </c>
      <c r="X86" s="21"/>
    </row>
    <row r="87" spans="1:24" x14ac:dyDescent="0.2">
      <c r="A87" s="38">
        <v>45063</v>
      </c>
      <c r="B87" s="39">
        <v>196.51</v>
      </c>
      <c r="C87" s="39">
        <v>415.23</v>
      </c>
      <c r="D87" s="39">
        <v>38.984999999999999</v>
      </c>
      <c r="E87" s="41">
        <f t="shared" si="4"/>
        <v>7.6919132352186725E-3</v>
      </c>
      <c r="F87" s="41">
        <f t="shared" si="5"/>
        <v>1.213893967093238E-2</v>
      </c>
      <c r="G87" s="41">
        <f t="shared" si="6"/>
        <v>6.5840433772270668E-3</v>
      </c>
      <c r="H87" s="41">
        <f t="shared" si="7"/>
        <v>9.299738583903383E-2</v>
      </c>
      <c r="I87" s="41">
        <f t="shared" si="8"/>
        <v>2.6602714663633398E-2</v>
      </c>
      <c r="J87" s="41">
        <f t="shared" si="9"/>
        <v>-6.3198365973807569E-2</v>
      </c>
      <c r="K87" s="42">
        <f t="shared" si="0"/>
        <v>109.29973858390345</v>
      </c>
      <c r="L87" s="42">
        <f t="shared" si="1"/>
        <v>102.66027146636338</v>
      </c>
      <c r="M87" s="42">
        <f t="shared" si="2"/>
        <v>93.680163402619243</v>
      </c>
      <c r="N87" s="41">
        <f t="shared" si="10"/>
        <v>6.4674162874344798E-2</v>
      </c>
      <c r="O87" s="41">
        <f t="shared" si="11"/>
        <v>0.16673300530181856</v>
      </c>
      <c r="P87" s="39">
        <f t="shared" si="12"/>
        <v>178.15548525339688</v>
      </c>
      <c r="Q87" s="42">
        <f t="shared" si="13"/>
        <v>1.0929973858390338</v>
      </c>
      <c r="R87" s="42">
        <f t="shared" si="14"/>
        <v>1.0929973858390338</v>
      </c>
      <c r="S87" s="41">
        <f t="shared" si="15"/>
        <v>0</v>
      </c>
      <c r="T87" s="41">
        <f>IFERROR(_xlfn.STDEV.S(E22:E87)*SQRT($D$7),"")</f>
        <v>0.27398243198264127</v>
      </c>
      <c r="U87" s="41">
        <f t="shared" si="16"/>
        <v>0</v>
      </c>
      <c r="V87" s="41">
        <f t="shared" si="17"/>
        <v>-4.4470264357137079E-3</v>
      </c>
      <c r="W87" s="39">
        <f t="shared" si="3"/>
        <v>196.51</v>
      </c>
      <c r="X87" s="21"/>
    </row>
    <row r="88" spans="1:24" x14ac:dyDescent="0.2">
      <c r="A88" s="38">
        <v>45064</v>
      </c>
      <c r="B88" s="39">
        <v>196.41</v>
      </c>
      <c r="C88" s="39">
        <v>419.23</v>
      </c>
      <c r="D88" s="39">
        <v>39.215000000000003</v>
      </c>
      <c r="E88" s="41">
        <f t="shared" si="4"/>
        <v>-5.0887995521853302E-4</v>
      </c>
      <c r="F88" s="41">
        <f t="shared" si="5"/>
        <v>9.6332153264455656E-3</v>
      </c>
      <c r="G88" s="41">
        <f t="shared" si="6"/>
        <v>5.8997050147493457E-3</v>
      </c>
      <c r="H88" s="41">
        <f t="shared" si="7"/>
        <v>9.2441181378274173E-2</v>
      </c>
      <c r="I88" s="41">
        <f t="shared" si="8"/>
        <v>3.6492199668701764E-2</v>
      </c>
      <c r="J88" s="41">
        <f t="shared" si="9"/>
        <v>-5.7671512675717906E-2</v>
      </c>
      <c r="K88" s="42">
        <f t="shared" si="0"/>
        <v>109.24411813782746</v>
      </c>
      <c r="L88" s="42">
        <f t="shared" si="1"/>
        <v>103.64921996687022</v>
      </c>
      <c r="M88" s="42">
        <f t="shared" si="2"/>
        <v>94.232848732428209</v>
      </c>
      <c r="N88" s="41">
        <f t="shared" si="10"/>
        <v>5.397916330432162E-2</v>
      </c>
      <c r="O88" s="41">
        <f t="shared" si="11"/>
        <v>0.15929975170360522</v>
      </c>
      <c r="P88" s="39">
        <f t="shared" si="12"/>
        <v>178.33712221604966</v>
      </c>
      <c r="Q88" s="42">
        <f t="shared" si="13"/>
        <v>1.0924411813782742</v>
      </c>
      <c r="R88" s="42">
        <f t="shared" si="14"/>
        <v>1.0929973858390338</v>
      </c>
      <c r="S88" s="41">
        <f t="shared" si="15"/>
        <v>-5.08879955218422E-4</v>
      </c>
      <c r="T88" s="41">
        <f>IFERROR(_xlfn.STDEV.S(E33:E88)*SQRT($D$7),"")</f>
        <v>0.2713344287998099</v>
      </c>
      <c r="U88" s="41">
        <f t="shared" si="16"/>
        <v>-6.6452981800979583E-4</v>
      </c>
      <c r="V88" s="41">
        <f t="shared" si="17"/>
        <v>-1.0142095281664099E-2</v>
      </c>
      <c r="W88" s="39">
        <f t="shared" si="3"/>
        <v>196.41</v>
      </c>
      <c r="X88" s="21"/>
    </row>
    <row r="89" spans="1:24" x14ac:dyDescent="0.2">
      <c r="A89" s="38">
        <v>45065</v>
      </c>
      <c r="B89" s="39">
        <v>197.22</v>
      </c>
      <c r="C89" s="39">
        <v>418.62</v>
      </c>
      <c r="D89" s="39">
        <v>39.314999999999998</v>
      </c>
      <c r="E89" s="41">
        <f t="shared" si="4"/>
        <v>4.12402627157471E-3</v>
      </c>
      <c r="F89" s="41">
        <f t="shared" si="5"/>
        <v>-1.4550485413734604E-3</v>
      </c>
      <c r="G89" s="41">
        <f t="shared" si="6"/>
        <v>2.5500446257809006E-3</v>
      </c>
      <c r="H89" s="41">
        <f t="shared" si="7"/>
        <v>9.6946437510428307E-2</v>
      </c>
      <c r="I89" s="41">
        <f t="shared" si="8"/>
        <v>3.4984053205428856E-2</v>
      </c>
      <c r="J89" s="41">
        <f t="shared" si="9"/>
        <v>-5.5268532980896401E-2</v>
      </c>
      <c r="K89" s="42">
        <f t="shared" si="0"/>
        <v>109.6946437510429</v>
      </c>
      <c r="L89" s="42">
        <f t="shared" si="1"/>
        <v>103.49840532054293</v>
      </c>
      <c r="M89" s="42">
        <f t="shared" si="2"/>
        <v>94.473146701910366</v>
      </c>
      <c r="N89" s="41">
        <f t="shared" si="10"/>
        <v>5.9867960393299668E-2</v>
      </c>
      <c r="O89" s="41">
        <f t="shared" si="11"/>
        <v>0.16111982696162985</v>
      </c>
      <c r="P89" s="39">
        <f t="shared" si="12"/>
        <v>178.52501154723325</v>
      </c>
      <c r="Q89" s="42">
        <f t="shared" si="13"/>
        <v>1.0969464375104283</v>
      </c>
      <c r="R89" s="42">
        <f t="shared" si="14"/>
        <v>1.0969464375104283</v>
      </c>
      <c r="S89" s="41">
        <f t="shared" si="15"/>
        <v>0</v>
      </c>
      <c r="T89" s="41">
        <f>IFERROR(_xlfn.STDEV.S(E33:E89)*SQRT($D$7),"")</f>
        <v>0.26875877058591657</v>
      </c>
      <c r="U89" s="41">
        <f t="shared" si="16"/>
        <v>0</v>
      </c>
      <c r="V89" s="41">
        <f t="shared" si="17"/>
        <v>5.5790748129481704E-3</v>
      </c>
      <c r="W89" s="39">
        <f t="shared" si="3"/>
        <v>197.22</v>
      </c>
      <c r="X89" s="21"/>
    </row>
    <row r="90" spans="1:24" x14ac:dyDescent="0.2">
      <c r="A90" s="38">
        <v>45068</v>
      </c>
      <c r="B90" s="39">
        <v>197.26</v>
      </c>
      <c r="C90" s="39">
        <v>418.79</v>
      </c>
      <c r="D90" s="39">
        <v>39.11</v>
      </c>
      <c r="E90" s="41">
        <f t="shared" si="4"/>
        <v>2.0281918669495802E-4</v>
      </c>
      <c r="F90" s="41">
        <f t="shared" si="5"/>
        <v>4.0609622091647424E-4</v>
      </c>
      <c r="G90" s="41">
        <f t="shared" si="6"/>
        <v>-5.2142947984229471E-3</v>
      </c>
      <c r="H90" s="41">
        <f t="shared" si="7"/>
        <v>9.7168919294732037E-2</v>
      </c>
      <c r="I90" s="41">
        <f t="shared" si="8"/>
        <v>3.5404356318144314E-2</v>
      </c>
      <c r="J90" s="41">
        <f t="shared" si="9"/>
        <v>-6.0194641355280631E-2</v>
      </c>
      <c r="K90" s="42">
        <f t="shared" si="0"/>
        <v>109.71689192947326</v>
      </c>
      <c r="L90" s="42">
        <f t="shared" si="1"/>
        <v>103.54043563181447</v>
      </c>
      <c r="M90" s="42">
        <f t="shared" si="2"/>
        <v>93.980535864471932</v>
      </c>
      <c r="N90" s="41">
        <f t="shared" si="10"/>
        <v>5.9652601034266395E-2</v>
      </c>
      <c r="O90" s="41">
        <f t="shared" si="11"/>
        <v>0.167442714815911</v>
      </c>
      <c r="P90" s="39">
        <f t="shared" si="12"/>
        <v>178.71142934278316</v>
      </c>
      <c r="Q90" s="42">
        <f t="shared" si="13"/>
        <v>1.097168919294732</v>
      </c>
      <c r="R90" s="42">
        <f t="shared" si="14"/>
        <v>1.097168919294732</v>
      </c>
      <c r="S90" s="41">
        <f t="shared" si="15"/>
        <v>0</v>
      </c>
      <c r="T90" s="41">
        <f>IFERROR(_xlfn.STDEV.S(E33:E90)*SQRT($D$7),"")</f>
        <v>0.26623609502734463</v>
      </c>
      <c r="U90" s="41">
        <f t="shared" si="16"/>
        <v>0</v>
      </c>
      <c r="V90" s="41">
        <f t="shared" si="17"/>
        <v>-2.0327703422151622E-4</v>
      </c>
      <c r="W90" s="39">
        <f t="shared" si="3"/>
        <v>197.26</v>
      </c>
      <c r="X90" s="21"/>
    </row>
    <row r="91" spans="1:24" x14ac:dyDescent="0.2">
      <c r="A91" s="38">
        <v>45069</v>
      </c>
      <c r="B91" s="39">
        <v>195.2</v>
      </c>
      <c r="C91" s="39">
        <v>414.09</v>
      </c>
      <c r="D91" s="39">
        <v>38.505000000000003</v>
      </c>
      <c r="E91" s="41">
        <f t="shared" si="4"/>
        <v>-1.0443070059819592E-2</v>
      </c>
      <c r="F91" s="41">
        <f t="shared" si="5"/>
        <v>-1.1222808567539877E-2</v>
      </c>
      <c r="G91" s="41">
        <f t="shared" si="6"/>
        <v>-1.5469189465609712E-2</v>
      </c>
      <c r="H91" s="41">
        <f t="shared" si="7"/>
        <v>8.5711107403080522E-2</v>
      </c>
      <c r="I91" s="41">
        <f t="shared" si="8"/>
        <v>2.3784211437188896E-2</v>
      </c>
      <c r="J91" s="41">
        <f t="shared" si="9"/>
        <v>-7.4732668508951106E-2</v>
      </c>
      <c r="K91" s="42">
        <f t="shared" si="0"/>
        <v>108.57111074030814</v>
      </c>
      <c r="L91" s="42">
        <f t="shared" si="1"/>
        <v>102.37842114371894</v>
      </c>
      <c r="M91" s="42">
        <f t="shared" si="2"/>
        <v>92.526733149104885</v>
      </c>
      <c r="N91" s="41">
        <f t="shared" si="10"/>
        <v>6.0488231088227762E-2</v>
      </c>
      <c r="O91" s="41">
        <f t="shared" si="11"/>
        <v>0.17340261614281771</v>
      </c>
      <c r="P91" s="39">
        <f t="shared" si="12"/>
        <v>178.87549472245698</v>
      </c>
      <c r="Q91" s="42">
        <f t="shared" si="13"/>
        <v>1.0857111074030805</v>
      </c>
      <c r="R91" s="42">
        <f t="shared" si="14"/>
        <v>1.097168919294732</v>
      </c>
      <c r="S91" s="41">
        <f t="shared" si="15"/>
        <v>-1.0443070059819703E-2</v>
      </c>
      <c r="T91" s="41">
        <f>IFERROR(_xlfn.STDEV.S(E33:E91)*SQRT($D$7),"")</f>
        <v>0.26506996238878405</v>
      </c>
      <c r="U91" s="41">
        <f t="shared" si="16"/>
        <v>-1.0598719922610855E-2</v>
      </c>
      <c r="V91" s="41">
        <f t="shared" si="17"/>
        <v>7.7973850772028452E-4</v>
      </c>
      <c r="W91" s="39">
        <f t="shared" si="3"/>
        <v>195.2</v>
      </c>
      <c r="X91" s="21"/>
    </row>
    <row r="92" spans="1:24" x14ac:dyDescent="0.2">
      <c r="A92" s="38">
        <v>45070</v>
      </c>
      <c r="B92" s="39">
        <v>194.1</v>
      </c>
      <c r="C92" s="39">
        <v>411.09</v>
      </c>
      <c r="D92" s="39">
        <v>38.064999999999998</v>
      </c>
      <c r="E92" s="41">
        <f t="shared" si="4"/>
        <v>-5.6352459016393297E-3</v>
      </c>
      <c r="F92" s="41">
        <f t="shared" si="5"/>
        <v>-7.2448018546692472E-3</v>
      </c>
      <c r="G92" s="41">
        <f t="shared" si="6"/>
        <v>-1.1427087391247981E-2</v>
      </c>
      <c r="H92" s="41">
        <f t="shared" si="7"/>
        <v>7.959285833472296E-2</v>
      </c>
      <c r="I92" s="41">
        <f t="shared" si="8"/>
        <v>1.6367097683387621E-2</v>
      </c>
      <c r="J92" s="41">
        <f t="shared" si="9"/>
        <v>-8.5305779166166107E-2</v>
      </c>
      <c r="K92" s="42">
        <f t="shared" si="0"/>
        <v>107.95928583347238</v>
      </c>
      <c r="L92" s="42">
        <f t="shared" si="1"/>
        <v>101.6367097683388</v>
      </c>
      <c r="M92" s="42">
        <f t="shared" si="2"/>
        <v>91.469422083383392</v>
      </c>
      <c r="N92" s="41">
        <f t="shared" si="10"/>
        <v>6.2207602740629975E-2</v>
      </c>
      <c r="O92" s="41">
        <f t="shared" si="11"/>
        <v>0.18027733612503605</v>
      </c>
      <c r="P92" s="39">
        <f t="shared" si="12"/>
        <v>179.0269823371589</v>
      </c>
      <c r="Q92" s="42">
        <f t="shared" si="13"/>
        <v>1.079592858334723</v>
      </c>
      <c r="R92" s="42">
        <f t="shared" si="14"/>
        <v>1.097168919294732</v>
      </c>
      <c r="S92" s="41">
        <f t="shared" si="15"/>
        <v>-1.601946669370391E-2</v>
      </c>
      <c r="T92" s="41">
        <f t="shared" ref="T92:T155" si="18">IFERROR(_xlfn.STDEV.S(E33:E92)*SQRT($D$7),"")</f>
        <v>0.26310123345412595</v>
      </c>
      <c r="U92" s="41">
        <f t="shared" si="16"/>
        <v>-5.7908957644305925E-3</v>
      </c>
      <c r="V92" s="41">
        <f t="shared" si="17"/>
        <v>1.6095559530299175E-3</v>
      </c>
      <c r="W92" s="39">
        <f t="shared" si="3"/>
        <v>194.1</v>
      </c>
      <c r="X92" s="21"/>
    </row>
    <row r="93" spans="1:24" x14ac:dyDescent="0.2">
      <c r="A93" s="38">
        <v>45071</v>
      </c>
      <c r="B93" s="39">
        <v>195.1</v>
      </c>
      <c r="C93" s="39">
        <v>414.65</v>
      </c>
      <c r="D93" s="39">
        <v>37.93</v>
      </c>
      <c r="E93" s="41">
        <f t="shared" si="4"/>
        <v>5.1519835136526471E-3</v>
      </c>
      <c r="F93" s="41">
        <f t="shared" si="5"/>
        <v>8.6599041572406055E-3</v>
      </c>
      <c r="G93" s="41">
        <f t="shared" si="6"/>
        <v>-3.5465650860370124E-3</v>
      </c>
      <c r="H93" s="41">
        <f t="shared" si="7"/>
        <v>8.5154902942320643E-2</v>
      </c>
      <c r="I93" s="41">
        <f t="shared" si="8"/>
        <v>2.5168739337898538E-2</v>
      </c>
      <c r="J93" s="41">
        <f t="shared" si="9"/>
        <v>-8.8549801754175261E-2</v>
      </c>
      <c r="K93" s="42">
        <f t="shared" si="0"/>
        <v>108.51549029423215</v>
      </c>
      <c r="L93" s="42">
        <f t="shared" si="1"/>
        <v>102.51687393378988</v>
      </c>
      <c r="M93" s="42">
        <f t="shared" si="2"/>
        <v>91.145019824582477</v>
      </c>
      <c r="N93" s="41">
        <f t="shared" si="10"/>
        <v>5.8513453739492682E-2</v>
      </c>
      <c r="O93" s="41">
        <f t="shared" si="11"/>
        <v>0.19058057700882358</v>
      </c>
      <c r="P93" s="39">
        <f t="shared" si="12"/>
        <v>179.18691286116729</v>
      </c>
      <c r="Q93" s="42">
        <f t="shared" si="13"/>
        <v>1.0851549029423206</v>
      </c>
      <c r="R93" s="42">
        <f t="shared" si="14"/>
        <v>1.097168919294732</v>
      </c>
      <c r="S93" s="41">
        <f t="shared" si="15"/>
        <v>-1.0950015208354702E-2</v>
      </c>
      <c r="T93" s="41">
        <f t="shared" si="18"/>
        <v>0.26085443196156671</v>
      </c>
      <c r="U93" s="41">
        <f t="shared" si="16"/>
        <v>0</v>
      </c>
      <c r="V93" s="41">
        <f t="shared" si="17"/>
        <v>-3.5079206435879584E-3</v>
      </c>
      <c r="W93" s="39">
        <f t="shared" si="3"/>
        <v>195.1</v>
      </c>
      <c r="X93" s="21"/>
    </row>
    <row r="94" spans="1:24" x14ac:dyDescent="0.2">
      <c r="A94" s="38">
        <v>45072</v>
      </c>
      <c r="B94" s="39">
        <v>196</v>
      </c>
      <c r="C94" s="39">
        <v>420.02</v>
      </c>
      <c r="D94" s="39">
        <v>38.119999999999997</v>
      </c>
      <c r="E94" s="41">
        <f t="shared" si="4"/>
        <v>4.6130189646336195E-3</v>
      </c>
      <c r="F94" s="41">
        <f t="shared" si="5"/>
        <v>1.2950681297479782E-2</v>
      </c>
      <c r="G94" s="41">
        <f t="shared" si="6"/>
        <v>5.0092275243869278E-3</v>
      </c>
      <c r="H94" s="41">
        <f t="shared" si="7"/>
        <v>9.0160743089158668E-2</v>
      </c>
      <c r="I94" s="41">
        <f t="shared" si="8"/>
        <v>3.8445372957202739E-2</v>
      </c>
      <c r="J94" s="41">
        <f t="shared" si="9"/>
        <v>-8.3984140334014357E-2</v>
      </c>
      <c r="K94" s="42">
        <f t="shared" si="0"/>
        <v>109.01607430891596</v>
      </c>
      <c r="L94" s="42">
        <f t="shared" si="1"/>
        <v>103.84453729572031</v>
      </c>
      <c r="M94" s="42">
        <f t="shared" si="2"/>
        <v>91.601585966598577</v>
      </c>
      <c r="N94" s="41">
        <f t="shared" si="10"/>
        <v>4.9800761290586637E-2</v>
      </c>
      <c r="O94" s="41">
        <f t="shared" si="11"/>
        <v>0.19011120995947928</v>
      </c>
      <c r="P94" s="39">
        <f t="shared" si="12"/>
        <v>179.35420726055867</v>
      </c>
      <c r="Q94" s="42">
        <f t="shared" si="13"/>
        <v>1.0901607430891587</v>
      </c>
      <c r="R94" s="42">
        <f t="shared" si="14"/>
        <v>1.097168919294732</v>
      </c>
      <c r="S94" s="41">
        <f t="shared" si="15"/>
        <v>-6.3875088715402706E-3</v>
      </c>
      <c r="T94" s="41">
        <f t="shared" si="18"/>
        <v>0.25863408649960734</v>
      </c>
      <c r="U94" s="41">
        <f t="shared" si="16"/>
        <v>0</v>
      </c>
      <c r="V94" s="41">
        <f t="shared" si="17"/>
        <v>-8.337662332846163E-3</v>
      </c>
      <c r="W94" s="39">
        <f t="shared" si="3"/>
        <v>196</v>
      </c>
      <c r="X94" s="21"/>
    </row>
    <row r="95" spans="1:24" x14ac:dyDescent="0.2">
      <c r="A95" s="38">
        <v>45076</v>
      </c>
      <c r="B95" s="39">
        <v>196.05</v>
      </c>
      <c r="C95" s="39">
        <v>420.18</v>
      </c>
      <c r="D95" s="39">
        <v>37.914999999999999</v>
      </c>
      <c r="E95" s="41">
        <f t="shared" si="4"/>
        <v>2.5510204081635734E-4</v>
      </c>
      <c r="F95" s="41">
        <f t="shared" si="5"/>
        <v>3.8093424122664921E-4</v>
      </c>
      <c r="G95" s="41">
        <f t="shared" si="6"/>
        <v>-5.3777544596012028E-3</v>
      </c>
      <c r="H95" s="41">
        <f t="shared" si="7"/>
        <v>9.0438845319538608E-2</v>
      </c>
      <c r="I95" s="41">
        <f t="shared" si="8"/>
        <v>3.8840952357405589E-2</v>
      </c>
      <c r="J95" s="41">
        <f t="shared" si="9"/>
        <v>-8.8910248708398587E-2</v>
      </c>
      <c r="K95" s="42">
        <f t="shared" si="0"/>
        <v>109.04388453195395</v>
      </c>
      <c r="L95" s="42">
        <f t="shared" si="1"/>
        <v>103.8840952357406</v>
      </c>
      <c r="M95" s="42">
        <f t="shared" si="2"/>
        <v>91.108975129160157</v>
      </c>
      <c r="N95" s="41">
        <f t="shared" si="10"/>
        <v>4.9668712852572572E-2</v>
      </c>
      <c r="O95" s="41">
        <f t="shared" si="11"/>
        <v>0.1968511815369276</v>
      </c>
      <c r="P95" s="39">
        <f t="shared" si="12"/>
        <v>179.52033455149839</v>
      </c>
      <c r="Q95" s="42">
        <f t="shared" si="13"/>
        <v>1.0904388453195386</v>
      </c>
      <c r="R95" s="42">
        <f t="shared" si="14"/>
        <v>1.097168919294732</v>
      </c>
      <c r="S95" s="41">
        <f t="shared" si="15"/>
        <v>-6.1340362972728268E-3</v>
      </c>
      <c r="T95" s="41">
        <f t="shared" si="18"/>
        <v>0.25641028011854339</v>
      </c>
      <c r="U95" s="41">
        <f t="shared" si="16"/>
        <v>0</v>
      </c>
      <c r="V95" s="41">
        <f t="shared" si="17"/>
        <v>-1.2583220041029186E-4</v>
      </c>
      <c r="W95" s="39">
        <f t="shared" si="3"/>
        <v>196.05</v>
      </c>
      <c r="X95" s="21"/>
    </row>
    <row r="96" spans="1:24" x14ac:dyDescent="0.2">
      <c r="A96" s="38">
        <v>45077</v>
      </c>
      <c r="B96" s="39">
        <v>195.5</v>
      </c>
      <c r="C96" s="39">
        <v>417.85</v>
      </c>
      <c r="D96" s="39">
        <v>37.51</v>
      </c>
      <c r="E96" s="41">
        <f t="shared" si="4"/>
        <v>-2.8054067839837771E-3</v>
      </c>
      <c r="F96" s="41">
        <f t="shared" si="5"/>
        <v>-5.5452425151125695E-3</v>
      </c>
      <c r="G96" s="41">
        <f t="shared" si="6"/>
        <v>-1.0681788210470833E-2</v>
      </c>
      <c r="H96" s="41">
        <f t="shared" si="7"/>
        <v>8.7379720785359716E-2</v>
      </c>
      <c r="I96" s="41">
        <f t="shared" si="8"/>
        <v>3.3080327341953319E-2</v>
      </c>
      <c r="J96" s="41">
        <f t="shared" si="9"/>
        <v>-9.864231647242605E-2</v>
      </c>
      <c r="K96" s="42">
        <f t="shared" si="0"/>
        <v>108.73797207853609</v>
      </c>
      <c r="L96" s="42">
        <f t="shared" si="1"/>
        <v>103.30803273419538</v>
      </c>
      <c r="M96" s="42">
        <f t="shared" si="2"/>
        <v>90.13576835275741</v>
      </c>
      <c r="N96" s="41">
        <f t="shared" si="10"/>
        <v>5.2560669297725404E-2</v>
      </c>
      <c r="O96" s="41">
        <f t="shared" si="11"/>
        <v>0.20637982086064399</v>
      </c>
      <c r="P96" s="39">
        <f t="shared" si="12"/>
        <v>179.67933619775215</v>
      </c>
      <c r="Q96" s="42">
        <f t="shared" si="13"/>
        <v>1.0873797207853597</v>
      </c>
      <c r="R96" s="42">
        <f t="shared" si="14"/>
        <v>1.097168919294732</v>
      </c>
      <c r="S96" s="41">
        <f t="shared" si="15"/>
        <v>-8.922234614215041E-3</v>
      </c>
      <c r="T96" s="41">
        <f t="shared" si="18"/>
        <v>0.25438798204398277</v>
      </c>
      <c r="U96" s="41">
        <f t="shared" si="16"/>
        <v>-2.9610566467750399E-3</v>
      </c>
      <c r="V96" s="41">
        <f t="shared" si="17"/>
        <v>2.7398357311287924E-3</v>
      </c>
      <c r="W96" s="39">
        <f t="shared" si="3"/>
        <v>195.5</v>
      </c>
      <c r="X96" s="21"/>
    </row>
    <row r="97" spans="1:24" x14ac:dyDescent="0.2">
      <c r="A97" s="38">
        <v>45078</v>
      </c>
      <c r="B97" s="39">
        <v>198.8</v>
      </c>
      <c r="C97" s="39">
        <v>421.82</v>
      </c>
      <c r="D97" s="39">
        <v>38.01</v>
      </c>
      <c r="E97" s="41">
        <f t="shared" si="4"/>
        <v>1.6879795396419484E-2</v>
      </c>
      <c r="F97" s="41">
        <f t="shared" si="5"/>
        <v>9.5010171114036091E-3</v>
      </c>
      <c r="G97" s="41">
        <f t="shared" si="6"/>
        <v>1.3329778725673203E-2</v>
      </c>
      <c r="H97" s="41">
        <f t="shared" si="7"/>
        <v>0.1057344679904324</v>
      </c>
      <c r="I97" s="41">
        <f t="shared" si="8"/>
        <v>4.2895641209483637E-2</v>
      </c>
      <c r="J97" s="41">
        <f t="shared" si="9"/>
        <v>-8.6627417998318079E-2</v>
      </c>
      <c r="K97" s="42">
        <f t="shared" si="0"/>
        <v>110.57344679904332</v>
      </c>
      <c r="L97" s="42">
        <f t="shared" si="1"/>
        <v>104.28956412094838</v>
      </c>
      <c r="M97" s="42">
        <f t="shared" si="2"/>
        <v>91.337258200168208</v>
      </c>
      <c r="N97" s="41">
        <f t="shared" si="10"/>
        <v>6.0254184884762196E-2</v>
      </c>
      <c r="O97" s="41">
        <f t="shared" si="11"/>
        <v>0.21060615326024346</v>
      </c>
      <c r="P97" s="39">
        <f t="shared" si="12"/>
        <v>179.86959155896855</v>
      </c>
      <c r="Q97" s="42">
        <f t="shared" si="13"/>
        <v>1.1057344679904324</v>
      </c>
      <c r="R97" s="42">
        <f t="shared" si="14"/>
        <v>1.1057344679904324</v>
      </c>
      <c r="S97" s="41">
        <f t="shared" si="15"/>
        <v>0</v>
      </c>
      <c r="T97" s="41">
        <f t="shared" si="18"/>
        <v>0.25414685311763324</v>
      </c>
      <c r="U97" s="41">
        <f t="shared" si="16"/>
        <v>0</v>
      </c>
      <c r="V97" s="41">
        <f t="shared" si="17"/>
        <v>7.3787782850158745E-3</v>
      </c>
      <c r="W97" s="39">
        <f t="shared" si="3"/>
        <v>198.8</v>
      </c>
      <c r="X97" s="21"/>
    </row>
    <row r="98" spans="1:24" x14ac:dyDescent="0.2">
      <c r="A98" s="38">
        <v>45079</v>
      </c>
      <c r="B98" s="39">
        <v>202.73</v>
      </c>
      <c r="C98" s="39">
        <v>427.92</v>
      </c>
      <c r="D98" s="39">
        <v>39.284999999999997</v>
      </c>
      <c r="E98" s="41">
        <f t="shared" si="4"/>
        <v>1.9768611670019975E-2</v>
      </c>
      <c r="F98" s="41">
        <f t="shared" si="5"/>
        <v>1.4461144564032136E-2</v>
      </c>
      <c r="G98" s="41">
        <f t="shared" si="6"/>
        <v>3.3543804262036181E-2</v>
      </c>
      <c r="H98" s="41">
        <f t="shared" si="7"/>
        <v>0.12759330329829144</v>
      </c>
      <c r="I98" s="41">
        <f t="shared" si="8"/>
        <v>5.7977105842212939E-2</v>
      </c>
      <c r="J98" s="41">
        <f t="shared" si="9"/>
        <v>-5.5989426889343052E-2</v>
      </c>
      <c r="K98" s="42">
        <f t="shared" si="0"/>
        <v>112.75933032982925</v>
      </c>
      <c r="L98" s="42">
        <f t="shared" si="1"/>
        <v>105.79771058422132</v>
      </c>
      <c r="M98" s="42">
        <f t="shared" si="2"/>
        <v>94.401057311065699</v>
      </c>
      <c r="N98" s="41">
        <f t="shared" si="10"/>
        <v>6.5801232438446711E-2</v>
      </c>
      <c r="O98" s="41">
        <f t="shared" si="11"/>
        <v>0.19447105299117751</v>
      </c>
      <c r="P98" s="39">
        <f t="shared" si="12"/>
        <v>180.09705830962557</v>
      </c>
      <c r="Q98" s="42">
        <f t="shared" si="13"/>
        <v>1.1275933032982914</v>
      </c>
      <c r="R98" s="42">
        <f t="shared" si="14"/>
        <v>1.1275933032982914</v>
      </c>
      <c r="S98" s="41">
        <f t="shared" si="15"/>
        <v>0</v>
      </c>
      <c r="T98" s="41">
        <f t="shared" si="18"/>
        <v>0.25629192076878266</v>
      </c>
      <c r="U98" s="41">
        <f t="shared" si="16"/>
        <v>0</v>
      </c>
      <c r="V98" s="41">
        <f t="shared" si="17"/>
        <v>5.3074671059878398E-3</v>
      </c>
      <c r="W98" s="39">
        <f t="shared" si="3"/>
        <v>202.73</v>
      </c>
      <c r="X98" s="21"/>
    </row>
    <row r="99" spans="1:24" x14ac:dyDescent="0.2">
      <c r="A99" s="38">
        <v>45082</v>
      </c>
      <c r="B99" s="39">
        <v>202.24</v>
      </c>
      <c r="C99" s="39">
        <v>427.1</v>
      </c>
      <c r="D99" s="39">
        <v>39.255000000000003</v>
      </c>
      <c r="E99" s="41">
        <f t="shared" si="4"/>
        <v>-2.4170078429437414E-3</v>
      </c>
      <c r="F99" s="41">
        <f t="shared" si="5"/>
        <v>-1.9162460272947879E-3</v>
      </c>
      <c r="G99" s="41">
        <f t="shared" si="6"/>
        <v>-7.6365024818614291E-4</v>
      </c>
      <c r="H99" s="41">
        <f t="shared" si="7"/>
        <v>0.1248679014405687</v>
      </c>
      <c r="I99" s="41">
        <f t="shared" si="8"/>
        <v>5.5949761416173915E-2</v>
      </c>
      <c r="J99" s="41">
        <f t="shared" si="9"/>
        <v>-5.6710320797789371E-2</v>
      </c>
      <c r="K99" s="42">
        <f t="shared" si="0"/>
        <v>112.48679014405695</v>
      </c>
      <c r="L99" s="42">
        <f t="shared" si="1"/>
        <v>105.59497614161741</v>
      </c>
      <c r="M99" s="42">
        <f t="shared" si="2"/>
        <v>94.328967920221075</v>
      </c>
      <c r="N99" s="41">
        <f t="shared" si="10"/>
        <v>6.5266495190042129E-2</v>
      </c>
      <c r="O99" s="41">
        <f t="shared" si="11"/>
        <v>0.19249465592788861</v>
      </c>
      <c r="P99" s="39">
        <f t="shared" si="12"/>
        <v>180.31738608763925</v>
      </c>
      <c r="Q99" s="42">
        <f t="shared" si="13"/>
        <v>1.1248679014405687</v>
      </c>
      <c r="R99" s="42">
        <f t="shared" si="14"/>
        <v>1.1275933032982914</v>
      </c>
      <c r="S99" s="41">
        <f t="shared" si="15"/>
        <v>-2.4170078429436304E-3</v>
      </c>
      <c r="T99" s="41">
        <f t="shared" si="18"/>
        <v>0.24912286444479934</v>
      </c>
      <c r="U99" s="41">
        <f t="shared" si="16"/>
        <v>-2.5726577057350042E-3</v>
      </c>
      <c r="V99" s="41">
        <f t="shared" si="17"/>
        <v>-5.007618156489535E-4</v>
      </c>
      <c r="W99" s="39">
        <f t="shared" si="3"/>
        <v>202.24</v>
      </c>
      <c r="X99" s="21"/>
    </row>
    <row r="100" spans="1:24" x14ac:dyDescent="0.2">
      <c r="A100" s="38">
        <v>45083</v>
      </c>
      <c r="B100" s="39">
        <v>203.12</v>
      </c>
      <c r="C100" s="39">
        <v>428.03</v>
      </c>
      <c r="D100" s="39">
        <v>39.505000000000003</v>
      </c>
      <c r="E100" s="41">
        <f t="shared" si="4"/>
        <v>4.3512658227848888E-3</v>
      </c>
      <c r="F100" s="41">
        <f t="shared" si="5"/>
        <v>2.1774760009365401E-3</v>
      </c>
      <c r="G100" s="41">
        <f t="shared" si="6"/>
        <v>6.3686154629982727E-3</v>
      </c>
      <c r="H100" s="41">
        <f t="shared" si="7"/>
        <v>0.12976250069525475</v>
      </c>
      <c r="I100" s="41">
        <f t="shared" si="8"/>
        <v>5.8249066679852302E-2</v>
      </c>
      <c r="J100" s="41">
        <f t="shared" si="9"/>
        <v>-5.0702871560735496E-2</v>
      </c>
      <c r="K100" s="42">
        <f t="shared" ref="K100:K163" si="19">IFERROR(B100/$B$36*100,"")</f>
        <v>112.97625006952556</v>
      </c>
      <c r="L100" s="42">
        <f t="shared" ref="L100:L163" si="20">IFERROR(C100/$C$36*100,"")</f>
        <v>105.82490666798525</v>
      </c>
      <c r="M100" s="42">
        <f t="shared" ref="M100:M163" si="21">IFERROR(D100/$D$36*100,"")</f>
        <v>94.929712843926467</v>
      </c>
      <c r="N100" s="41">
        <f t="shared" si="10"/>
        <v>6.7577129304510875E-2</v>
      </c>
      <c r="O100" s="41">
        <f t="shared" si="11"/>
        <v>0.19010420115005777</v>
      </c>
      <c r="P100" s="39">
        <f t="shared" si="12"/>
        <v>180.54427776835925</v>
      </c>
      <c r="Q100" s="42">
        <f t="shared" si="13"/>
        <v>1.1297625006952547</v>
      </c>
      <c r="R100" s="42">
        <f t="shared" si="14"/>
        <v>1.1297625006952547</v>
      </c>
      <c r="S100" s="41">
        <f t="shared" si="15"/>
        <v>0</v>
      </c>
      <c r="T100" s="41">
        <f t="shared" si="18"/>
        <v>0.24111710634551728</v>
      </c>
      <c r="U100" s="41">
        <f t="shared" si="16"/>
        <v>0</v>
      </c>
      <c r="V100" s="41">
        <f t="shared" si="17"/>
        <v>2.1737898218483487E-3</v>
      </c>
      <c r="W100" s="39">
        <f t="shared" ref="W100:W163" si="22">B100</f>
        <v>203.12</v>
      </c>
      <c r="X100" s="21"/>
    </row>
    <row r="101" spans="1:24" x14ac:dyDescent="0.2">
      <c r="A101" s="38">
        <v>45084</v>
      </c>
      <c r="B101" s="39">
        <v>204.99</v>
      </c>
      <c r="C101" s="39">
        <v>426.55</v>
      </c>
      <c r="D101" s="39">
        <v>39.975000000000001</v>
      </c>
      <c r="E101" s="41">
        <f t="shared" ref="E101:E164" si="23">IFERROR(B101/B100-1,"")</f>
        <v>9.2063804647499747E-3</v>
      </c>
      <c r="F101" s="41">
        <f t="shared" ref="F101:F164" si="24">IFERROR(C101/C100-1,"")</f>
        <v>-3.4577015629744245E-3</v>
      </c>
      <c r="G101" s="41">
        <f t="shared" ref="G101:G164" si="25">IFERROR(D101/D100-1,"")</f>
        <v>1.1897228198962218E-2</v>
      </c>
      <c r="H101" s="41">
        <f t="shared" ref="H101:H164" si="26">IFERROR((1+E101)*(1+H100)-1,"")</f>
        <v>0.14016352411146271</v>
      </c>
      <c r="I101" s="41">
        <f t="shared" ref="I101:I164" si="27">IFERROR((1+F101)*(1+I100)-1,"")</f>
        <v>5.4589957227977104E-2</v>
      </c>
      <c r="J101" s="41">
        <f t="shared" ref="J101:J164" si="28">IFERROR((1+G101)*(1+J100)-1,"")</f>
        <v>-3.9408866995074066E-2</v>
      </c>
      <c r="K101" s="42">
        <f t="shared" si="19"/>
        <v>114.01635241114634</v>
      </c>
      <c r="L101" s="42">
        <f t="shared" si="20"/>
        <v>105.45899572279774</v>
      </c>
      <c r="M101" s="42">
        <f t="shared" si="21"/>
        <v>96.059113300492598</v>
      </c>
      <c r="N101" s="41">
        <f t="shared" ref="N101:N164" si="29">IFERROR((1+H101)/(1+I101)-1,"")</f>
        <v>8.1143923566670884E-2</v>
      </c>
      <c r="O101" s="41">
        <f t="shared" ref="O101:O164" si="30">IFERROR((1+H101)/(1+J101)-1,"")</f>
        <v>0.18693946356218971</v>
      </c>
      <c r="P101" s="39">
        <f t="shared" ref="P101:P164" si="31">IFERROR(B101*0.0099502487562189+P100*(1-0.0099502487562189),"")</f>
        <v>180.78751878558953</v>
      </c>
      <c r="Q101" s="42">
        <f t="shared" ref="Q101:Q164" si="32">Q100*(1+E101)</f>
        <v>1.1401635241114627</v>
      </c>
      <c r="R101" s="42">
        <f t="shared" ref="R101:R164" si="33">MAX(R100,Q101)</f>
        <v>1.1401635241114627</v>
      </c>
      <c r="S101" s="41">
        <f t="shared" ref="S101:S164" si="34">IFERROR(Q101/R101-1,"")</f>
        <v>0</v>
      </c>
      <c r="T101" s="41">
        <f t="shared" si="18"/>
        <v>0.23671310826832059</v>
      </c>
      <c r="U101" s="41">
        <f t="shared" ref="U101:U164" si="35">IFERROR(MIN(E101-$D$6,0),"")</f>
        <v>0</v>
      </c>
      <c r="V101" s="41">
        <f t="shared" ref="V101:V164" si="36">IFERROR(E101-F101,"")</f>
        <v>1.2664082027724399E-2</v>
      </c>
      <c r="W101" s="39">
        <f t="shared" si="22"/>
        <v>204.99</v>
      </c>
      <c r="X101" s="21"/>
    </row>
    <row r="102" spans="1:24" x14ac:dyDescent="0.2">
      <c r="A102" s="38">
        <v>45085</v>
      </c>
      <c r="B102" s="39">
        <v>206.18</v>
      </c>
      <c r="C102" s="39">
        <v>429.13</v>
      </c>
      <c r="D102" s="39">
        <v>39.83</v>
      </c>
      <c r="E102" s="41">
        <f t="shared" si="23"/>
        <v>5.8051612273768427E-3</v>
      </c>
      <c r="F102" s="41">
        <f t="shared" si="24"/>
        <v>6.0485288946194871E-3</v>
      </c>
      <c r="G102" s="41">
        <f t="shared" si="25"/>
        <v>-3.6272670419013053E-3</v>
      </c>
      <c r="H102" s="41">
        <f t="shared" si="26"/>
        <v>0.14678235719450394</v>
      </c>
      <c r="I102" s="41">
        <f t="shared" si="27"/>
        <v>6.0968675056246147E-2</v>
      </c>
      <c r="J102" s="41">
        <f t="shared" si="28"/>
        <v>-4.2893187552565437E-2</v>
      </c>
      <c r="K102" s="42">
        <f t="shared" si="19"/>
        <v>114.67823571945048</v>
      </c>
      <c r="L102" s="42">
        <f t="shared" si="20"/>
        <v>106.09686750562463</v>
      </c>
      <c r="M102" s="42">
        <f t="shared" si="21"/>
        <v>95.710681244743483</v>
      </c>
      <c r="N102" s="41">
        <f t="shared" si="29"/>
        <v>8.08823899854616E-2</v>
      </c>
      <c r="O102" s="41">
        <f t="shared" si="30"/>
        <v>0.19817594262237748</v>
      </c>
      <c r="P102" s="39">
        <f t="shared" si="31"/>
        <v>181.04018029021054</v>
      </c>
      <c r="Q102" s="42">
        <f t="shared" si="32"/>
        <v>1.1467823571945039</v>
      </c>
      <c r="R102" s="42">
        <f t="shared" si="33"/>
        <v>1.1467823571945039</v>
      </c>
      <c r="S102" s="41">
        <f t="shared" si="34"/>
        <v>0</v>
      </c>
      <c r="T102" s="41">
        <f t="shared" si="18"/>
        <v>0.23647237042114114</v>
      </c>
      <c r="U102" s="41">
        <f t="shared" si="35"/>
        <v>0</v>
      </c>
      <c r="V102" s="41">
        <f t="shared" si="36"/>
        <v>-2.4336766724264436E-4</v>
      </c>
      <c r="W102" s="39">
        <f t="shared" si="22"/>
        <v>206.18</v>
      </c>
      <c r="X102" s="21"/>
    </row>
    <row r="103" spans="1:24" x14ac:dyDescent="0.2">
      <c r="A103" s="38">
        <v>45086</v>
      </c>
      <c r="B103" s="39">
        <v>206.64</v>
      </c>
      <c r="C103" s="39">
        <v>429.9</v>
      </c>
      <c r="D103" s="39">
        <v>39.5</v>
      </c>
      <c r="E103" s="41">
        <f t="shared" si="23"/>
        <v>2.2310602386264033E-3</v>
      </c>
      <c r="F103" s="41">
        <f t="shared" si="24"/>
        <v>1.7943280590961841E-3</v>
      </c>
      <c r="G103" s="41">
        <f t="shared" si="25"/>
        <v>-8.285212151644461E-3</v>
      </c>
      <c r="H103" s="41">
        <f t="shared" si="26"/>
        <v>0.14934089771399894</v>
      </c>
      <c r="I103" s="41">
        <f t="shared" si="27"/>
        <v>6.2872400919721683E-2</v>
      </c>
      <c r="J103" s="41">
        <f t="shared" si="28"/>
        <v>-5.0823020545476605E-2</v>
      </c>
      <c r="K103" s="42">
        <f t="shared" si="19"/>
        <v>114.93408977139995</v>
      </c>
      <c r="L103" s="42">
        <f t="shared" si="20"/>
        <v>106.28724009197219</v>
      </c>
      <c r="M103" s="42">
        <f t="shared" si="21"/>
        <v>94.91769794545236</v>
      </c>
      <c r="N103" s="41">
        <f t="shared" si="29"/>
        <v>8.1353600601026699E-2</v>
      </c>
      <c r="O103" s="41">
        <f t="shared" si="30"/>
        <v>0.21088155590805258</v>
      </c>
      <c r="P103" s="39">
        <f t="shared" si="31"/>
        <v>181.29490486443731</v>
      </c>
      <c r="Q103" s="42">
        <f t="shared" si="32"/>
        <v>1.1493408977139989</v>
      </c>
      <c r="R103" s="42">
        <f t="shared" si="33"/>
        <v>1.1493408977139989</v>
      </c>
      <c r="S103" s="41">
        <f t="shared" si="34"/>
        <v>0</v>
      </c>
      <c r="T103" s="41">
        <f t="shared" si="18"/>
        <v>0.22712867534071429</v>
      </c>
      <c r="U103" s="41">
        <f t="shared" si="35"/>
        <v>0</v>
      </c>
      <c r="V103" s="41">
        <f t="shared" si="36"/>
        <v>4.3673217953021926E-4</v>
      </c>
      <c r="W103" s="39">
        <f t="shared" si="22"/>
        <v>206.64</v>
      </c>
      <c r="X103" s="21"/>
    </row>
    <row r="104" spans="1:24" x14ac:dyDescent="0.2">
      <c r="A104" s="38">
        <v>45089</v>
      </c>
      <c r="B104" s="39">
        <v>205.89</v>
      </c>
      <c r="C104" s="39">
        <v>433.8</v>
      </c>
      <c r="D104" s="39">
        <v>39.68</v>
      </c>
      <c r="E104" s="41">
        <f t="shared" si="23"/>
        <v>-3.6295005807200909E-3</v>
      </c>
      <c r="F104" s="41">
        <f t="shared" si="24"/>
        <v>9.0718771807398735E-3</v>
      </c>
      <c r="G104" s="41">
        <f t="shared" si="25"/>
        <v>4.5569620253165244E-3</v>
      </c>
      <c r="H104" s="41">
        <f t="shared" si="26"/>
        <v>0.14516936425830074</v>
      </c>
      <c r="I104" s="41">
        <f t="shared" si="27"/>
        <v>7.2514648799663517E-2</v>
      </c>
      <c r="J104" s="41">
        <f t="shared" si="28"/>
        <v>-4.6497657094797695E-2</v>
      </c>
      <c r="K104" s="42">
        <f t="shared" si="19"/>
        <v>114.51693642583014</v>
      </c>
      <c r="L104" s="42">
        <f t="shared" si="20"/>
        <v>107.25146487996638</v>
      </c>
      <c r="M104" s="42">
        <f t="shared" si="21"/>
        <v>95.350234290520248</v>
      </c>
      <c r="N104" s="41">
        <f t="shared" si="29"/>
        <v>6.7742399173709167E-2</v>
      </c>
      <c r="O104" s="41">
        <f t="shared" si="30"/>
        <v>0.20101368683490906</v>
      </c>
      <c r="P104" s="39">
        <f t="shared" si="31"/>
        <v>181.53963217921904</v>
      </c>
      <c r="Q104" s="42">
        <f t="shared" si="32"/>
        <v>1.1451693642583007</v>
      </c>
      <c r="R104" s="42">
        <f t="shared" si="33"/>
        <v>1.1493408977139989</v>
      </c>
      <c r="S104" s="41">
        <f t="shared" si="34"/>
        <v>-3.6295005807199798E-3</v>
      </c>
      <c r="T104" s="41">
        <f t="shared" si="18"/>
        <v>0.22492817082066904</v>
      </c>
      <c r="U104" s="41">
        <f t="shared" si="35"/>
        <v>-3.7851504435113537E-3</v>
      </c>
      <c r="V104" s="41">
        <f t="shared" si="36"/>
        <v>-1.2701377761459964E-2</v>
      </c>
      <c r="W104" s="39">
        <f t="shared" si="22"/>
        <v>205.89</v>
      </c>
      <c r="X104" s="21"/>
    </row>
    <row r="105" spans="1:24" x14ac:dyDescent="0.2">
      <c r="A105" s="38">
        <v>45090</v>
      </c>
      <c r="B105" s="39">
        <v>207.7</v>
      </c>
      <c r="C105" s="39">
        <v>436.66</v>
      </c>
      <c r="D105" s="39">
        <v>40.6</v>
      </c>
      <c r="E105" s="41">
        <f t="shared" si="23"/>
        <v>8.7911020447812849E-3</v>
      </c>
      <c r="F105" s="41">
        <f t="shared" si="24"/>
        <v>6.5928999538957811E-3</v>
      </c>
      <c r="G105" s="41">
        <f t="shared" si="25"/>
        <v>2.3185483870967749E-2</v>
      </c>
      <c r="H105" s="41">
        <f t="shared" si="26"/>
        <v>0.15523666499805278</v>
      </c>
      <c r="I105" s="41">
        <f t="shared" si="27"/>
        <v>7.9585630578287381E-2</v>
      </c>
      <c r="J105" s="41">
        <f t="shared" si="28"/>
        <v>-2.4390243902439157E-2</v>
      </c>
      <c r="K105" s="42">
        <f t="shared" si="19"/>
        <v>115.52366649980532</v>
      </c>
      <c r="L105" s="42">
        <f t="shared" si="20"/>
        <v>107.95856305782875</v>
      </c>
      <c r="M105" s="42">
        <f t="shared" si="21"/>
        <v>97.560975609756099</v>
      </c>
      <c r="N105" s="41">
        <f t="shared" si="29"/>
        <v>7.0074139815331282E-2</v>
      </c>
      <c r="O105" s="41">
        <f t="shared" si="30"/>
        <v>0.18411758162300429</v>
      </c>
      <c r="P105" s="39">
        <f t="shared" si="31"/>
        <v>181.79993434658999</v>
      </c>
      <c r="Q105" s="42">
        <f t="shared" si="32"/>
        <v>1.1552366649980528</v>
      </c>
      <c r="R105" s="42">
        <f t="shared" si="33"/>
        <v>1.1552366649980528</v>
      </c>
      <c r="S105" s="41">
        <f t="shared" si="34"/>
        <v>0</v>
      </c>
      <c r="T105" s="41">
        <f t="shared" si="18"/>
        <v>0.21304690705732215</v>
      </c>
      <c r="U105" s="41">
        <f t="shared" si="35"/>
        <v>0</v>
      </c>
      <c r="V105" s="41">
        <f t="shared" si="36"/>
        <v>2.1982020908855038E-3</v>
      </c>
      <c r="W105" s="39">
        <f t="shared" si="22"/>
        <v>207.7</v>
      </c>
      <c r="X105" s="21"/>
    </row>
    <row r="106" spans="1:24" x14ac:dyDescent="0.2">
      <c r="A106" s="38">
        <v>45091</v>
      </c>
      <c r="B106" s="39">
        <v>207.39</v>
      </c>
      <c r="C106" s="39">
        <v>437.18</v>
      </c>
      <c r="D106" s="39">
        <v>40.43</v>
      </c>
      <c r="E106" s="41">
        <f t="shared" si="23"/>
        <v>-1.4925373134327957E-3</v>
      </c>
      <c r="F106" s="41">
        <f t="shared" si="24"/>
        <v>1.1908578756927302E-3</v>
      </c>
      <c r="G106" s="41">
        <f t="shared" si="25"/>
        <v>-4.1871921182266014E-3</v>
      </c>
      <c r="H106" s="41">
        <f t="shared" si="26"/>
        <v>0.15351243116969759</v>
      </c>
      <c r="I106" s="41">
        <f t="shared" si="27"/>
        <v>8.0871263628946144E-2</v>
      </c>
      <c r="J106" s="41">
        <f t="shared" si="28"/>
        <v>-2.847530938363585E-2</v>
      </c>
      <c r="K106" s="42">
        <f t="shared" si="19"/>
        <v>115.3512431169698</v>
      </c>
      <c r="L106" s="42">
        <f t="shared" si="20"/>
        <v>108.08712636289464</v>
      </c>
      <c r="M106" s="42">
        <f t="shared" si="21"/>
        <v>97.152469061636424</v>
      </c>
      <c r="N106" s="41">
        <f t="shared" si="29"/>
        <v>6.7206123416459373E-2</v>
      </c>
      <c r="O106" s="41">
        <f t="shared" si="30"/>
        <v>0.1873217863746468</v>
      </c>
      <c r="P106" s="39">
        <f t="shared" si="31"/>
        <v>182.05456186552939</v>
      </c>
      <c r="Q106" s="42">
        <f t="shared" si="32"/>
        <v>1.1535124311696976</v>
      </c>
      <c r="R106" s="42">
        <f t="shared" si="33"/>
        <v>1.1552366649980528</v>
      </c>
      <c r="S106" s="41">
        <f t="shared" si="34"/>
        <v>-1.4925373134326847E-3</v>
      </c>
      <c r="T106" s="41">
        <f t="shared" si="18"/>
        <v>0.21241643900557339</v>
      </c>
      <c r="U106" s="41">
        <f t="shared" si="35"/>
        <v>-1.6481871762240585E-3</v>
      </c>
      <c r="V106" s="41">
        <f t="shared" si="36"/>
        <v>-2.6833951891255259E-3</v>
      </c>
      <c r="W106" s="39">
        <f t="shared" si="22"/>
        <v>207.39</v>
      </c>
      <c r="X106" s="21"/>
    </row>
    <row r="107" spans="1:24" x14ac:dyDescent="0.2">
      <c r="A107" s="38">
        <v>45092</v>
      </c>
      <c r="B107" s="39">
        <v>208.94</v>
      </c>
      <c r="C107" s="39">
        <v>442.6</v>
      </c>
      <c r="D107" s="39">
        <v>40.774999999999999</v>
      </c>
      <c r="E107" s="41">
        <f t="shared" si="23"/>
        <v>7.4738415545589909E-3</v>
      </c>
      <c r="F107" s="41">
        <f t="shared" si="24"/>
        <v>1.2397639416258821E-2</v>
      </c>
      <c r="G107" s="41">
        <f t="shared" si="25"/>
        <v>8.5332673757110289E-3</v>
      </c>
      <c r="H107" s="41">
        <f t="shared" si="26"/>
        <v>0.16213360031147395</v>
      </c>
      <c r="I107" s="41">
        <f t="shared" si="27"/>
        <v>9.4271515810813833E-2</v>
      </c>
      <c r="J107" s="41">
        <f t="shared" si="28"/>
        <v>-2.0185029436501467E-2</v>
      </c>
      <c r="K107" s="42">
        <f t="shared" si="19"/>
        <v>116.21336003114746</v>
      </c>
      <c r="L107" s="42">
        <f t="shared" si="20"/>
        <v>109.4271515810814</v>
      </c>
      <c r="M107" s="42">
        <f t="shared" si="21"/>
        <v>97.981497056349866</v>
      </c>
      <c r="N107" s="41">
        <f t="shared" si="29"/>
        <v>6.2015764387668426E-2</v>
      </c>
      <c r="O107" s="41">
        <f t="shared" si="30"/>
        <v>0.18607455001746165</v>
      </c>
      <c r="P107" s="39">
        <f t="shared" si="31"/>
        <v>182.32207866288732</v>
      </c>
      <c r="Q107" s="42">
        <f t="shared" si="32"/>
        <v>1.1621336003114739</v>
      </c>
      <c r="R107" s="42">
        <f t="shared" si="33"/>
        <v>1.1621336003114739</v>
      </c>
      <c r="S107" s="41">
        <f t="shared" si="34"/>
        <v>0</v>
      </c>
      <c r="T107" s="41">
        <f t="shared" si="18"/>
        <v>0.21067642269095288</v>
      </c>
      <c r="U107" s="41">
        <f t="shared" si="35"/>
        <v>0</v>
      </c>
      <c r="V107" s="41">
        <f t="shared" si="36"/>
        <v>-4.9237978616998301E-3</v>
      </c>
      <c r="W107" s="39">
        <f t="shared" si="22"/>
        <v>208.94</v>
      </c>
      <c r="X107" s="21"/>
    </row>
    <row r="108" spans="1:24" x14ac:dyDescent="0.2">
      <c r="A108" s="38">
        <v>45093</v>
      </c>
      <c r="B108" s="39">
        <v>207.31</v>
      </c>
      <c r="C108" s="39">
        <v>439.46</v>
      </c>
      <c r="D108" s="39">
        <v>40.875</v>
      </c>
      <c r="E108" s="41">
        <f t="shared" si="23"/>
        <v>-7.8012826648798939E-3</v>
      </c>
      <c r="F108" s="41">
        <f t="shared" si="24"/>
        <v>-7.0944419340263076E-3</v>
      </c>
      <c r="G108" s="41">
        <f t="shared" si="25"/>
        <v>2.4524831391785629E-3</v>
      </c>
      <c r="H108" s="41">
        <f t="shared" si="26"/>
        <v>0.15306746760108969</v>
      </c>
      <c r="I108" s="41">
        <f t="shared" si="27"/>
        <v>8.6508270081835148E-2</v>
      </c>
      <c r="J108" s="41">
        <f t="shared" si="28"/>
        <v>-1.778204974167974E-2</v>
      </c>
      <c r="K108" s="42">
        <f t="shared" si="19"/>
        <v>115.30674676010901</v>
      </c>
      <c r="L108" s="42">
        <f t="shared" si="20"/>
        <v>108.65082700818354</v>
      </c>
      <c r="M108" s="42">
        <f t="shared" si="21"/>
        <v>98.221795025832023</v>
      </c>
      <c r="N108" s="41">
        <f t="shared" si="29"/>
        <v>6.1259724708990326E-2</v>
      </c>
      <c r="O108" s="41">
        <f t="shared" si="30"/>
        <v>0.17394257282493819</v>
      </c>
      <c r="P108" s="39">
        <f t="shared" si="31"/>
        <v>182.57071469609244</v>
      </c>
      <c r="Q108" s="42">
        <f t="shared" si="32"/>
        <v>1.1530674676010897</v>
      </c>
      <c r="R108" s="42">
        <f t="shared" si="33"/>
        <v>1.1621336003114739</v>
      </c>
      <c r="S108" s="41">
        <f t="shared" si="34"/>
        <v>-7.8012826648797828E-3</v>
      </c>
      <c r="T108" s="41">
        <f t="shared" si="18"/>
        <v>0.20856496249091841</v>
      </c>
      <c r="U108" s="41">
        <f t="shared" si="35"/>
        <v>-7.9569325276711567E-3</v>
      </c>
      <c r="V108" s="41">
        <f t="shared" si="36"/>
        <v>-7.0684073085358623E-4</v>
      </c>
      <c r="W108" s="39">
        <f t="shared" si="22"/>
        <v>207.31</v>
      </c>
      <c r="X108" s="21"/>
    </row>
    <row r="109" spans="1:24" x14ac:dyDescent="0.2">
      <c r="A109" s="38">
        <v>45097</v>
      </c>
      <c r="B109" s="39">
        <v>208.68</v>
      </c>
      <c r="C109" s="39">
        <v>437.18</v>
      </c>
      <c r="D109" s="39">
        <v>40.125</v>
      </c>
      <c r="E109" s="41">
        <f t="shared" si="23"/>
        <v>6.6084607592493683E-3</v>
      </c>
      <c r="F109" s="41">
        <f t="shared" si="24"/>
        <v>-5.1881855003867994E-3</v>
      </c>
      <c r="G109" s="41">
        <f t="shared" si="25"/>
        <v>-1.834862385321101E-2</v>
      </c>
      <c r="H109" s="41">
        <f t="shared" si="26"/>
        <v>0.16068746871349848</v>
      </c>
      <c r="I109" s="41">
        <f t="shared" si="27"/>
        <v>8.0871263628946144E-2</v>
      </c>
      <c r="J109" s="41">
        <f t="shared" si="28"/>
        <v>-3.5804397452841585E-2</v>
      </c>
      <c r="K109" s="42">
        <f t="shared" si="19"/>
        <v>116.06874687134992</v>
      </c>
      <c r="L109" s="42">
        <f t="shared" si="20"/>
        <v>108.08712636289464</v>
      </c>
      <c r="M109" s="42">
        <f t="shared" si="21"/>
        <v>96.419560254715847</v>
      </c>
      <c r="N109" s="41">
        <f t="shared" si="29"/>
        <v>7.3844321493547138E-2</v>
      </c>
      <c r="O109" s="41">
        <f t="shared" si="30"/>
        <v>0.20378838655482223</v>
      </c>
      <c r="P109" s="39">
        <f t="shared" si="31"/>
        <v>182.83050857971341</v>
      </c>
      <c r="Q109" s="42">
        <f t="shared" si="32"/>
        <v>1.1606874687134985</v>
      </c>
      <c r="R109" s="42">
        <f t="shared" si="33"/>
        <v>1.1621336003114739</v>
      </c>
      <c r="S109" s="41">
        <f t="shared" si="34"/>
        <v>-1.2443763759931725E-3</v>
      </c>
      <c r="T109" s="41">
        <f t="shared" si="18"/>
        <v>0.20862613204385727</v>
      </c>
      <c r="U109" s="41">
        <f t="shared" si="35"/>
        <v>0</v>
      </c>
      <c r="V109" s="41">
        <f t="shared" si="36"/>
        <v>1.1796646259636168E-2</v>
      </c>
      <c r="W109" s="39">
        <f t="shared" si="22"/>
        <v>208.68</v>
      </c>
      <c r="X109" s="21"/>
    </row>
    <row r="110" spans="1:24" x14ac:dyDescent="0.2">
      <c r="A110" s="38">
        <v>45098</v>
      </c>
      <c r="B110" s="39">
        <v>210.57</v>
      </c>
      <c r="C110" s="39">
        <v>434.94</v>
      </c>
      <c r="D110" s="39">
        <v>40.255000000000003</v>
      </c>
      <c r="E110" s="41">
        <f t="shared" si="23"/>
        <v>9.0569292696951464E-3</v>
      </c>
      <c r="F110" s="41">
        <f t="shared" si="24"/>
        <v>-5.1237476554280015E-3</v>
      </c>
      <c r="G110" s="41">
        <f t="shared" si="25"/>
        <v>3.2398753894080645E-3</v>
      </c>
      <c r="H110" s="41">
        <f t="shared" si="26"/>
        <v>0.1711997330218582</v>
      </c>
      <c r="I110" s="41">
        <f t="shared" si="27"/>
        <v>7.5333152026107797E-2</v>
      </c>
      <c r="J110" s="41">
        <f t="shared" si="28"/>
        <v>-3.268052384957354E-2</v>
      </c>
      <c r="K110" s="42">
        <f t="shared" si="19"/>
        <v>117.11997330218588</v>
      </c>
      <c r="L110" s="42">
        <f t="shared" si="20"/>
        <v>107.53331520261082</v>
      </c>
      <c r="M110" s="42">
        <f t="shared" si="21"/>
        <v>96.731947615042657</v>
      </c>
      <c r="N110" s="41">
        <f t="shared" si="29"/>
        <v>8.9150586323058834E-2</v>
      </c>
      <c r="O110" s="41">
        <f t="shared" si="30"/>
        <v>0.21076827449272462</v>
      </c>
      <c r="P110" s="39">
        <f t="shared" si="31"/>
        <v>183.10652341971627</v>
      </c>
      <c r="Q110" s="42">
        <f t="shared" si="32"/>
        <v>1.1711997330218582</v>
      </c>
      <c r="R110" s="42">
        <f t="shared" si="33"/>
        <v>1.1711997330218582</v>
      </c>
      <c r="S110" s="41">
        <f t="shared" si="34"/>
        <v>0</v>
      </c>
      <c r="T110" s="41">
        <f t="shared" si="18"/>
        <v>0.20847831790257573</v>
      </c>
      <c r="U110" s="41">
        <f t="shared" si="35"/>
        <v>0</v>
      </c>
      <c r="V110" s="41">
        <f t="shared" si="36"/>
        <v>1.4180676925123148E-2</v>
      </c>
      <c r="W110" s="39">
        <f t="shared" si="22"/>
        <v>210.57</v>
      </c>
      <c r="X110" s="21"/>
    </row>
    <row r="111" spans="1:24" x14ac:dyDescent="0.2">
      <c r="A111" s="38">
        <v>45099</v>
      </c>
      <c r="B111" s="39">
        <v>213.45</v>
      </c>
      <c r="C111" s="39">
        <v>436.51</v>
      </c>
      <c r="D111" s="39">
        <v>40.159999999999997</v>
      </c>
      <c r="E111" s="41">
        <f t="shared" si="23"/>
        <v>1.3677161988887354E-2</v>
      </c>
      <c r="F111" s="41">
        <f t="shared" si="24"/>
        <v>3.6096932910285595E-3</v>
      </c>
      <c r="G111" s="41">
        <f t="shared" si="25"/>
        <v>-2.3599552850579464E-3</v>
      </c>
      <c r="H111" s="41">
        <f t="shared" si="26"/>
        <v>0.18721842149173984</v>
      </c>
      <c r="I111" s="41">
        <f t="shared" si="27"/>
        <v>7.9214774890597139E-2</v>
      </c>
      <c r="J111" s="41">
        <f t="shared" si="28"/>
        <v>-3.4963354559654269E-2</v>
      </c>
      <c r="K111" s="42">
        <f t="shared" si="19"/>
        <v>118.72184214917402</v>
      </c>
      <c r="L111" s="42">
        <f t="shared" si="20"/>
        <v>107.92147748905975</v>
      </c>
      <c r="M111" s="42">
        <f t="shared" si="21"/>
        <v>96.503664544034592</v>
      </c>
      <c r="N111" s="41">
        <f t="shared" si="29"/>
        <v>0.10007613786800817</v>
      </c>
      <c r="O111" s="41">
        <f t="shared" si="30"/>
        <v>0.2302314395014633</v>
      </c>
      <c r="P111" s="39">
        <f t="shared" si="31"/>
        <v>183.40844855981859</v>
      </c>
      <c r="Q111" s="42">
        <f t="shared" si="32"/>
        <v>1.1872184214917398</v>
      </c>
      <c r="R111" s="42">
        <f t="shared" si="33"/>
        <v>1.1872184214917398</v>
      </c>
      <c r="S111" s="41">
        <f t="shared" si="34"/>
        <v>0</v>
      </c>
      <c r="T111" s="41">
        <f t="shared" si="18"/>
        <v>0.20896089857644792</v>
      </c>
      <c r="U111" s="41">
        <f t="shared" si="35"/>
        <v>0</v>
      </c>
      <c r="V111" s="41">
        <f t="shared" si="36"/>
        <v>1.0067468697858795E-2</v>
      </c>
      <c r="W111" s="39">
        <f t="shared" si="22"/>
        <v>213.45</v>
      </c>
      <c r="X111" s="21"/>
    </row>
    <row r="112" spans="1:24" x14ac:dyDescent="0.2">
      <c r="A112" s="38">
        <v>45100</v>
      </c>
      <c r="B112" s="39">
        <v>214.43</v>
      </c>
      <c r="C112" s="39">
        <v>433.21</v>
      </c>
      <c r="D112" s="39">
        <v>39.835000000000001</v>
      </c>
      <c r="E112" s="41">
        <f t="shared" si="23"/>
        <v>4.5912391660811736E-3</v>
      </c>
      <c r="F112" s="41">
        <f t="shared" si="24"/>
        <v>-7.5599642619871288E-3</v>
      </c>
      <c r="G112" s="41">
        <f t="shared" si="25"/>
        <v>-8.0926294820715672E-3</v>
      </c>
      <c r="H112" s="41">
        <f t="shared" si="26"/>
        <v>0.19266922520718577</v>
      </c>
      <c r="I112" s="41">
        <f t="shared" si="27"/>
        <v>7.1055949761415826E-2</v>
      </c>
      <c r="J112" s="41">
        <f t="shared" si="28"/>
        <v>-4.2773038567824218E-2</v>
      </c>
      <c r="K112" s="42">
        <f t="shared" si="19"/>
        <v>119.26692252071862</v>
      </c>
      <c r="L112" s="42">
        <f t="shared" si="20"/>
        <v>107.1055949761416</v>
      </c>
      <c r="M112" s="42">
        <f t="shared" si="21"/>
        <v>95.72269614321759</v>
      </c>
      <c r="N112" s="41">
        <f t="shared" si="29"/>
        <v>0.11354521252868266</v>
      </c>
      <c r="O112" s="41">
        <f t="shared" si="30"/>
        <v>0.24596284189775419</v>
      </c>
      <c r="P112" s="39">
        <f t="shared" si="31"/>
        <v>183.71712071345226</v>
      </c>
      <c r="Q112" s="42">
        <f t="shared" si="32"/>
        <v>1.1926692252071858</v>
      </c>
      <c r="R112" s="42">
        <f t="shared" si="33"/>
        <v>1.1926692252071858</v>
      </c>
      <c r="S112" s="41">
        <f t="shared" si="34"/>
        <v>0</v>
      </c>
      <c r="T112" s="41">
        <f t="shared" si="18"/>
        <v>0.20807995833055631</v>
      </c>
      <c r="U112" s="41">
        <f t="shared" si="35"/>
        <v>0</v>
      </c>
      <c r="V112" s="41">
        <f t="shared" si="36"/>
        <v>1.2151203428068302E-2</v>
      </c>
      <c r="W112" s="39">
        <f t="shared" si="22"/>
        <v>214.43</v>
      </c>
      <c r="X112" s="21"/>
    </row>
    <row r="113" spans="1:24" x14ac:dyDescent="0.2">
      <c r="A113" s="38">
        <v>45103</v>
      </c>
      <c r="B113" s="39">
        <v>214.77</v>
      </c>
      <c r="C113" s="39">
        <v>431.44</v>
      </c>
      <c r="D113" s="39">
        <v>40.25</v>
      </c>
      <c r="E113" s="41">
        <f t="shared" si="23"/>
        <v>1.5855990299864509E-3</v>
      </c>
      <c r="F113" s="41">
        <f t="shared" si="24"/>
        <v>-4.0857782599662551E-3</v>
      </c>
      <c r="G113" s="41">
        <f t="shared" si="25"/>
        <v>1.0417974143341224E-2</v>
      </c>
      <c r="H113" s="41">
        <f t="shared" si="26"/>
        <v>0.19456032037376891</v>
      </c>
      <c r="I113" s="41">
        <f t="shared" si="27"/>
        <v>6.6679852646673199E-2</v>
      </c>
      <c r="J113" s="41">
        <f t="shared" si="28"/>
        <v>-3.2800672834314759E-2</v>
      </c>
      <c r="K113" s="42">
        <f t="shared" si="19"/>
        <v>119.45603203737696</v>
      </c>
      <c r="L113" s="42">
        <f t="shared" si="20"/>
        <v>106.66798526466734</v>
      </c>
      <c r="M113" s="42">
        <f t="shared" si="21"/>
        <v>96.719932716568536</v>
      </c>
      <c r="N113" s="41">
        <f t="shared" si="29"/>
        <v>0.11988645647501017</v>
      </c>
      <c r="O113" s="41">
        <f t="shared" si="30"/>
        <v>0.23507149645601011</v>
      </c>
      <c r="P113" s="39">
        <f t="shared" si="31"/>
        <v>184.02610458695025</v>
      </c>
      <c r="Q113" s="42">
        <f t="shared" si="32"/>
        <v>1.1945603203737689</v>
      </c>
      <c r="R113" s="42">
        <f t="shared" si="33"/>
        <v>1.1945603203737689</v>
      </c>
      <c r="S113" s="41">
        <f t="shared" si="34"/>
        <v>0</v>
      </c>
      <c r="T113" s="41">
        <f t="shared" si="18"/>
        <v>0.20756022573013994</v>
      </c>
      <c r="U113" s="41">
        <f t="shared" si="35"/>
        <v>0</v>
      </c>
      <c r="V113" s="41">
        <f t="shared" si="36"/>
        <v>5.671377289952706E-3</v>
      </c>
      <c r="W113" s="39">
        <f t="shared" si="22"/>
        <v>214.77</v>
      </c>
      <c r="X113" s="21"/>
    </row>
    <row r="114" spans="1:24" x14ac:dyDescent="0.2">
      <c r="A114" s="38">
        <v>45104</v>
      </c>
      <c r="B114" s="39">
        <v>220.42</v>
      </c>
      <c r="C114" s="39">
        <v>436.17</v>
      </c>
      <c r="D114" s="39">
        <v>40.82</v>
      </c>
      <c r="E114" s="41">
        <f t="shared" si="23"/>
        <v>2.6307212366717847E-2</v>
      </c>
      <c r="F114" s="41">
        <f t="shared" si="24"/>
        <v>1.0963285740775097E-2</v>
      </c>
      <c r="G114" s="41">
        <f t="shared" si="25"/>
        <v>1.4161490683229916E-2</v>
      </c>
      <c r="H114" s="41">
        <f t="shared" si="26"/>
        <v>0.2259858724066961</v>
      </c>
      <c r="I114" s="41">
        <f t="shared" si="27"/>
        <v>7.8374168665166444E-2</v>
      </c>
      <c r="J114" s="41">
        <f t="shared" si="28"/>
        <v>-1.9103688573831712E-2</v>
      </c>
      <c r="K114" s="42">
        <f t="shared" si="19"/>
        <v>122.59858724066967</v>
      </c>
      <c r="L114" s="42">
        <f t="shared" si="20"/>
        <v>107.83741686651666</v>
      </c>
      <c r="M114" s="42">
        <f t="shared" si="21"/>
        <v>98.089631142616838</v>
      </c>
      <c r="N114" s="41">
        <f t="shared" si="29"/>
        <v>0.136883567903195</v>
      </c>
      <c r="O114" s="41">
        <f t="shared" si="30"/>
        <v>0.24986286330731677</v>
      </c>
      <c r="P114" s="39">
        <f t="shared" si="31"/>
        <v>184.38823289951793</v>
      </c>
      <c r="Q114" s="42">
        <f t="shared" si="32"/>
        <v>1.2259858724066961</v>
      </c>
      <c r="R114" s="42">
        <f t="shared" si="33"/>
        <v>1.2259858724066961</v>
      </c>
      <c r="S114" s="41">
        <f t="shared" si="34"/>
        <v>0</v>
      </c>
      <c r="T114" s="41">
        <f t="shared" si="18"/>
        <v>0.21241902814068769</v>
      </c>
      <c r="U114" s="41">
        <f t="shared" si="35"/>
        <v>0</v>
      </c>
      <c r="V114" s="41">
        <f t="shared" si="36"/>
        <v>1.534392662594275E-2</v>
      </c>
      <c r="W114" s="39">
        <f t="shared" si="22"/>
        <v>220.42</v>
      </c>
      <c r="X114" s="21"/>
    </row>
    <row r="115" spans="1:24" x14ac:dyDescent="0.2">
      <c r="A115" s="38">
        <v>45105</v>
      </c>
      <c r="B115" s="39">
        <v>220.86</v>
      </c>
      <c r="C115" s="39">
        <v>436.39</v>
      </c>
      <c r="D115" s="39">
        <v>40.54</v>
      </c>
      <c r="E115" s="41">
        <f t="shared" si="23"/>
        <v>1.9961890935487059E-3</v>
      </c>
      <c r="F115" s="41">
        <f t="shared" si="24"/>
        <v>5.0439048994643798E-4</v>
      </c>
      <c r="G115" s="41">
        <f t="shared" si="25"/>
        <v>-6.8593826555610748E-3</v>
      </c>
      <c r="H115" s="41">
        <f t="shared" si="26"/>
        <v>0.22843317203403912</v>
      </c>
      <c r="I115" s="41">
        <f t="shared" si="27"/>
        <v>7.8918090340444946E-2</v>
      </c>
      <c r="J115" s="41">
        <f t="shared" si="28"/>
        <v>-2.5832031719332238E-2</v>
      </c>
      <c r="K115" s="42">
        <f t="shared" si="19"/>
        <v>122.84331720340398</v>
      </c>
      <c r="L115" s="42">
        <f t="shared" si="20"/>
        <v>107.89180903404454</v>
      </c>
      <c r="M115" s="42">
        <f t="shared" si="21"/>
        <v>97.416796828066794</v>
      </c>
      <c r="N115" s="41">
        <f t="shared" si="29"/>
        <v>0.13857871420657686</v>
      </c>
      <c r="O115" s="41">
        <f t="shared" si="30"/>
        <v>0.26100755930430575</v>
      </c>
      <c r="P115" s="39">
        <f t="shared" si="31"/>
        <v>184.75113605474661</v>
      </c>
      <c r="Q115" s="42">
        <f t="shared" si="32"/>
        <v>1.2284331720340391</v>
      </c>
      <c r="R115" s="42">
        <f t="shared" si="33"/>
        <v>1.2284331720340391</v>
      </c>
      <c r="S115" s="41">
        <f t="shared" si="34"/>
        <v>0</v>
      </c>
      <c r="T115" s="41">
        <f t="shared" si="18"/>
        <v>0.2123152143772252</v>
      </c>
      <c r="U115" s="41">
        <f t="shared" si="35"/>
        <v>0</v>
      </c>
      <c r="V115" s="41">
        <f t="shared" si="36"/>
        <v>1.4917986036022679E-3</v>
      </c>
      <c r="W115" s="39">
        <f t="shared" si="22"/>
        <v>220.86</v>
      </c>
      <c r="X115" s="21"/>
    </row>
    <row r="116" spans="1:24" x14ac:dyDescent="0.2">
      <c r="A116" s="38">
        <v>45106</v>
      </c>
      <c r="B116" s="39">
        <v>224.84</v>
      </c>
      <c r="C116" s="39">
        <v>438.11</v>
      </c>
      <c r="D116" s="39">
        <v>41.05</v>
      </c>
      <c r="E116" s="41">
        <f t="shared" si="23"/>
        <v>1.8020465453228329E-2</v>
      </c>
      <c r="F116" s="41">
        <f t="shared" si="24"/>
        <v>3.9414285386925041E-3</v>
      </c>
      <c r="G116" s="41">
        <f t="shared" si="25"/>
        <v>1.2580167735569692E-2</v>
      </c>
      <c r="H116" s="41">
        <f t="shared" si="26"/>
        <v>0.25057010957227832</v>
      </c>
      <c r="I116" s="41">
        <f t="shared" si="27"/>
        <v>8.3170568892624308E-2</v>
      </c>
      <c r="J116" s="41">
        <f t="shared" si="28"/>
        <v>-1.3576835275742272E-2</v>
      </c>
      <c r="K116" s="42">
        <f t="shared" si="19"/>
        <v>125.05701095722787</v>
      </c>
      <c r="L116" s="42">
        <f t="shared" si="20"/>
        <v>108.3170568892625</v>
      </c>
      <c r="M116" s="42">
        <f t="shared" si="21"/>
        <v>98.64231647242579</v>
      </c>
      <c r="N116" s="41">
        <f t="shared" si="29"/>
        <v>0.15454587254045715</v>
      </c>
      <c r="O116" s="41">
        <f t="shared" si="30"/>
        <v>0.26778258489282303</v>
      </c>
      <c r="P116" s="39">
        <f t="shared" si="31"/>
        <v>185.15003022335608</v>
      </c>
      <c r="Q116" s="42">
        <f t="shared" si="32"/>
        <v>1.2505701095722783</v>
      </c>
      <c r="R116" s="42">
        <f t="shared" si="33"/>
        <v>1.2505701095722783</v>
      </c>
      <c r="S116" s="41">
        <f t="shared" si="34"/>
        <v>0</v>
      </c>
      <c r="T116" s="41">
        <f t="shared" si="18"/>
        <v>0.21404710758944792</v>
      </c>
      <c r="U116" s="41">
        <f t="shared" si="35"/>
        <v>0</v>
      </c>
      <c r="V116" s="41">
        <f t="shared" si="36"/>
        <v>1.4079036914535825E-2</v>
      </c>
      <c r="W116" s="39">
        <f t="shared" si="22"/>
        <v>224.84</v>
      </c>
      <c r="X116" s="21"/>
    </row>
    <row r="117" spans="1:24" x14ac:dyDescent="0.2">
      <c r="A117" s="38">
        <v>45107</v>
      </c>
      <c r="B117" s="39">
        <v>225.44</v>
      </c>
      <c r="C117" s="39">
        <v>443.28</v>
      </c>
      <c r="D117" s="39">
        <v>41.435000000000002</v>
      </c>
      <c r="E117" s="41">
        <f t="shared" si="23"/>
        <v>2.6685643123998126E-3</v>
      </c>
      <c r="F117" s="41">
        <f t="shared" si="24"/>
        <v>1.1800689324598768E-2</v>
      </c>
      <c r="G117" s="41">
        <f t="shared" si="25"/>
        <v>9.3788063337394423E-3</v>
      </c>
      <c r="H117" s="41">
        <f t="shared" si="26"/>
        <v>0.25390733633683693</v>
      </c>
      <c r="I117" s="41">
        <f t="shared" si="27"/>
        <v>9.5952728261675002E-2</v>
      </c>
      <c r="J117" s="41">
        <f t="shared" si="28"/>
        <v>-4.3253634506791316E-3</v>
      </c>
      <c r="K117" s="42">
        <f t="shared" si="19"/>
        <v>125.39073363368374</v>
      </c>
      <c r="L117" s="42">
        <f t="shared" si="20"/>
        <v>109.59527282616757</v>
      </c>
      <c r="M117" s="42">
        <f t="shared" si="21"/>
        <v>99.567463654932126</v>
      </c>
      <c r="N117" s="41">
        <f t="shared" si="29"/>
        <v>0.14412538424508381</v>
      </c>
      <c r="O117" s="41">
        <f t="shared" si="30"/>
        <v>0.25935450227241419</v>
      </c>
      <c r="P117" s="39">
        <f t="shared" si="31"/>
        <v>185.55092544501426</v>
      </c>
      <c r="Q117" s="42">
        <f t="shared" si="32"/>
        <v>1.2539073363368369</v>
      </c>
      <c r="R117" s="42">
        <f t="shared" si="33"/>
        <v>1.2539073363368369</v>
      </c>
      <c r="S117" s="41">
        <f t="shared" si="34"/>
        <v>0</v>
      </c>
      <c r="T117" s="41">
        <f t="shared" si="18"/>
        <v>0.20598697354903084</v>
      </c>
      <c r="U117" s="41">
        <f t="shared" si="35"/>
        <v>0</v>
      </c>
      <c r="V117" s="41">
        <f t="shared" si="36"/>
        <v>-9.132125012198955E-3</v>
      </c>
      <c r="W117" s="39">
        <f t="shared" si="22"/>
        <v>225.44</v>
      </c>
      <c r="X117" s="21"/>
    </row>
    <row r="118" spans="1:24" x14ac:dyDescent="0.2">
      <c r="A118" s="38">
        <v>45110</v>
      </c>
      <c r="B118" s="39">
        <v>223.34</v>
      </c>
      <c r="C118" s="39">
        <v>443.79</v>
      </c>
      <c r="D118" s="39">
        <v>41.59</v>
      </c>
      <c r="E118" s="41">
        <f t="shared" si="23"/>
        <v>-9.3151171043293068E-3</v>
      </c>
      <c r="F118" s="41">
        <f t="shared" si="24"/>
        <v>1.1505143475907254E-3</v>
      </c>
      <c r="G118" s="41">
        <f t="shared" si="25"/>
        <v>3.7407988415592008E-3</v>
      </c>
      <c r="H118" s="41">
        <f t="shared" si="26"/>
        <v>0.24222704266088169</v>
      </c>
      <c r="I118" s="41">
        <f t="shared" si="27"/>
        <v>9.7213637599821157E-2</v>
      </c>
      <c r="J118" s="41">
        <f t="shared" si="28"/>
        <v>-6.0074492370554289E-4</v>
      </c>
      <c r="K118" s="42">
        <f t="shared" si="19"/>
        <v>124.22270426608821</v>
      </c>
      <c r="L118" s="42">
        <f t="shared" si="20"/>
        <v>109.72136375998221</v>
      </c>
      <c r="M118" s="42">
        <f t="shared" si="21"/>
        <v>99.939925507629468</v>
      </c>
      <c r="N118" s="41">
        <f t="shared" si="29"/>
        <v>0.13216515005981933</v>
      </c>
      <c r="O118" s="41">
        <f t="shared" si="30"/>
        <v>0.24297375283319544</v>
      </c>
      <c r="P118" s="39">
        <f t="shared" si="31"/>
        <v>185.92693613710367</v>
      </c>
      <c r="Q118" s="42">
        <f t="shared" si="32"/>
        <v>1.2422270426608817</v>
      </c>
      <c r="R118" s="42">
        <f t="shared" si="33"/>
        <v>1.2539073363368369</v>
      </c>
      <c r="S118" s="41">
        <f t="shared" si="34"/>
        <v>-9.3151171043293068E-3</v>
      </c>
      <c r="T118" s="41">
        <f t="shared" si="18"/>
        <v>0.19627159787978329</v>
      </c>
      <c r="U118" s="41">
        <f t="shared" si="35"/>
        <v>-9.4707669671205696E-3</v>
      </c>
      <c r="V118" s="41">
        <f t="shared" si="36"/>
        <v>-1.0465631451920032E-2</v>
      </c>
      <c r="W118" s="39">
        <f t="shared" si="22"/>
        <v>223.34</v>
      </c>
      <c r="X118" s="21"/>
    </row>
    <row r="119" spans="1:24" x14ac:dyDescent="0.2">
      <c r="A119" s="38">
        <v>45112</v>
      </c>
      <c r="B119" s="39">
        <v>220.63</v>
      </c>
      <c r="C119" s="39">
        <v>443.13</v>
      </c>
      <c r="D119" s="39">
        <v>40.564999999999998</v>
      </c>
      <c r="E119" s="41">
        <f t="shared" si="23"/>
        <v>-1.2133966150264186E-2</v>
      </c>
      <c r="F119" s="41">
        <f t="shared" si="24"/>
        <v>-1.4871898871088307E-3</v>
      </c>
      <c r="G119" s="41">
        <f t="shared" si="25"/>
        <v>-2.4645347439288479E-2</v>
      </c>
      <c r="H119" s="41">
        <f t="shared" si="26"/>
        <v>0.22715390177429184</v>
      </c>
      <c r="I119" s="41">
        <f t="shared" si="27"/>
        <v>9.5581872573984761E-2</v>
      </c>
      <c r="J119" s="41">
        <f t="shared" si="28"/>
        <v>-2.5231286795626917E-2</v>
      </c>
      <c r="K119" s="42">
        <f t="shared" si="19"/>
        <v>122.71539017742923</v>
      </c>
      <c r="L119" s="42">
        <f t="shared" si="20"/>
        <v>109.55818725739857</v>
      </c>
      <c r="M119" s="42">
        <f t="shared" si="21"/>
        <v>97.476871320437326</v>
      </c>
      <c r="N119" s="41">
        <f t="shared" si="29"/>
        <v>0.12009328786281293</v>
      </c>
      <c r="O119" s="41">
        <f t="shared" si="30"/>
        <v>0.25891802347681936</v>
      </c>
      <c r="P119" s="39">
        <f t="shared" si="31"/>
        <v>186.27224025514244</v>
      </c>
      <c r="Q119" s="42">
        <f t="shared" si="32"/>
        <v>1.2271539017742918</v>
      </c>
      <c r="R119" s="42">
        <f t="shared" si="33"/>
        <v>1.2539073363368369</v>
      </c>
      <c r="S119" s="41">
        <f t="shared" si="34"/>
        <v>-2.1336053938963762E-2</v>
      </c>
      <c r="T119" s="41">
        <f t="shared" si="18"/>
        <v>0.19947015743642008</v>
      </c>
      <c r="U119" s="41">
        <f t="shared" si="35"/>
        <v>-1.2289616013055449E-2</v>
      </c>
      <c r="V119" s="41">
        <f t="shared" si="36"/>
        <v>-1.0646776263155355E-2</v>
      </c>
      <c r="W119" s="39">
        <f t="shared" si="22"/>
        <v>220.63</v>
      </c>
      <c r="X119" s="21"/>
    </row>
    <row r="120" spans="1:24" x14ac:dyDescent="0.2">
      <c r="A120" s="38">
        <v>45113</v>
      </c>
      <c r="B120" s="39">
        <v>217.99</v>
      </c>
      <c r="C120" s="39">
        <v>439.66</v>
      </c>
      <c r="D120" s="39">
        <v>40.270000000000003</v>
      </c>
      <c r="E120" s="41">
        <f t="shared" si="23"/>
        <v>-1.196573448760363E-2</v>
      </c>
      <c r="F120" s="41">
        <f t="shared" si="24"/>
        <v>-7.8306591745085363E-3</v>
      </c>
      <c r="G120" s="41">
        <f t="shared" si="25"/>
        <v>-7.2722790583014119E-3</v>
      </c>
      <c r="H120" s="41">
        <f t="shared" si="26"/>
        <v>0.21247010401023392</v>
      </c>
      <c r="I120" s="41">
        <f t="shared" si="27"/>
        <v>8.7002744332087989E-2</v>
      </c>
      <c r="J120" s="41">
        <f t="shared" si="28"/>
        <v>-3.2320076895350547E-2</v>
      </c>
      <c r="K120" s="42">
        <f t="shared" si="19"/>
        <v>121.24701040102343</v>
      </c>
      <c r="L120" s="42">
        <f t="shared" si="20"/>
        <v>108.70027443320889</v>
      </c>
      <c r="M120" s="42">
        <f t="shared" si="21"/>
        <v>96.767992310464976</v>
      </c>
      <c r="N120" s="41">
        <f t="shared" si="29"/>
        <v>0.11542506247786855</v>
      </c>
      <c r="O120" s="41">
        <f t="shared" si="30"/>
        <v>0.25296606353081441</v>
      </c>
      <c r="P120" s="39">
        <f t="shared" si="31"/>
        <v>186.58783985459377</v>
      </c>
      <c r="Q120" s="42">
        <f t="shared" si="32"/>
        <v>1.2124701040102339</v>
      </c>
      <c r="R120" s="42">
        <f t="shared" si="33"/>
        <v>1.2539073363368369</v>
      </c>
      <c r="S120" s="41">
        <f t="shared" si="34"/>
        <v>-3.3046486870120462E-2</v>
      </c>
      <c r="T120" s="41">
        <f t="shared" si="18"/>
        <v>0.20241832138800323</v>
      </c>
      <c r="U120" s="41">
        <f t="shared" si="35"/>
        <v>-1.2121384350394893E-2</v>
      </c>
      <c r="V120" s="41">
        <f t="shared" si="36"/>
        <v>-4.1350753130950935E-3</v>
      </c>
      <c r="W120" s="39">
        <f t="shared" si="22"/>
        <v>217.99</v>
      </c>
      <c r="X120" s="21"/>
    </row>
    <row r="121" spans="1:24" x14ac:dyDescent="0.2">
      <c r="A121" s="38">
        <v>45114</v>
      </c>
      <c r="B121" s="39">
        <v>217.38</v>
      </c>
      <c r="C121" s="39">
        <v>438.55</v>
      </c>
      <c r="D121" s="39">
        <v>40.619999999999997</v>
      </c>
      <c r="E121" s="41">
        <f t="shared" si="23"/>
        <v>-2.7982934997018427E-3</v>
      </c>
      <c r="F121" s="41">
        <f t="shared" si="24"/>
        <v>-2.5246781603966983E-3</v>
      </c>
      <c r="G121" s="41">
        <f t="shared" si="25"/>
        <v>8.6913334988822921E-3</v>
      </c>
      <c r="H121" s="41">
        <f t="shared" si="26"/>
        <v>0.20907725679959932</v>
      </c>
      <c r="I121" s="41">
        <f t="shared" si="27"/>
        <v>8.4258412243181535E-2</v>
      </c>
      <c r="J121" s="41">
        <f t="shared" si="28"/>
        <v>-2.3909647963475278E-2</v>
      </c>
      <c r="K121" s="42">
        <f t="shared" si="19"/>
        <v>120.90772567995995</v>
      </c>
      <c r="L121" s="42">
        <f t="shared" si="20"/>
        <v>108.42584122431825</v>
      </c>
      <c r="M121" s="42">
        <f t="shared" si="21"/>
        <v>97.60903520365251</v>
      </c>
      <c r="N121" s="41">
        <f t="shared" si="29"/>
        <v>0.1151190925954495</v>
      </c>
      <c r="O121" s="41">
        <f t="shared" si="30"/>
        <v>0.23869399413380976</v>
      </c>
      <c r="P121" s="39">
        <f t="shared" si="31"/>
        <v>186.89422950778192</v>
      </c>
      <c r="Q121" s="42">
        <f t="shared" si="32"/>
        <v>1.2090772567995993</v>
      </c>
      <c r="R121" s="42">
        <f t="shared" si="33"/>
        <v>1.2539073363368369</v>
      </c>
      <c r="S121" s="41">
        <f t="shared" si="34"/>
        <v>-3.575230660042561E-2</v>
      </c>
      <c r="T121" s="41">
        <f t="shared" si="18"/>
        <v>0.20297618232062797</v>
      </c>
      <c r="U121" s="41">
        <f t="shared" si="35"/>
        <v>-2.9539433624931055E-3</v>
      </c>
      <c r="V121" s="41">
        <f t="shared" si="36"/>
        <v>-2.7361533930514437E-4</v>
      </c>
      <c r="W121" s="39">
        <f t="shared" si="22"/>
        <v>217.38</v>
      </c>
      <c r="X121" s="21"/>
    </row>
    <row r="122" spans="1:24" x14ac:dyDescent="0.2">
      <c r="A122" s="38">
        <v>45117</v>
      </c>
      <c r="B122" s="39">
        <v>219.39</v>
      </c>
      <c r="C122" s="39">
        <v>439.66</v>
      </c>
      <c r="D122" s="39">
        <v>40.61</v>
      </c>
      <c r="E122" s="41">
        <f t="shared" si="23"/>
        <v>9.2464808170025226E-3</v>
      </c>
      <c r="F122" s="41">
        <f t="shared" si="24"/>
        <v>2.5310682932391249E-3</v>
      </c>
      <c r="G122" s="41">
        <f t="shared" si="25"/>
        <v>-2.4618414574095748E-4</v>
      </c>
      <c r="H122" s="41">
        <f t="shared" si="26"/>
        <v>0.2202569664608709</v>
      </c>
      <c r="I122" s="41">
        <f t="shared" si="27"/>
        <v>8.7002744332087989E-2</v>
      </c>
      <c r="J122" s="41">
        <f t="shared" si="28"/>
        <v>-2.4149945932957384E-2</v>
      </c>
      <c r="K122" s="42">
        <f t="shared" si="19"/>
        <v>122.02569664608708</v>
      </c>
      <c r="L122" s="42">
        <f t="shared" si="20"/>
        <v>108.70027443320889</v>
      </c>
      <c r="M122" s="42">
        <f t="shared" si="21"/>
        <v>97.585005406704312</v>
      </c>
      <c r="N122" s="41">
        <f t="shared" si="29"/>
        <v>0.12258867130152584</v>
      </c>
      <c r="O122" s="41">
        <f t="shared" si="30"/>
        <v>0.25045539668232375</v>
      </c>
      <c r="P122" s="39">
        <f t="shared" si="31"/>
        <v>187.21757050770449</v>
      </c>
      <c r="Q122" s="42">
        <f t="shared" si="32"/>
        <v>1.2202569664608709</v>
      </c>
      <c r="R122" s="42">
        <f t="shared" si="33"/>
        <v>1.2539073363368369</v>
      </c>
      <c r="S122" s="41">
        <f t="shared" si="34"/>
        <v>-2.6836408800567479E-2</v>
      </c>
      <c r="T122" s="41">
        <f t="shared" si="18"/>
        <v>0.20320656862301278</v>
      </c>
      <c r="U122" s="41">
        <f t="shared" si="35"/>
        <v>0</v>
      </c>
      <c r="V122" s="41">
        <f t="shared" si="36"/>
        <v>6.7154125237633977E-3</v>
      </c>
      <c r="W122" s="39">
        <f t="shared" si="22"/>
        <v>219.39</v>
      </c>
      <c r="X122" s="21"/>
    </row>
    <row r="123" spans="1:24" x14ac:dyDescent="0.2">
      <c r="A123" s="38">
        <v>45118</v>
      </c>
      <c r="B123" s="39">
        <v>223.61</v>
      </c>
      <c r="C123" s="39">
        <v>442.46</v>
      </c>
      <c r="D123" s="39">
        <v>41.01</v>
      </c>
      <c r="E123" s="41">
        <f t="shared" si="23"/>
        <v>1.9235152012398116E-2</v>
      </c>
      <c r="F123" s="41">
        <f t="shared" si="24"/>
        <v>6.3685575217211632E-3</v>
      </c>
      <c r="G123" s="41">
        <f t="shared" si="25"/>
        <v>9.8497906919476907E-3</v>
      </c>
      <c r="H123" s="41">
        <f t="shared" si="26"/>
        <v>0.24372879470493358</v>
      </c>
      <c r="I123" s="41">
        <f t="shared" si="27"/>
        <v>9.3925383835635756E-2</v>
      </c>
      <c r="J123" s="41">
        <f t="shared" si="28"/>
        <v>-1.453802715367114E-2</v>
      </c>
      <c r="K123" s="42">
        <f t="shared" si="19"/>
        <v>124.37287947049336</v>
      </c>
      <c r="L123" s="42">
        <f t="shared" si="20"/>
        <v>109.39253838356366</v>
      </c>
      <c r="M123" s="42">
        <f t="shared" si="21"/>
        <v>98.546197284632925</v>
      </c>
      <c r="N123" s="41">
        <f t="shared" si="29"/>
        <v>0.13694115986598776</v>
      </c>
      <c r="O123" s="41">
        <f t="shared" si="30"/>
        <v>0.26207690299063247</v>
      </c>
      <c r="P123" s="39">
        <f t="shared" si="31"/>
        <v>187.57968423399601</v>
      </c>
      <c r="Q123" s="42">
        <f t="shared" si="32"/>
        <v>1.2437287947049336</v>
      </c>
      <c r="R123" s="42">
        <f t="shared" si="33"/>
        <v>1.2539073363368369</v>
      </c>
      <c r="S123" s="41">
        <f t="shared" si="34"/>
        <v>-8.1174591909151106E-3</v>
      </c>
      <c r="T123" s="41">
        <f t="shared" si="18"/>
        <v>0.20473894545575974</v>
      </c>
      <c r="U123" s="41">
        <f t="shared" si="35"/>
        <v>0</v>
      </c>
      <c r="V123" s="41">
        <f t="shared" si="36"/>
        <v>1.2866594490676952E-2</v>
      </c>
      <c r="W123" s="39">
        <f t="shared" si="22"/>
        <v>223.61</v>
      </c>
      <c r="X123" s="21"/>
    </row>
    <row r="124" spans="1:24" x14ac:dyDescent="0.2">
      <c r="A124" s="38">
        <v>45119</v>
      </c>
      <c r="B124" s="39">
        <v>220.28</v>
      </c>
      <c r="C124" s="39">
        <v>446.02</v>
      </c>
      <c r="D124" s="39">
        <v>41.55</v>
      </c>
      <c r="E124" s="41">
        <f t="shared" si="23"/>
        <v>-1.4891999463351402E-2</v>
      </c>
      <c r="F124" s="41">
        <f t="shared" si="24"/>
        <v>8.0459250553721606E-3</v>
      </c>
      <c r="G124" s="41">
        <f t="shared" si="25"/>
        <v>1.3167520117044695E-2</v>
      </c>
      <c r="H124" s="41">
        <f t="shared" si="26"/>
        <v>0.22520718616163293</v>
      </c>
      <c r="I124" s="41">
        <f t="shared" si="27"/>
        <v>0.10272702549014645</v>
      </c>
      <c r="J124" s="41">
        <f t="shared" si="28"/>
        <v>-1.5619368016345225E-3</v>
      </c>
      <c r="K124" s="42">
        <f t="shared" si="19"/>
        <v>122.52071861616332</v>
      </c>
      <c r="L124" s="42">
        <f t="shared" si="20"/>
        <v>110.27270254901475</v>
      </c>
      <c r="M124" s="42">
        <f t="shared" si="21"/>
        <v>99.843806319836574</v>
      </c>
      <c r="N124" s="41">
        <f t="shared" si="29"/>
        <v>0.11107024480246674</v>
      </c>
      <c r="O124" s="41">
        <f t="shared" si="30"/>
        <v>0.22712387610388407</v>
      </c>
      <c r="P124" s="39">
        <f t="shared" si="31"/>
        <v>187.90506051027467</v>
      </c>
      <c r="Q124" s="42">
        <f t="shared" si="32"/>
        <v>1.2252071861616329</v>
      </c>
      <c r="R124" s="42">
        <f t="shared" si="33"/>
        <v>1.2539073363368369</v>
      </c>
      <c r="S124" s="41">
        <f t="shared" si="34"/>
        <v>-2.2888573456351757E-2</v>
      </c>
      <c r="T124" s="41">
        <f t="shared" si="18"/>
        <v>0.20818643524036681</v>
      </c>
      <c r="U124" s="41">
        <f t="shared" si="35"/>
        <v>-1.5047649326142665E-2</v>
      </c>
      <c r="V124" s="41">
        <f t="shared" si="36"/>
        <v>-2.2937924518723563E-2</v>
      </c>
      <c r="W124" s="39">
        <f t="shared" si="22"/>
        <v>220.28</v>
      </c>
      <c r="X124" s="21"/>
    </row>
    <row r="125" spans="1:24" x14ac:dyDescent="0.2">
      <c r="A125" s="38">
        <v>45120</v>
      </c>
      <c r="B125" s="39">
        <v>223.36</v>
      </c>
      <c r="C125" s="39">
        <v>449.56</v>
      </c>
      <c r="D125" s="39">
        <v>41.875</v>
      </c>
      <c r="E125" s="41">
        <f t="shared" si="23"/>
        <v>1.3982204467041903E-2</v>
      </c>
      <c r="F125" s="41">
        <f t="shared" si="24"/>
        <v>7.9368638177661488E-3</v>
      </c>
      <c r="G125" s="41">
        <f t="shared" si="25"/>
        <v>7.821901323706415E-3</v>
      </c>
      <c r="H125" s="41">
        <f t="shared" si="26"/>
        <v>0.24233828355303388</v>
      </c>
      <c r="I125" s="41">
        <f t="shared" si="27"/>
        <v>0.11147921971963215</v>
      </c>
      <c r="J125" s="41">
        <f t="shared" si="28"/>
        <v>6.2477472065356476E-3</v>
      </c>
      <c r="K125" s="42">
        <f t="shared" si="19"/>
        <v>124.23382835530343</v>
      </c>
      <c r="L125" s="42">
        <f t="shared" si="20"/>
        <v>111.1479219719633</v>
      </c>
      <c r="M125" s="42">
        <f t="shared" si="21"/>
        <v>100.6247747206536</v>
      </c>
      <c r="N125" s="41">
        <f t="shared" si="29"/>
        <v>0.11773415239055085</v>
      </c>
      <c r="O125" s="41">
        <f t="shared" si="30"/>
        <v>0.23462466077754107</v>
      </c>
      <c r="P125" s="39">
        <f t="shared" si="31"/>
        <v>188.25784597783414</v>
      </c>
      <c r="Q125" s="42">
        <f t="shared" si="32"/>
        <v>1.2423382835530339</v>
      </c>
      <c r="R125" s="42">
        <f t="shared" si="33"/>
        <v>1.2539073363368369</v>
      </c>
      <c r="S125" s="41">
        <f t="shared" si="34"/>
        <v>-9.2264017033354406E-3</v>
      </c>
      <c r="T125" s="41">
        <f t="shared" si="18"/>
        <v>0.20761489379709167</v>
      </c>
      <c r="U125" s="41">
        <f t="shared" si="35"/>
        <v>0</v>
      </c>
      <c r="V125" s="41">
        <f t="shared" si="36"/>
        <v>6.0453406492757544E-3</v>
      </c>
      <c r="W125" s="39">
        <f t="shared" si="22"/>
        <v>223.36</v>
      </c>
      <c r="X125" s="21"/>
    </row>
    <row r="126" spans="1:24" x14ac:dyDescent="0.2">
      <c r="A126" s="38">
        <v>45121</v>
      </c>
      <c r="B126" s="39">
        <v>224.75</v>
      </c>
      <c r="C126" s="39">
        <v>449.28</v>
      </c>
      <c r="D126" s="39">
        <v>41.63</v>
      </c>
      <c r="E126" s="41">
        <f t="shared" si="23"/>
        <v>6.223137535816603E-3</v>
      </c>
      <c r="F126" s="41">
        <f t="shared" si="24"/>
        <v>-6.2283121274142594E-4</v>
      </c>
      <c r="G126" s="41">
        <f t="shared" si="25"/>
        <v>-5.8507462686566702E-3</v>
      </c>
      <c r="H126" s="41">
        <f t="shared" si="26"/>
        <v>0.25006952555759465</v>
      </c>
      <c r="I126" s="41">
        <f t="shared" si="27"/>
        <v>0.11078695576927733</v>
      </c>
      <c r="J126" s="41">
        <f t="shared" si="28"/>
        <v>3.6044695422288164E-4</v>
      </c>
      <c r="K126" s="42">
        <f t="shared" si="19"/>
        <v>125.00695255575951</v>
      </c>
      <c r="L126" s="42">
        <f t="shared" si="20"/>
        <v>111.07869557692783</v>
      </c>
      <c r="M126" s="42">
        <f t="shared" si="21"/>
        <v>100.03604469542233</v>
      </c>
      <c r="N126" s="41">
        <f t="shared" si="29"/>
        <v>0.12539089432487693</v>
      </c>
      <c r="O126" s="41">
        <f t="shared" si="30"/>
        <v>0.24961910415756239</v>
      </c>
      <c r="P126" s="39">
        <f t="shared" si="31"/>
        <v>188.62095198800495</v>
      </c>
      <c r="Q126" s="42">
        <f t="shared" si="32"/>
        <v>1.2500695255575947</v>
      </c>
      <c r="R126" s="42">
        <f t="shared" si="33"/>
        <v>1.2539073363368369</v>
      </c>
      <c r="S126" s="41">
        <f t="shared" si="34"/>
        <v>-3.0606813342795025E-3</v>
      </c>
      <c r="T126" s="41">
        <f t="shared" si="18"/>
        <v>0.20761636357016361</v>
      </c>
      <c r="U126" s="41">
        <f t="shared" si="35"/>
        <v>0</v>
      </c>
      <c r="V126" s="41">
        <f t="shared" si="36"/>
        <v>6.8459687485580289E-3</v>
      </c>
      <c r="W126" s="39">
        <f t="shared" si="22"/>
        <v>224.75</v>
      </c>
      <c r="X126" s="21"/>
    </row>
    <row r="127" spans="1:24" x14ac:dyDescent="0.2">
      <c r="A127" s="38">
        <v>45124</v>
      </c>
      <c r="B127" s="39">
        <v>223.71</v>
      </c>
      <c r="C127" s="39">
        <v>450.84</v>
      </c>
      <c r="D127" s="39">
        <v>41.67</v>
      </c>
      <c r="E127" s="41">
        <f t="shared" si="23"/>
        <v>-4.6273637374860677E-3</v>
      </c>
      <c r="F127" s="41">
        <f t="shared" si="24"/>
        <v>3.4722222222223209E-3</v>
      </c>
      <c r="G127" s="41">
        <f t="shared" si="25"/>
        <v>9.608455440788255E-4</v>
      </c>
      <c r="H127" s="41">
        <f t="shared" si="26"/>
        <v>0.24428499916569302</v>
      </c>
      <c r="I127" s="41">
        <f t="shared" si="27"/>
        <v>0.11464385492125406</v>
      </c>
      <c r="J127" s="41">
        <f t="shared" si="28"/>
        <v>1.3216388321515282E-3</v>
      </c>
      <c r="K127" s="42">
        <f t="shared" si="19"/>
        <v>124.42849991656935</v>
      </c>
      <c r="L127" s="42">
        <f t="shared" si="20"/>
        <v>111.46438549212547</v>
      </c>
      <c r="M127" s="42">
        <f t="shared" si="21"/>
        <v>100.1321638832152</v>
      </c>
      <c r="N127" s="41">
        <f t="shared" si="29"/>
        <v>0.11630723452344127</v>
      </c>
      <c r="O127" s="41">
        <f t="shared" si="30"/>
        <v>0.24264267435277986</v>
      </c>
      <c r="P127" s="39">
        <f t="shared" si="31"/>
        <v>188.97009674434321</v>
      </c>
      <c r="Q127" s="42">
        <f t="shared" si="32"/>
        <v>1.244284999165693</v>
      </c>
      <c r="R127" s="42">
        <f t="shared" si="33"/>
        <v>1.2539073363368369</v>
      </c>
      <c r="S127" s="41">
        <f t="shared" si="34"/>
        <v>-7.6738821859473338E-3</v>
      </c>
      <c r="T127" s="41">
        <f t="shared" si="18"/>
        <v>0.20839634042518357</v>
      </c>
      <c r="U127" s="41">
        <f t="shared" si="35"/>
        <v>-4.7830136002773305E-3</v>
      </c>
      <c r="V127" s="41">
        <f t="shared" si="36"/>
        <v>-8.0995859597083886E-3</v>
      </c>
      <c r="W127" s="39">
        <f t="shared" si="22"/>
        <v>223.71</v>
      </c>
      <c r="X127" s="21"/>
    </row>
    <row r="128" spans="1:24" x14ac:dyDescent="0.2">
      <c r="A128" s="38">
        <v>45125</v>
      </c>
      <c r="B128" s="39">
        <v>223.9</v>
      </c>
      <c r="C128" s="39">
        <v>454.19</v>
      </c>
      <c r="D128" s="39">
        <v>41.994999999999997</v>
      </c>
      <c r="E128" s="41">
        <f t="shared" si="23"/>
        <v>8.4931384381570219E-4</v>
      </c>
      <c r="F128" s="41">
        <f t="shared" si="24"/>
        <v>7.4305740395705921E-3</v>
      </c>
      <c r="G128" s="41">
        <f t="shared" si="25"/>
        <v>7.7993760499159848E-3</v>
      </c>
      <c r="H128" s="41">
        <f t="shared" si="26"/>
        <v>0.24534178764113657</v>
      </c>
      <c r="I128" s="41">
        <f t="shared" si="27"/>
        <v>0.12292629861299886</v>
      </c>
      <c r="J128" s="41">
        <f t="shared" si="28"/>
        <v>9.1313228403215874E-3</v>
      </c>
      <c r="K128" s="42">
        <f t="shared" si="19"/>
        <v>124.5341787641137</v>
      </c>
      <c r="L128" s="42">
        <f t="shared" si="20"/>
        <v>112.29262986129997</v>
      </c>
      <c r="M128" s="42">
        <f t="shared" si="21"/>
        <v>100.91313228403219</v>
      </c>
      <c r="N128" s="41">
        <f t="shared" si="29"/>
        <v>0.10901471377003213</v>
      </c>
      <c r="O128" s="41">
        <f t="shared" si="30"/>
        <v>0.23407306804824191</v>
      </c>
      <c r="P128" s="39">
        <f t="shared" si="31"/>
        <v>189.31765797076767</v>
      </c>
      <c r="Q128" s="42">
        <f t="shared" si="32"/>
        <v>1.2453417876411366</v>
      </c>
      <c r="R128" s="42">
        <f t="shared" si="33"/>
        <v>1.2539073363368369</v>
      </c>
      <c r="S128" s="41">
        <f t="shared" si="34"/>
        <v>-6.8310858765080473E-3</v>
      </c>
      <c r="T128" s="41">
        <f t="shared" si="18"/>
        <v>0.20734344245803144</v>
      </c>
      <c r="U128" s="41">
        <f t="shared" si="35"/>
        <v>0</v>
      </c>
      <c r="V128" s="41">
        <f t="shared" si="36"/>
        <v>-6.58126019575489E-3</v>
      </c>
      <c r="W128" s="39">
        <f t="shared" si="22"/>
        <v>223.9</v>
      </c>
      <c r="X128" s="21"/>
    </row>
    <row r="129" spans="1:24" x14ac:dyDescent="0.2">
      <c r="A129" s="38">
        <v>45126</v>
      </c>
      <c r="B129" s="39">
        <v>221.34</v>
      </c>
      <c r="C129" s="39">
        <v>455.2</v>
      </c>
      <c r="D129" s="39">
        <v>41.77</v>
      </c>
      <c r="E129" s="41">
        <f t="shared" si="23"/>
        <v>-1.1433675748101835E-2</v>
      </c>
      <c r="F129" s="41">
        <f t="shared" si="24"/>
        <v>2.2237389638697369E-3</v>
      </c>
      <c r="G129" s="41">
        <f t="shared" si="25"/>
        <v>-5.3577806881770496E-3</v>
      </c>
      <c r="H129" s="41">
        <f t="shared" si="26"/>
        <v>0.23110295344568632</v>
      </c>
      <c r="I129" s="41">
        <f t="shared" si="27"/>
        <v>0.12542339357677856</v>
      </c>
      <c r="J129" s="41">
        <f t="shared" si="28"/>
        <v>3.7246185269732557E-3</v>
      </c>
      <c r="K129" s="42">
        <f t="shared" si="19"/>
        <v>123.11029534456867</v>
      </c>
      <c r="L129" s="42">
        <f t="shared" si="20"/>
        <v>112.54233935767795</v>
      </c>
      <c r="M129" s="42">
        <f t="shared" si="21"/>
        <v>100.37246185269734</v>
      </c>
      <c r="N129" s="41">
        <f t="shared" si="29"/>
        <v>9.3902046529387384E-2</v>
      </c>
      <c r="O129" s="41">
        <f t="shared" si="30"/>
        <v>0.22653458002495208</v>
      </c>
      <c r="P129" s="39">
        <f t="shared" si="31"/>
        <v>189.63628823971527</v>
      </c>
      <c r="Q129" s="42">
        <f t="shared" si="32"/>
        <v>1.2311029534456863</v>
      </c>
      <c r="R129" s="42">
        <f t="shared" si="33"/>
        <v>1.2539073363368369</v>
      </c>
      <c r="S129" s="41">
        <f t="shared" si="34"/>
        <v>-1.8186657203690393E-2</v>
      </c>
      <c r="T129" s="41">
        <f t="shared" si="18"/>
        <v>0.2084555226156066</v>
      </c>
      <c r="U129" s="41">
        <f t="shared" si="35"/>
        <v>-1.1589325610893098E-2</v>
      </c>
      <c r="V129" s="41">
        <f t="shared" si="36"/>
        <v>-1.3657414711971572E-2</v>
      </c>
      <c r="W129" s="39">
        <f t="shared" si="22"/>
        <v>221.34</v>
      </c>
      <c r="X129" s="21"/>
    </row>
    <row r="130" spans="1:24" x14ac:dyDescent="0.2">
      <c r="A130" s="38">
        <v>45127</v>
      </c>
      <c r="B130" s="39">
        <v>221.63</v>
      </c>
      <c r="C130" s="39">
        <v>452.18</v>
      </c>
      <c r="D130" s="39">
        <v>41.87</v>
      </c>
      <c r="E130" s="41">
        <f t="shared" si="23"/>
        <v>1.3102014999548661E-3</v>
      </c>
      <c r="F130" s="41">
        <f t="shared" si="24"/>
        <v>-6.6344463971880208E-3</v>
      </c>
      <c r="G130" s="41">
        <f t="shared" si="25"/>
        <v>2.3940627244432022E-3</v>
      </c>
      <c r="H130" s="41">
        <f t="shared" si="26"/>
        <v>0.23271594638188975</v>
      </c>
      <c r="I130" s="41">
        <f t="shared" si="27"/>
        <v>0.11795683239795207</v>
      </c>
      <c r="J130" s="41">
        <f t="shared" si="28"/>
        <v>6.1275982217947611E-3</v>
      </c>
      <c r="K130" s="42">
        <f t="shared" si="19"/>
        <v>123.271594638189</v>
      </c>
      <c r="L130" s="42">
        <f t="shared" si="20"/>
        <v>111.79568323979527</v>
      </c>
      <c r="M130" s="42">
        <f t="shared" si="21"/>
        <v>100.6127598221795</v>
      </c>
      <c r="N130" s="41">
        <f t="shared" si="29"/>
        <v>0.10265075596683459</v>
      </c>
      <c r="O130" s="41">
        <f t="shared" si="30"/>
        <v>0.22520836180277892</v>
      </c>
      <c r="P130" s="39">
        <f t="shared" si="31"/>
        <v>189.95463363036487</v>
      </c>
      <c r="Q130" s="42">
        <f t="shared" si="32"/>
        <v>1.2327159463818897</v>
      </c>
      <c r="R130" s="42">
        <f t="shared" si="33"/>
        <v>1.2539073363368369</v>
      </c>
      <c r="S130" s="41">
        <f t="shared" si="34"/>
        <v>-1.6900283889282997E-2</v>
      </c>
      <c r="T130" s="41">
        <f t="shared" si="18"/>
        <v>0.20847159583771233</v>
      </c>
      <c r="U130" s="41">
        <f t="shared" si="35"/>
        <v>0</v>
      </c>
      <c r="V130" s="41">
        <f t="shared" si="36"/>
        <v>7.9446478971428869E-3</v>
      </c>
      <c r="W130" s="39">
        <f t="shared" si="22"/>
        <v>221.63</v>
      </c>
      <c r="X130" s="21"/>
    </row>
    <row r="131" spans="1:24" x14ac:dyDescent="0.2">
      <c r="A131" s="38">
        <v>45128</v>
      </c>
      <c r="B131" s="39">
        <v>222.3</v>
      </c>
      <c r="C131" s="39">
        <v>452.18</v>
      </c>
      <c r="D131" s="39">
        <v>41.875</v>
      </c>
      <c r="E131" s="41">
        <f t="shared" si="23"/>
        <v>3.0230564454272191E-3</v>
      </c>
      <c r="F131" s="41">
        <f t="shared" si="24"/>
        <v>0</v>
      </c>
      <c r="G131" s="41">
        <f t="shared" si="25"/>
        <v>1.1941724385011732E-4</v>
      </c>
      <c r="H131" s="41">
        <f t="shared" si="26"/>
        <v>0.2364425162689805</v>
      </c>
      <c r="I131" s="41">
        <f t="shared" si="27"/>
        <v>0.11795683239795207</v>
      </c>
      <c r="J131" s="41">
        <f t="shared" si="28"/>
        <v>6.2477472065358697E-3</v>
      </c>
      <c r="K131" s="42">
        <f t="shared" si="19"/>
        <v>123.64425162689805</v>
      </c>
      <c r="L131" s="42">
        <f t="shared" si="20"/>
        <v>111.79568323979527</v>
      </c>
      <c r="M131" s="42">
        <f t="shared" si="21"/>
        <v>100.6247747206536</v>
      </c>
      <c r="N131" s="41">
        <f t="shared" si="29"/>
        <v>0.10598413144171537</v>
      </c>
      <c r="O131" s="41">
        <f t="shared" si="30"/>
        <v>0.22876550004856444</v>
      </c>
      <c r="P131" s="39">
        <f t="shared" si="31"/>
        <v>190.2764780718538</v>
      </c>
      <c r="Q131" s="42">
        <f t="shared" si="32"/>
        <v>1.2364425162689805</v>
      </c>
      <c r="R131" s="42">
        <f t="shared" si="33"/>
        <v>1.2539073363368369</v>
      </c>
      <c r="S131" s="41">
        <f t="shared" si="34"/>
        <v>-1.3928317955996805E-2</v>
      </c>
      <c r="T131" s="41">
        <f t="shared" si="18"/>
        <v>0.2062877153777426</v>
      </c>
      <c r="U131" s="41">
        <f t="shared" si="35"/>
        <v>0</v>
      </c>
      <c r="V131" s="41">
        <f t="shared" si="36"/>
        <v>3.0230564454272191E-3</v>
      </c>
      <c r="W131" s="39">
        <f t="shared" si="22"/>
        <v>222.3</v>
      </c>
      <c r="X131" s="21"/>
    </row>
    <row r="132" spans="1:24" x14ac:dyDescent="0.2">
      <c r="A132" s="38">
        <v>45131</v>
      </c>
      <c r="B132" s="39">
        <v>222.6</v>
      </c>
      <c r="C132" s="39">
        <v>454.2</v>
      </c>
      <c r="D132" s="39">
        <v>42.005000000000003</v>
      </c>
      <c r="E132" s="41">
        <f t="shared" si="23"/>
        <v>1.3495276653170407E-3</v>
      </c>
      <c r="F132" s="41">
        <f t="shared" si="24"/>
        <v>4.4672475562828051E-3</v>
      </c>
      <c r="G132" s="41">
        <f t="shared" si="25"/>
        <v>3.1044776119404371E-3</v>
      </c>
      <c r="H132" s="41">
        <f t="shared" si="26"/>
        <v>0.23811112965125969</v>
      </c>
      <c r="I132" s="41">
        <f t="shared" si="27"/>
        <v>0.12295102232551147</v>
      </c>
      <c r="J132" s="41">
        <f t="shared" si="28"/>
        <v>9.3716208098040266E-3</v>
      </c>
      <c r="K132" s="42">
        <f t="shared" si="19"/>
        <v>123.81111296512599</v>
      </c>
      <c r="L132" s="42">
        <f t="shared" si="20"/>
        <v>112.29510223255123</v>
      </c>
      <c r="M132" s="42">
        <f t="shared" si="21"/>
        <v>100.93716208098043</v>
      </c>
      <c r="N132" s="41">
        <f t="shared" si="29"/>
        <v>0.10255131794373717</v>
      </c>
      <c r="O132" s="41">
        <f t="shared" si="30"/>
        <v>0.2266157519447014</v>
      </c>
      <c r="P132" s="39">
        <f t="shared" si="31"/>
        <v>190.59810515571596</v>
      </c>
      <c r="Q132" s="42">
        <f t="shared" si="32"/>
        <v>1.2381111296512597</v>
      </c>
      <c r="R132" s="42">
        <f t="shared" si="33"/>
        <v>1.2539073363368369</v>
      </c>
      <c r="S132" s="41">
        <f t="shared" si="34"/>
        <v>-1.2597586941092698E-2</v>
      </c>
      <c r="T132" s="41">
        <f t="shared" si="18"/>
        <v>0.20107608074205727</v>
      </c>
      <c r="U132" s="41">
        <f t="shared" si="35"/>
        <v>0</v>
      </c>
      <c r="V132" s="41">
        <f t="shared" si="36"/>
        <v>-3.1177198909657644E-3</v>
      </c>
      <c r="W132" s="39">
        <f t="shared" si="22"/>
        <v>222.6</v>
      </c>
      <c r="X132" s="21"/>
    </row>
    <row r="133" spans="1:24" x14ac:dyDescent="0.2">
      <c r="A133" s="38">
        <v>45132</v>
      </c>
      <c r="B133" s="39">
        <v>222.25</v>
      </c>
      <c r="C133" s="39">
        <v>455.44</v>
      </c>
      <c r="D133" s="39">
        <v>42.76</v>
      </c>
      <c r="E133" s="41">
        <f t="shared" si="23"/>
        <v>-1.5723270440251014E-3</v>
      </c>
      <c r="F133" s="41">
        <f t="shared" si="24"/>
        <v>2.7300748568912514E-3</v>
      </c>
      <c r="G133" s="41">
        <f t="shared" si="25"/>
        <v>1.7974050708248868E-2</v>
      </c>
      <c r="H133" s="41">
        <f t="shared" si="26"/>
        <v>0.23616441403860056</v>
      </c>
      <c r="I133" s="41">
        <f t="shared" si="27"/>
        <v>0.12601676267708273</v>
      </c>
      <c r="J133" s="41">
        <f t="shared" si="28"/>
        <v>2.7514117505706759E-2</v>
      </c>
      <c r="K133" s="42">
        <f t="shared" si="19"/>
        <v>123.61644140386005</v>
      </c>
      <c r="L133" s="42">
        <f t="shared" si="20"/>
        <v>112.60167626770836</v>
      </c>
      <c r="M133" s="42">
        <f t="shared" si="21"/>
        <v>102.7514117505707</v>
      </c>
      <c r="N133" s="41">
        <f t="shared" si="29"/>
        <v>9.7820614232814851E-2</v>
      </c>
      <c r="O133" s="41">
        <f t="shared" si="30"/>
        <v>0.20306319200693124</v>
      </c>
      <c r="P133" s="39">
        <f t="shared" si="31"/>
        <v>190.91304938302227</v>
      </c>
      <c r="Q133" s="42">
        <f t="shared" si="32"/>
        <v>1.2361644140386006</v>
      </c>
      <c r="R133" s="42">
        <f t="shared" si="33"/>
        <v>1.2539073363368369</v>
      </c>
      <c r="S133" s="41">
        <f t="shared" si="34"/>
        <v>-1.4150106458480805E-2</v>
      </c>
      <c r="T133" s="41">
        <f t="shared" si="18"/>
        <v>0.18928481497444283</v>
      </c>
      <c r="U133" s="41">
        <f t="shared" si="35"/>
        <v>-1.7279769068163642E-3</v>
      </c>
      <c r="V133" s="41">
        <f t="shared" si="36"/>
        <v>-4.3024019009163528E-3</v>
      </c>
      <c r="W133" s="39">
        <f t="shared" si="22"/>
        <v>222.25</v>
      </c>
      <c r="X133" s="21"/>
    </row>
    <row r="134" spans="1:24" x14ac:dyDescent="0.2">
      <c r="A134" s="38">
        <v>45133</v>
      </c>
      <c r="B134" s="39">
        <v>223.46</v>
      </c>
      <c r="C134" s="39">
        <v>455.51</v>
      </c>
      <c r="D134" s="39">
        <v>42.615000000000002</v>
      </c>
      <c r="E134" s="41">
        <f t="shared" si="23"/>
        <v>5.4443194600675149E-3</v>
      </c>
      <c r="F134" s="41">
        <f t="shared" si="24"/>
        <v>1.5369752327409891E-4</v>
      </c>
      <c r="G134" s="41">
        <f t="shared" si="25"/>
        <v>-3.3910196445274821E-3</v>
      </c>
      <c r="H134" s="41">
        <f t="shared" si="26"/>
        <v>0.24289448801379376</v>
      </c>
      <c r="I134" s="41">
        <f t="shared" si="27"/>
        <v>0.12618982866467121</v>
      </c>
      <c r="J134" s="41">
        <f t="shared" si="28"/>
        <v>2.4029796948215498E-2</v>
      </c>
      <c r="K134" s="42">
        <f t="shared" si="19"/>
        <v>124.28944880137939</v>
      </c>
      <c r="L134" s="42">
        <f t="shared" si="20"/>
        <v>112.61898286646721</v>
      </c>
      <c r="M134" s="42">
        <f t="shared" si="21"/>
        <v>102.40297969482157</v>
      </c>
      <c r="N134" s="41">
        <f t="shared" si="29"/>
        <v>0.10362787549546582</v>
      </c>
      <c r="O134" s="41">
        <f t="shared" si="30"/>
        <v>0.21372883066277226</v>
      </c>
      <c r="P134" s="39">
        <f t="shared" si="31"/>
        <v>191.23689963791756</v>
      </c>
      <c r="Q134" s="42">
        <f t="shared" si="32"/>
        <v>1.2428944880137938</v>
      </c>
      <c r="R134" s="42">
        <f t="shared" si="33"/>
        <v>1.2539073363368369</v>
      </c>
      <c r="S134" s="41">
        <f t="shared" si="34"/>
        <v>-8.7828246983673308E-3</v>
      </c>
      <c r="T134" s="41">
        <f t="shared" si="18"/>
        <v>0.18854696775602198</v>
      </c>
      <c r="U134" s="41">
        <f t="shared" si="35"/>
        <v>0</v>
      </c>
      <c r="V134" s="41">
        <f t="shared" si="36"/>
        <v>5.290621936793416E-3</v>
      </c>
      <c r="W134" s="39">
        <f t="shared" si="22"/>
        <v>223.46</v>
      </c>
      <c r="X134" s="21"/>
    </row>
    <row r="135" spans="1:24" x14ac:dyDescent="0.2">
      <c r="A135" s="38">
        <v>45134</v>
      </c>
      <c r="B135" s="39">
        <v>218.29</v>
      </c>
      <c r="C135" s="39">
        <v>452.49</v>
      </c>
      <c r="D135" s="39">
        <v>42.34</v>
      </c>
      <c r="E135" s="41">
        <f t="shared" si="23"/>
        <v>-2.3136131746173905E-2</v>
      </c>
      <c r="F135" s="41">
        <f t="shared" si="24"/>
        <v>-6.6299312858114634E-3</v>
      </c>
      <c r="G135" s="41">
        <f t="shared" si="25"/>
        <v>-6.4531268332745917E-3</v>
      </c>
      <c r="H135" s="41">
        <f t="shared" si="26"/>
        <v>0.21413871739251333</v>
      </c>
      <c r="I135" s="41">
        <f t="shared" si="27"/>
        <v>0.11872326748584472</v>
      </c>
      <c r="J135" s="41">
        <f t="shared" si="28"/>
        <v>1.7421602787456303E-2</v>
      </c>
      <c r="K135" s="42">
        <f t="shared" si="19"/>
        <v>121.41387173925136</v>
      </c>
      <c r="L135" s="42">
        <f t="shared" si="20"/>
        <v>111.87232674858456</v>
      </c>
      <c r="M135" s="42">
        <f t="shared" si="21"/>
        <v>101.74216027874566</v>
      </c>
      <c r="N135" s="41">
        <f t="shared" si="29"/>
        <v>8.5289590982674302E-2</v>
      </c>
      <c r="O135" s="41">
        <f t="shared" si="30"/>
        <v>0.19334867086181973</v>
      </c>
      <c r="P135" s="39">
        <f t="shared" si="31"/>
        <v>191.50608471614726</v>
      </c>
      <c r="Q135" s="42">
        <f t="shared" si="32"/>
        <v>1.2141387173925133</v>
      </c>
      <c r="R135" s="42">
        <f t="shared" si="33"/>
        <v>1.2539073363368369</v>
      </c>
      <c r="S135" s="41">
        <f t="shared" si="34"/>
        <v>-3.1715755855216243E-2</v>
      </c>
      <c r="T135" s="41">
        <f t="shared" si="18"/>
        <v>0.19556298493783983</v>
      </c>
      <c r="U135" s="41">
        <f t="shared" si="35"/>
        <v>-2.3291781608965167E-2</v>
      </c>
      <c r="V135" s="41">
        <f t="shared" si="36"/>
        <v>-1.6506200460362441E-2</v>
      </c>
      <c r="W135" s="39">
        <f t="shared" si="22"/>
        <v>218.29</v>
      </c>
      <c r="X135" s="21"/>
    </row>
    <row r="136" spans="1:24" x14ac:dyDescent="0.2">
      <c r="A136" s="38">
        <v>45135</v>
      </c>
      <c r="B136" s="39">
        <v>220.19</v>
      </c>
      <c r="C136" s="39">
        <v>456.92</v>
      </c>
      <c r="D136" s="39">
        <v>42.634999999999998</v>
      </c>
      <c r="E136" s="41">
        <f t="shared" si="23"/>
        <v>8.7040175912775908E-3</v>
      </c>
      <c r="F136" s="41">
        <f t="shared" si="24"/>
        <v>9.7902716082123309E-3</v>
      </c>
      <c r="G136" s="41">
        <f t="shared" si="25"/>
        <v>6.9674067076048729E-3</v>
      </c>
      <c r="H136" s="41">
        <f t="shared" si="26"/>
        <v>0.22470660214694904</v>
      </c>
      <c r="I136" s="41">
        <f t="shared" si="27"/>
        <v>0.12967587212895793</v>
      </c>
      <c r="J136" s="41">
        <f t="shared" si="28"/>
        <v>2.4510392887179711E-2</v>
      </c>
      <c r="K136" s="42">
        <f t="shared" si="19"/>
        <v>122.47066021469493</v>
      </c>
      <c r="L136" s="42">
        <f t="shared" si="20"/>
        <v>112.96758721289588</v>
      </c>
      <c r="M136" s="42">
        <f t="shared" si="21"/>
        <v>102.45103928871799</v>
      </c>
      <c r="N136" s="41">
        <f t="shared" si="29"/>
        <v>8.4122120656519472E-2</v>
      </c>
      <c r="O136" s="41">
        <f t="shared" si="30"/>
        <v>0.19540671392858688</v>
      </c>
      <c r="P136" s="39">
        <f t="shared" si="31"/>
        <v>191.7914968085239</v>
      </c>
      <c r="Q136" s="42">
        <f t="shared" si="32"/>
        <v>1.224706602146949</v>
      </c>
      <c r="R136" s="42">
        <f t="shared" si="33"/>
        <v>1.2539073363368369</v>
      </c>
      <c r="S136" s="41">
        <f t="shared" si="34"/>
        <v>-2.3287792760823045E-2</v>
      </c>
      <c r="T136" s="41">
        <f t="shared" si="18"/>
        <v>0.1954096968307705</v>
      </c>
      <c r="U136" s="41">
        <f t="shared" si="35"/>
        <v>0</v>
      </c>
      <c r="V136" s="41">
        <f t="shared" si="36"/>
        <v>-1.0862540169347401E-3</v>
      </c>
      <c r="W136" s="39">
        <f t="shared" si="22"/>
        <v>220.19</v>
      </c>
      <c r="X136" s="21"/>
    </row>
    <row r="137" spans="1:24" x14ac:dyDescent="0.2">
      <c r="A137" s="38">
        <v>45138</v>
      </c>
      <c r="B137" s="39">
        <v>220.5</v>
      </c>
      <c r="C137" s="39">
        <v>457.79</v>
      </c>
      <c r="D137" s="39">
        <v>42.86</v>
      </c>
      <c r="E137" s="41">
        <f t="shared" si="23"/>
        <v>1.4078750170307686E-3</v>
      </c>
      <c r="F137" s="41">
        <f t="shared" si="24"/>
        <v>1.9040532259475551E-3</v>
      </c>
      <c r="G137" s="41">
        <f t="shared" si="25"/>
        <v>5.2773542863844281E-3</v>
      </c>
      <c r="H137" s="41">
        <f t="shared" si="26"/>
        <v>0.22643083597530445</v>
      </c>
      <c r="I137" s="41">
        <f t="shared" si="27"/>
        <v>0.13182683511756021</v>
      </c>
      <c r="J137" s="41">
        <f t="shared" si="28"/>
        <v>2.9917097200528264E-2</v>
      </c>
      <c r="K137" s="42">
        <f t="shared" si="19"/>
        <v>122.64308359753046</v>
      </c>
      <c r="L137" s="42">
        <f t="shared" si="20"/>
        <v>113.18268351175614</v>
      </c>
      <c r="M137" s="42">
        <f t="shared" si="21"/>
        <v>102.99170972005285</v>
      </c>
      <c r="N137" s="41">
        <f t="shared" si="29"/>
        <v>8.3585225162043475E-2</v>
      </c>
      <c r="O137" s="41">
        <f t="shared" si="30"/>
        <v>0.19080539521960604</v>
      </c>
      <c r="P137" s="39">
        <f t="shared" si="31"/>
        <v>192.07715355669779</v>
      </c>
      <c r="Q137" s="42">
        <f t="shared" si="32"/>
        <v>1.2264308359753044</v>
      </c>
      <c r="R137" s="42">
        <f t="shared" si="33"/>
        <v>1.2539073363368369</v>
      </c>
      <c r="S137" s="41">
        <f t="shared" si="34"/>
        <v>-2.1912704045422005E-2</v>
      </c>
      <c r="T137" s="41">
        <f t="shared" si="18"/>
        <v>0.19489669245178751</v>
      </c>
      <c r="U137" s="41">
        <f t="shared" si="35"/>
        <v>0</v>
      </c>
      <c r="V137" s="41">
        <f t="shared" si="36"/>
        <v>-4.9617820891678655E-4</v>
      </c>
      <c r="W137" s="39">
        <f t="shared" si="22"/>
        <v>220.5</v>
      </c>
      <c r="X137" s="21"/>
    </row>
    <row r="138" spans="1:24" x14ac:dyDescent="0.2">
      <c r="A138" s="38">
        <v>45139</v>
      </c>
      <c r="B138" s="39">
        <v>223.97</v>
      </c>
      <c r="C138" s="39">
        <v>456.48</v>
      </c>
      <c r="D138" s="39">
        <v>42.67</v>
      </c>
      <c r="E138" s="41">
        <f t="shared" si="23"/>
        <v>1.5736961451247256E-2</v>
      </c>
      <c r="F138" s="41">
        <f t="shared" si="24"/>
        <v>-2.8615740841870796E-3</v>
      </c>
      <c r="G138" s="41">
        <f t="shared" si="25"/>
        <v>-4.433037797480166E-3</v>
      </c>
      <c r="H138" s="41">
        <f t="shared" si="26"/>
        <v>0.2457311307636687</v>
      </c>
      <c r="I138" s="41">
        <f t="shared" si="27"/>
        <v>0.12858802877840025</v>
      </c>
      <c r="J138" s="41">
        <f t="shared" si="28"/>
        <v>2.5351435780367249E-2</v>
      </c>
      <c r="K138" s="42">
        <f t="shared" si="19"/>
        <v>124.57311307636687</v>
      </c>
      <c r="L138" s="42">
        <f t="shared" si="20"/>
        <v>112.85880287784013</v>
      </c>
      <c r="M138" s="42">
        <f t="shared" si="21"/>
        <v>102.53514357803677</v>
      </c>
      <c r="N138" s="41">
        <f t="shared" si="29"/>
        <v>0.10379615856112334</v>
      </c>
      <c r="O138" s="41">
        <f t="shared" si="30"/>
        <v>0.21493088836958263</v>
      </c>
      <c r="P138" s="39">
        <f t="shared" si="31"/>
        <v>192.39449531235255</v>
      </c>
      <c r="Q138" s="42">
        <f t="shared" si="32"/>
        <v>1.2457311307636687</v>
      </c>
      <c r="R138" s="42">
        <f t="shared" si="33"/>
        <v>1.2539073363368369</v>
      </c>
      <c r="S138" s="41">
        <f t="shared" si="34"/>
        <v>-6.5205819730301817E-3</v>
      </c>
      <c r="T138" s="41">
        <f t="shared" si="18"/>
        <v>0.14945034163971604</v>
      </c>
      <c r="U138" s="41">
        <f t="shared" si="35"/>
        <v>0</v>
      </c>
      <c r="V138" s="41">
        <f t="shared" si="36"/>
        <v>1.8598535535434335E-2</v>
      </c>
      <c r="W138" s="39">
        <f t="shared" si="22"/>
        <v>223.97</v>
      </c>
      <c r="X138" s="21"/>
    </row>
    <row r="139" spans="1:24" x14ac:dyDescent="0.2">
      <c r="A139" s="38">
        <v>45140</v>
      </c>
      <c r="B139" s="39">
        <v>223.08</v>
      </c>
      <c r="C139" s="39">
        <v>450.13</v>
      </c>
      <c r="D139" s="39">
        <v>42.14</v>
      </c>
      <c r="E139" s="41">
        <f t="shared" si="23"/>
        <v>-3.9737464839040282E-3</v>
      </c>
      <c r="F139" s="41">
        <f t="shared" si="24"/>
        <v>-1.3910795653697905E-2</v>
      </c>
      <c r="G139" s="41">
        <f t="shared" si="25"/>
        <v>-1.2420904616826878E-2</v>
      </c>
      <c r="H139" s="41">
        <f t="shared" si="26"/>
        <v>0.24078091106290689</v>
      </c>
      <c r="I139" s="41">
        <f t="shared" si="27"/>
        <v>0.11288847133285418</v>
      </c>
      <c r="J139" s="41">
        <f t="shared" si="28"/>
        <v>1.2615643397812848E-2</v>
      </c>
      <c r="K139" s="42">
        <f t="shared" si="19"/>
        <v>124.07809110629069</v>
      </c>
      <c r="L139" s="42">
        <f t="shared" si="20"/>
        <v>111.28884713328553</v>
      </c>
      <c r="M139" s="42">
        <f t="shared" si="21"/>
        <v>101.26156433978133</v>
      </c>
      <c r="N139" s="41">
        <f t="shared" si="29"/>
        <v>0.1149193679550673</v>
      </c>
      <c r="O139" s="41">
        <f t="shared" si="30"/>
        <v>0.22532267712109388</v>
      </c>
      <c r="P139" s="39">
        <f t="shared" si="31"/>
        <v>192.69982371720479</v>
      </c>
      <c r="Q139" s="42">
        <f t="shared" si="32"/>
        <v>1.2407809110629069</v>
      </c>
      <c r="R139" s="42">
        <f t="shared" si="33"/>
        <v>1.2539073363368369</v>
      </c>
      <c r="S139" s="41">
        <f t="shared" si="34"/>
        <v>-1.0468417317245793E-2</v>
      </c>
      <c r="T139" s="41">
        <f t="shared" si="18"/>
        <v>0.14684128250749692</v>
      </c>
      <c r="U139" s="41">
        <f t="shared" si="35"/>
        <v>-4.129396346695291E-3</v>
      </c>
      <c r="V139" s="41">
        <f t="shared" si="36"/>
        <v>9.9370491697938768E-3</v>
      </c>
      <c r="W139" s="39">
        <f t="shared" si="22"/>
        <v>223.08</v>
      </c>
      <c r="X139" s="21"/>
    </row>
    <row r="140" spans="1:24" x14ac:dyDescent="0.2">
      <c r="A140" s="38">
        <v>45141</v>
      </c>
      <c r="B140" s="39">
        <v>226.19</v>
      </c>
      <c r="C140" s="39">
        <v>448.84</v>
      </c>
      <c r="D140" s="39">
        <v>41.88</v>
      </c>
      <c r="E140" s="41">
        <f t="shared" si="23"/>
        <v>1.3941187018110091E-2</v>
      </c>
      <c r="F140" s="41">
        <f t="shared" si="24"/>
        <v>-2.8658387576923072E-3</v>
      </c>
      <c r="G140" s="41">
        <f t="shared" si="25"/>
        <v>-6.1699098243948036E-3</v>
      </c>
      <c r="H140" s="41">
        <f t="shared" si="26"/>
        <v>0.2580788697925358</v>
      </c>
      <c r="I140" s="41">
        <f t="shared" si="27"/>
        <v>0.10969911241871944</v>
      </c>
      <c r="J140" s="41">
        <f t="shared" si="28"/>
        <v>6.3678961912767562E-3</v>
      </c>
      <c r="K140" s="42">
        <f t="shared" si="19"/>
        <v>125.80788697925358</v>
      </c>
      <c r="L140" s="42">
        <f t="shared" si="20"/>
        <v>110.96991124187208</v>
      </c>
      <c r="M140" s="42">
        <f t="shared" si="21"/>
        <v>100.63678961912773</v>
      </c>
      <c r="N140" s="41">
        <f t="shared" si="29"/>
        <v>0.13371170231037244</v>
      </c>
      <c r="O140" s="41">
        <f t="shared" si="30"/>
        <v>0.25011824657154724</v>
      </c>
      <c r="P140" s="39">
        <f t="shared" si="31"/>
        <v>193.03305930210823</v>
      </c>
      <c r="Q140" s="42">
        <f t="shared" si="32"/>
        <v>1.2580788697925358</v>
      </c>
      <c r="R140" s="42">
        <f t="shared" si="33"/>
        <v>1.2580788697925358</v>
      </c>
      <c r="S140" s="41">
        <f t="shared" si="34"/>
        <v>0</v>
      </c>
      <c r="T140" s="41">
        <f t="shared" si="18"/>
        <v>0.14812817649883889</v>
      </c>
      <c r="U140" s="41">
        <f t="shared" si="35"/>
        <v>0</v>
      </c>
      <c r="V140" s="41">
        <f t="shared" si="36"/>
        <v>1.6807025775802398E-2</v>
      </c>
      <c r="W140" s="39">
        <f t="shared" si="22"/>
        <v>226.19</v>
      </c>
      <c r="X140" s="21"/>
    </row>
    <row r="141" spans="1:24" x14ac:dyDescent="0.2">
      <c r="A141" s="38">
        <v>45142</v>
      </c>
      <c r="B141" s="39">
        <v>226</v>
      </c>
      <c r="C141" s="39">
        <v>446.81</v>
      </c>
      <c r="D141" s="39">
        <v>41.784999999999997</v>
      </c>
      <c r="E141" s="41">
        <f t="shared" si="23"/>
        <v>-8.400017684248029E-4</v>
      </c>
      <c r="F141" s="41">
        <f t="shared" si="24"/>
        <v>-4.5227698066125921E-3</v>
      </c>
      <c r="G141" s="41">
        <f t="shared" si="25"/>
        <v>-2.2683858643745003E-3</v>
      </c>
      <c r="H141" s="41">
        <f t="shared" si="26"/>
        <v>0.25702208131709225</v>
      </c>
      <c r="I141" s="41">
        <f t="shared" si="27"/>
        <v>0.1046801987786472</v>
      </c>
      <c r="J141" s="41">
        <f t="shared" si="28"/>
        <v>4.0850654811961373E-3</v>
      </c>
      <c r="K141" s="42">
        <f t="shared" si="19"/>
        <v>125.70220813170923</v>
      </c>
      <c r="L141" s="42">
        <f t="shared" si="20"/>
        <v>110.46801987786485</v>
      </c>
      <c r="M141" s="42">
        <f t="shared" si="21"/>
        <v>100.40850654811966</v>
      </c>
      <c r="N141" s="41">
        <f t="shared" si="29"/>
        <v>0.13790586878164079</v>
      </c>
      <c r="O141" s="41">
        <f t="shared" si="30"/>
        <v>0.25190795534308541</v>
      </c>
      <c r="P141" s="39">
        <f t="shared" si="31"/>
        <v>193.36108856278378</v>
      </c>
      <c r="Q141" s="42">
        <f t="shared" si="32"/>
        <v>1.2570220813170923</v>
      </c>
      <c r="R141" s="42">
        <f t="shared" si="33"/>
        <v>1.2580788697925358</v>
      </c>
      <c r="S141" s="41">
        <f t="shared" si="34"/>
        <v>-8.400017684248029E-4</v>
      </c>
      <c r="T141" s="41">
        <f t="shared" si="18"/>
        <v>0.1482854244780954</v>
      </c>
      <c r="U141" s="41">
        <f t="shared" si="35"/>
        <v>-9.956516312160657E-4</v>
      </c>
      <c r="V141" s="41">
        <f t="shared" si="36"/>
        <v>3.6827680381877892E-3</v>
      </c>
      <c r="W141" s="39">
        <f t="shared" si="22"/>
        <v>226</v>
      </c>
      <c r="X141" s="21"/>
    </row>
    <row r="142" spans="1:24" x14ac:dyDescent="0.2">
      <c r="A142" s="38">
        <v>45145</v>
      </c>
      <c r="B142" s="39">
        <v>228.72</v>
      </c>
      <c r="C142" s="39">
        <v>450.71</v>
      </c>
      <c r="D142" s="39">
        <v>42.06</v>
      </c>
      <c r="E142" s="41">
        <f t="shared" si="23"/>
        <v>1.2035398230088479E-2</v>
      </c>
      <c r="F142" s="41">
        <f t="shared" si="24"/>
        <v>8.7285423334302337E-3</v>
      </c>
      <c r="G142" s="41">
        <f t="shared" si="25"/>
        <v>6.5813090822066656E-3</v>
      </c>
      <c r="H142" s="41">
        <f t="shared" si="26"/>
        <v>0.27215084264975808</v>
      </c>
      <c r="I142" s="41">
        <f t="shared" si="27"/>
        <v>0.11432244665858882</v>
      </c>
      <c r="J142" s="41">
        <f t="shared" si="28"/>
        <v>1.0693259641955555E-2</v>
      </c>
      <c r="K142" s="42">
        <f t="shared" si="19"/>
        <v>127.21508426497581</v>
      </c>
      <c r="L142" s="42">
        <f t="shared" si="20"/>
        <v>111.43224466585902</v>
      </c>
      <c r="M142" s="42">
        <f t="shared" si="21"/>
        <v>101.0693259641956</v>
      </c>
      <c r="N142" s="41">
        <f t="shared" si="29"/>
        <v>0.14163619916697723</v>
      </c>
      <c r="O142" s="41">
        <f t="shared" si="30"/>
        <v>0.25869132945481943</v>
      </c>
      <c r="P142" s="39">
        <f t="shared" si="31"/>
        <v>193.71291852733322</v>
      </c>
      <c r="Q142" s="42">
        <f t="shared" si="32"/>
        <v>1.2721508426497581</v>
      </c>
      <c r="R142" s="42">
        <f t="shared" si="33"/>
        <v>1.2721508426497581</v>
      </c>
      <c r="S142" s="41">
        <f t="shared" si="34"/>
        <v>0</v>
      </c>
      <c r="T142" s="41">
        <f t="shared" si="18"/>
        <v>0.14719613088347763</v>
      </c>
      <c r="U142" s="41">
        <f t="shared" si="35"/>
        <v>0</v>
      </c>
      <c r="V142" s="41">
        <f t="shared" si="36"/>
        <v>3.3068558966582451E-3</v>
      </c>
      <c r="W142" s="39">
        <f t="shared" si="22"/>
        <v>228.72</v>
      </c>
      <c r="X142" s="21"/>
    </row>
    <row r="143" spans="1:24" x14ac:dyDescent="0.2">
      <c r="A143" s="38">
        <v>45146</v>
      </c>
      <c r="B143" s="39">
        <v>226.84</v>
      </c>
      <c r="C143" s="39">
        <v>448.75</v>
      </c>
      <c r="D143" s="39">
        <v>41.615000000000002</v>
      </c>
      <c r="E143" s="41">
        <f t="shared" si="23"/>
        <v>-8.2196572228051545E-3</v>
      </c>
      <c r="F143" s="41">
        <f t="shared" si="24"/>
        <v>-4.3486942823545149E-3</v>
      </c>
      <c r="G143" s="41">
        <f t="shared" si="25"/>
        <v>-1.0580123632905392E-2</v>
      </c>
      <c r="H143" s="41">
        <f t="shared" si="26"/>
        <v>0.26169419878747435</v>
      </c>
      <c r="I143" s="41">
        <f t="shared" si="27"/>
        <v>0.10947659900610529</v>
      </c>
      <c r="J143" s="41">
        <f t="shared" si="28"/>
        <v>-4.4408920985006262E-16</v>
      </c>
      <c r="K143" s="42">
        <f t="shared" si="19"/>
        <v>126.16941987874743</v>
      </c>
      <c r="L143" s="42">
        <f t="shared" si="20"/>
        <v>110.94765990061066</v>
      </c>
      <c r="M143" s="42">
        <f t="shared" si="21"/>
        <v>100</v>
      </c>
      <c r="N143" s="41">
        <f t="shared" si="29"/>
        <v>0.13719766592439098</v>
      </c>
      <c r="O143" s="41">
        <f t="shared" si="30"/>
        <v>0.26169419878747502</v>
      </c>
      <c r="P143" s="39">
        <f t="shared" si="31"/>
        <v>194.0425412285538</v>
      </c>
      <c r="Q143" s="42">
        <f t="shared" si="32"/>
        <v>1.2616941987874744</v>
      </c>
      <c r="R143" s="42">
        <f t="shared" si="33"/>
        <v>1.2721508426497581</v>
      </c>
      <c r="S143" s="41">
        <f t="shared" si="34"/>
        <v>-8.2196572228051545E-3</v>
      </c>
      <c r="T143" s="41">
        <f t="shared" si="18"/>
        <v>0.1477115645505484</v>
      </c>
      <c r="U143" s="41">
        <f t="shared" si="35"/>
        <v>-8.3753070855964173E-3</v>
      </c>
      <c r="V143" s="41">
        <f t="shared" si="36"/>
        <v>-3.8709629404506396E-3</v>
      </c>
      <c r="W143" s="39">
        <f t="shared" si="22"/>
        <v>226.84</v>
      </c>
      <c r="X143" s="21"/>
    </row>
    <row r="144" spans="1:24" x14ac:dyDescent="0.2">
      <c r="A144" s="38">
        <v>45147</v>
      </c>
      <c r="B144" s="39">
        <v>223.38</v>
      </c>
      <c r="C144" s="39">
        <v>445.75</v>
      </c>
      <c r="D144" s="39">
        <v>41.445</v>
      </c>
      <c r="E144" s="41">
        <f t="shared" si="23"/>
        <v>-1.5253041791571165E-2</v>
      </c>
      <c r="F144" s="41">
        <f t="shared" si="24"/>
        <v>-6.6852367688022829E-3</v>
      </c>
      <c r="G144" s="41">
        <f t="shared" si="25"/>
        <v>-4.0850654811966924E-3</v>
      </c>
      <c r="H144" s="41">
        <f t="shared" si="26"/>
        <v>0.24244952444518608</v>
      </c>
      <c r="I144" s="41">
        <f t="shared" si="27"/>
        <v>0.10205948525230402</v>
      </c>
      <c r="J144" s="41">
        <f t="shared" si="28"/>
        <v>-4.0850654811971365E-3</v>
      </c>
      <c r="K144" s="42">
        <f t="shared" si="19"/>
        <v>124.2449524445186</v>
      </c>
      <c r="L144" s="42">
        <f t="shared" si="20"/>
        <v>110.20594852523054</v>
      </c>
      <c r="M144" s="42">
        <f t="shared" si="21"/>
        <v>99.591493451880325</v>
      </c>
      <c r="N144" s="41">
        <f t="shared" si="29"/>
        <v>0.12738880348254655</v>
      </c>
      <c r="O144" s="41">
        <f t="shared" si="30"/>
        <v>0.24754583085502335</v>
      </c>
      <c r="P144" s="39">
        <f t="shared" si="31"/>
        <v>194.334456241205</v>
      </c>
      <c r="Q144" s="42">
        <f t="shared" si="32"/>
        <v>1.2424495244451861</v>
      </c>
      <c r="R144" s="42">
        <f t="shared" si="33"/>
        <v>1.2721508426497581</v>
      </c>
      <c r="S144" s="41">
        <f t="shared" si="34"/>
        <v>-2.334732423924446E-2</v>
      </c>
      <c r="T144" s="41">
        <f t="shared" si="18"/>
        <v>0.15216326000883695</v>
      </c>
      <c r="U144" s="41">
        <f t="shared" si="35"/>
        <v>-1.5408691654362427E-2</v>
      </c>
      <c r="V144" s="41">
        <f t="shared" si="36"/>
        <v>-8.5678050227688818E-3</v>
      </c>
      <c r="W144" s="39">
        <f t="shared" si="22"/>
        <v>223.38</v>
      </c>
      <c r="X144" s="21"/>
    </row>
    <row r="145" spans="1:24" x14ac:dyDescent="0.2">
      <c r="A145" s="38">
        <v>45148</v>
      </c>
      <c r="B145" s="39">
        <v>224.31</v>
      </c>
      <c r="C145" s="39">
        <v>445.91</v>
      </c>
      <c r="D145" s="39">
        <v>41.475000000000001</v>
      </c>
      <c r="E145" s="41">
        <f t="shared" si="23"/>
        <v>4.163309159280093E-3</v>
      </c>
      <c r="F145" s="41">
        <f t="shared" si="24"/>
        <v>3.5894559730786924E-4</v>
      </c>
      <c r="G145" s="41">
        <f t="shared" si="25"/>
        <v>7.2385088671733655E-4</v>
      </c>
      <c r="H145" s="41">
        <f t="shared" si="26"/>
        <v>0.24762222593025185</v>
      </c>
      <c r="I145" s="41">
        <f t="shared" si="27"/>
        <v>0.10245506465250664</v>
      </c>
      <c r="J145" s="41">
        <f t="shared" si="28"/>
        <v>-3.3641715727507071E-3</v>
      </c>
      <c r="K145" s="42">
        <f t="shared" si="19"/>
        <v>124.7622225930252</v>
      </c>
      <c r="L145" s="42">
        <f t="shared" si="20"/>
        <v>110.24550646525083</v>
      </c>
      <c r="M145" s="42">
        <f t="shared" si="21"/>
        <v>99.663582842724978</v>
      </c>
      <c r="N145" s="41">
        <f t="shared" si="29"/>
        <v>0.13167626140254685</v>
      </c>
      <c r="O145" s="41">
        <f t="shared" si="30"/>
        <v>0.25183360897136731</v>
      </c>
      <c r="P145" s="39">
        <f t="shared" si="31"/>
        <v>194.63272035820793</v>
      </c>
      <c r="Q145" s="42">
        <f t="shared" si="32"/>
        <v>1.2476222259302518</v>
      </c>
      <c r="R145" s="42">
        <f t="shared" si="33"/>
        <v>1.2721508426497581</v>
      </c>
      <c r="S145" s="41">
        <f t="shared" si="34"/>
        <v>-1.9281217208814372E-2</v>
      </c>
      <c r="T145" s="41">
        <f t="shared" si="18"/>
        <v>0.15216939443795813</v>
      </c>
      <c r="U145" s="41">
        <f t="shared" si="35"/>
        <v>0</v>
      </c>
      <c r="V145" s="41">
        <f t="shared" si="36"/>
        <v>3.8043635619722238E-3</v>
      </c>
      <c r="W145" s="39">
        <f t="shared" si="22"/>
        <v>224.31</v>
      </c>
      <c r="X145" s="21"/>
    </row>
    <row r="146" spans="1:24" x14ac:dyDescent="0.2">
      <c r="A146" s="38">
        <v>45149</v>
      </c>
      <c r="B146" s="39">
        <v>223.92</v>
      </c>
      <c r="C146" s="39">
        <v>445.65</v>
      </c>
      <c r="D146" s="39">
        <v>41.36</v>
      </c>
      <c r="E146" s="41">
        <f t="shared" si="23"/>
        <v>-1.7386652400696034E-3</v>
      </c>
      <c r="F146" s="41">
        <f t="shared" si="24"/>
        <v>-5.8307730259476998E-4</v>
      </c>
      <c r="G146" s="41">
        <f t="shared" si="25"/>
        <v>-2.7727546714888529E-3</v>
      </c>
      <c r="H146" s="41">
        <f t="shared" si="26"/>
        <v>0.24545302853328876</v>
      </c>
      <c r="I146" s="41">
        <f t="shared" si="27"/>
        <v>0.10181224812717704</v>
      </c>
      <c r="J146" s="41">
        <f t="shared" si="28"/>
        <v>-6.1275982217955383E-3</v>
      </c>
      <c r="K146" s="42">
        <f t="shared" si="19"/>
        <v>124.54530285332888</v>
      </c>
      <c r="L146" s="42">
        <f t="shared" si="20"/>
        <v>110.18122481271786</v>
      </c>
      <c r="M146" s="42">
        <f t="shared" si="21"/>
        <v>99.387240177820487</v>
      </c>
      <c r="N146" s="41">
        <f t="shared" si="29"/>
        <v>0.13036774700069587</v>
      </c>
      <c r="O146" s="41">
        <f t="shared" si="30"/>
        <v>0.25313171620920794</v>
      </c>
      <c r="P146" s="39">
        <f t="shared" si="31"/>
        <v>194.92413607603672</v>
      </c>
      <c r="Q146" s="42">
        <f t="shared" si="32"/>
        <v>1.2454530285332888</v>
      </c>
      <c r="R146" s="42">
        <f t="shared" si="33"/>
        <v>1.2721508426497581</v>
      </c>
      <c r="S146" s="41">
        <f t="shared" si="34"/>
        <v>-2.0986358866736721E-2</v>
      </c>
      <c r="T146" s="41">
        <f t="shared" si="18"/>
        <v>0.15144794494727248</v>
      </c>
      <c r="U146" s="41">
        <f t="shared" si="35"/>
        <v>-1.8943151028608662E-3</v>
      </c>
      <c r="V146" s="41">
        <f t="shared" si="36"/>
        <v>-1.1555879374748335E-3</v>
      </c>
      <c r="W146" s="39">
        <f t="shared" si="22"/>
        <v>223.92</v>
      </c>
      <c r="X146" s="21"/>
    </row>
    <row r="147" spans="1:24" x14ac:dyDescent="0.2">
      <c r="A147" s="38">
        <v>45152</v>
      </c>
      <c r="B147" s="39">
        <v>225.13</v>
      </c>
      <c r="C147" s="39">
        <v>448.11</v>
      </c>
      <c r="D147" s="39">
        <v>41.45</v>
      </c>
      <c r="E147" s="41">
        <f t="shared" si="23"/>
        <v>5.4037156127189068E-3</v>
      </c>
      <c r="F147" s="41">
        <f t="shared" si="24"/>
        <v>5.5200269269606306E-3</v>
      </c>
      <c r="G147" s="41">
        <f t="shared" si="25"/>
        <v>2.1760154738879045E-3</v>
      </c>
      <c r="H147" s="41">
        <f t="shared" si="26"/>
        <v>0.25218310250848219</v>
      </c>
      <c r="I147" s="41">
        <f t="shared" si="27"/>
        <v>0.10789428140529411</v>
      </c>
      <c r="J147" s="41">
        <f t="shared" si="28"/>
        <v>-3.964916496456028E-3</v>
      </c>
      <c r="K147" s="42">
        <f t="shared" si="19"/>
        <v>125.21831025084822</v>
      </c>
      <c r="L147" s="42">
        <f t="shared" si="20"/>
        <v>110.78942814052959</v>
      </c>
      <c r="M147" s="42">
        <f t="shared" si="21"/>
        <v>99.603508350354446</v>
      </c>
      <c r="N147" s="41">
        <f t="shared" si="29"/>
        <v>0.13023699420143853</v>
      </c>
      <c r="O147" s="41">
        <f t="shared" si="30"/>
        <v>0.25716766733149599</v>
      </c>
      <c r="P147" s="39">
        <f t="shared" si="31"/>
        <v>195.22469193597667</v>
      </c>
      <c r="Q147" s="42">
        <f t="shared" si="32"/>
        <v>1.2521831025084822</v>
      </c>
      <c r="R147" s="42">
        <f t="shared" si="33"/>
        <v>1.2721508426497581</v>
      </c>
      <c r="S147" s="41">
        <f t="shared" si="34"/>
        <v>-1.5696047569080052E-2</v>
      </c>
      <c r="T147" s="41">
        <f t="shared" si="18"/>
        <v>0.15117565731311969</v>
      </c>
      <c r="U147" s="41">
        <f t="shared" si="35"/>
        <v>0</v>
      </c>
      <c r="V147" s="41">
        <f t="shared" si="36"/>
        <v>-1.1631131424172381E-4</v>
      </c>
      <c r="W147" s="39">
        <f t="shared" si="22"/>
        <v>225.13</v>
      </c>
      <c r="X147" s="21"/>
    </row>
    <row r="148" spans="1:24" x14ac:dyDescent="0.2">
      <c r="A148" s="38">
        <v>45153</v>
      </c>
      <c r="B148" s="39">
        <v>224.14</v>
      </c>
      <c r="C148" s="39">
        <v>442.89</v>
      </c>
      <c r="D148" s="39">
        <v>40.774999999999999</v>
      </c>
      <c r="E148" s="41">
        <f t="shared" si="23"/>
        <v>-4.3974592457691752E-3</v>
      </c>
      <c r="F148" s="41">
        <f t="shared" si="24"/>
        <v>-1.1648925487045658E-2</v>
      </c>
      <c r="G148" s="41">
        <f t="shared" si="25"/>
        <v>-1.628468033775643E-2</v>
      </c>
      <c r="H148" s="41">
        <f t="shared" si="26"/>
        <v>0.24667667834696028</v>
      </c>
      <c r="I148" s="41">
        <f t="shared" si="27"/>
        <v>9.4988503473679931E-2</v>
      </c>
      <c r="J148" s="41">
        <f t="shared" si="28"/>
        <v>-2.01850294365018E-2</v>
      </c>
      <c r="K148" s="42">
        <f t="shared" si="19"/>
        <v>124.66766783469603</v>
      </c>
      <c r="L148" s="42">
        <f t="shared" si="20"/>
        <v>109.49885034736815</v>
      </c>
      <c r="M148" s="42">
        <f t="shared" si="21"/>
        <v>97.981497056349866</v>
      </c>
      <c r="N148" s="41">
        <f t="shared" si="29"/>
        <v>0.13852946801913757</v>
      </c>
      <c r="O148" s="41">
        <f t="shared" si="30"/>
        <v>0.27235928802964504</v>
      </c>
      <c r="P148" s="39">
        <f t="shared" si="31"/>
        <v>195.51240644407642</v>
      </c>
      <c r="Q148" s="42">
        <f t="shared" si="32"/>
        <v>1.2466766783469603</v>
      </c>
      <c r="R148" s="42">
        <f t="shared" si="33"/>
        <v>1.2721508426497581</v>
      </c>
      <c r="S148" s="41">
        <f t="shared" si="34"/>
        <v>-2.0024484085344629E-2</v>
      </c>
      <c r="T148" s="41">
        <f t="shared" si="18"/>
        <v>0.15169485556776272</v>
      </c>
      <c r="U148" s="41">
        <f t="shared" si="35"/>
        <v>-4.553109108560438E-3</v>
      </c>
      <c r="V148" s="41">
        <f t="shared" si="36"/>
        <v>7.251466241276483E-3</v>
      </c>
      <c r="W148" s="39">
        <f t="shared" si="22"/>
        <v>224.14</v>
      </c>
      <c r="X148" s="21"/>
    </row>
    <row r="149" spans="1:24" x14ac:dyDescent="0.2">
      <c r="A149" s="38">
        <v>45154</v>
      </c>
      <c r="B149" s="39">
        <v>222.5</v>
      </c>
      <c r="C149" s="39">
        <v>439.64</v>
      </c>
      <c r="D149" s="39">
        <v>40.5</v>
      </c>
      <c r="E149" s="41">
        <f t="shared" si="23"/>
        <v>-7.3168555367180144E-3</v>
      </c>
      <c r="F149" s="41">
        <f t="shared" si="24"/>
        <v>-7.3381652329020941E-3</v>
      </c>
      <c r="G149" s="41">
        <f t="shared" si="25"/>
        <v>-6.7443286327406593E-3</v>
      </c>
      <c r="H149" s="41">
        <f t="shared" si="26"/>
        <v>0.23755492519050003</v>
      </c>
      <c r="I149" s="41">
        <f t="shared" si="27"/>
        <v>8.6953296907061883E-2</v>
      </c>
      <c r="J149" s="41">
        <f t="shared" si="28"/>
        <v>-2.6793223597261107E-2</v>
      </c>
      <c r="K149" s="42">
        <f t="shared" si="19"/>
        <v>123.75549251905001</v>
      </c>
      <c r="L149" s="42">
        <f t="shared" si="20"/>
        <v>108.69532969070634</v>
      </c>
      <c r="M149" s="42">
        <f t="shared" si="21"/>
        <v>97.320677640273928</v>
      </c>
      <c r="N149" s="41">
        <f t="shared" si="29"/>
        <v>0.13855390908880527</v>
      </c>
      <c r="O149" s="41">
        <f t="shared" si="30"/>
        <v>0.27162588177290581</v>
      </c>
      <c r="P149" s="39">
        <f t="shared" si="31"/>
        <v>195.7809397132896</v>
      </c>
      <c r="Q149" s="42">
        <f t="shared" si="32"/>
        <v>1.2375549251905</v>
      </c>
      <c r="R149" s="42">
        <f t="shared" si="33"/>
        <v>1.2721508426497581</v>
      </c>
      <c r="S149" s="41">
        <f t="shared" si="34"/>
        <v>-2.7194823364812937E-2</v>
      </c>
      <c r="T149" s="41">
        <f t="shared" si="18"/>
        <v>0.15289790163914235</v>
      </c>
      <c r="U149" s="41">
        <f t="shared" si="35"/>
        <v>-7.4725053995092772E-3</v>
      </c>
      <c r="V149" s="41">
        <f t="shared" si="36"/>
        <v>2.1309696184079741E-5</v>
      </c>
      <c r="W149" s="39">
        <f t="shared" si="22"/>
        <v>222.5</v>
      </c>
      <c r="X149" s="21"/>
    </row>
    <row r="150" spans="1:24" x14ac:dyDescent="0.2">
      <c r="A150" s="38">
        <v>45155</v>
      </c>
      <c r="B150" s="39">
        <v>213.33</v>
      </c>
      <c r="C150" s="39">
        <v>436.29</v>
      </c>
      <c r="D150" s="39">
        <v>40.42</v>
      </c>
      <c r="E150" s="41">
        <f t="shared" si="23"/>
        <v>-4.121348314606732E-2</v>
      </c>
      <c r="F150" s="41">
        <f t="shared" si="24"/>
        <v>-7.6198708033845541E-3</v>
      </c>
      <c r="G150" s="41">
        <f t="shared" si="25"/>
        <v>-1.9753086419752597E-3</v>
      </c>
      <c r="H150" s="41">
        <f t="shared" si="26"/>
        <v>0.18655097613882865</v>
      </c>
      <c r="I150" s="41">
        <f t="shared" si="27"/>
        <v>7.8670853215317083E-2</v>
      </c>
      <c r="J150" s="41">
        <f t="shared" si="28"/>
        <v>-2.8715607353118289E-2</v>
      </c>
      <c r="K150" s="42">
        <f t="shared" si="19"/>
        <v>118.65509761388286</v>
      </c>
      <c r="L150" s="42">
        <f t="shared" si="20"/>
        <v>107.86708532153189</v>
      </c>
      <c r="M150" s="42">
        <f t="shared" si="21"/>
        <v>97.128439264688211</v>
      </c>
      <c r="N150" s="41">
        <f t="shared" si="29"/>
        <v>0.10001208672871886</v>
      </c>
      <c r="O150" s="41">
        <f t="shared" si="30"/>
        <v>0.22163084789751064</v>
      </c>
      <c r="P150" s="39">
        <f t="shared" si="31"/>
        <v>195.95555722858026</v>
      </c>
      <c r="Q150" s="42">
        <f t="shared" si="32"/>
        <v>1.1865509761388287</v>
      </c>
      <c r="R150" s="42">
        <f t="shared" si="33"/>
        <v>1.2721508426497581</v>
      </c>
      <c r="S150" s="41">
        <f t="shared" si="34"/>
        <v>-6.7287513116474296E-2</v>
      </c>
      <c r="T150" s="41">
        <f t="shared" si="18"/>
        <v>0.17674360568481851</v>
      </c>
      <c r="U150" s="41">
        <f t="shared" si="35"/>
        <v>-4.1369133008858583E-2</v>
      </c>
      <c r="V150" s="41">
        <f t="shared" si="36"/>
        <v>-3.3593612342682766E-2</v>
      </c>
      <c r="W150" s="39">
        <f t="shared" si="22"/>
        <v>213.33</v>
      </c>
      <c r="X150" s="21"/>
    </row>
    <row r="151" spans="1:24" x14ac:dyDescent="0.2">
      <c r="A151" s="38">
        <v>45156</v>
      </c>
      <c r="B151" s="39">
        <v>211.8</v>
      </c>
      <c r="C151" s="39">
        <v>436.5</v>
      </c>
      <c r="D151" s="39">
        <v>40.414999999999999</v>
      </c>
      <c r="E151" s="41">
        <f t="shared" si="23"/>
        <v>-7.1719870622978243E-3</v>
      </c>
      <c r="F151" s="41">
        <f t="shared" si="24"/>
        <v>4.8133122464411038E-4</v>
      </c>
      <c r="G151" s="41">
        <f t="shared" si="25"/>
        <v>-1.2370113805049154E-4</v>
      </c>
      <c r="H151" s="41">
        <f t="shared" si="26"/>
        <v>0.17804104788920405</v>
      </c>
      <c r="I151" s="41">
        <f t="shared" si="27"/>
        <v>7.9190051178083198E-2</v>
      </c>
      <c r="J151" s="41">
        <f t="shared" si="28"/>
        <v>-2.8835756337859397E-2</v>
      </c>
      <c r="K151" s="42">
        <f t="shared" si="19"/>
        <v>117.80410478892043</v>
      </c>
      <c r="L151" s="42">
        <f t="shared" si="20"/>
        <v>107.91900511780848</v>
      </c>
      <c r="M151" s="42">
        <f t="shared" si="21"/>
        <v>97.11642436621409</v>
      </c>
      <c r="N151" s="41">
        <f t="shared" si="29"/>
        <v>9.1597394363681861E-2</v>
      </c>
      <c r="O151" s="41">
        <f t="shared" si="30"/>
        <v>0.21301937913916236</v>
      </c>
      <c r="P151" s="39">
        <f t="shared" si="31"/>
        <v>196.11321337555958</v>
      </c>
      <c r="Q151" s="42">
        <f t="shared" si="32"/>
        <v>1.1780410478892041</v>
      </c>
      <c r="R151" s="42">
        <f t="shared" si="33"/>
        <v>1.2721508426497581</v>
      </c>
      <c r="S151" s="41">
        <f t="shared" si="34"/>
        <v>-7.3976915005246613E-2</v>
      </c>
      <c r="T151" s="41">
        <f t="shared" si="18"/>
        <v>0.17593528531484368</v>
      </c>
      <c r="U151" s="41">
        <f t="shared" si="35"/>
        <v>-7.3276369250890871E-3</v>
      </c>
      <c r="V151" s="41">
        <f t="shared" si="36"/>
        <v>-7.6533182869419347E-3</v>
      </c>
      <c r="W151" s="39">
        <f t="shared" si="22"/>
        <v>211.8</v>
      </c>
      <c r="X151" s="21"/>
    </row>
    <row r="152" spans="1:24" x14ac:dyDescent="0.2">
      <c r="A152" s="38">
        <v>45159</v>
      </c>
      <c r="B152" s="39">
        <v>212.57</v>
      </c>
      <c r="C152" s="39">
        <v>439.34</v>
      </c>
      <c r="D152" s="39">
        <v>40.42</v>
      </c>
      <c r="E152" s="41">
        <f t="shared" si="23"/>
        <v>3.635505193578803E-3</v>
      </c>
      <c r="F152" s="41">
        <f t="shared" si="24"/>
        <v>6.5063001145475585E-3</v>
      </c>
      <c r="G152" s="41">
        <f t="shared" si="25"/>
        <v>1.2371644191522257E-4</v>
      </c>
      <c r="H152" s="41">
        <f t="shared" si="26"/>
        <v>0.18232382223705423</v>
      </c>
      <c r="I152" s="41">
        <f t="shared" si="27"/>
        <v>8.6211585531681845E-2</v>
      </c>
      <c r="J152" s="41">
        <f t="shared" si="28"/>
        <v>-2.8715607353118178E-2</v>
      </c>
      <c r="K152" s="42">
        <f t="shared" si="19"/>
        <v>118.23238222370544</v>
      </c>
      <c r="L152" s="42">
        <f t="shared" si="20"/>
        <v>108.62115855316834</v>
      </c>
      <c r="M152" s="42">
        <f t="shared" si="21"/>
        <v>97.128439264688211</v>
      </c>
      <c r="N152" s="41">
        <f t="shared" si="29"/>
        <v>8.8483899440574554E-2</v>
      </c>
      <c r="O152" s="41">
        <f t="shared" si="30"/>
        <v>0.21727871999987691</v>
      </c>
      <c r="P152" s="39">
        <f t="shared" si="31"/>
        <v>196.27696249620078</v>
      </c>
      <c r="Q152" s="42">
        <f t="shared" si="32"/>
        <v>1.1823238222370542</v>
      </c>
      <c r="R152" s="42">
        <f t="shared" si="33"/>
        <v>1.2721508426497581</v>
      </c>
      <c r="S152" s="41">
        <f t="shared" si="34"/>
        <v>-7.0610353270374349E-2</v>
      </c>
      <c r="T152" s="41">
        <f t="shared" si="18"/>
        <v>0.17537193473952137</v>
      </c>
      <c r="U152" s="41">
        <f t="shared" si="35"/>
        <v>0</v>
      </c>
      <c r="V152" s="41">
        <f t="shared" si="36"/>
        <v>-2.8707949209687555E-3</v>
      </c>
      <c r="W152" s="39">
        <f t="shared" si="22"/>
        <v>212.57</v>
      </c>
      <c r="X152" s="21"/>
    </row>
    <row r="153" spans="1:24" x14ac:dyDescent="0.2">
      <c r="A153" s="38">
        <v>45160</v>
      </c>
      <c r="B153" s="39">
        <v>214.58</v>
      </c>
      <c r="C153" s="39">
        <v>438.15</v>
      </c>
      <c r="D153" s="39">
        <v>40.384999999999998</v>
      </c>
      <c r="E153" s="41">
        <f t="shared" si="23"/>
        <v>9.4557087077198343E-3</v>
      </c>
      <c r="F153" s="41">
        <f t="shared" si="24"/>
        <v>-2.708608367096077E-3</v>
      </c>
      <c r="G153" s="41">
        <f t="shared" si="25"/>
        <v>-8.6590796635332978E-4</v>
      </c>
      <c r="H153" s="41">
        <f t="shared" si="26"/>
        <v>0.19350353189832581</v>
      </c>
      <c r="I153" s="41">
        <f t="shared" si="27"/>
        <v>8.3269463742674077E-2</v>
      </c>
      <c r="J153" s="41">
        <f t="shared" si="28"/>
        <v>-2.9556650246305716E-2</v>
      </c>
      <c r="K153" s="42">
        <f t="shared" si="19"/>
        <v>119.3503531898326</v>
      </c>
      <c r="L153" s="42">
        <f t="shared" si="20"/>
        <v>108.32694637426754</v>
      </c>
      <c r="M153" s="42">
        <f t="shared" si="21"/>
        <v>97.044334975369452</v>
      </c>
      <c r="N153" s="41">
        <f t="shared" si="29"/>
        <v>0.1017605239003001</v>
      </c>
      <c r="O153" s="41">
        <f t="shared" si="30"/>
        <v>0.22985389327594019</v>
      </c>
      <c r="P153" s="39">
        <f t="shared" si="31"/>
        <v>196.45908227235799</v>
      </c>
      <c r="Q153" s="42">
        <f t="shared" si="32"/>
        <v>1.1935035318983258</v>
      </c>
      <c r="R153" s="42">
        <f t="shared" si="33"/>
        <v>1.2721508426497581</v>
      </c>
      <c r="S153" s="41">
        <f t="shared" si="34"/>
        <v>-6.1822315494928337E-2</v>
      </c>
      <c r="T153" s="41">
        <f t="shared" si="18"/>
        <v>0.17596749749339055</v>
      </c>
      <c r="U153" s="41">
        <f t="shared" si="35"/>
        <v>0</v>
      </c>
      <c r="V153" s="41">
        <f t="shared" si="36"/>
        <v>1.2164317074815911E-2</v>
      </c>
      <c r="W153" s="39">
        <f t="shared" si="22"/>
        <v>214.58</v>
      </c>
      <c r="X153" s="21"/>
    </row>
    <row r="154" spans="1:24" x14ac:dyDescent="0.2">
      <c r="A154" s="38">
        <v>45161</v>
      </c>
      <c r="B154" s="39">
        <v>217.06</v>
      </c>
      <c r="C154" s="39">
        <v>443.03</v>
      </c>
      <c r="D154" s="39">
        <v>40.450000000000003</v>
      </c>
      <c r="E154" s="41">
        <f t="shared" si="23"/>
        <v>1.1557461086774135E-2</v>
      </c>
      <c r="F154" s="41">
        <f t="shared" si="24"/>
        <v>1.1137738217505522E-2</v>
      </c>
      <c r="G154" s="41">
        <f t="shared" si="25"/>
        <v>1.6095084808718241E-3</v>
      </c>
      <c r="H154" s="41">
        <f t="shared" si="26"/>
        <v>0.20729740252516815</v>
      </c>
      <c r="I154" s="41">
        <f t="shared" si="27"/>
        <v>9.5334635448857563E-2</v>
      </c>
      <c r="J154" s="41">
        <f t="shared" si="28"/>
        <v>-2.7994713444671526E-2</v>
      </c>
      <c r="K154" s="42">
        <f t="shared" si="19"/>
        <v>120.72974025251683</v>
      </c>
      <c r="L154" s="42">
        <f t="shared" si="20"/>
        <v>109.53346354488589</v>
      </c>
      <c r="M154" s="42">
        <f t="shared" si="21"/>
        <v>97.200528655532864</v>
      </c>
      <c r="N154" s="41">
        <f t="shared" si="29"/>
        <v>0.10221786425153012</v>
      </c>
      <c r="O154" s="41">
        <f t="shared" si="30"/>
        <v>0.24206876158429869</v>
      </c>
      <c r="P154" s="39">
        <f t="shared" si="31"/>
        <v>196.66406652835445</v>
      </c>
      <c r="Q154" s="42">
        <f t="shared" si="32"/>
        <v>1.2072974025251682</v>
      </c>
      <c r="R154" s="42">
        <f t="shared" si="33"/>
        <v>1.2721508426497581</v>
      </c>
      <c r="S154" s="41">
        <f t="shared" si="34"/>
        <v>-5.0979363413781176E-2</v>
      </c>
      <c r="T154" s="41">
        <f t="shared" si="18"/>
        <v>0.17703951068134946</v>
      </c>
      <c r="U154" s="41">
        <f t="shared" si="35"/>
        <v>0</v>
      </c>
      <c r="V154" s="41">
        <f t="shared" si="36"/>
        <v>4.197228692686128E-4</v>
      </c>
      <c r="W154" s="39">
        <f t="shared" si="22"/>
        <v>217.06</v>
      </c>
      <c r="X154" s="21"/>
    </row>
    <row r="155" spans="1:24" x14ac:dyDescent="0.2">
      <c r="A155" s="38">
        <v>45162</v>
      </c>
      <c r="B155" s="39">
        <v>214.98</v>
      </c>
      <c r="C155" s="39">
        <v>436.89</v>
      </c>
      <c r="D155" s="39">
        <v>40.28</v>
      </c>
      <c r="E155" s="41">
        <f t="shared" si="23"/>
        <v>-9.5826038883258802E-3</v>
      </c>
      <c r="F155" s="41">
        <f t="shared" si="24"/>
        <v>-1.3859106606776028E-2</v>
      </c>
      <c r="G155" s="41">
        <f t="shared" si="25"/>
        <v>-4.2027194066749374E-3</v>
      </c>
      <c r="H155" s="41">
        <f t="shared" si="26"/>
        <v>0.19572834974136466</v>
      </c>
      <c r="I155" s="41">
        <f t="shared" si="27"/>
        <v>8.0154275966077604E-2</v>
      </c>
      <c r="J155" s="41">
        <f t="shared" si="28"/>
        <v>-3.2079778925868219E-2</v>
      </c>
      <c r="K155" s="42">
        <f t="shared" si="19"/>
        <v>119.57283497413648</v>
      </c>
      <c r="L155" s="42">
        <f t="shared" si="20"/>
        <v>108.01542759660789</v>
      </c>
      <c r="M155" s="42">
        <f t="shared" si="21"/>
        <v>96.792022107413189</v>
      </c>
      <c r="N155" s="41">
        <f t="shared" si="29"/>
        <v>0.10699774684678154</v>
      </c>
      <c r="O155" s="41">
        <f t="shared" si="30"/>
        <v>0.23535837324942643</v>
      </c>
      <c r="P155" s="39">
        <f t="shared" si="31"/>
        <v>196.84631462259969</v>
      </c>
      <c r="Q155" s="42">
        <f t="shared" si="32"/>
        <v>1.1957283497413647</v>
      </c>
      <c r="R155" s="42">
        <f t="shared" si="33"/>
        <v>1.2721508426497581</v>
      </c>
      <c r="S155" s="41">
        <f t="shared" si="34"/>
        <v>-6.0073452256033777E-2</v>
      </c>
      <c r="T155" s="41">
        <f t="shared" si="18"/>
        <v>0.17853924178539307</v>
      </c>
      <c r="U155" s="41">
        <f t="shared" si="35"/>
        <v>-9.738253751117143E-3</v>
      </c>
      <c r="V155" s="41">
        <f t="shared" si="36"/>
        <v>4.2765027184501481E-3</v>
      </c>
      <c r="W155" s="39">
        <f t="shared" si="22"/>
        <v>214.98</v>
      </c>
      <c r="X155" s="21"/>
    </row>
    <row r="156" spans="1:24" x14ac:dyDescent="0.2">
      <c r="A156" s="38">
        <v>45163</v>
      </c>
      <c r="B156" s="39">
        <v>214.83</v>
      </c>
      <c r="C156" s="39">
        <v>439.97</v>
      </c>
      <c r="D156" s="39">
        <v>40.4</v>
      </c>
      <c r="E156" s="41">
        <f t="shared" si="23"/>
        <v>-6.977393245882757E-4</v>
      </c>
      <c r="F156" s="41">
        <f t="shared" si="24"/>
        <v>7.0498294765273251E-3</v>
      </c>
      <c r="G156" s="41">
        <f t="shared" si="25"/>
        <v>2.9791459781529639E-3</v>
      </c>
      <c r="H156" s="41">
        <f t="shared" si="26"/>
        <v>0.19489404305022506</v>
      </c>
      <c r="I156" s="41">
        <f t="shared" si="27"/>
        <v>8.7769179419980192E-2</v>
      </c>
      <c r="J156" s="41">
        <f t="shared" si="28"/>
        <v>-2.9196203292082279E-2</v>
      </c>
      <c r="K156" s="42">
        <f t="shared" si="19"/>
        <v>119.48940430502253</v>
      </c>
      <c r="L156" s="42">
        <f t="shared" si="20"/>
        <v>108.77691794199818</v>
      </c>
      <c r="M156" s="42">
        <f t="shared" si="21"/>
        <v>97.080379670791771</v>
      </c>
      <c r="N156" s="41">
        <f t="shared" si="29"/>
        <v>9.8481245522479277E-2</v>
      </c>
      <c r="O156" s="41">
        <f t="shared" si="30"/>
        <v>0.23082959409740389</v>
      </c>
      <c r="P156" s="39">
        <f t="shared" si="31"/>
        <v>197.02525676565841</v>
      </c>
      <c r="Q156" s="42">
        <f t="shared" si="32"/>
        <v>1.1948940430502251</v>
      </c>
      <c r="R156" s="42">
        <f t="shared" si="33"/>
        <v>1.2721508426497581</v>
      </c>
      <c r="S156" s="41">
        <f t="shared" si="34"/>
        <v>-6.0729275970619279E-2</v>
      </c>
      <c r="T156" s="41">
        <f t="shared" ref="T156:T219" si="37">IFERROR(_xlfn.STDEV.S(E97:E156)*SQRT($D$7),"")</f>
        <v>0.17836928708753241</v>
      </c>
      <c r="U156" s="41">
        <f t="shared" si="35"/>
        <v>-8.5338918737953851E-4</v>
      </c>
      <c r="V156" s="41">
        <f t="shared" si="36"/>
        <v>-7.7475688011156008E-3</v>
      </c>
      <c r="W156" s="39">
        <f t="shared" si="22"/>
        <v>214.83</v>
      </c>
      <c r="X156" s="21"/>
    </row>
    <row r="157" spans="1:24" x14ac:dyDescent="0.2">
      <c r="A157" s="38">
        <v>45166</v>
      </c>
      <c r="B157" s="39">
        <v>215.11</v>
      </c>
      <c r="C157" s="39">
        <v>442.76</v>
      </c>
      <c r="D157" s="39">
        <v>40.695</v>
      </c>
      <c r="E157" s="41">
        <f t="shared" si="23"/>
        <v>1.3033561420658923E-3</v>
      </c>
      <c r="F157" s="41">
        <f t="shared" si="24"/>
        <v>6.3413414550992364E-3</v>
      </c>
      <c r="G157" s="41">
        <f t="shared" si="25"/>
        <v>7.301980198019864E-3</v>
      </c>
      <c r="H157" s="41">
        <f t="shared" si="26"/>
        <v>0.1964514155403525</v>
      </c>
      <c r="I157" s="41">
        <f t="shared" si="27"/>
        <v>9.4667095211015351E-2</v>
      </c>
      <c r="J157" s="41">
        <f t="shared" si="28"/>
        <v>-2.2107413192358538E-2</v>
      </c>
      <c r="K157" s="42">
        <f t="shared" si="19"/>
        <v>119.64514155403528</v>
      </c>
      <c r="L157" s="42">
        <f t="shared" si="20"/>
        <v>109.46670952110166</v>
      </c>
      <c r="M157" s="42">
        <f t="shared" si="21"/>
        <v>97.789258680764149</v>
      </c>
      <c r="N157" s="41">
        <f t="shared" si="29"/>
        <v>9.2981985824390323E-2</v>
      </c>
      <c r="O157" s="41">
        <f t="shared" si="30"/>
        <v>0.22349983186415456</v>
      </c>
      <c r="P157" s="39">
        <f t="shared" si="31"/>
        <v>197.20520445953247</v>
      </c>
      <c r="Q157" s="42">
        <f t="shared" si="32"/>
        <v>1.1964514155403525</v>
      </c>
      <c r="R157" s="42">
        <f t="shared" si="33"/>
        <v>1.2721508426497581</v>
      </c>
      <c r="S157" s="41">
        <f t="shared" si="34"/>
        <v>-5.950507170339292E-2</v>
      </c>
      <c r="T157" s="41">
        <f t="shared" si="37"/>
        <v>0.17551686054784726</v>
      </c>
      <c r="U157" s="41">
        <f t="shared" si="35"/>
        <v>0</v>
      </c>
      <c r="V157" s="41">
        <f t="shared" si="36"/>
        <v>-5.0379853130333441E-3</v>
      </c>
      <c r="W157" s="39">
        <f t="shared" si="22"/>
        <v>215.11</v>
      </c>
      <c r="X157" s="21"/>
    </row>
    <row r="158" spans="1:24" x14ac:dyDescent="0.2">
      <c r="A158" s="38">
        <v>45167</v>
      </c>
      <c r="B158" s="39">
        <v>218.59</v>
      </c>
      <c r="C158" s="39">
        <v>449.16</v>
      </c>
      <c r="D158" s="39">
        <v>41.37</v>
      </c>
      <c r="E158" s="41">
        <f t="shared" si="23"/>
        <v>1.6177769513272322E-2</v>
      </c>
      <c r="F158" s="41">
        <f t="shared" si="24"/>
        <v>1.4454783629957557E-2</v>
      </c>
      <c r="G158" s="41">
        <f t="shared" si="25"/>
        <v>1.6586804275709577E-2</v>
      </c>
      <c r="H158" s="41">
        <f t="shared" si="26"/>
        <v>0.21580733077479275</v>
      </c>
      <c r="I158" s="41">
        <f t="shared" si="27"/>
        <v>0.11049027121912469</v>
      </c>
      <c r="J158" s="41">
        <f t="shared" si="28"/>
        <v>-5.887300252312877E-3</v>
      </c>
      <c r="K158" s="42">
        <f t="shared" si="19"/>
        <v>121.58073307747929</v>
      </c>
      <c r="L158" s="42">
        <f t="shared" si="20"/>
        <v>111.04902712191263</v>
      </c>
      <c r="M158" s="42">
        <f t="shared" si="21"/>
        <v>99.4112699747687</v>
      </c>
      <c r="N158" s="41">
        <f t="shared" si="29"/>
        <v>9.4838345085228148E-2</v>
      </c>
      <c r="O158" s="41">
        <f t="shared" si="30"/>
        <v>0.22300754339359452</v>
      </c>
      <c r="P158" s="39">
        <f t="shared" si="31"/>
        <v>197.417988494761</v>
      </c>
      <c r="Q158" s="42">
        <f t="shared" si="32"/>
        <v>1.2158073307747927</v>
      </c>
      <c r="R158" s="42">
        <f t="shared" si="33"/>
        <v>1.2721508426497581</v>
      </c>
      <c r="S158" s="41">
        <f t="shared" si="34"/>
        <v>-4.4289961525008859E-2</v>
      </c>
      <c r="T158" s="41">
        <f t="shared" si="37"/>
        <v>0.1740578241300858</v>
      </c>
      <c r="U158" s="41">
        <f t="shared" si="35"/>
        <v>0</v>
      </c>
      <c r="V158" s="41">
        <f t="shared" si="36"/>
        <v>1.7229858833147649E-3</v>
      </c>
      <c r="W158" s="39">
        <f t="shared" si="22"/>
        <v>218.59</v>
      </c>
      <c r="X158" s="21"/>
    </row>
    <row r="159" spans="1:24" x14ac:dyDescent="0.2">
      <c r="A159" s="38">
        <v>45168</v>
      </c>
      <c r="B159" s="39">
        <v>218.24</v>
      </c>
      <c r="C159" s="39">
        <v>451.01</v>
      </c>
      <c r="D159" s="39">
        <v>41.465000000000003</v>
      </c>
      <c r="E159" s="41">
        <f t="shared" si="23"/>
        <v>-1.6011711423211672E-3</v>
      </c>
      <c r="F159" s="41">
        <f t="shared" si="24"/>
        <v>4.1187995369131869E-3</v>
      </c>
      <c r="G159" s="41">
        <f t="shared" si="25"/>
        <v>2.296350012086279E-3</v>
      </c>
      <c r="H159" s="41">
        <f t="shared" si="26"/>
        <v>0.21386061516213362</v>
      </c>
      <c r="I159" s="41">
        <f t="shared" si="27"/>
        <v>0.11506415803396863</v>
      </c>
      <c r="J159" s="41">
        <f t="shared" si="28"/>
        <v>-3.6044695422321471E-3</v>
      </c>
      <c r="K159" s="42">
        <f t="shared" si="19"/>
        <v>121.38606151621336</v>
      </c>
      <c r="L159" s="42">
        <f t="shared" si="20"/>
        <v>111.50641580339702</v>
      </c>
      <c r="M159" s="42">
        <f t="shared" si="21"/>
        <v>99.639553045776765</v>
      </c>
      <c r="N159" s="41">
        <f t="shared" si="29"/>
        <v>8.8601589797629554E-2</v>
      </c>
      <c r="O159" s="41">
        <f t="shared" si="30"/>
        <v>0.21825176654943146</v>
      </c>
      <c r="P159" s="39">
        <f t="shared" si="31"/>
        <v>197.62517268884301</v>
      </c>
      <c r="Q159" s="42">
        <f t="shared" si="32"/>
        <v>1.2138606151621336</v>
      </c>
      <c r="R159" s="42">
        <f t="shared" si="33"/>
        <v>1.2721508426497581</v>
      </c>
      <c r="S159" s="41">
        <f t="shared" si="34"/>
        <v>-4.5820216859041585E-2</v>
      </c>
      <c r="T159" s="41">
        <f t="shared" si="37"/>
        <v>0.1739911158161308</v>
      </c>
      <c r="U159" s="41">
        <f t="shared" si="35"/>
        <v>-1.75682100511243E-3</v>
      </c>
      <c r="V159" s="41">
        <f t="shared" si="36"/>
        <v>-5.7199706792343541E-3</v>
      </c>
      <c r="W159" s="39">
        <f t="shared" si="22"/>
        <v>218.24</v>
      </c>
      <c r="X159" s="21"/>
    </row>
    <row r="160" spans="1:24" x14ac:dyDescent="0.2">
      <c r="A160" s="38">
        <v>45169</v>
      </c>
      <c r="B160" s="39">
        <v>218.25</v>
      </c>
      <c r="C160" s="39">
        <v>450.35</v>
      </c>
      <c r="D160" s="39">
        <v>41.445</v>
      </c>
      <c r="E160" s="41">
        <f t="shared" si="23"/>
        <v>4.5821114369459792E-5</v>
      </c>
      <c r="F160" s="41">
        <f t="shared" si="24"/>
        <v>-1.4633821866476548E-3</v>
      </c>
      <c r="G160" s="41">
        <f t="shared" si="25"/>
        <v>-4.8233449897516767E-4</v>
      </c>
      <c r="H160" s="41">
        <f t="shared" si="26"/>
        <v>0.2139162356082096</v>
      </c>
      <c r="I160" s="41">
        <f t="shared" si="27"/>
        <v>0.11343239300813246</v>
      </c>
      <c r="J160" s="41">
        <f t="shared" si="28"/>
        <v>-4.0850654811965814E-3</v>
      </c>
      <c r="K160" s="42">
        <f t="shared" si="19"/>
        <v>121.39162356082096</v>
      </c>
      <c r="L160" s="42">
        <f t="shared" si="20"/>
        <v>111.34323930081339</v>
      </c>
      <c r="M160" s="42">
        <f t="shared" si="21"/>
        <v>99.591493451880325</v>
      </c>
      <c r="N160" s="41">
        <f t="shared" si="29"/>
        <v>9.0246918655386477E-2</v>
      </c>
      <c r="O160" s="41">
        <f t="shared" si="30"/>
        <v>0.21889550355496779</v>
      </c>
      <c r="P160" s="39">
        <f t="shared" si="31"/>
        <v>197.8303948511431</v>
      </c>
      <c r="Q160" s="42">
        <f t="shared" si="32"/>
        <v>1.2139162356082096</v>
      </c>
      <c r="R160" s="42">
        <f t="shared" si="33"/>
        <v>1.2721508426497581</v>
      </c>
      <c r="S160" s="41">
        <f t="shared" si="34"/>
        <v>-4.5776495278069262E-2</v>
      </c>
      <c r="T160" s="41">
        <f t="shared" si="37"/>
        <v>0.17389541524906216</v>
      </c>
      <c r="U160" s="41">
        <f t="shared" si="35"/>
        <v>-1.0982874842180301E-4</v>
      </c>
      <c r="V160" s="41">
        <f t="shared" si="36"/>
        <v>1.5092033010171146E-3</v>
      </c>
      <c r="W160" s="39">
        <f t="shared" si="22"/>
        <v>218.25</v>
      </c>
      <c r="X160" s="21"/>
    </row>
    <row r="161" spans="1:24" x14ac:dyDescent="0.2">
      <c r="A161" s="38">
        <v>45170</v>
      </c>
      <c r="B161" s="39">
        <v>222.92</v>
      </c>
      <c r="C161" s="39">
        <v>451.19</v>
      </c>
      <c r="D161" s="39">
        <v>41.91</v>
      </c>
      <c r="E161" s="41">
        <f t="shared" si="23"/>
        <v>2.1397479954180953E-2</v>
      </c>
      <c r="F161" s="41">
        <f t="shared" si="24"/>
        <v>1.8652159431553628E-3</v>
      </c>
      <c r="G161" s="41">
        <f t="shared" si="25"/>
        <v>1.1219688744118717E-2</v>
      </c>
      <c r="H161" s="41">
        <f t="shared" si="26"/>
        <v>0.23989098392569108</v>
      </c>
      <c r="I161" s="41">
        <f t="shared" si="27"/>
        <v>0.11550918485919692</v>
      </c>
      <c r="J161" s="41">
        <f t="shared" si="28"/>
        <v>7.0887900997238518E-3</v>
      </c>
      <c r="K161" s="42">
        <f t="shared" si="19"/>
        <v>123.9890983925691</v>
      </c>
      <c r="L161" s="42">
        <f t="shared" si="20"/>
        <v>111.55091848591985</v>
      </c>
      <c r="M161" s="42">
        <f t="shared" si="21"/>
        <v>100.70887900997236</v>
      </c>
      <c r="N161" s="41">
        <f t="shared" si="29"/>
        <v>0.11150226349968961</v>
      </c>
      <c r="O161" s="41">
        <f t="shared" si="30"/>
        <v>0.23116352412473451</v>
      </c>
      <c r="P161" s="39">
        <f t="shared" si="31"/>
        <v>198.08004266356954</v>
      </c>
      <c r="Q161" s="42">
        <f t="shared" si="32"/>
        <v>1.2398909839256911</v>
      </c>
      <c r="R161" s="42">
        <f t="shared" si="33"/>
        <v>1.2721508426497581</v>
      </c>
      <c r="S161" s="41">
        <f t="shared" si="34"/>
        <v>-2.5358516963973399E-2</v>
      </c>
      <c r="T161" s="41">
        <f t="shared" si="37"/>
        <v>0.17802146338303354</v>
      </c>
      <c r="U161" s="41">
        <f t="shared" si="35"/>
        <v>0</v>
      </c>
      <c r="V161" s="41">
        <f t="shared" si="36"/>
        <v>1.9532264011025591E-2</v>
      </c>
      <c r="W161" s="39">
        <f t="shared" si="22"/>
        <v>222.92</v>
      </c>
      <c r="X161" s="21"/>
    </row>
    <row r="162" spans="1:24" x14ac:dyDescent="0.2">
      <c r="A162" s="38">
        <v>45174</v>
      </c>
      <c r="B162" s="39">
        <v>216.24</v>
      </c>
      <c r="C162" s="39">
        <v>449.24</v>
      </c>
      <c r="D162" s="39">
        <v>41.134999999999998</v>
      </c>
      <c r="E162" s="41">
        <f t="shared" si="23"/>
        <v>-2.9965907051857088E-2</v>
      </c>
      <c r="F162" s="41">
        <f t="shared" si="24"/>
        <v>-4.321904297524326E-3</v>
      </c>
      <c r="G162" s="41">
        <f t="shared" si="25"/>
        <v>-1.8492006680983053E-2</v>
      </c>
      <c r="H162" s="41">
        <f t="shared" si="26"/>
        <v>0.20273652594693825</v>
      </c>
      <c r="I162" s="41">
        <f t="shared" si="27"/>
        <v>0.11068806091922601</v>
      </c>
      <c r="J162" s="41">
        <f t="shared" si="28"/>
        <v>-1.1534302535143426E-2</v>
      </c>
      <c r="K162" s="42">
        <f t="shared" si="19"/>
        <v>120.27365259469383</v>
      </c>
      <c r="L162" s="42">
        <f t="shared" si="20"/>
        <v>111.06880609192275</v>
      </c>
      <c r="M162" s="42">
        <f t="shared" si="21"/>
        <v>98.846569746485642</v>
      </c>
      <c r="N162" s="41">
        <f t="shared" si="29"/>
        <v>8.2875172846938794E-2</v>
      </c>
      <c r="O162" s="41">
        <f t="shared" si="30"/>
        <v>0.21677113230294953</v>
      </c>
      <c r="P162" s="39">
        <f t="shared" si="31"/>
        <v>198.26073875646935</v>
      </c>
      <c r="Q162" s="42">
        <f t="shared" si="32"/>
        <v>1.2027365259469383</v>
      </c>
      <c r="R162" s="42">
        <f t="shared" si="33"/>
        <v>1.2721508426497581</v>
      </c>
      <c r="S162" s="41">
        <f t="shared" si="34"/>
        <v>-5.4564533053515163E-2</v>
      </c>
      <c r="T162" s="41">
        <f t="shared" si="37"/>
        <v>0.18904569300771193</v>
      </c>
      <c r="U162" s="41">
        <f t="shared" si="35"/>
        <v>-3.0121556914648351E-2</v>
      </c>
      <c r="V162" s="41">
        <f t="shared" si="36"/>
        <v>-2.5644002754332762E-2</v>
      </c>
      <c r="W162" s="39">
        <f t="shared" si="22"/>
        <v>216.24</v>
      </c>
      <c r="X162" s="21"/>
    </row>
    <row r="163" spans="1:24" x14ac:dyDescent="0.2">
      <c r="A163" s="38">
        <v>45175</v>
      </c>
      <c r="B163" s="39">
        <v>215.2</v>
      </c>
      <c r="C163" s="39">
        <v>446.22</v>
      </c>
      <c r="D163" s="39">
        <v>41.045000000000002</v>
      </c>
      <c r="E163" s="41">
        <f t="shared" si="23"/>
        <v>-4.8094709581947281E-3</v>
      </c>
      <c r="F163" s="41">
        <f t="shared" si="24"/>
        <v>-6.7224646068916316E-3</v>
      </c>
      <c r="G163" s="41">
        <f t="shared" si="25"/>
        <v>-2.1879178315302727E-3</v>
      </c>
      <c r="H163" s="41">
        <f t="shared" si="26"/>
        <v>0.19695199955503639</v>
      </c>
      <c r="I163" s="41">
        <f t="shared" si="27"/>
        <v>0.10322149974039951</v>
      </c>
      <c r="J163" s="41">
        <f t="shared" si="28"/>
        <v>-1.3696984260482825E-2</v>
      </c>
      <c r="K163" s="42">
        <f t="shared" si="19"/>
        <v>119.69519995550364</v>
      </c>
      <c r="L163" s="42">
        <f t="shared" si="20"/>
        <v>110.3221499740401</v>
      </c>
      <c r="M163" s="42">
        <f t="shared" si="21"/>
        <v>98.630301573951698</v>
      </c>
      <c r="N163" s="41">
        <f t="shared" si="29"/>
        <v>8.4960726233755057E-2</v>
      </c>
      <c r="O163" s="41">
        <f t="shared" si="30"/>
        <v>0.2135743077471759</v>
      </c>
      <c r="P163" s="39">
        <f t="shared" si="31"/>
        <v>198.42928861958904</v>
      </c>
      <c r="Q163" s="42">
        <f t="shared" si="32"/>
        <v>1.1969519995550364</v>
      </c>
      <c r="R163" s="42">
        <f t="shared" si="33"/>
        <v>1.2721508426497581</v>
      </c>
      <c r="S163" s="41">
        <f t="shared" si="34"/>
        <v>-5.9111577474641575E-2</v>
      </c>
      <c r="T163" s="41">
        <f t="shared" si="37"/>
        <v>0.18937864686751241</v>
      </c>
      <c r="U163" s="41">
        <f t="shared" si="35"/>
        <v>-4.9651208209859909E-3</v>
      </c>
      <c r="V163" s="41">
        <f t="shared" si="36"/>
        <v>1.9129936486969035E-3</v>
      </c>
      <c r="W163" s="39">
        <f t="shared" si="22"/>
        <v>215.2</v>
      </c>
      <c r="X163" s="21"/>
    </row>
    <row r="164" spans="1:24" x14ac:dyDescent="0.2">
      <c r="A164" s="38">
        <v>45176</v>
      </c>
      <c r="B164" s="39">
        <v>215.56</v>
      </c>
      <c r="C164" s="39">
        <v>444.85</v>
      </c>
      <c r="D164" s="39">
        <v>40.86</v>
      </c>
      <c r="E164" s="41">
        <f t="shared" si="23"/>
        <v>1.6728624535315983E-3</v>
      </c>
      <c r="F164" s="41">
        <f t="shared" si="24"/>
        <v>-3.0702344135180581E-3</v>
      </c>
      <c r="G164" s="41">
        <f t="shared" si="25"/>
        <v>-4.5072481422828714E-3</v>
      </c>
      <c r="H164" s="41">
        <f t="shared" si="26"/>
        <v>0.19895433561377152</v>
      </c>
      <c r="I164" s="41">
        <f t="shared" si="27"/>
        <v>9.9834351126163456E-2</v>
      </c>
      <c r="J164" s="41">
        <f t="shared" si="28"/>
        <v>-1.8142496695902732E-2</v>
      </c>
      <c r="K164" s="42">
        <f t="shared" ref="K164:K227" si="38">IFERROR(B164/$B$36*100,"")</f>
        <v>119.89543356137717</v>
      </c>
      <c r="L164" s="42">
        <f t="shared" ref="L164:L227" si="39">IFERROR(C164/$C$36*100,"")</f>
        <v>109.9834351126165</v>
      </c>
      <c r="M164" s="42">
        <f t="shared" ref="M164:M227" si="40">IFERROR(D164/$D$36*100,"")</f>
        <v>98.185750330409704</v>
      </c>
      <c r="N164" s="41">
        <f t="shared" si="29"/>
        <v>9.0122648366197433E-2</v>
      </c>
      <c r="O164" s="41">
        <f t="shared" si="30"/>
        <v>0.2211082887069773</v>
      </c>
      <c r="P164" s="39">
        <f t="shared" si="31"/>
        <v>198.59974345919514</v>
      </c>
      <c r="Q164" s="42">
        <f t="shared" si="32"/>
        <v>1.1989543356137715</v>
      </c>
      <c r="R164" s="42">
        <f t="shared" si="33"/>
        <v>1.2721508426497581</v>
      </c>
      <c r="S164" s="41">
        <f t="shared" si="34"/>
        <v>-5.7537600559636304E-2</v>
      </c>
      <c r="T164" s="41">
        <f t="shared" si="37"/>
        <v>0.18916690521518989</v>
      </c>
      <c r="U164" s="41">
        <f t="shared" si="35"/>
        <v>0</v>
      </c>
      <c r="V164" s="41">
        <f t="shared" si="36"/>
        <v>4.7430968670496565E-3</v>
      </c>
      <c r="W164" s="39">
        <f t="shared" ref="W164:W227" si="41">B164</f>
        <v>215.56</v>
      </c>
      <c r="X164" s="21"/>
    </row>
    <row r="165" spans="1:24" x14ac:dyDescent="0.2">
      <c r="A165" s="38">
        <v>45177</v>
      </c>
      <c r="B165" s="39">
        <v>216.25</v>
      </c>
      <c r="C165" s="39">
        <v>445.52</v>
      </c>
      <c r="D165" s="39">
        <v>40.9</v>
      </c>
      <c r="E165" s="41">
        <f t="shared" ref="E165:E228" si="42">IFERROR(B165/B164-1,"")</f>
        <v>3.2009649285582586E-3</v>
      </c>
      <c r="F165" s="41">
        <f t="shared" ref="F165:F228" si="43">IFERROR(C165/C164-1,"")</f>
        <v>1.5061256603348117E-3</v>
      </c>
      <c r="G165" s="41">
        <f t="shared" ref="G165:G228" si="44">IFERROR(D165/D164-1,"")</f>
        <v>9.7895252080282269E-4</v>
      </c>
      <c r="H165" s="41">
        <f t="shared" ref="H165:H228" si="45">IFERROR((1+E165)*(1+H164)-1,"")</f>
        <v>0.20279214639301402</v>
      </c>
      <c r="I165" s="41">
        <f t="shared" ref="I165:I228" si="46">IFERROR((1+F165)*(1+I164)-1,"")</f>
        <v>0.10149083986451224</v>
      </c>
      <c r="J165" s="41">
        <f t="shared" ref="J165:J228" si="47">IFERROR((1+G165)*(1+J164)-1,"")</f>
        <v>-1.7181304817973975E-2</v>
      </c>
      <c r="K165" s="42">
        <f t="shared" si="38"/>
        <v>120.2792146393014</v>
      </c>
      <c r="L165" s="42">
        <f t="shared" si="39"/>
        <v>110.1490839864514</v>
      </c>
      <c r="M165" s="42">
        <f t="shared" si="40"/>
        <v>98.281869518202555</v>
      </c>
      <c r="N165" s="41">
        <f t="shared" ref="N165:N228" si="48">IFERROR((1+H165)/(1+I165)-1,"")</f>
        <v>9.1967452530937299E-2</v>
      </c>
      <c r="O165" s="41">
        <f t="shared" ref="O165:O228" si="49">IFERROR((1+H165)/(1+J165)-1,"")</f>
        <v>0.2238189528641874</v>
      </c>
      <c r="P165" s="39">
        <f t="shared" ref="P165:P228" si="50">IFERROR(B165*0.0099502487562189+P164*(1-0.0099502487562189),"")</f>
        <v>198.77536790238722</v>
      </c>
      <c r="Q165" s="42">
        <f t="shared" ref="Q165:Q228" si="51">Q164*(1+E165)</f>
        <v>1.202792146393014</v>
      </c>
      <c r="R165" s="42">
        <f t="shared" ref="R165:R228" si="52">MAX(R164,Q165)</f>
        <v>1.2721508426497581</v>
      </c>
      <c r="S165" s="41">
        <f t="shared" ref="S165:S228" si="53">IFERROR(Q165/R165-1,"")</f>
        <v>-5.4520811472542952E-2</v>
      </c>
      <c r="T165" s="41">
        <f t="shared" si="37"/>
        <v>0.18850851715502939</v>
      </c>
      <c r="U165" s="41">
        <f t="shared" ref="U165:U228" si="54">IFERROR(MIN(E165-$D$6,0),"")</f>
        <v>0</v>
      </c>
      <c r="V165" s="41">
        <f t="shared" ref="V165:V228" si="55">IFERROR(E165-F165,"")</f>
        <v>1.694839268223447E-3</v>
      </c>
      <c r="W165" s="39">
        <f t="shared" si="41"/>
        <v>216.25</v>
      </c>
      <c r="X165" s="21"/>
    </row>
    <row r="166" spans="1:24" x14ac:dyDescent="0.2">
      <c r="A166" s="38">
        <v>45180</v>
      </c>
      <c r="B166" s="39">
        <v>216.59</v>
      </c>
      <c r="C166" s="39">
        <v>448.45</v>
      </c>
      <c r="D166" s="39">
        <v>41.075000000000003</v>
      </c>
      <c r="E166" s="41">
        <f t="shared" si="42"/>
        <v>1.5722543352600926E-3</v>
      </c>
      <c r="F166" s="41">
        <f t="shared" si="43"/>
        <v>6.5765846651104631E-3</v>
      </c>
      <c r="G166" s="41">
        <f t="shared" si="44"/>
        <v>4.2787286063570296E-3</v>
      </c>
      <c r="H166" s="41">
        <f t="shared" si="45"/>
        <v>0.20468324155959716</v>
      </c>
      <c r="I166" s="41">
        <f t="shared" si="46"/>
        <v>0.10873488763072481</v>
      </c>
      <c r="J166" s="41">
        <f t="shared" si="47"/>
        <v>-1.2976090352036174E-2</v>
      </c>
      <c r="K166" s="42">
        <f t="shared" si="38"/>
        <v>120.46832415595973</v>
      </c>
      <c r="L166" s="42">
        <f t="shared" si="39"/>
        <v>110.87348876307266</v>
      </c>
      <c r="M166" s="42">
        <f t="shared" si="40"/>
        <v>98.702390964796351</v>
      </c>
      <c r="N166" s="41">
        <f t="shared" si="48"/>
        <v>8.6538590062684939E-2</v>
      </c>
      <c r="O166" s="41">
        <f t="shared" si="49"/>
        <v>0.22052083012787871</v>
      </c>
      <c r="P166" s="39">
        <f t="shared" si="50"/>
        <v>198.952627923259</v>
      </c>
      <c r="Q166" s="42">
        <f t="shared" si="51"/>
        <v>1.2046832415595972</v>
      </c>
      <c r="R166" s="42">
        <f t="shared" si="52"/>
        <v>1.2721508426497581</v>
      </c>
      <c r="S166" s="41">
        <f t="shared" si="53"/>
        <v>-5.3034277719482437E-2</v>
      </c>
      <c r="T166" s="41">
        <f t="shared" si="37"/>
        <v>0.18845795805390747</v>
      </c>
      <c r="U166" s="41">
        <f t="shared" si="54"/>
        <v>0</v>
      </c>
      <c r="V166" s="41">
        <f t="shared" si="55"/>
        <v>-5.0043303298503705E-3</v>
      </c>
      <c r="W166" s="39">
        <f t="shared" si="41"/>
        <v>216.59</v>
      </c>
      <c r="X166" s="21"/>
    </row>
    <row r="167" spans="1:24" x14ac:dyDescent="0.2">
      <c r="A167" s="38">
        <v>45181</v>
      </c>
      <c r="B167" s="39">
        <v>214.77</v>
      </c>
      <c r="C167" s="39">
        <v>445.99</v>
      </c>
      <c r="D167" s="39">
        <v>40.98</v>
      </c>
      <c r="E167" s="41">
        <f t="shared" si="42"/>
        <v>-8.4029733598042222E-3</v>
      </c>
      <c r="F167" s="41">
        <f t="shared" si="43"/>
        <v>-5.4855613780799839E-3</v>
      </c>
      <c r="G167" s="41">
        <f t="shared" si="44"/>
        <v>-2.3128423615339511E-3</v>
      </c>
      <c r="H167" s="41">
        <f t="shared" si="45"/>
        <v>0.19456032037376936</v>
      </c>
      <c r="I167" s="41">
        <f t="shared" si="46"/>
        <v>0.10265285435260796</v>
      </c>
      <c r="J167" s="41">
        <f t="shared" si="47"/>
        <v>-1.5258921062116793E-2</v>
      </c>
      <c r="K167" s="42">
        <f t="shared" si="38"/>
        <v>119.45603203737696</v>
      </c>
      <c r="L167" s="42">
        <f t="shared" si="39"/>
        <v>110.26528543526095</v>
      </c>
      <c r="M167" s="42">
        <f t="shared" si="40"/>
        <v>98.474107893788286</v>
      </c>
      <c r="N167" s="41">
        <f t="shared" si="48"/>
        <v>8.3351224874053775E-2</v>
      </c>
      <c r="O167" s="41">
        <f t="shared" si="49"/>
        <v>0.21307046687053188</v>
      </c>
      <c r="P167" s="39">
        <f t="shared" si="50"/>
        <v>199.11001471009226</v>
      </c>
      <c r="Q167" s="42">
        <f t="shared" si="51"/>
        <v>1.1945603203737694</v>
      </c>
      <c r="R167" s="42">
        <f t="shared" si="52"/>
        <v>1.2721508426497581</v>
      </c>
      <c r="S167" s="41">
        <f t="shared" si="53"/>
        <v>-6.0991605456453324E-2</v>
      </c>
      <c r="T167" s="41">
        <f t="shared" si="37"/>
        <v>0.1888625638383698</v>
      </c>
      <c r="U167" s="41">
        <f t="shared" si="54"/>
        <v>-8.558623222595485E-3</v>
      </c>
      <c r="V167" s="41">
        <f t="shared" si="55"/>
        <v>-2.9174119817242383E-3</v>
      </c>
      <c r="W167" s="39">
        <f t="shared" si="41"/>
        <v>214.77</v>
      </c>
      <c r="X167" s="21"/>
    </row>
    <row r="168" spans="1:24" x14ac:dyDescent="0.2">
      <c r="A168" s="38">
        <v>45182</v>
      </c>
      <c r="B168" s="39">
        <v>213.74</v>
      </c>
      <c r="C168" s="39">
        <v>446.51</v>
      </c>
      <c r="D168" s="39">
        <v>40.74</v>
      </c>
      <c r="E168" s="41">
        <f t="shared" si="42"/>
        <v>-4.7958280951715393E-3</v>
      </c>
      <c r="F168" s="41">
        <f t="shared" si="43"/>
        <v>1.1659454247852086E-3</v>
      </c>
      <c r="G168" s="41">
        <f t="shared" si="44"/>
        <v>-5.8565153733527442E-3</v>
      </c>
      <c r="H168" s="41">
        <f t="shared" si="45"/>
        <v>0.18883141442794371</v>
      </c>
      <c r="I168" s="41">
        <f t="shared" si="46"/>
        <v>0.10393848740326672</v>
      </c>
      <c r="J168" s="41">
        <f t="shared" si="47"/>
        <v>-2.102607232968845E-2</v>
      </c>
      <c r="K168" s="42">
        <f t="shared" si="38"/>
        <v>118.88314144279437</v>
      </c>
      <c r="L168" s="42">
        <f t="shared" si="39"/>
        <v>110.39384874032683</v>
      </c>
      <c r="M168" s="42">
        <f t="shared" si="40"/>
        <v>97.897392767031121</v>
      </c>
      <c r="N168" s="41">
        <f t="shared" si="48"/>
        <v>7.6900051944348791E-2</v>
      </c>
      <c r="O168" s="41">
        <f t="shared" si="49"/>
        <v>0.21436473518455723</v>
      </c>
      <c r="P168" s="39">
        <f t="shared" si="50"/>
        <v>199.25558670302667</v>
      </c>
      <c r="Q168" s="42">
        <f t="shared" si="51"/>
        <v>1.1888314144279437</v>
      </c>
      <c r="R168" s="42">
        <f t="shared" si="52"/>
        <v>1.2721508426497581</v>
      </c>
      <c r="S168" s="41">
        <f t="shared" si="53"/>
        <v>-6.5494928296607191E-2</v>
      </c>
      <c r="T168" s="41">
        <f t="shared" si="37"/>
        <v>0.18839623724977908</v>
      </c>
      <c r="U168" s="41">
        <f t="shared" si="54"/>
        <v>-4.9514779579628021E-3</v>
      </c>
      <c r="V168" s="41">
        <f t="shared" si="55"/>
        <v>-5.9617735199567479E-3</v>
      </c>
      <c r="W168" s="39">
        <f t="shared" si="41"/>
        <v>213.74</v>
      </c>
      <c r="X168" s="21"/>
    </row>
    <row r="169" spans="1:24" x14ac:dyDescent="0.2">
      <c r="A169" s="38">
        <v>45183</v>
      </c>
      <c r="B169" s="39">
        <v>214.97</v>
      </c>
      <c r="C169" s="39">
        <v>450.36</v>
      </c>
      <c r="D169" s="39">
        <v>41.314999999999998</v>
      </c>
      <c r="E169" s="41">
        <f t="shared" si="42"/>
        <v>5.7546551885467867E-3</v>
      </c>
      <c r="F169" s="41">
        <f t="shared" si="43"/>
        <v>8.6224272692660975E-3</v>
      </c>
      <c r="G169" s="41">
        <f t="shared" si="44"/>
        <v>1.4113892979872311E-2</v>
      </c>
      <c r="H169" s="41">
        <f t="shared" si="45"/>
        <v>0.19567272929528889</v>
      </c>
      <c r="I169" s="41">
        <f t="shared" si="46"/>
        <v>0.11345711672064507</v>
      </c>
      <c r="J169" s="41">
        <f t="shared" si="47"/>
        <v>-7.2089390844644052E-3</v>
      </c>
      <c r="K169" s="42">
        <f t="shared" si="38"/>
        <v>119.56727292952888</v>
      </c>
      <c r="L169" s="42">
        <f t="shared" si="39"/>
        <v>111.34571167206467</v>
      </c>
      <c r="M169" s="42">
        <f t="shared" si="40"/>
        <v>99.279106091553516</v>
      </c>
      <c r="N169" s="41">
        <f t="shared" si="48"/>
        <v>7.3838149076441706E-2</v>
      </c>
      <c r="O169" s="41">
        <f t="shared" si="49"/>
        <v>0.20435485004534515</v>
      </c>
      <c r="P169" s="39">
        <f t="shared" si="50"/>
        <v>199.4119490243896</v>
      </c>
      <c r="Q169" s="42">
        <f t="shared" si="51"/>
        <v>1.1956727292952889</v>
      </c>
      <c r="R169" s="42">
        <f t="shared" si="52"/>
        <v>1.2721508426497581</v>
      </c>
      <c r="S169" s="41">
        <f t="shared" si="53"/>
        <v>-6.0117173837005988E-2</v>
      </c>
      <c r="T169" s="41">
        <f t="shared" si="37"/>
        <v>0.18828761749740205</v>
      </c>
      <c r="U169" s="41">
        <f t="shared" si="54"/>
        <v>0</v>
      </c>
      <c r="V169" s="41">
        <f t="shared" si="55"/>
        <v>-2.8677720807193108E-3</v>
      </c>
      <c r="W169" s="39">
        <f t="shared" si="41"/>
        <v>214.97</v>
      </c>
      <c r="X169" s="21"/>
    </row>
    <row r="170" spans="1:24" x14ac:dyDescent="0.2">
      <c r="A170" s="38">
        <v>45184</v>
      </c>
      <c r="B170" s="39">
        <v>210.59</v>
      </c>
      <c r="C170" s="39">
        <v>443.37</v>
      </c>
      <c r="D170" s="39">
        <v>40.854999999999997</v>
      </c>
      <c r="E170" s="41">
        <f t="shared" si="42"/>
        <v>-2.0374936037586666E-2</v>
      </c>
      <c r="F170" s="41">
        <f t="shared" si="43"/>
        <v>-1.5520916600053281E-2</v>
      </c>
      <c r="G170" s="41">
        <f t="shared" si="44"/>
        <v>-1.1133970712816188E-2</v>
      </c>
      <c r="H170" s="41">
        <f t="shared" si="45"/>
        <v>0.17131097391401062</v>
      </c>
      <c r="I170" s="41">
        <f t="shared" si="46"/>
        <v>9.6175241674288037E-2</v>
      </c>
      <c r="J170" s="41">
        <f t="shared" si="47"/>
        <v>-1.826264568064373E-2</v>
      </c>
      <c r="K170" s="42">
        <f t="shared" si="38"/>
        <v>117.13109739140108</v>
      </c>
      <c r="L170" s="42">
        <f t="shared" si="39"/>
        <v>109.61752416742898</v>
      </c>
      <c r="M170" s="42">
        <f t="shared" si="40"/>
        <v>98.173735431935583</v>
      </c>
      <c r="N170" s="41">
        <f t="shared" si="48"/>
        <v>6.8543540652278301E-2</v>
      </c>
      <c r="O170" s="41">
        <f t="shared" si="49"/>
        <v>0.19310013901435652</v>
      </c>
      <c r="P170" s="39">
        <f t="shared" si="50"/>
        <v>199.52317341220663</v>
      </c>
      <c r="Q170" s="42">
        <f t="shared" si="51"/>
        <v>1.1713109739140106</v>
      </c>
      <c r="R170" s="42">
        <f t="shared" si="52"/>
        <v>1.2721508426497581</v>
      </c>
      <c r="S170" s="41">
        <f t="shared" si="53"/>
        <v>-7.9267226302903282E-2</v>
      </c>
      <c r="T170" s="41">
        <f t="shared" si="37"/>
        <v>0.1922376035937704</v>
      </c>
      <c r="U170" s="41">
        <f t="shared" si="54"/>
        <v>-2.0530585900377929E-2</v>
      </c>
      <c r="V170" s="41">
        <f t="shared" si="55"/>
        <v>-4.8540194375333856E-3</v>
      </c>
      <c r="W170" s="39">
        <f t="shared" si="41"/>
        <v>210.59</v>
      </c>
      <c r="X170" s="21"/>
    </row>
    <row r="171" spans="1:24" x14ac:dyDescent="0.2">
      <c r="A171" s="38">
        <v>45187</v>
      </c>
      <c r="B171" s="39">
        <v>211.69</v>
      </c>
      <c r="C171" s="39">
        <v>443.63</v>
      </c>
      <c r="D171" s="39">
        <v>40.49</v>
      </c>
      <c r="E171" s="41">
        <f t="shared" si="42"/>
        <v>5.2234199154754801E-3</v>
      </c>
      <c r="F171" s="41">
        <f t="shared" si="43"/>
        <v>5.8641766470435286E-4</v>
      </c>
      <c r="G171" s="41">
        <f t="shared" si="44"/>
        <v>-8.9340350018356496E-3</v>
      </c>
      <c r="H171" s="41">
        <f t="shared" si="45"/>
        <v>0.17742922298236796</v>
      </c>
      <c r="I171" s="41">
        <f t="shared" si="46"/>
        <v>9.6818058199617418E-2</v>
      </c>
      <c r="J171" s="41">
        <f t="shared" si="47"/>
        <v>-2.7033521566742436E-2</v>
      </c>
      <c r="K171" s="42">
        <f t="shared" si="38"/>
        <v>117.74292229823683</v>
      </c>
      <c r="L171" s="42">
        <f t="shared" si="39"/>
        <v>109.68180581996192</v>
      </c>
      <c r="M171" s="42">
        <f t="shared" si="40"/>
        <v>97.296647843325729</v>
      </c>
      <c r="N171" s="41">
        <f t="shared" si="48"/>
        <v>7.3495475553229328E-2</v>
      </c>
      <c r="O171" s="41">
        <f t="shared" si="49"/>
        <v>0.21014366792816075</v>
      </c>
      <c r="P171" s="39">
        <f t="shared" si="50"/>
        <v>199.64423636332896</v>
      </c>
      <c r="Q171" s="42">
        <f t="shared" si="51"/>
        <v>1.177429222982368</v>
      </c>
      <c r="R171" s="42">
        <f t="shared" si="52"/>
        <v>1.2721508426497581</v>
      </c>
      <c r="S171" s="41">
        <f t="shared" si="53"/>
        <v>-7.4457852395942936E-2</v>
      </c>
      <c r="T171" s="41">
        <f t="shared" si="37"/>
        <v>0.19045500004780927</v>
      </c>
      <c r="U171" s="41">
        <f t="shared" si="54"/>
        <v>0</v>
      </c>
      <c r="V171" s="41">
        <f t="shared" si="55"/>
        <v>4.6370022507711273E-3</v>
      </c>
      <c r="W171" s="39">
        <f t="shared" si="41"/>
        <v>211.69</v>
      </c>
      <c r="X171" s="21"/>
    </row>
    <row r="172" spans="1:24" x14ac:dyDescent="0.2">
      <c r="A172" s="38">
        <v>45188</v>
      </c>
      <c r="B172" s="39">
        <v>209.88</v>
      </c>
      <c r="C172" s="39">
        <v>442.71</v>
      </c>
      <c r="D172" s="39">
        <v>40.454999999999998</v>
      </c>
      <c r="E172" s="41">
        <f t="shared" si="42"/>
        <v>-8.5502385563795968E-3</v>
      </c>
      <c r="F172" s="41">
        <f t="shared" si="43"/>
        <v>-2.073800238937884E-3</v>
      </c>
      <c r="G172" s="41">
        <f t="shared" si="44"/>
        <v>-8.6441096567058118E-4</v>
      </c>
      <c r="H172" s="41">
        <f t="shared" si="45"/>
        <v>0.16736192224261615</v>
      </c>
      <c r="I172" s="41">
        <f t="shared" si="46"/>
        <v>9.4543476648451641E-2</v>
      </c>
      <c r="J172" s="41">
        <f t="shared" si="47"/>
        <v>-2.7874564459930085E-2</v>
      </c>
      <c r="K172" s="42">
        <f t="shared" si="38"/>
        <v>116.73619222426164</v>
      </c>
      <c r="L172" s="42">
        <f t="shared" si="39"/>
        <v>109.45434766484534</v>
      </c>
      <c r="M172" s="42">
        <f t="shared" si="40"/>
        <v>97.212543554006956</v>
      </c>
      <c r="N172" s="41">
        <f t="shared" si="48"/>
        <v>6.6528600414428762E-2</v>
      </c>
      <c r="O172" s="41">
        <f t="shared" si="49"/>
        <v>0.20083466553272666</v>
      </c>
      <c r="P172" s="39">
        <f t="shared" si="50"/>
        <v>199.74608475772368</v>
      </c>
      <c r="Q172" s="42">
        <f t="shared" si="51"/>
        <v>1.1673619222426161</v>
      </c>
      <c r="R172" s="42">
        <f t="shared" si="52"/>
        <v>1.2721508426497581</v>
      </c>
      <c r="S172" s="41">
        <f t="shared" si="53"/>
        <v>-8.2371458551941501E-2</v>
      </c>
      <c r="T172" s="41">
        <f t="shared" si="37"/>
        <v>0.19098568597839191</v>
      </c>
      <c r="U172" s="41">
        <f t="shared" si="54"/>
        <v>-8.7058884191708596E-3</v>
      </c>
      <c r="V172" s="41">
        <f t="shared" si="55"/>
        <v>-6.4764383174417128E-3</v>
      </c>
      <c r="W172" s="39">
        <f t="shared" si="41"/>
        <v>209.88</v>
      </c>
      <c r="X172" s="21"/>
    </row>
    <row r="173" spans="1:24" x14ac:dyDescent="0.2">
      <c r="A173" s="38">
        <v>45189</v>
      </c>
      <c r="B173" s="39">
        <v>209.55</v>
      </c>
      <c r="C173" s="39">
        <v>438.64</v>
      </c>
      <c r="D173" s="39">
        <v>40.03</v>
      </c>
      <c r="E173" s="41">
        <f t="shared" si="42"/>
        <v>-1.5723270440251014E-3</v>
      </c>
      <c r="F173" s="41">
        <f t="shared" si="43"/>
        <v>-9.1933771543447618E-3</v>
      </c>
      <c r="G173" s="41">
        <f t="shared" si="44"/>
        <v>-1.0505499938202822E-2</v>
      </c>
      <c r="H173" s="41">
        <f t="shared" si="45"/>
        <v>0.16552644752210899</v>
      </c>
      <c r="I173" s="41">
        <f t="shared" si="46"/>
        <v>8.448092565579457E-2</v>
      </c>
      <c r="J173" s="41">
        <f t="shared" si="47"/>
        <v>-3.8087228162921649E-2</v>
      </c>
      <c r="K173" s="42">
        <f t="shared" si="38"/>
        <v>116.55264475221092</v>
      </c>
      <c r="L173" s="42">
        <f t="shared" si="39"/>
        <v>108.44809256557963</v>
      </c>
      <c r="M173" s="42">
        <f t="shared" si="40"/>
        <v>96.191277183707797</v>
      </c>
      <c r="N173" s="41">
        <f t="shared" si="48"/>
        <v>7.4732086059794423E-2</v>
      </c>
      <c r="O173" s="41">
        <f t="shared" si="49"/>
        <v>0.21167582097508242</v>
      </c>
      <c r="P173" s="39">
        <f t="shared" si="50"/>
        <v>199.8436361531692</v>
      </c>
      <c r="Q173" s="42">
        <f t="shared" si="51"/>
        <v>1.165526447522109</v>
      </c>
      <c r="R173" s="42">
        <f t="shared" si="52"/>
        <v>1.2721508426497581</v>
      </c>
      <c r="S173" s="41">
        <f t="shared" si="53"/>
        <v>-8.3814270724029472E-2</v>
      </c>
      <c r="T173" s="41">
        <f t="shared" si="37"/>
        <v>0.19096317179823188</v>
      </c>
      <c r="U173" s="41">
        <f t="shared" si="54"/>
        <v>-1.7279769068163642E-3</v>
      </c>
      <c r="V173" s="41">
        <f t="shared" si="55"/>
        <v>7.6210501103196604E-3</v>
      </c>
      <c r="W173" s="39">
        <f t="shared" si="41"/>
        <v>209.55</v>
      </c>
      <c r="X173" s="21"/>
    </row>
    <row r="174" spans="1:24" x14ac:dyDescent="0.2">
      <c r="A174" s="38">
        <v>45190</v>
      </c>
      <c r="B174" s="39">
        <v>202.35</v>
      </c>
      <c r="C174" s="39">
        <v>431.39</v>
      </c>
      <c r="D174" s="39">
        <v>39.225000000000001</v>
      </c>
      <c r="E174" s="41">
        <f t="shared" si="42"/>
        <v>-3.4359341445955649E-2</v>
      </c>
      <c r="F174" s="41">
        <f t="shared" si="43"/>
        <v>-1.6528360386649621E-2</v>
      </c>
      <c r="G174" s="41">
        <f t="shared" si="44"/>
        <v>-2.0109917561828672E-2</v>
      </c>
      <c r="H174" s="41">
        <f t="shared" si="45"/>
        <v>0.12547972634740523</v>
      </c>
      <c r="I174" s="41">
        <f t="shared" si="46"/>
        <v>6.6556234084108157E-2</v>
      </c>
      <c r="J174" s="41">
        <f t="shared" si="47"/>
        <v>-5.7431214706235356E-2</v>
      </c>
      <c r="K174" s="42">
        <f t="shared" si="38"/>
        <v>112.54797263474052</v>
      </c>
      <c r="L174" s="42">
        <f t="shared" si="39"/>
        <v>106.65562340841099</v>
      </c>
      <c r="M174" s="42">
        <f t="shared" si="40"/>
        <v>94.256878529376436</v>
      </c>
      <c r="N174" s="41">
        <f t="shared" si="48"/>
        <v>5.5246493696506249E-2</v>
      </c>
      <c r="O174" s="41">
        <f t="shared" si="49"/>
        <v>0.19405580145181012</v>
      </c>
      <c r="P174" s="39">
        <f t="shared" si="50"/>
        <v>199.86857509691879</v>
      </c>
      <c r="Q174" s="42">
        <f t="shared" si="51"/>
        <v>1.1254797263474052</v>
      </c>
      <c r="R174" s="42">
        <f t="shared" si="52"/>
        <v>1.2721508426497581</v>
      </c>
      <c r="S174" s="41">
        <f t="shared" si="53"/>
        <v>-0.11529380902413444</v>
      </c>
      <c r="T174" s="41">
        <f t="shared" si="37"/>
        <v>0.19523317005160126</v>
      </c>
      <c r="U174" s="41">
        <f t="shared" si="54"/>
        <v>-3.4514991308746912E-2</v>
      </c>
      <c r="V174" s="41">
        <f t="shared" si="55"/>
        <v>-1.7830981059306028E-2</v>
      </c>
      <c r="W174" s="39">
        <f t="shared" si="41"/>
        <v>202.35</v>
      </c>
      <c r="X174" s="21"/>
    </row>
    <row r="175" spans="1:24" x14ac:dyDescent="0.2">
      <c r="A175" s="38">
        <v>45191</v>
      </c>
      <c r="B175" s="39">
        <v>200.62</v>
      </c>
      <c r="C175" s="39">
        <v>430.42</v>
      </c>
      <c r="D175" s="39">
        <v>39.185000000000002</v>
      </c>
      <c r="E175" s="41">
        <f t="shared" si="42"/>
        <v>-8.5495428712626387E-3</v>
      </c>
      <c r="F175" s="41">
        <f t="shared" si="43"/>
        <v>-2.2485453997541649E-3</v>
      </c>
      <c r="G175" s="41">
        <f t="shared" si="44"/>
        <v>-1.019757807520727E-3</v>
      </c>
      <c r="H175" s="41">
        <f t="shared" si="45"/>
        <v>0.11585738917626109</v>
      </c>
      <c r="I175" s="41">
        <f t="shared" si="46"/>
        <v>6.4158033970379114E-2</v>
      </c>
      <c r="J175" s="41">
        <f t="shared" si="47"/>
        <v>-5.8392406584164003E-2</v>
      </c>
      <c r="K175" s="42">
        <f t="shared" si="38"/>
        <v>111.58573891762613</v>
      </c>
      <c r="L175" s="42">
        <f t="shared" si="39"/>
        <v>106.41580339703809</v>
      </c>
      <c r="M175" s="42">
        <f t="shared" si="40"/>
        <v>94.160759341583571</v>
      </c>
      <c r="N175" s="41">
        <f t="shared" si="48"/>
        <v>4.8582403698999022E-2</v>
      </c>
      <c r="O175" s="41">
        <f t="shared" si="49"/>
        <v>0.18505563992778074</v>
      </c>
      <c r="P175" s="39">
        <f t="shared" si="50"/>
        <v>199.87605196162608</v>
      </c>
      <c r="Q175" s="42">
        <f t="shared" si="51"/>
        <v>1.1158573891762611</v>
      </c>
      <c r="R175" s="42">
        <f t="shared" si="52"/>
        <v>1.2721508426497581</v>
      </c>
      <c r="S175" s="41">
        <f t="shared" si="53"/>
        <v>-0.12285764253235409</v>
      </c>
      <c r="T175" s="41">
        <f t="shared" si="37"/>
        <v>0.19565704469597908</v>
      </c>
      <c r="U175" s="41">
        <f t="shared" si="54"/>
        <v>-8.7051927340539015E-3</v>
      </c>
      <c r="V175" s="41">
        <f t="shared" si="55"/>
        <v>-6.3009974715084738E-3</v>
      </c>
      <c r="W175" s="39">
        <f t="shared" si="41"/>
        <v>200.62</v>
      </c>
      <c r="X175" s="21"/>
    </row>
    <row r="176" spans="1:24" x14ac:dyDescent="0.2">
      <c r="A176" s="38">
        <v>45194</v>
      </c>
      <c r="B176" s="39">
        <v>202.04</v>
      </c>
      <c r="C176" s="39">
        <v>432.23</v>
      </c>
      <c r="D176" s="39">
        <v>39.494999999999997</v>
      </c>
      <c r="E176" s="41">
        <f t="shared" si="42"/>
        <v>7.078058020137501E-3</v>
      </c>
      <c r="F176" s="41">
        <f t="shared" si="43"/>
        <v>4.2051949258863353E-3</v>
      </c>
      <c r="G176" s="41">
        <f t="shared" si="44"/>
        <v>7.9111905065711863E-3</v>
      </c>
      <c r="H176" s="41">
        <f t="shared" si="45"/>
        <v>0.12375549251904983</v>
      </c>
      <c r="I176" s="41">
        <f t="shared" si="46"/>
        <v>6.863302593517262E-2</v>
      </c>
      <c r="J176" s="41">
        <f t="shared" si="47"/>
        <v>-5.0943169530217269E-2</v>
      </c>
      <c r="K176" s="42">
        <f t="shared" si="38"/>
        <v>112.375549251905</v>
      </c>
      <c r="L176" s="42">
        <f t="shared" si="39"/>
        <v>106.86330259351745</v>
      </c>
      <c r="M176" s="42">
        <f t="shared" si="40"/>
        <v>94.90568304697824</v>
      </c>
      <c r="N176" s="41">
        <f t="shared" si="48"/>
        <v>5.1582222564793945E-2</v>
      </c>
      <c r="O176" s="41">
        <f t="shared" si="49"/>
        <v>0.18407608105279771</v>
      </c>
      <c r="P176" s="39">
        <f t="shared" si="50"/>
        <v>199.89758378290344</v>
      </c>
      <c r="Q176" s="42">
        <f t="shared" si="51"/>
        <v>1.1237554925190498</v>
      </c>
      <c r="R176" s="42">
        <f t="shared" si="52"/>
        <v>1.2721508426497581</v>
      </c>
      <c r="S176" s="41">
        <f t="shared" si="53"/>
        <v>-0.11664917803427788</v>
      </c>
      <c r="T176" s="41">
        <f t="shared" si="37"/>
        <v>0.19224345492036374</v>
      </c>
      <c r="U176" s="41">
        <f t="shared" si="54"/>
        <v>0</v>
      </c>
      <c r="V176" s="41">
        <f t="shared" si="55"/>
        <v>2.8728630942511657E-3</v>
      </c>
      <c r="W176" s="39">
        <f t="shared" si="41"/>
        <v>202.04</v>
      </c>
      <c r="X176" s="21"/>
    </row>
    <row r="177" spans="1:24" x14ac:dyDescent="0.2">
      <c r="A177" s="38">
        <v>45195</v>
      </c>
      <c r="B177" s="39">
        <v>201.35</v>
      </c>
      <c r="C177" s="39">
        <v>425.88</v>
      </c>
      <c r="D177" s="39">
        <v>38.924999999999997</v>
      </c>
      <c r="E177" s="41">
        <f t="shared" si="42"/>
        <v>-3.4151653137992621E-3</v>
      </c>
      <c r="F177" s="41">
        <f t="shared" si="43"/>
        <v>-1.4691252342502903E-2</v>
      </c>
      <c r="G177" s="41">
        <f t="shared" si="44"/>
        <v>-1.4432206608431475E-2</v>
      </c>
      <c r="H177" s="41">
        <f t="shared" si="45"/>
        <v>0.11991768173980732</v>
      </c>
      <c r="I177" s="41">
        <f t="shared" si="46"/>
        <v>5.2933468489626545E-2</v>
      </c>
      <c r="J177" s="41">
        <f t="shared" si="47"/>
        <v>-6.4640153790700317E-2</v>
      </c>
      <c r="K177" s="42">
        <f t="shared" si="38"/>
        <v>111.99176817398076</v>
      </c>
      <c r="L177" s="42">
        <f t="shared" si="39"/>
        <v>105.29334684896283</v>
      </c>
      <c r="M177" s="42">
        <f t="shared" si="40"/>
        <v>93.535984620929952</v>
      </c>
      <c r="N177" s="41">
        <f t="shared" si="48"/>
        <v>6.3616757615527098E-2</v>
      </c>
      <c r="O177" s="41">
        <f t="shared" si="49"/>
        <v>0.19731212140275067</v>
      </c>
      <c r="P177" s="39">
        <f t="shared" si="50"/>
        <v>199.91203568556111</v>
      </c>
      <c r="Q177" s="42">
        <f t="shared" si="51"/>
        <v>1.1199176817398073</v>
      </c>
      <c r="R177" s="42">
        <f t="shared" si="52"/>
        <v>1.2721508426497581</v>
      </c>
      <c r="S177" s="41">
        <f t="shared" si="53"/>
        <v>-0.11966596712137134</v>
      </c>
      <c r="T177" s="41">
        <f t="shared" si="37"/>
        <v>0.19205614621369715</v>
      </c>
      <c r="U177" s="41">
        <f t="shared" si="54"/>
        <v>-3.5708151765905249E-3</v>
      </c>
      <c r="V177" s="41">
        <f t="shared" si="55"/>
        <v>1.1276087028703641E-2</v>
      </c>
      <c r="W177" s="39">
        <f t="shared" si="41"/>
        <v>201.35</v>
      </c>
      <c r="X177" s="21"/>
    </row>
    <row r="178" spans="1:24" x14ac:dyDescent="0.2">
      <c r="A178" s="38">
        <v>45196</v>
      </c>
      <c r="B178" s="39">
        <v>203.6</v>
      </c>
      <c r="C178" s="39">
        <v>426.05</v>
      </c>
      <c r="D178" s="39">
        <v>38.92</v>
      </c>
      <c r="E178" s="41">
        <f t="shared" si="42"/>
        <v>1.1174571641420439E-2</v>
      </c>
      <c r="F178" s="41">
        <f t="shared" si="43"/>
        <v>3.99173476096637E-4</v>
      </c>
      <c r="G178" s="41">
        <f t="shared" si="44"/>
        <v>-1.284521515734216E-4</v>
      </c>
      <c r="H178" s="41">
        <f t="shared" si="45"/>
        <v>0.13243228210690239</v>
      </c>
      <c r="I178" s="41">
        <f t="shared" si="46"/>
        <v>5.3353771602342004E-2</v>
      </c>
      <c r="J178" s="41">
        <f t="shared" si="47"/>
        <v>-6.4760302775441314E-2</v>
      </c>
      <c r="K178" s="42">
        <f t="shared" si="38"/>
        <v>113.24322821069026</v>
      </c>
      <c r="L178" s="42">
        <f t="shared" si="39"/>
        <v>105.33537716023437</v>
      </c>
      <c r="M178" s="42">
        <f t="shared" si="40"/>
        <v>93.523969722455845</v>
      </c>
      <c r="N178" s="41">
        <f t="shared" si="48"/>
        <v>7.507307861466872E-2</v>
      </c>
      <c r="O178" s="41">
        <f t="shared" si="49"/>
        <v>0.21084710739667867</v>
      </c>
      <c r="P178" s="39">
        <f t="shared" si="50"/>
        <v>199.94873184789384</v>
      </c>
      <c r="Q178" s="42">
        <f t="shared" si="51"/>
        <v>1.1324322821069024</v>
      </c>
      <c r="R178" s="42">
        <f t="shared" si="52"/>
        <v>1.2721508426497581</v>
      </c>
      <c r="S178" s="41">
        <f t="shared" si="53"/>
        <v>-0.10982861140258837</v>
      </c>
      <c r="T178" s="41">
        <f t="shared" si="37"/>
        <v>0.19322281057186882</v>
      </c>
      <c r="U178" s="41">
        <f t="shared" si="54"/>
        <v>0</v>
      </c>
      <c r="V178" s="41">
        <f t="shared" si="55"/>
        <v>1.0775398165323802E-2</v>
      </c>
      <c r="W178" s="39">
        <f t="shared" si="41"/>
        <v>203.6</v>
      </c>
      <c r="X178" s="21"/>
    </row>
    <row r="179" spans="1:24" x14ac:dyDescent="0.2">
      <c r="A179" s="38">
        <v>45197</v>
      </c>
      <c r="B179" s="39">
        <v>205.03</v>
      </c>
      <c r="C179" s="39">
        <v>428.52</v>
      </c>
      <c r="D179" s="39">
        <v>39.340000000000003</v>
      </c>
      <c r="E179" s="41">
        <f t="shared" si="42"/>
        <v>7.0235756385068626E-3</v>
      </c>
      <c r="F179" s="41">
        <f t="shared" si="43"/>
        <v>5.7974416148338648E-3</v>
      </c>
      <c r="G179" s="41">
        <f t="shared" si="44"/>
        <v>1.0791366906474753E-2</v>
      </c>
      <c r="H179" s="41">
        <f t="shared" si="45"/>
        <v>0.14038600589576711</v>
      </c>
      <c r="I179" s="41">
        <f t="shared" si="46"/>
        <v>5.9460528592971684E-2</v>
      </c>
      <c r="J179" s="41">
        <f t="shared" si="47"/>
        <v>-5.4667788057190747E-2</v>
      </c>
      <c r="K179" s="42">
        <f t="shared" si="38"/>
        <v>114.03860058957673</v>
      </c>
      <c r="L179" s="42">
        <f t="shared" si="39"/>
        <v>105.94605285929734</v>
      </c>
      <c r="M179" s="42">
        <f t="shared" si="40"/>
        <v>94.533221194280912</v>
      </c>
      <c r="N179" s="41">
        <f t="shared" si="48"/>
        <v>7.6383664250587513E-2</v>
      </c>
      <c r="O179" s="41">
        <f t="shared" si="49"/>
        <v>0.20633359520468586</v>
      </c>
      <c r="P179" s="39">
        <f t="shared" si="50"/>
        <v>199.99929173000436</v>
      </c>
      <c r="Q179" s="42">
        <f t="shared" si="51"/>
        <v>1.1403860058957671</v>
      </c>
      <c r="R179" s="42">
        <f t="shared" si="52"/>
        <v>1.2721508426497581</v>
      </c>
      <c r="S179" s="41">
        <f t="shared" si="53"/>
        <v>-0.10357642532353983</v>
      </c>
      <c r="T179" s="41">
        <f t="shared" si="37"/>
        <v>0.1926939077406255</v>
      </c>
      <c r="U179" s="41">
        <f t="shared" si="54"/>
        <v>0</v>
      </c>
      <c r="V179" s="41">
        <f t="shared" si="55"/>
        <v>1.2261340236729978E-3</v>
      </c>
      <c r="W179" s="39">
        <f t="shared" si="41"/>
        <v>205.03</v>
      </c>
      <c r="X179" s="21"/>
    </row>
    <row r="180" spans="1:24" x14ac:dyDescent="0.2">
      <c r="A180" s="38">
        <v>45198</v>
      </c>
      <c r="B180" s="39">
        <v>202.02</v>
      </c>
      <c r="C180" s="39">
        <v>427.48</v>
      </c>
      <c r="D180" s="39">
        <v>39.274999999999999</v>
      </c>
      <c r="E180" s="41">
        <f t="shared" si="42"/>
        <v>-1.4680778422669793E-2</v>
      </c>
      <c r="F180" s="41">
        <f t="shared" si="43"/>
        <v>-2.4269579016147347E-3</v>
      </c>
      <c r="G180" s="41">
        <f t="shared" si="44"/>
        <v>-1.6522623284190852E-3</v>
      </c>
      <c r="H180" s="41">
        <f t="shared" si="45"/>
        <v>0.12364425162689785</v>
      </c>
      <c r="I180" s="41">
        <f t="shared" si="46"/>
        <v>5.6889262491654158E-2</v>
      </c>
      <c r="J180" s="41">
        <f t="shared" si="47"/>
        <v>-5.6229724858824937E-2</v>
      </c>
      <c r="K180" s="42">
        <f t="shared" si="38"/>
        <v>112.36442516268981</v>
      </c>
      <c r="L180" s="42">
        <f t="shared" si="39"/>
        <v>105.68892624916558</v>
      </c>
      <c r="M180" s="42">
        <f t="shared" si="40"/>
        <v>94.377027514117501</v>
      </c>
      <c r="N180" s="41">
        <f t="shared" si="48"/>
        <v>6.3161763019397466E-2</v>
      </c>
      <c r="O180" s="41">
        <f t="shared" si="49"/>
        <v>0.19059084739537502</v>
      </c>
      <c r="P180" s="39">
        <f t="shared" si="50"/>
        <v>200.01939827995457</v>
      </c>
      <c r="Q180" s="42">
        <f t="shared" si="51"/>
        <v>1.1236442516268978</v>
      </c>
      <c r="R180" s="42">
        <f t="shared" si="52"/>
        <v>1.2721508426497581</v>
      </c>
      <c r="S180" s="41">
        <f t="shared" si="53"/>
        <v>-0.11673662119622263</v>
      </c>
      <c r="T180" s="41">
        <f t="shared" si="37"/>
        <v>0.19342386088834396</v>
      </c>
      <c r="U180" s="41">
        <f t="shared" si="54"/>
        <v>-1.4836428285461056E-2</v>
      </c>
      <c r="V180" s="41">
        <f t="shared" si="55"/>
        <v>-1.2253820521055059E-2</v>
      </c>
      <c r="W180" s="39">
        <f t="shared" si="41"/>
        <v>202.02</v>
      </c>
      <c r="X180" s="21"/>
    </row>
    <row r="181" spans="1:24" x14ac:dyDescent="0.2">
      <c r="A181" s="38">
        <v>45201</v>
      </c>
      <c r="B181" s="39">
        <v>200.93</v>
      </c>
      <c r="C181" s="39">
        <v>427.31</v>
      </c>
      <c r="D181" s="39">
        <v>38.755000000000003</v>
      </c>
      <c r="E181" s="41">
        <f t="shared" si="42"/>
        <v>-5.3955053955053733E-3</v>
      </c>
      <c r="F181" s="41">
        <f t="shared" si="43"/>
        <v>-3.9767942359880681E-4</v>
      </c>
      <c r="G181" s="41">
        <f t="shared" si="44"/>
        <v>-1.3239974538510446E-2</v>
      </c>
      <c r="H181" s="41">
        <f t="shared" si="45"/>
        <v>0.11758162300461628</v>
      </c>
      <c r="I181" s="41">
        <f t="shared" si="46"/>
        <v>5.6468959378938699E-2</v>
      </c>
      <c r="J181" s="41">
        <f t="shared" si="47"/>
        <v>-6.872521927189712E-2</v>
      </c>
      <c r="K181" s="42">
        <f t="shared" si="38"/>
        <v>111.75816230046165</v>
      </c>
      <c r="L181" s="42">
        <f t="shared" si="39"/>
        <v>105.64689593789403</v>
      </c>
      <c r="M181" s="42">
        <f t="shared" si="40"/>
        <v>93.127478072810291</v>
      </c>
      <c r="N181" s="41">
        <f t="shared" si="48"/>
        <v>5.7846151638571097E-2</v>
      </c>
      <c r="O181" s="41">
        <f t="shared" si="49"/>
        <v>0.20005571516803267</v>
      </c>
      <c r="P181" s="39">
        <f t="shared" si="50"/>
        <v>200.02845899358687</v>
      </c>
      <c r="Q181" s="42">
        <f t="shared" si="51"/>
        <v>1.1175816230046163</v>
      </c>
      <c r="R181" s="42">
        <f t="shared" si="52"/>
        <v>1.2721508426497581</v>
      </c>
      <c r="S181" s="41">
        <f t="shared" si="53"/>
        <v>-0.12150227352221077</v>
      </c>
      <c r="T181" s="41">
        <f t="shared" si="37"/>
        <v>0.19358906054289168</v>
      </c>
      <c r="U181" s="41">
        <f t="shared" si="54"/>
        <v>-5.5511552582966361E-3</v>
      </c>
      <c r="V181" s="41">
        <f t="shared" si="55"/>
        <v>-4.9978259719065665E-3</v>
      </c>
      <c r="W181" s="39">
        <f t="shared" si="41"/>
        <v>200.93</v>
      </c>
      <c r="X181" s="21"/>
    </row>
    <row r="182" spans="1:24" x14ac:dyDescent="0.2">
      <c r="A182" s="38">
        <v>45202</v>
      </c>
      <c r="B182" s="39">
        <v>199.99</v>
      </c>
      <c r="C182" s="39">
        <v>421.59</v>
      </c>
      <c r="D182" s="39">
        <v>38.65</v>
      </c>
      <c r="E182" s="41">
        <f t="shared" si="42"/>
        <v>-4.6782461553774857E-3</v>
      </c>
      <c r="F182" s="41">
        <f t="shared" si="43"/>
        <v>-1.3386066321874113E-2</v>
      </c>
      <c r="G182" s="41">
        <f t="shared" si="44"/>
        <v>-2.7093278286673961E-3</v>
      </c>
      <c r="H182" s="41">
        <f t="shared" si="45"/>
        <v>0.1123533010734743</v>
      </c>
      <c r="I182" s="41">
        <f t="shared" si="46"/>
        <v>4.2326995821690971E-2</v>
      </c>
      <c r="J182" s="41">
        <f t="shared" si="47"/>
        <v>-7.1248347951459845E-2</v>
      </c>
      <c r="K182" s="42">
        <f t="shared" si="38"/>
        <v>111.23533010734748</v>
      </c>
      <c r="L182" s="42">
        <f t="shared" si="39"/>
        <v>104.23269958216925</v>
      </c>
      <c r="M182" s="42">
        <f t="shared" si="40"/>
        <v>92.875165204854014</v>
      </c>
      <c r="N182" s="41">
        <f t="shared" si="48"/>
        <v>6.7182664876275222E-2</v>
      </c>
      <c r="O182" s="41">
        <f t="shared" si="49"/>
        <v>0.19768648445466064</v>
      </c>
      <c r="P182" s="39">
        <f t="shared" si="50"/>
        <v>200.02807631703379</v>
      </c>
      <c r="Q182" s="42">
        <f t="shared" si="51"/>
        <v>1.1123533010734743</v>
      </c>
      <c r="R182" s="42">
        <f t="shared" si="52"/>
        <v>1.2721508426497581</v>
      </c>
      <c r="S182" s="41">
        <f t="shared" si="53"/>
        <v>-0.1256121021336134</v>
      </c>
      <c r="T182" s="41">
        <f t="shared" si="37"/>
        <v>0.19246844530031776</v>
      </c>
      <c r="U182" s="41">
        <f t="shared" si="54"/>
        <v>-4.8338960181687485E-3</v>
      </c>
      <c r="V182" s="41">
        <f t="shared" si="55"/>
        <v>8.707820166496627E-3</v>
      </c>
      <c r="W182" s="39">
        <f t="shared" si="41"/>
        <v>199.99</v>
      </c>
      <c r="X182" s="21"/>
    </row>
    <row r="183" spans="1:24" x14ac:dyDescent="0.2">
      <c r="A183" s="38">
        <v>45203</v>
      </c>
      <c r="B183" s="39">
        <v>205.03</v>
      </c>
      <c r="C183" s="39">
        <v>424.66</v>
      </c>
      <c r="D183" s="39">
        <v>39.104999999999997</v>
      </c>
      <c r="E183" s="41">
        <f t="shared" si="42"/>
        <v>2.5201260063003161E-2</v>
      </c>
      <c r="F183" s="41">
        <f t="shared" si="43"/>
        <v>7.2819564031405548E-3</v>
      </c>
      <c r="G183" s="41">
        <f t="shared" si="44"/>
        <v>1.1772315653298726E-2</v>
      </c>
      <c r="H183" s="41">
        <f t="shared" si="45"/>
        <v>0.14038600589576689</v>
      </c>
      <c r="I183" s="41">
        <f t="shared" si="46"/>
        <v>4.9917175563080951E-2</v>
      </c>
      <c r="J183" s="41">
        <f t="shared" si="47"/>
        <v>-6.031479034002174E-2</v>
      </c>
      <c r="K183" s="42">
        <f t="shared" si="38"/>
        <v>114.03860058957673</v>
      </c>
      <c r="L183" s="42">
        <f t="shared" si="39"/>
        <v>104.99171755630825</v>
      </c>
      <c r="M183" s="42">
        <f t="shared" si="40"/>
        <v>93.968520965997826</v>
      </c>
      <c r="N183" s="41">
        <f t="shared" si="48"/>
        <v>8.616758772820976E-2</v>
      </c>
      <c r="O183" s="41">
        <f t="shared" si="49"/>
        <v>0.21358301074932484</v>
      </c>
      <c r="P183" s="39">
        <f t="shared" si="50"/>
        <v>200.07784670193894</v>
      </c>
      <c r="Q183" s="42">
        <f t="shared" si="51"/>
        <v>1.1403860058957669</v>
      </c>
      <c r="R183" s="42">
        <f t="shared" si="52"/>
        <v>1.2721508426497581</v>
      </c>
      <c r="S183" s="41">
        <f t="shared" si="53"/>
        <v>-0.10357642532354006</v>
      </c>
      <c r="T183" s="41">
        <f t="shared" si="37"/>
        <v>0.19557294404262951</v>
      </c>
      <c r="U183" s="41">
        <f t="shared" si="54"/>
        <v>0</v>
      </c>
      <c r="V183" s="41">
        <f t="shared" si="55"/>
        <v>1.7919303659862607E-2</v>
      </c>
      <c r="W183" s="39">
        <f t="shared" si="41"/>
        <v>205.03</v>
      </c>
      <c r="X183" s="21"/>
    </row>
    <row r="184" spans="1:24" x14ac:dyDescent="0.2">
      <c r="A184" s="38">
        <v>45204</v>
      </c>
      <c r="B184" s="39">
        <v>206.95</v>
      </c>
      <c r="C184" s="39">
        <v>424.5</v>
      </c>
      <c r="D184" s="39">
        <v>38.630000000000003</v>
      </c>
      <c r="E184" s="41">
        <f t="shared" si="42"/>
        <v>9.3644832463541938E-3</v>
      </c>
      <c r="F184" s="41">
        <f t="shared" si="43"/>
        <v>-3.7677200584007586E-4</v>
      </c>
      <c r="G184" s="41">
        <f t="shared" si="44"/>
        <v>-1.2146784298682878E-2</v>
      </c>
      <c r="H184" s="41">
        <f t="shared" si="45"/>
        <v>0.15106513154235457</v>
      </c>
      <c r="I184" s="41">
        <f t="shared" si="46"/>
        <v>4.9521596162878101E-2</v>
      </c>
      <c r="J184" s="41">
        <f t="shared" si="47"/>
        <v>-7.1728943890424057E-2</v>
      </c>
      <c r="K184" s="42">
        <f t="shared" si="38"/>
        <v>115.1065131542355</v>
      </c>
      <c r="L184" s="42">
        <f t="shared" si="39"/>
        <v>104.95215961628797</v>
      </c>
      <c r="M184" s="42">
        <f t="shared" si="40"/>
        <v>92.827105610957588</v>
      </c>
      <c r="N184" s="41">
        <f t="shared" si="48"/>
        <v>9.6752211436835989E-2</v>
      </c>
      <c r="O184" s="41">
        <f t="shared" si="49"/>
        <v>0.24000971910781987</v>
      </c>
      <c r="P184" s="39">
        <f t="shared" si="50"/>
        <v>200.14622633674554</v>
      </c>
      <c r="Q184" s="42">
        <f t="shared" si="51"/>
        <v>1.1510651315423546</v>
      </c>
      <c r="R184" s="42">
        <f t="shared" si="52"/>
        <v>1.2721508426497581</v>
      </c>
      <c r="S184" s="41">
        <f t="shared" si="53"/>
        <v>-9.518188177684539E-2</v>
      </c>
      <c r="T184" s="41">
        <f t="shared" si="37"/>
        <v>0.1947254168536344</v>
      </c>
      <c r="U184" s="41">
        <f t="shared" si="54"/>
        <v>0</v>
      </c>
      <c r="V184" s="41">
        <f t="shared" si="55"/>
        <v>9.7412552521942697E-3</v>
      </c>
      <c r="W184" s="39">
        <f t="shared" si="41"/>
        <v>206.95</v>
      </c>
      <c r="X184" s="21"/>
    </row>
    <row r="185" spans="1:24" x14ac:dyDescent="0.2">
      <c r="A185" s="38">
        <v>45205</v>
      </c>
      <c r="B185" s="39">
        <v>212.4</v>
      </c>
      <c r="C185" s="39">
        <v>429.54</v>
      </c>
      <c r="D185" s="39">
        <v>38.994999999999997</v>
      </c>
      <c r="E185" s="41">
        <f t="shared" si="42"/>
        <v>2.6334863493597593E-2</v>
      </c>
      <c r="F185" s="41">
        <f t="shared" si="43"/>
        <v>1.1872791519434767E-2</v>
      </c>
      <c r="G185" s="41">
        <f t="shared" si="44"/>
        <v>9.4486150660106905E-3</v>
      </c>
      <c r="H185" s="41">
        <f t="shared" si="45"/>
        <v>0.18137827465376244</v>
      </c>
      <c r="I185" s="41">
        <f t="shared" si="46"/>
        <v>6.1982347269264437E-2</v>
      </c>
      <c r="J185" s="41">
        <f t="shared" si="47"/>
        <v>-6.2958068004325463E-2</v>
      </c>
      <c r="K185" s="42">
        <f t="shared" si="38"/>
        <v>118.13782746537629</v>
      </c>
      <c r="L185" s="42">
        <f t="shared" si="39"/>
        <v>106.1982347269266</v>
      </c>
      <c r="M185" s="42">
        <f t="shared" si="40"/>
        <v>93.704193199567456</v>
      </c>
      <c r="N185" s="41">
        <f t="shared" si="48"/>
        <v>0.11242741246265298</v>
      </c>
      <c r="O185" s="41">
        <f t="shared" si="49"/>
        <v>0.2607528375360002</v>
      </c>
      <c r="P185" s="39">
        <f t="shared" si="50"/>
        <v>200.26815443289735</v>
      </c>
      <c r="Q185" s="42">
        <f t="shared" si="51"/>
        <v>1.1813782746537624</v>
      </c>
      <c r="R185" s="42">
        <f t="shared" si="52"/>
        <v>1.2721508426497581</v>
      </c>
      <c r="S185" s="41">
        <f t="shared" si="53"/>
        <v>-7.1353620146904717E-2</v>
      </c>
      <c r="T185" s="41">
        <f t="shared" si="37"/>
        <v>0.20034002346766316</v>
      </c>
      <c r="U185" s="41">
        <f t="shared" si="54"/>
        <v>0</v>
      </c>
      <c r="V185" s="41">
        <f t="shared" si="55"/>
        <v>1.4462071974162827E-2</v>
      </c>
      <c r="W185" s="39">
        <f t="shared" si="41"/>
        <v>212.4</v>
      </c>
      <c r="X185" s="21"/>
    </row>
    <row r="186" spans="1:24" x14ac:dyDescent="0.2">
      <c r="A186" s="38">
        <v>45208</v>
      </c>
      <c r="B186" s="39">
        <v>210.25</v>
      </c>
      <c r="C186" s="39">
        <v>432.29</v>
      </c>
      <c r="D186" s="39">
        <v>39.045000000000002</v>
      </c>
      <c r="E186" s="41">
        <f t="shared" si="42"/>
        <v>-1.0122410546139382E-2</v>
      </c>
      <c r="F186" s="41">
        <f t="shared" si="43"/>
        <v>6.4021976998649421E-3</v>
      </c>
      <c r="G186" s="41">
        <f t="shared" si="44"/>
        <v>1.2822156686755903E-3</v>
      </c>
      <c r="H186" s="41">
        <f t="shared" si="45"/>
        <v>0.16941987874742725</v>
      </c>
      <c r="I186" s="41">
        <f t="shared" si="46"/>
        <v>6.8781368210248939E-2</v>
      </c>
      <c r="J186" s="41">
        <f t="shared" si="47"/>
        <v>-6.1756578156914599E-2</v>
      </c>
      <c r="K186" s="42">
        <f t="shared" si="38"/>
        <v>116.94198787474276</v>
      </c>
      <c r="L186" s="42">
        <f t="shared" si="39"/>
        <v>106.87813682102505</v>
      </c>
      <c r="M186" s="42">
        <f t="shared" si="40"/>
        <v>93.824342184308534</v>
      </c>
      <c r="N186" s="41">
        <f t="shared" si="48"/>
        <v>9.4161924534392538E-2</v>
      </c>
      <c r="O186" s="41">
        <f t="shared" si="49"/>
        <v>0.24639283529451106</v>
      </c>
      <c r="P186" s="39">
        <f t="shared" si="50"/>
        <v>200.36747627933619</v>
      </c>
      <c r="Q186" s="42">
        <f t="shared" si="51"/>
        <v>1.1694198787474273</v>
      </c>
      <c r="R186" s="42">
        <f t="shared" si="52"/>
        <v>1.2721508426497581</v>
      </c>
      <c r="S186" s="41">
        <f t="shared" si="53"/>
        <v>-8.0753760055963908E-2</v>
      </c>
      <c r="T186" s="41">
        <f t="shared" si="37"/>
        <v>0.20070701830335799</v>
      </c>
      <c r="U186" s="41">
        <f t="shared" si="54"/>
        <v>-1.0278060408930645E-2</v>
      </c>
      <c r="V186" s="41">
        <f t="shared" si="55"/>
        <v>-1.6524608246004324E-2</v>
      </c>
      <c r="W186" s="39">
        <f t="shared" si="41"/>
        <v>210.25</v>
      </c>
      <c r="X186" s="21"/>
    </row>
    <row r="187" spans="1:24" x14ac:dyDescent="0.2">
      <c r="A187" s="38">
        <v>45209</v>
      </c>
      <c r="B187" s="39">
        <v>211</v>
      </c>
      <c r="C187" s="39">
        <v>434.54</v>
      </c>
      <c r="D187" s="39">
        <v>39.46</v>
      </c>
      <c r="E187" s="41">
        <f t="shared" si="42"/>
        <v>3.5671819262781401E-3</v>
      </c>
      <c r="F187" s="41">
        <f t="shared" si="43"/>
        <v>5.2048393439589891E-3</v>
      </c>
      <c r="G187" s="41">
        <f t="shared" si="44"/>
        <v>1.0628761685234966E-2</v>
      </c>
      <c r="H187" s="41">
        <f t="shared" si="45"/>
        <v>0.17359141220312546</v>
      </c>
      <c r="I187" s="41">
        <f t="shared" si="46"/>
        <v>7.4344203525599895E-2</v>
      </c>
      <c r="J187" s="41">
        <f t="shared" si="47"/>
        <v>-5.1784212423405029E-2</v>
      </c>
      <c r="K187" s="42">
        <f t="shared" si="38"/>
        <v>117.35914122031259</v>
      </c>
      <c r="L187" s="42">
        <f t="shared" si="39"/>
        <v>107.43442035256014</v>
      </c>
      <c r="M187" s="42">
        <f t="shared" si="40"/>
        <v>94.821578757659495</v>
      </c>
      <c r="N187" s="41">
        <f t="shared" si="48"/>
        <v>9.2379340207573213E-2</v>
      </c>
      <c r="O187" s="41">
        <f t="shared" si="49"/>
        <v>0.23768389809511059</v>
      </c>
      <c r="P187" s="39">
        <f t="shared" si="50"/>
        <v>200.47327253526319</v>
      </c>
      <c r="Q187" s="42">
        <f t="shared" si="51"/>
        <v>1.1735914122031255</v>
      </c>
      <c r="R187" s="42">
        <f t="shared" si="52"/>
        <v>1.2721508426497581</v>
      </c>
      <c r="S187" s="41">
        <f t="shared" si="53"/>
        <v>-7.7474641483036399E-2</v>
      </c>
      <c r="T187" s="41">
        <f t="shared" si="37"/>
        <v>0.20078257964349602</v>
      </c>
      <c r="U187" s="41">
        <f t="shared" si="54"/>
        <v>0</v>
      </c>
      <c r="V187" s="41">
        <f t="shared" si="55"/>
        <v>-1.6376574176808489E-3</v>
      </c>
      <c r="W187" s="39">
        <f t="shared" si="41"/>
        <v>211</v>
      </c>
      <c r="X187" s="21"/>
    </row>
    <row r="188" spans="1:24" x14ac:dyDescent="0.2">
      <c r="A188" s="38">
        <v>45210</v>
      </c>
      <c r="B188" s="39">
        <v>214.76</v>
      </c>
      <c r="C188" s="39">
        <v>436.32</v>
      </c>
      <c r="D188" s="39">
        <v>39.555</v>
      </c>
      <c r="E188" s="41">
        <f t="shared" si="42"/>
        <v>1.7819905213270149E-2</v>
      </c>
      <c r="F188" s="41">
        <f t="shared" si="43"/>
        <v>4.0962857274358111E-3</v>
      </c>
      <c r="G188" s="41">
        <f t="shared" si="44"/>
        <v>2.4075012671058715E-3</v>
      </c>
      <c r="H188" s="41">
        <f t="shared" si="45"/>
        <v>0.19450469992769293</v>
      </c>
      <c r="I188" s="41">
        <f t="shared" si="46"/>
        <v>7.8745024352855131E-2</v>
      </c>
      <c r="J188" s="41">
        <f t="shared" si="47"/>
        <v>-4.9501381713324633E-2</v>
      </c>
      <c r="K188" s="42">
        <f t="shared" si="38"/>
        <v>119.45046999276934</v>
      </c>
      <c r="L188" s="42">
        <f t="shared" si="39"/>
        <v>107.87450243528566</v>
      </c>
      <c r="M188" s="42">
        <f t="shared" si="40"/>
        <v>95.049861828667545</v>
      </c>
      <c r="N188" s="41">
        <f t="shared" si="48"/>
        <v>0.10730958007827907</v>
      </c>
      <c r="O188" s="41">
        <f t="shared" si="49"/>
        <v>0.25671376785465672</v>
      </c>
      <c r="P188" s="39">
        <f t="shared" si="50"/>
        <v>200.61542902744964</v>
      </c>
      <c r="Q188" s="42">
        <f t="shared" si="51"/>
        <v>1.1945046999276929</v>
      </c>
      <c r="R188" s="42">
        <f t="shared" si="52"/>
        <v>1.2721508426497581</v>
      </c>
      <c r="S188" s="41">
        <f t="shared" si="53"/>
        <v>-6.103532703742609E-2</v>
      </c>
      <c r="T188" s="41">
        <f t="shared" si="37"/>
        <v>0.20439213973724221</v>
      </c>
      <c r="U188" s="41">
        <f t="shared" si="54"/>
        <v>0</v>
      </c>
      <c r="V188" s="41">
        <f t="shared" si="55"/>
        <v>1.3723619485834337E-2</v>
      </c>
      <c r="W188" s="39">
        <f t="shared" si="41"/>
        <v>214.76</v>
      </c>
      <c r="X188" s="21"/>
    </row>
    <row r="189" spans="1:24" x14ac:dyDescent="0.2">
      <c r="A189" s="38">
        <v>45211</v>
      </c>
      <c r="B189" s="39">
        <v>210.63</v>
      </c>
      <c r="C189" s="39">
        <v>433.66</v>
      </c>
      <c r="D189" s="39">
        <v>38.965000000000003</v>
      </c>
      <c r="E189" s="41">
        <f t="shared" si="42"/>
        <v>-1.9230769230769162E-2</v>
      </c>
      <c r="F189" s="41">
        <f t="shared" si="43"/>
        <v>-6.0964429776310114E-3</v>
      </c>
      <c r="G189" s="41">
        <f t="shared" si="44"/>
        <v>-1.4915939830615454E-2</v>
      </c>
      <c r="H189" s="41">
        <f t="shared" si="45"/>
        <v>0.17153345569831435</v>
      </c>
      <c r="I189" s="41">
        <f t="shared" si="46"/>
        <v>7.2168516824484774E-2</v>
      </c>
      <c r="J189" s="41">
        <f t="shared" si="47"/>
        <v>-6.3678961912771781E-2</v>
      </c>
      <c r="K189" s="42">
        <f t="shared" si="38"/>
        <v>117.15334556983149</v>
      </c>
      <c r="L189" s="42">
        <f t="shared" si="39"/>
        <v>107.21685168244863</v>
      </c>
      <c r="M189" s="42">
        <f t="shared" si="40"/>
        <v>93.632103808722817</v>
      </c>
      <c r="N189" s="41">
        <f t="shared" si="48"/>
        <v>9.2676605696393244E-2</v>
      </c>
      <c r="O189" s="41">
        <f t="shared" si="49"/>
        <v>0.25120915588054271</v>
      </c>
      <c r="P189" s="39">
        <f t="shared" si="50"/>
        <v>200.71507649981334</v>
      </c>
      <c r="Q189" s="42">
        <f t="shared" si="51"/>
        <v>1.1715334556983144</v>
      </c>
      <c r="R189" s="42">
        <f t="shared" si="52"/>
        <v>1.2721508426497581</v>
      </c>
      <c r="S189" s="41">
        <f t="shared" si="53"/>
        <v>-7.9092339979013992E-2</v>
      </c>
      <c r="T189" s="41">
        <f t="shared" si="37"/>
        <v>0.20676616432886114</v>
      </c>
      <c r="U189" s="41">
        <f t="shared" si="54"/>
        <v>-1.9386419093560425E-2</v>
      </c>
      <c r="V189" s="41">
        <f t="shared" si="55"/>
        <v>-1.3134326253138151E-2</v>
      </c>
      <c r="W189" s="39">
        <f t="shared" si="41"/>
        <v>210.63</v>
      </c>
      <c r="X189" s="21"/>
    </row>
    <row r="190" spans="1:24" x14ac:dyDescent="0.2">
      <c r="A190" s="38">
        <v>45212</v>
      </c>
      <c r="B190" s="39">
        <v>209.29</v>
      </c>
      <c r="C190" s="39">
        <v>431.5</v>
      </c>
      <c r="D190" s="39">
        <v>38.82</v>
      </c>
      <c r="E190" s="41">
        <f t="shared" si="42"/>
        <v>-6.36186678061057E-3</v>
      </c>
      <c r="F190" s="41">
        <f t="shared" si="43"/>
        <v>-4.9808605820228502E-3</v>
      </c>
      <c r="G190" s="41">
        <f t="shared" si="44"/>
        <v>-3.7212883356859683E-3</v>
      </c>
      <c r="H190" s="41">
        <f t="shared" si="45"/>
        <v>0.1640803159241333</v>
      </c>
      <c r="I190" s="41">
        <f t="shared" si="46"/>
        <v>6.6828194921747741E-2</v>
      </c>
      <c r="J190" s="41">
        <f t="shared" si="47"/>
        <v>-6.7163282470263153E-2</v>
      </c>
      <c r="K190" s="42">
        <f t="shared" si="38"/>
        <v>116.40803159241338</v>
      </c>
      <c r="L190" s="42">
        <f t="shared" si="39"/>
        <v>106.68281949217493</v>
      </c>
      <c r="M190" s="42">
        <f t="shared" si="40"/>
        <v>93.283671752973689</v>
      </c>
      <c r="N190" s="41">
        <f t="shared" si="48"/>
        <v>9.1160058822328915E-2</v>
      </c>
      <c r="O190" s="41">
        <f t="shared" si="49"/>
        <v>0.24789289920615176</v>
      </c>
      <c r="P190" s="39">
        <f t="shared" si="50"/>
        <v>200.80039912170574</v>
      </c>
      <c r="Q190" s="42">
        <f t="shared" si="51"/>
        <v>1.1640803159241333</v>
      </c>
      <c r="R190" s="42">
        <f t="shared" si="52"/>
        <v>1.2721508426497581</v>
      </c>
      <c r="S190" s="41">
        <f t="shared" si="53"/>
        <v>-8.4951031829311296E-2</v>
      </c>
      <c r="T190" s="41">
        <f t="shared" si="37"/>
        <v>0.20703851249627192</v>
      </c>
      <c r="U190" s="41">
        <f t="shared" si="54"/>
        <v>-6.5175166434018328E-3</v>
      </c>
      <c r="V190" s="41">
        <f t="shared" si="55"/>
        <v>-1.3810061985877198E-3</v>
      </c>
      <c r="W190" s="39">
        <f t="shared" si="41"/>
        <v>209.29</v>
      </c>
      <c r="X190" s="21"/>
    </row>
    <row r="191" spans="1:24" x14ac:dyDescent="0.2">
      <c r="A191" s="38">
        <v>45215</v>
      </c>
      <c r="B191" s="39">
        <v>213.04</v>
      </c>
      <c r="C191" s="39">
        <v>436.04</v>
      </c>
      <c r="D191" s="39">
        <v>39.200000000000003</v>
      </c>
      <c r="E191" s="41">
        <f t="shared" si="42"/>
        <v>1.7917721821396171E-2</v>
      </c>
      <c r="F191" s="41">
        <f t="shared" si="43"/>
        <v>1.0521436848204058E-2</v>
      </c>
      <c r="G191" s="41">
        <f t="shared" si="44"/>
        <v>9.7887686759403625E-3</v>
      </c>
      <c r="H191" s="41">
        <f t="shared" si="45"/>
        <v>0.184937983202625</v>
      </c>
      <c r="I191" s="41">
        <f t="shared" si="46"/>
        <v>7.8052760402500532E-2</v>
      </c>
      <c r="J191" s="41">
        <f t="shared" si="47"/>
        <v>-5.803195962994101E-2</v>
      </c>
      <c r="K191" s="42">
        <f t="shared" si="38"/>
        <v>118.49379832026253</v>
      </c>
      <c r="L191" s="42">
        <f t="shared" si="39"/>
        <v>107.80527604025021</v>
      </c>
      <c r="M191" s="42">
        <f t="shared" si="40"/>
        <v>94.19680403700589</v>
      </c>
      <c r="N191" s="41">
        <f t="shared" si="48"/>
        <v>9.9146560099913739E-2</v>
      </c>
      <c r="O191" s="41">
        <f t="shared" si="49"/>
        <v>0.25793862681064361</v>
      </c>
      <c r="P191" s="39">
        <f t="shared" si="50"/>
        <v>200.92218619512158</v>
      </c>
      <c r="Q191" s="42">
        <f t="shared" si="51"/>
        <v>1.184937983202625</v>
      </c>
      <c r="R191" s="42">
        <f t="shared" si="52"/>
        <v>1.2721508426497581</v>
      </c>
      <c r="S191" s="41">
        <f t="shared" si="53"/>
        <v>-6.8555438964673199E-2</v>
      </c>
      <c r="T191" s="41">
        <f t="shared" si="37"/>
        <v>0.21045682849179984</v>
      </c>
      <c r="U191" s="41">
        <f t="shared" si="54"/>
        <v>0</v>
      </c>
      <c r="V191" s="41">
        <f t="shared" si="55"/>
        <v>7.3962849731921132E-3</v>
      </c>
      <c r="W191" s="39">
        <f t="shared" si="41"/>
        <v>213.04</v>
      </c>
      <c r="X191" s="21"/>
    </row>
    <row r="192" spans="1:24" x14ac:dyDescent="0.2">
      <c r="A192" s="38">
        <v>45216</v>
      </c>
      <c r="B192" s="39">
        <v>214.79</v>
      </c>
      <c r="C192" s="39">
        <v>436.02</v>
      </c>
      <c r="D192" s="39">
        <v>39.585000000000001</v>
      </c>
      <c r="E192" s="41">
        <f t="shared" si="42"/>
        <v>8.2144198272624536E-3</v>
      </c>
      <c r="F192" s="41">
        <f t="shared" si="43"/>
        <v>-4.586735161915545E-5</v>
      </c>
      <c r="G192" s="41">
        <f t="shared" si="44"/>
        <v>9.8214285714284255E-3</v>
      </c>
      <c r="H192" s="41">
        <f t="shared" si="45"/>
        <v>0.19467156126592111</v>
      </c>
      <c r="I192" s="41">
        <f t="shared" si="46"/>
        <v>7.8003312977475092E-2</v>
      </c>
      <c r="J192" s="41">
        <f t="shared" si="47"/>
        <v>-4.8780487804878092E-2</v>
      </c>
      <c r="K192" s="42">
        <f t="shared" si="38"/>
        <v>119.46715612659213</v>
      </c>
      <c r="L192" s="42">
        <f t="shared" si="39"/>
        <v>107.80033129774766</v>
      </c>
      <c r="M192" s="42">
        <f t="shared" si="40"/>
        <v>95.121951219512198</v>
      </c>
      <c r="N192" s="41">
        <f t="shared" si="48"/>
        <v>0.10822624279901794</v>
      </c>
      <c r="O192" s="41">
        <f t="shared" si="49"/>
        <v>0.25593676953596844</v>
      </c>
      <c r="P192" s="39">
        <f t="shared" si="50"/>
        <v>201.06017439218505</v>
      </c>
      <c r="Q192" s="42">
        <f t="shared" si="51"/>
        <v>1.1946715612659211</v>
      </c>
      <c r="R192" s="42">
        <f t="shared" si="52"/>
        <v>1.2721508426497581</v>
      </c>
      <c r="S192" s="41">
        <f t="shared" si="53"/>
        <v>-6.090416229450879E-2</v>
      </c>
      <c r="T192" s="41">
        <f t="shared" si="37"/>
        <v>0.21120042456182023</v>
      </c>
      <c r="U192" s="41">
        <f t="shared" si="54"/>
        <v>0</v>
      </c>
      <c r="V192" s="41">
        <f t="shared" si="55"/>
        <v>8.260287178881609E-3</v>
      </c>
      <c r="W192" s="39">
        <f t="shared" si="41"/>
        <v>214.79</v>
      </c>
      <c r="X192" s="21"/>
    </row>
    <row r="193" spans="1:24" x14ac:dyDescent="0.2">
      <c r="A193" s="38">
        <v>45217</v>
      </c>
      <c r="B193" s="39">
        <v>203.74</v>
      </c>
      <c r="C193" s="39">
        <v>430.21</v>
      </c>
      <c r="D193" s="39">
        <v>38.56</v>
      </c>
      <c r="E193" s="41">
        <f t="shared" si="42"/>
        <v>-5.1445598025978811E-2</v>
      </c>
      <c r="F193" s="41">
        <f t="shared" si="43"/>
        <v>-1.332507683133799E-2</v>
      </c>
      <c r="G193" s="41">
        <f t="shared" si="44"/>
        <v>-2.5893646583301733E-2</v>
      </c>
      <c r="H193" s="41">
        <f t="shared" si="45"/>
        <v>0.133210968351966</v>
      </c>
      <c r="I193" s="41">
        <f t="shared" si="46"/>
        <v>6.3638836007613442E-2</v>
      </c>
      <c r="J193" s="41">
        <f t="shared" si="47"/>
        <v>-7.3411029676799244E-2</v>
      </c>
      <c r="K193" s="42">
        <f t="shared" si="38"/>
        <v>113.32109683519663</v>
      </c>
      <c r="L193" s="42">
        <f t="shared" si="39"/>
        <v>106.36388360076148</v>
      </c>
      <c r="M193" s="42">
        <f t="shared" si="40"/>
        <v>92.65889703232007</v>
      </c>
      <c r="N193" s="41">
        <f t="shared" si="48"/>
        <v>6.5409545034565308E-2</v>
      </c>
      <c r="O193" s="41">
        <f t="shared" si="49"/>
        <v>0.22299207593275594</v>
      </c>
      <c r="P193" s="39">
        <f t="shared" si="50"/>
        <v>201.08683932360611</v>
      </c>
      <c r="Q193" s="42">
        <f t="shared" si="51"/>
        <v>1.133210968351966</v>
      </c>
      <c r="R193" s="42">
        <f t="shared" si="52"/>
        <v>1.2721508426497581</v>
      </c>
      <c r="S193" s="41">
        <f t="shared" si="53"/>
        <v>-0.1092165092689753</v>
      </c>
      <c r="T193" s="41">
        <f t="shared" si="37"/>
        <v>0.23559735708083893</v>
      </c>
      <c r="U193" s="41">
        <f t="shared" si="54"/>
        <v>-5.1601247888770074E-2</v>
      </c>
      <c r="V193" s="41">
        <f t="shared" si="55"/>
        <v>-3.8120521194640822E-2</v>
      </c>
      <c r="W193" s="39">
        <f t="shared" si="41"/>
        <v>203.74</v>
      </c>
      <c r="X193" s="21"/>
    </row>
    <row r="194" spans="1:24" x14ac:dyDescent="0.2">
      <c r="A194" s="38">
        <v>45218</v>
      </c>
      <c r="B194" s="39">
        <v>202.69</v>
      </c>
      <c r="C194" s="39">
        <v>426.43</v>
      </c>
      <c r="D194" s="39">
        <v>38.11</v>
      </c>
      <c r="E194" s="41">
        <f t="shared" si="42"/>
        <v>-5.1536271718858329E-3</v>
      </c>
      <c r="F194" s="41">
        <f t="shared" si="43"/>
        <v>-8.7864066386182937E-3</v>
      </c>
      <c r="G194" s="41">
        <f t="shared" si="44"/>
        <v>-1.167012448132787E-2</v>
      </c>
      <c r="H194" s="41">
        <f t="shared" si="45"/>
        <v>0.12737082151398815</v>
      </c>
      <c r="I194" s="41">
        <f t="shared" si="46"/>
        <v>5.4293272677824023E-2</v>
      </c>
      <c r="J194" s="41">
        <f t="shared" si="47"/>
        <v>-8.4224438303496463E-2</v>
      </c>
      <c r="K194" s="42">
        <f t="shared" si="38"/>
        <v>112.73708215139887</v>
      </c>
      <c r="L194" s="42">
        <f t="shared" si="39"/>
        <v>105.42932726778254</v>
      </c>
      <c r="M194" s="42">
        <f t="shared" si="40"/>
        <v>91.577556169650364</v>
      </c>
      <c r="N194" s="41">
        <f t="shared" si="48"/>
        <v>6.9314251290395479E-2</v>
      </c>
      <c r="O194" s="41">
        <f t="shared" si="49"/>
        <v>0.2310558052297198</v>
      </c>
      <c r="P194" s="39">
        <f t="shared" si="50"/>
        <v>201.10279117113242</v>
      </c>
      <c r="Q194" s="42">
        <f t="shared" si="51"/>
        <v>1.1273708215139882</v>
      </c>
      <c r="R194" s="42">
        <f t="shared" si="52"/>
        <v>1.2721508426497581</v>
      </c>
      <c r="S194" s="41">
        <f t="shared" si="53"/>
        <v>-0.11380727527107415</v>
      </c>
      <c r="T194" s="41">
        <f t="shared" si="37"/>
        <v>0.2352950575405007</v>
      </c>
      <c r="U194" s="41">
        <f t="shared" si="54"/>
        <v>-5.3092770346770957E-3</v>
      </c>
      <c r="V194" s="41">
        <f t="shared" si="55"/>
        <v>3.6327794667324609E-3</v>
      </c>
      <c r="W194" s="39">
        <f t="shared" si="41"/>
        <v>202.69</v>
      </c>
      <c r="X194" s="21"/>
    </row>
    <row r="195" spans="1:24" x14ac:dyDescent="0.2">
      <c r="A195" s="38">
        <v>45219</v>
      </c>
      <c r="B195" s="39">
        <v>201.55</v>
      </c>
      <c r="C195" s="39">
        <v>421.19</v>
      </c>
      <c r="D195" s="39">
        <v>37.65</v>
      </c>
      <c r="E195" s="41">
        <f t="shared" si="42"/>
        <v>-5.6243524594207228E-3</v>
      </c>
      <c r="F195" s="41">
        <f t="shared" si="43"/>
        <v>-1.2288066036629686E-2</v>
      </c>
      <c r="G195" s="41">
        <f t="shared" si="44"/>
        <v>-1.207032274993447E-2</v>
      </c>
      <c r="H195" s="41">
        <f t="shared" si="45"/>
        <v>0.12103009066132686</v>
      </c>
      <c r="I195" s="41">
        <f t="shared" si="46"/>
        <v>4.1338047321184401E-2</v>
      </c>
      <c r="J195" s="41">
        <f t="shared" si="47"/>
        <v>-9.5278144899675787E-2</v>
      </c>
      <c r="K195" s="42">
        <f t="shared" si="38"/>
        <v>112.10300906613273</v>
      </c>
      <c r="L195" s="42">
        <f t="shared" si="39"/>
        <v>104.13380473211858</v>
      </c>
      <c r="M195" s="42">
        <f t="shared" si="40"/>
        <v>90.472185510032432</v>
      </c>
      <c r="N195" s="41">
        <f t="shared" si="48"/>
        <v>7.6528504403683417E-2</v>
      </c>
      <c r="O195" s="41">
        <f t="shared" si="49"/>
        <v>0.23908810684916681</v>
      </c>
      <c r="P195" s="39">
        <f t="shared" si="50"/>
        <v>201.10724101022564</v>
      </c>
      <c r="Q195" s="42">
        <f t="shared" si="51"/>
        <v>1.1210300906613269</v>
      </c>
      <c r="R195" s="42">
        <f t="shared" si="52"/>
        <v>1.2721508426497581</v>
      </c>
      <c r="S195" s="41">
        <f t="shared" si="53"/>
        <v>-0.11879153550192401</v>
      </c>
      <c r="T195" s="41">
        <f t="shared" si="37"/>
        <v>0.2311221491481607</v>
      </c>
      <c r="U195" s="41">
        <f t="shared" si="54"/>
        <v>-5.7800023222119856E-3</v>
      </c>
      <c r="V195" s="41">
        <f t="shared" si="55"/>
        <v>6.6637135772089628E-3</v>
      </c>
      <c r="W195" s="39">
        <f t="shared" si="41"/>
        <v>201.55</v>
      </c>
      <c r="X195" s="21"/>
    </row>
    <row r="196" spans="1:24" x14ac:dyDescent="0.2">
      <c r="A196" s="38">
        <v>45222</v>
      </c>
      <c r="B196" s="39">
        <v>202.5</v>
      </c>
      <c r="C196" s="39">
        <v>420.46</v>
      </c>
      <c r="D196" s="39">
        <v>37.229999999999997</v>
      </c>
      <c r="E196" s="41">
        <f t="shared" si="42"/>
        <v>4.7134706028280071E-3</v>
      </c>
      <c r="F196" s="41">
        <f t="shared" si="43"/>
        <v>-1.7331845485411002E-3</v>
      </c>
      <c r="G196" s="41">
        <f t="shared" si="44"/>
        <v>-1.1155378486055856E-2</v>
      </c>
      <c r="H196" s="41">
        <f t="shared" si="45"/>
        <v>0.1263140330385446</v>
      </c>
      <c r="I196" s="41">
        <f t="shared" si="46"/>
        <v>3.95332163077593E-2</v>
      </c>
      <c r="J196" s="41">
        <f t="shared" si="47"/>
        <v>-0.10537065961792647</v>
      </c>
      <c r="K196" s="42">
        <f t="shared" si="38"/>
        <v>112.63140330385451</v>
      </c>
      <c r="L196" s="42">
        <f t="shared" si="39"/>
        <v>103.95332163077606</v>
      </c>
      <c r="M196" s="42">
        <f t="shared" si="40"/>
        <v>89.462934038207365</v>
      </c>
      <c r="N196" s="41">
        <f t="shared" si="48"/>
        <v>8.3480561630359107E-2</v>
      </c>
      <c r="O196" s="41">
        <f t="shared" si="49"/>
        <v>0.25897283064461574</v>
      </c>
      <c r="P196" s="39">
        <f t="shared" si="50"/>
        <v>201.12109930863136</v>
      </c>
      <c r="Q196" s="42">
        <f t="shared" si="51"/>
        <v>1.1263140330385446</v>
      </c>
      <c r="R196" s="42">
        <f t="shared" si="52"/>
        <v>1.2721508426497581</v>
      </c>
      <c r="S196" s="41">
        <f t="shared" si="53"/>
        <v>-0.11463798530954905</v>
      </c>
      <c r="T196" s="41">
        <f t="shared" si="37"/>
        <v>0.23053397640350087</v>
      </c>
      <c r="U196" s="41">
        <f t="shared" si="54"/>
        <v>0</v>
      </c>
      <c r="V196" s="41">
        <f t="shared" si="55"/>
        <v>6.4466551513691073E-3</v>
      </c>
      <c r="W196" s="39">
        <f t="shared" si="41"/>
        <v>202.5</v>
      </c>
      <c r="X196" s="21"/>
    </row>
    <row r="197" spans="1:24" x14ac:dyDescent="0.2">
      <c r="A197" s="38">
        <v>45223</v>
      </c>
      <c r="B197" s="39">
        <v>205.15</v>
      </c>
      <c r="C197" s="39">
        <v>423.63</v>
      </c>
      <c r="D197" s="39">
        <v>37.67</v>
      </c>
      <c r="E197" s="41">
        <f t="shared" si="42"/>
        <v>1.3086419753086442E-2</v>
      </c>
      <c r="F197" s="41">
        <f t="shared" si="43"/>
        <v>7.5393616515244677E-3</v>
      </c>
      <c r="G197" s="41">
        <f t="shared" si="44"/>
        <v>1.1818426000537396E-2</v>
      </c>
      <c r="H197" s="41">
        <f t="shared" si="45"/>
        <v>0.14105345124867874</v>
      </c>
      <c r="I197" s="41">
        <f t="shared" si="46"/>
        <v>4.7370633174275811E-2</v>
      </c>
      <c r="J197" s="41">
        <f t="shared" si="47"/>
        <v>-9.4797548960711353E-2</v>
      </c>
      <c r="K197" s="42">
        <f t="shared" si="38"/>
        <v>114.10534512486792</v>
      </c>
      <c r="L197" s="42">
        <f t="shared" si="39"/>
        <v>104.73706331742774</v>
      </c>
      <c r="M197" s="42">
        <f t="shared" si="40"/>
        <v>90.520245103928872</v>
      </c>
      <c r="N197" s="41">
        <f t="shared" si="48"/>
        <v>8.9445717788055212E-2</v>
      </c>
      <c r="O197" s="41">
        <f t="shared" si="49"/>
        <v>0.26055055412035499</v>
      </c>
      <c r="P197" s="39">
        <f t="shared" si="50"/>
        <v>201.16118787272458</v>
      </c>
      <c r="Q197" s="42">
        <f t="shared" si="51"/>
        <v>1.1410534512486787</v>
      </c>
      <c r="R197" s="42">
        <f t="shared" si="52"/>
        <v>1.2721508426497581</v>
      </c>
      <c r="S197" s="41">
        <f t="shared" si="53"/>
        <v>-0.10305176635187152</v>
      </c>
      <c r="T197" s="41">
        <f t="shared" si="37"/>
        <v>0.23235294797506698</v>
      </c>
      <c r="U197" s="41">
        <f t="shared" si="54"/>
        <v>0</v>
      </c>
      <c r="V197" s="41">
        <f t="shared" si="55"/>
        <v>5.5470581015619747E-3</v>
      </c>
      <c r="W197" s="39">
        <f t="shared" si="41"/>
        <v>205.15</v>
      </c>
      <c r="X197" s="21"/>
    </row>
    <row r="198" spans="1:24" x14ac:dyDescent="0.2">
      <c r="A198" s="38">
        <v>45224</v>
      </c>
      <c r="B198" s="39">
        <v>203.37</v>
      </c>
      <c r="C198" s="39">
        <v>417.55</v>
      </c>
      <c r="D198" s="39">
        <v>37.229999999999997</v>
      </c>
      <c r="E198" s="41">
        <f t="shared" si="42"/>
        <v>-8.6765781135754727E-3</v>
      </c>
      <c r="F198" s="41">
        <f t="shared" si="43"/>
        <v>-1.435214692066189E-2</v>
      </c>
      <c r="G198" s="41">
        <f t="shared" si="44"/>
        <v>-1.1680382267056144E-2</v>
      </c>
      <c r="H198" s="41">
        <f t="shared" si="45"/>
        <v>0.13115301184715467</v>
      </c>
      <c r="I198" s="41">
        <f t="shared" si="46"/>
        <v>3.2338615966571949E-2</v>
      </c>
      <c r="J198" s="41">
        <f t="shared" si="47"/>
        <v>-0.10537065961792647</v>
      </c>
      <c r="K198" s="42">
        <f t="shared" si="38"/>
        <v>113.11530118471551</v>
      </c>
      <c r="L198" s="42">
        <f t="shared" si="39"/>
        <v>103.23386159665735</v>
      </c>
      <c r="M198" s="42">
        <f t="shared" si="40"/>
        <v>89.462934038207365</v>
      </c>
      <c r="N198" s="41">
        <f t="shared" si="48"/>
        <v>9.5718976653860199E-2</v>
      </c>
      <c r="O198" s="41">
        <f t="shared" si="49"/>
        <v>0.26438175095405203</v>
      </c>
      <c r="P198" s="39">
        <f t="shared" si="50"/>
        <v>201.18316610284674</v>
      </c>
      <c r="Q198" s="42">
        <f t="shared" si="51"/>
        <v>1.1311530118471547</v>
      </c>
      <c r="R198" s="42">
        <f t="shared" si="52"/>
        <v>1.2721508426497581</v>
      </c>
      <c r="S198" s="41">
        <f t="shared" si="53"/>
        <v>-0.11083420776495312</v>
      </c>
      <c r="T198" s="41">
        <f t="shared" si="37"/>
        <v>0.23017560099164502</v>
      </c>
      <c r="U198" s="41">
        <f t="shared" si="54"/>
        <v>-8.8322279763667355E-3</v>
      </c>
      <c r="V198" s="41">
        <f t="shared" si="55"/>
        <v>5.6755688070864174E-3</v>
      </c>
      <c r="W198" s="39">
        <f t="shared" si="41"/>
        <v>203.37</v>
      </c>
      <c r="X198" s="21"/>
    </row>
    <row r="199" spans="1:24" x14ac:dyDescent="0.2">
      <c r="A199" s="38">
        <v>45225</v>
      </c>
      <c r="B199" s="39">
        <v>193.97</v>
      </c>
      <c r="C199" s="39">
        <v>412.55</v>
      </c>
      <c r="D199" s="39">
        <v>37.49</v>
      </c>
      <c r="E199" s="41">
        <f t="shared" si="42"/>
        <v>-4.6221173231056678E-2</v>
      </c>
      <c r="F199" s="41">
        <f t="shared" si="43"/>
        <v>-1.1974613818704349E-2</v>
      </c>
      <c r="G199" s="41">
        <f t="shared" si="44"/>
        <v>6.9836153639539766E-3</v>
      </c>
      <c r="H199" s="41">
        <f t="shared" si="45"/>
        <v>7.8869792535735783E-2</v>
      </c>
      <c r="I199" s="41">
        <f t="shared" si="46"/>
        <v>1.9976759710236491E-2</v>
      </c>
      <c r="J199" s="41">
        <f t="shared" si="47"/>
        <v>-9.9122912411390152E-2</v>
      </c>
      <c r="K199" s="42">
        <f t="shared" si="38"/>
        <v>107.88697925357363</v>
      </c>
      <c r="L199" s="42">
        <f t="shared" si="39"/>
        <v>101.99767597102381</v>
      </c>
      <c r="M199" s="42">
        <f t="shared" si="40"/>
        <v>90.087708758860984</v>
      </c>
      <c r="N199" s="41">
        <f t="shared" si="48"/>
        <v>5.773958304915694E-2</v>
      </c>
      <c r="O199" s="41">
        <f t="shared" si="49"/>
        <v>0.19757712500332469</v>
      </c>
      <c r="P199" s="39">
        <f t="shared" si="50"/>
        <v>201.11139330580352</v>
      </c>
      <c r="Q199" s="42">
        <f t="shared" si="51"/>
        <v>1.0788697925357358</v>
      </c>
      <c r="R199" s="42">
        <f t="shared" si="52"/>
        <v>1.2721508426497581</v>
      </c>
      <c r="S199" s="41">
        <f t="shared" si="53"/>
        <v>-0.151932493878979</v>
      </c>
      <c r="T199" s="41">
        <f t="shared" si="37"/>
        <v>0.24772788009178578</v>
      </c>
      <c r="U199" s="41">
        <f t="shared" si="54"/>
        <v>-4.6376823093847941E-2</v>
      </c>
      <c r="V199" s="41">
        <f t="shared" si="55"/>
        <v>-3.4246559412352329E-2</v>
      </c>
      <c r="W199" s="39">
        <f t="shared" si="41"/>
        <v>193.97</v>
      </c>
      <c r="X199" s="21"/>
    </row>
    <row r="200" spans="1:24" x14ac:dyDescent="0.2">
      <c r="A200" s="38">
        <v>45226</v>
      </c>
      <c r="B200" s="39">
        <v>193.69</v>
      </c>
      <c r="C200" s="39">
        <v>410.68</v>
      </c>
      <c r="D200" s="39">
        <v>37.475000000000001</v>
      </c>
      <c r="E200" s="41">
        <f t="shared" si="42"/>
        <v>-1.443522194153779E-3</v>
      </c>
      <c r="F200" s="41">
        <f t="shared" si="43"/>
        <v>-4.5327839049812413E-3</v>
      </c>
      <c r="G200" s="41">
        <f t="shared" si="44"/>
        <v>-4.0010669511869601E-4</v>
      </c>
      <c r="H200" s="41">
        <f t="shared" si="45"/>
        <v>7.7312420045608343E-2</v>
      </c>
      <c r="I200" s="41">
        <f t="shared" si="46"/>
        <v>1.535342547036711E-2</v>
      </c>
      <c r="J200" s="41">
        <f t="shared" si="47"/>
        <v>-9.9483359365613366E-2</v>
      </c>
      <c r="K200" s="42">
        <f t="shared" si="38"/>
        <v>107.73124200456088</v>
      </c>
      <c r="L200" s="42">
        <f t="shared" si="39"/>
        <v>101.53534254703686</v>
      </c>
      <c r="M200" s="42">
        <f t="shared" si="40"/>
        <v>90.051664063438665</v>
      </c>
      <c r="N200" s="41">
        <f t="shared" si="48"/>
        <v>6.1022096366630585E-2</v>
      </c>
      <c r="O200" s="41">
        <f t="shared" si="49"/>
        <v>0.19632705430815189</v>
      </c>
      <c r="P200" s="39">
        <f t="shared" si="50"/>
        <v>201.03754859629305</v>
      </c>
      <c r="Q200" s="42">
        <f t="shared" si="51"/>
        <v>1.0773124200456083</v>
      </c>
      <c r="R200" s="42">
        <f t="shared" si="52"/>
        <v>1.2721508426497581</v>
      </c>
      <c r="S200" s="41">
        <f t="shared" si="53"/>
        <v>-0.15315669814620536</v>
      </c>
      <c r="T200" s="41">
        <f t="shared" si="37"/>
        <v>0.24544053024734541</v>
      </c>
      <c r="U200" s="41">
        <f t="shared" si="54"/>
        <v>-1.5991720569450418E-3</v>
      </c>
      <c r="V200" s="41">
        <f t="shared" si="55"/>
        <v>3.0892617108274623E-3</v>
      </c>
      <c r="W200" s="39">
        <f t="shared" si="41"/>
        <v>193.69</v>
      </c>
      <c r="X200" s="21"/>
    </row>
    <row r="201" spans="1:24" x14ac:dyDescent="0.2">
      <c r="A201" s="38">
        <v>45229</v>
      </c>
      <c r="B201" s="39">
        <v>195.99</v>
      </c>
      <c r="C201" s="39">
        <v>415.59</v>
      </c>
      <c r="D201" s="39">
        <v>37.86</v>
      </c>
      <c r="E201" s="41">
        <f t="shared" si="42"/>
        <v>1.1874645051370702E-2</v>
      </c>
      <c r="F201" s="41">
        <f t="shared" si="43"/>
        <v>1.195578065647207E-2</v>
      </c>
      <c r="G201" s="41">
        <f t="shared" si="44"/>
        <v>1.0273515677118095E-2</v>
      </c>
      <c r="H201" s="41">
        <f t="shared" si="45"/>
        <v>9.0105122643083124E-2</v>
      </c>
      <c r="I201" s="41">
        <f t="shared" si="46"/>
        <v>2.7492768314088423E-2</v>
      </c>
      <c r="J201" s="41">
        <f t="shared" si="47"/>
        <v>-9.0231887540550226E-2</v>
      </c>
      <c r="K201" s="42">
        <f t="shared" si="38"/>
        <v>109.01051226430837</v>
      </c>
      <c r="L201" s="42">
        <f t="shared" si="39"/>
        <v>102.74927683140899</v>
      </c>
      <c r="M201" s="42">
        <f t="shared" si="40"/>
        <v>90.976811245944972</v>
      </c>
      <c r="N201" s="41">
        <f t="shared" si="48"/>
        <v>6.0937026770250702E-2</v>
      </c>
      <c r="O201" s="41">
        <f t="shared" si="49"/>
        <v>0.19822305015298203</v>
      </c>
      <c r="P201" s="39">
        <f t="shared" si="50"/>
        <v>200.98732423215085</v>
      </c>
      <c r="Q201" s="42">
        <f t="shared" si="51"/>
        <v>1.0901051226430831</v>
      </c>
      <c r="R201" s="42">
        <f t="shared" si="52"/>
        <v>1.2721508426497581</v>
      </c>
      <c r="S201" s="41">
        <f t="shared" si="53"/>
        <v>-0.14310073452256078</v>
      </c>
      <c r="T201" s="41">
        <f t="shared" si="37"/>
        <v>0.24717663983577237</v>
      </c>
      <c r="U201" s="41">
        <f t="shared" si="54"/>
        <v>0</v>
      </c>
      <c r="V201" s="41">
        <f t="shared" si="55"/>
        <v>-8.1135605101367858E-5</v>
      </c>
      <c r="W201" s="39">
        <f t="shared" si="41"/>
        <v>195.99</v>
      </c>
      <c r="X201" s="21"/>
    </row>
    <row r="202" spans="1:24" x14ac:dyDescent="0.2">
      <c r="A202" s="38">
        <v>45230</v>
      </c>
      <c r="B202" s="39">
        <v>196.49</v>
      </c>
      <c r="C202" s="39">
        <v>418.2</v>
      </c>
      <c r="D202" s="39">
        <v>38.03</v>
      </c>
      <c r="E202" s="41">
        <f t="shared" si="42"/>
        <v>2.551150568906646E-3</v>
      </c>
      <c r="F202" s="41">
        <f t="shared" si="43"/>
        <v>6.2802281094347379E-3</v>
      </c>
      <c r="G202" s="41">
        <f t="shared" si="44"/>
        <v>4.4902271526676696E-3</v>
      </c>
      <c r="H202" s="41">
        <f t="shared" si="45"/>
        <v>9.2886144946882077E-2</v>
      </c>
      <c r="I202" s="41">
        <f t="shared" si="46"/>
        <v>3.3945657279895514E-2</v>
      </c>
      <c r="J202" s="41">
        <f t="shared" si="47"/>
        <v>-8.6146822059353645E-2</v>
      </c>
      <c r="K202" s="42">
        <f t="shared" si="38"/>
        <v>109.28861449468825</v>
      </c>
      <c r="L202" s="42">
        <f t="shared" si="39"/>
        <v>103.3945657279897</v>
      </c>
      <c r="M202" s="42">
        <f t="shared" si="40"/>
        <v>91.385317794064633</v>
      </c>
      <c r="N202" s="41">
        <f t="shared" si="48"/>
        <v>5.7005401833252201E-2</v>
      </c>
      <c r="O202" s="41">
        <f t="shared" si="49"/>
        <v>0.19590999005954512</v>
      </c>
      <c r="P202" s="39">
        <f t="shared" si="50"/>
        <v>200.94257473730357</v>
      </c>
      <c r="Q202" s="42">
        <f t="shared" si="51"/>
        <v>1.0928861449468821</v>
      </c>
      <c r="R202" s="42">
        <f t="shared" si="52"/>
        <v>1.2721508426497581</v>
      </c>
      <c r="S202" s="41">
        <f t="shared" si="53"/>
        <v>-0.14091465547394222</v>
      </c>
      <c r="T202" s="41">
        <f t="shared" si="37"/>
        <v>0.24559446288583461</v>
      </c>
      <c r="U202" s="41">
        <f t="shared" si="54"/>
        <v>0</v>
      </c>
      <c r="V202" s="41">
        <f t="shared" si="55"/>
        <v>-3.7290775405280918E-3</v>
      </c>
      <c r="W202" s="39">
        <f t="shared" si="41"/>
        <v>196.49</v>
      </c>
      <c r="X202" s="21"/>
    </row>
    <row r="203" spans="1:24" x14ac:dyDescent="0.2">
      <c r="A203" s="38">
        <v>45231</v>
      </c>
      <c r="B203" s="39">
        <v>203.8</v>
      </c>
      <c r="C203" s="39">
        <v>422.66</v>
      </c>
      <c r="D203" s="39">
        <v>38.049999999999997</v>
      </c>
      <c r="E203" s="41">
        <f t="shared" si="42"/>
        <v>3.7202911089622814E-2</v>
      </c>
      <c r="F203" s="41">
        <f t="shared" si="43"/>
        <v>1.0664753706360663E-2</v>
      </c>
      <c r="G203" s="41">
        <f t="shared" si="44"/>
        <v>5.2590060478552303E-4</v>
      </c>
      <c r="H203" s="41">
        <f t="shared" si="45"/>
        <v>0.13354469102842148</v>
      </c>
      <c r="I203" s="41">
        <f t="shared" si="46"/>
        <v>4.4972433060546768E-2</v>
      </c>
      <c r="J203" s="41">
        <f t="shared" si="47"/>
        <v>-8.5666226120389433E-2</v>
      </c>
      <c r="K203" s="42">
        <f t="shared" si="38"/>
        <v>113.35446910284222</v>
      </c>
      <c r="L203" s="42">
        <f t="shared" si="39"/>
        <v>104.49724330605483</v>
      </c>
      <c r="M203" s="42">
        <f t="shared" si="40"/>
        <v>91.433377387961059</v>
      </c>
      <c r="N203" s="41">
        <f t="shared" si="48"/>
        <v>8.4760377561790445E-2</v>
      </c>
      <c r="O203" s="41">
        <f t="shared" si="49"/>
        <v>0.23974933816419886</v>
      </c>
      <c r="P203" s="39">
        <f t="shared" si="50"/>
        <v>200.97100682946973</v>
      </c>
      <c r="Q203" s="42">
        <f t="shared" si="51"/>
        <v>1.1335446910284215</v>
      </c>
      <c r="R203" s="42">
        <f t="shared" si="52"/>
        <v>1.2721508426497581</v>
      </c>
      <c r="S203" s="41">
        <f t="shared" si="53"/>
        <v>-0.10895417978314148</v>
      </c>
      <c r="T203" s="41">
        <f t="shared" si="37"/>
        <v>0.2583166069067751</v>
      </c>
      <c r="U203" s="41">
        <f t="shared" si="54"/>
        <v>0</v>
      </c>
      <c r="V203" s="41">
        <f t="shared" si="55"/>
        <v>2.6538157383262151E-2</v>
      </c>
      <c r="W203" s="39">
        <f t="shared" si="41"/>
        <v>203.8</v>
      </c>
      <c r="X203" s="21"/>
    </row>
    <row r="204" spans="1:24" x14ac:dyDescent="0.2">
      <c r="A204" s="38">
        <v>45232</v>
      </c>
      <c r="B204" s="39">
        <v>206.82</v>
      </c>
      <c r="C204" s="39">
        <v>430.76</v>
      </c>
      <c r="D204" s="39">
        <v>38.784999999999997</v>
      </c>
      <c r="E204" s="41">
        <f t="shared" si="42"/>
        <v>1.4818449460255012E-2</v>
      </c>
      <c r="F204" s="41">
        <f t="shared" si="43"/>
        <v>1.9164340131547775E-2</v>
      </c>
      <c r="G204" s="41">
        <f t="shared" si="44"/>
        <v>1.9316688567674101E-2</v>
      </c>
      <c r="H204" s="41">
        <f t="shared" si="45"/>
        <v>0.1503420657433665</v>
      </c>
      <c r="I204" s="41">
        <f t="shared" si="46"/>
        <v>6.4998640195810031E-2</v>
      </c>
      <c r="J204" s="41">
        <f t="shared" si="47"/>
        <v>-6.8004325363450802E-2</v>
      </c>
      <c r="K204" s="42">
        <f t="shared" si="38"/>
        <v>115.03420657433672</v>
      </c>
      <c r="L204" s="42">
        <f t="shared" si="39"/>
        <v>106.49986401958118</v>
      </c>
      <c r="M204" s="42">
        <f t="shared" si="40"/>
        <v>93.199567463654915</v>
      </c>
      <c r="N204" s="41">
        <f t="shared" si="48"/>
        <v>8.0134774192636815E-2</v>
      </c>
      <c r="O204" s="41">
        <f t="shared" si="49"/>
        <v>0.23427833095037265</v>
      </c>
      <c r="P204" s="39">
        <f t="shared" si="50"/>
        <v>201.02920576648995</v>
      </c>
      <c r="Q204" s="42">
        <f t="shared" si="51"/>
        <v>1.1503420657433665</v>
      </c>
      <c r="R204" s="42">
        <f t="shared" si="52"/>
        <v>1.2721508426497581</v>
      </c>
      <c r="S204" s="41">
        <f t="shared" si="53"/>
        <v>-9.5750262329486469E-2</v>
      </c>
      <c r="T204" s="41">
        <f t="shared" si="37"/>
        <v>0.25890465557825443</v>
      </c>
      <c r="U204" s="41">
        <f t="shared" si="54"/>
        <v>0</v>
      </c>
      <c r="V204" s="41">
        <f t="shared" si="55"/>
        <v>-4.3458906712927625E-3</v>
      </c>
      <c r="W204" s="39">
        <f t="shared" si="41"/>
        <v>206.82</v>
      </c>
      <c r="X204" s="21"/>
    </row>
    <row r="205" spans="1:24" x14ac:dyDescent="0.2">
      <c r="A205" s="38">
        <v>45233</v>
      </c>
      <c r="B205" s="39">
        <v>207.78</v>
      </c>
      <c r="C205" s="39">
        <v>434.69</v>
      </c>
      <c r="D205" s="39">
        <v>39.395000000000003</v>
      </c>
      <c r="E205" s="41">
        <f t="shared" si="42"/>
        <v>4.6417174354511648E-3</v>
      </c>
      <c r="F205" s="41">
        <f t="shared" si="43"/>
        <v>9.1234097873527098E-3</v>
      </c>
      <c r="G205" s="41">
        <f t="shared" si="44"/>
        <v>1.5727729792445633E-2</v>
      </c>
      <c r="H205" s="41">
        <f t="shared" si="45"/>
        <v>0.15568162856666046</v>
      </c>
      <c r="I205" s="41">
        <f t="shared" si="46"/>
        <v>7.4715059213289914E-2</v>
      </c>
      <c r="J205" s="41">
        <f t="shared" si="47"/>
        <v>-5.3346149225039108E-2</v>
      </c>
      <c r="K205" s="42">
        <f t="shared" si="38"/>
        <v>115.56816285666611</v>
      </c>
      <c r="L205" s="42">
        <f t="shared" si="39"/>
        <v>107.47150592132914</v>
      </c>
      <c r="M205" s="42">
        <f t="shared" si="40"/>
        <v>94.665385077496097</v>
      </c>
      <c r="N205" s="41">
        <f t="shared" si="48"/>
        <v>7.5337708036434803E-2</v>
      </c>
      <c r="O205" s="41">
        <f t="shared" si="49"/>
        <v>0.22080697989088915</v>
      </c>
      <c r="P205" s="39">
        <f t="shared" si="50"/>
        <v>201.09637784841541</v>
      </c>
      <c r="Q205" s="42">
        <f t="shared" si="51"/>
        <v>1.1556816285666605</v>
      </c>
      <c r="R205" s="42">
        <f t="shared" si="52"/>
        <v>1.2721508426497581</v>
      </c>
      <c r="S205" s="41">
        <f t="shared" si="53"/>
        <v>-9.155299055613908E-2</v>
      </c>
      <c r="T205" s="41">
        <f t="shared" si="37"/>
        <v>0.2589484485142825</v>
      </c>
      <c r="U205" s="41">
        <f t="shared" si="54"/>
        <v>0</v>
      </c>
      <c r="V205" s="41">
        <f t="shared" si="55"/>
        <v>-4.481692351901545E-3</v>
      </c>
      <c r="W205" s="39">
        <f t="shared" si="41"/>
        <v>207.78</v>
      </c>
      <c r="X205" s="21"/>
    </row>
    <row r="206" spans="1:24" x14ac:dyDescent="0.2">
      <c r="A206" s="38">
        <v>45236</v>
      </c>
      <c r="B206" s="39">
        <v>207.14</v>
      </c>
      <c r="C206" s="39">
        <v>435.69</v>
      </c>
      <c r="D206" s="39">
        <v>39.200000000000003</v>
      </c>
      <c r="E206" s="41">
        <f t="shared" si="42"/>
        <v>-3.0801809606315622E-3</v>
      </c>
      <c r="F206" s="41">
        <f t="shared" si="43"/>
        <v>2.3004900043708254E-3</v>
      </c>
      <c r="G206" s="41">
        <f t="shared" si="44"/>
        <v>-4.9498667343571556E-3</v>
      </c>
      <c r="H206" s="41">
        <f t="shared" si="45"/>
        <v>0.15212192001779767</v>
      </c>
      <c r="I206" s="41">
        <f t="shared" si="46"/>
        <v>7.7187430464556783E-2</v>
      </c>
      <c r="J206" s="41">
        <f t="shared" si="47"/>
        <v>-5.8031959629941232E-2</v>
      </c>
      <c r="K206" s="42">
        <f t="shared" si="38"/>
        <v>115.21219200177985</v>
      </c>
      <c r="L206" s="42">
        <f t="shared" si="39"/>
        <v>107.71874304645586</v>
      </c>
      <c r="M206" s="42">
        <f t="shared" si="40"/>
        <v>94.19680403700589</v>
      </c>
      <c r="N206" s="41">
        <f t="shared" si="48"/>
        <v>6.9564949825792199E-2</v>
      </c>
      <c r="O206" s="41">
        <f t="shared" si="49"/>
        <v>0.22310085973318006</v>
      </c>
      <c r="P206" s="39">
        <f t="shared" si="50"/>
        <v>201.1565133922123</v>
      </c>
      <c r="Q206" s="42">
        <f t="shared" si="51"/>
        <v>1.1521219200177977</v>
      </c>
      <c r="R206" s="42">
        <f t="shared" si="52"/>
        <v>1.2721508426497581</v>
      </c>
      <c r="S206" s="41">
        <f t="shared" si="53"/>
        <v>-9.435117173837082E-2</v>
      </c>
      <c r="T206" s="41">
        <f t="shared" si="37"/>
        <v>0.25897622811777249</v>
      </c>
      <c r="U206" s="41">
        <f t="shared" si="54"/>
        <v>-3.235830823422825E-3</v>
      </c>
      <c r="V206" s="41">
        <f t="shared" si="55"/>
        <v>-5.3806709650023876E-3</v>
      </c>
      <c r="W206" s="39">
        <f t="shared" si="41"/>
        <v>207.14</v>
      </c>
      <c r="X206" s="21"/>
    </row>
    <row r="207" spans="1:24" x14ac:dyDescent="0.2">
      <c r="A207" s="38">
        <v>45237</v>
      </c>
      <c r="B207" s="39">
        <v>207.21</v>
      </c>
      <c r="C207" s="39">
        <v>436.93</v>
      </c>
      <c r="D207" s="39">
        <v>38.44</v>
      </c>
      <c r="E207" s="41">
        <f t="shared" si="42"/>
        <v>3.3793569566498149E-4</v>
      </c>
      <c r="F207" s="41">
        <f t="shared" si="43"/>
        <v>2.8460602722120143E-3</v>
      </c>
      <c r="G207" s="41">
        <f t="shared" si="44"/>
        <v>-1.9387755102040938E-2</v>
      </c>
      <c r="H207" s="41">
        <f t="shared" si="45"/>
        <v>0.15251126314032981</v>
      </c>
      <c r="I207" s="41">
        <f t="shared" si="46"/>
        <v>8.0253170816128039E-2</v>
      </c>
      <c r="J207" s="41">
        <f t="shared" si="47"/>
        <v>-7.6294605310585295E-2</v>
      </c>
      <c r="K207" s="42">
        <f t="shared" si="38"/>
        <v>115.25112631403304</v>
      </c>
      <c r="L207" s="42">
        <f t="shared" si="39"/>
        <v>108.02531708161295</v>
      </c>
      <c r="M207" s="42">
        <f t="shared" si="40"/>
        <v>92.370539468941487</v>
      </c>
      <c r="N207" s="41">
        <f t="shared" si="48"/>
        <v>6.6889960868720344E-2</v>
      </c>
      <c r="O207" s="41">
        <f t="shared" si="49"/>
        <v>0.24770437605579687</v>
      </c>
      <c r="P207" s="39">
        <f t="shared" si="50"/>
        <v>201.21674708980225</v>
      </c>
      <c r="Q207" s="42">
        <f t="shared" si="51"/>
        <v>1.1525112631403298</v>
      </c>
      <c r="R207" s="42">
        <f t="shared" si="52"/>
        <v>1.2721508426497581</v>
      </c>
      <c r="S207" s="41">
        <f t="shared" si="53"/>
        <v>-9.4045120671564009E-2</v>
      </c>
      <c r="T207" s="41">
        <f t="shared" si="37"/>
        <v>0.25863528427689125</v>
      </c>
      <c r="U207" s="41">
        <f t="shared" si="54"/>
        <v>0</v>
      </c>
      <c r="V207" s="41">
        <f t="shared" si="55"/>
        <v>-2.5081245765470328E-3</v>
      </c>
      <c r="W207" s="39">
        <f t="shared" si="41"/>
        <v>207.21</v>
      </c>
      <c r="X207" s="21"/>
    </row>
    <row r="208" spans="1:24" x14ac:dyDescent="0.2">
      <c r="A208" s="38">
        <v>45238</v>
      </c>
      <c r="B208" s="39">
        <v>208.43</v>
      </c>
      <c r="C208" s="39">
        <v>437.25</v>
      </c>
      <c r="D208" s="39">
        <v>38.56</v>
      </c>
      <c r="E208" s="41">
        <f t="shared" si="42"/>
        <v>5.8877467303701803E-3</v>
      </c>
      <c r="F208" s="41">
        <f t="shared" si="43"/>
        <v>7.3238276154063975E-4</v>
      </c>
      <c r="G208" s="41">
        <f t="shared" si="44"/>
        <v>3.1217481789802548E-3</v>
      </c>
      <c r="H208" s="41">
        <f t="shared" si="45"/>
        <v>0.15929695756159901</v>
      </c>
      <c r="I208" s="41">
        <f t="shared" si="46"/>
        <v>8.1044329616533295E-2</v>
      </c>
      <c r="J208" s="41">
        <f t="shared" si="47"/>
        <v>-7.3411029676799355E-2</v>
      </c>
      <c r="K208" s="42">
        <f t="shared" si="38"/>
        <v>115.92969575615997</v>
      </c>
      <c r="L208" s="42">
        <f t="shared" si="39"/>
        <v>108.1044329616535</v>
      </c>
      <c r="M208" s="42">
        <f t="shared" si="40"/>
        <v>92.65889703232007</v>
      </c>
      <c r="N208" s="41">
        <f t="shared" si="48"/>
        <v>7.2386141623649536E-2</v>
      </c>
      <c r="O208" s="41">
        <f t="shared" si="49"/>
        <v>0.25114478446384725</v>
      </c>
      <c r="P208" s="39">
        <f t="shared" si="50"/>
        <v>201.28852075060024</v>
      </c>
      <c r="Q208" s="42">
        <f t="shared" si="51"/>
        <v>1.159296957561599</v>
      </c>
      <c r="R208" s="42">
        <f t="shared" si="52"/>
        <v>1.2721508426497581</v>
      </c>
      <c r="S208" s="41">
        <f t="shared" si="53"/>
        <v>-8.8711087792935128E-2</v>
      </c>
      <c r="T208" s="41">
        <f t="shared" si="37"/>
        <v>0.25895932443454489</v>
      </c>
      <c r="U208" s="41">
        <f t="shared" si="54"/>
        <v>0</v>
      </c>
      <c r="V208" s="41">
        <f t="shared" si="55"/>
        <v>5.1553639688295405E-3</v>
      </c>
      <c r="W208" s="39">
        <f t="shared" si="41"/>
        <v>208.43</v>
      </c>
      <c r="X208" s="21"/>
    </row>
    <row r="209" spans="1:24" x14ac:dyDescent="0.2">
      <c r="A209" s="38">
        <v>45239</v>
      </c>
      <c r="B209" s="39">
        <v>209.23</v>
      </c>
      <c r="C209" s="39">
        <v>433.84</v>
      </c>
      <c r="D209" s="39">
        <v>38.229999999999997</v>
      </c>
      <c r="E209" s="41">
        <f t="shared" si="42"/>
        <v>3.8382190663530658E-3</v>
      </c>
      <c r="F209" s="41">
        <f t="shared" si="43"/>
        <v>-7.7987421383648448E-3</v>
      </c>
      <c r="G209" s="41">
        <f t="shared" si="44"/>
        <v>-8.5580912863072456E-3</v>
      </c>
      <c r="H209" s="41">
        <f t="shared" si="45"/>
        <v>0.16374659324767693</v>
      </c>
      <c r="I209" s="41">
        <f t="shared" si="46"/>
        <v>7.2613543649712398E-2</v>
      </c>
      <c r="J209" s="41">
        <f t="shared" si="47"/>
        <v>-8.1340862669710745E-2</v>
      </c>
      <c r="K209" s="42">
        <f t="shared" si="38"/>
        <v>116.37465932476778</v>
      </c>
      <c r="L209" s="42">
        <f t="shared" si="39"/>
        <v>107.26135436497144</v>
      </c>
      <c r="M209" s="42">
        <f t="shared" si="40"/>
        <v>91.865913733028947</v>
      </c>
      <c r="N209" s="41">
        <f t="shared" si="48"/>
        <v>8.496354547964402E-2</v>
      </c>
      <c r="O209" s="41">
        <f t="shared" si="49"/>
        <v>0.26678824164274362</v>
      </c>
      <c r="P209" s="39">
        <f t="shared" si="50"/>
        <v>201.36754044462413</v>
      </c>
      <c r="Q209" s="42">
        <f t="shared" si="51"/>
        <v>1.1637465932476769</v>
      </c>
      <c r="R209" s="42">
        <f t="shared" si="52"/>
        <v>1.2721508426497581</v>
      </c>
      <c r="S209" s="41">
        <f t="shared" si="53"/>
        <v>-8.5213361315145897E-2</v>
      </c>
      <c r="T209" s="41">
        <f t="shared" si="37"/>
        <v>0.25882052903024605</v>
      </c>
      <c r="U209" s="41">
        <f t="shared" si="54"/>
        <v>0</v>
      </c>
      <c r="V209" s="41">
        <f t="shared" si="55"/>
        <v>1.1636961204717911E-2</v>
      </c>
      <c r="W209" s="39">
        <f t="shared" si="41"/>
        <v>209.23</v>
      </c>
      <c r="X209" s="21"/>
    </row>
    <row r="210" spans="1:24" x14ac:dyDescent="0.2">
      <c r="A210" s="38">
        <v>45240</v>
      </c>
      <c r="B210" s="39">
        <v>211.66</v>
      </c>
      <c r="C210" s="39">
        <v>440.61</v>
      </c>
      <c r="D210" s="39">
        <v>38.68</v>
      </c>
      <c r="E210" s="41">
        <f t="shared" si="42"/>
        <v>1.1614013286813663E-2</v>
      </c>
      <c r="F210" s="41">
        <f t="shared" si="43"/>
        <v>1.5604831274202535E-2</v>
      </c>
      <c r="G210" s="41">
        <f t="shared" si="44"/>
        <v>1.1770860580695874E-2</v>
      </c>
      <c r="H210" s="41">
        <f t="shared" si="45"/>
        <v>0.17726236164413955</v>
      </c>
      <c r="I210" s="41">
        <f t="shared" si="46"/>
        <v>8.9351497020790704E-2</v>
      </c>
      <c r="J210" s="41">
        <f t="shared" si="47"/>
        <v>-7.0527454043013527E-2</v>
      </c>
      <c r="K210" s="42">
        <f t="shared" si="38"/>
        <v>117.72623616441405</v>
      </c>
      <c r="L210" s="42">
        <f t="shared" si="39"/>
        <v>108.93514970207927</v>
      </c>
      <c r="M210" s="42">
        <f t="shared" si="40"/>
        <v>92.947254595698652</v>
      </c>
      <c r="N210" s="41">
        <f t="shared" si="48"/>
        <v>8.0700182506538543E-2</v>
      </c>
      <c r="O210" s="41">
        <f t="shared" si="49"/>
        <v>0.2665918609054001</v>
      </c>
      <c r="P210" s="39">
        <f t="shared" si="50"/>
        <v>201.46995297751343</v>
      </c>
      <c r="Q210" s="42">
        <f t="shared" si="51"/>
        <v>1.1772623616441396</v>
      </c>
      <c r="R210" s="42">
        <f t="shared" si="52"/>
        <v>1.2721508426497581</v>
      </c>
      <c r="S210" s="41">
        <f t="shared" si="53"/>
        <v>-7.4589017138860458E-2</v>
      </c>
      <c r="T210" s="41">
        <f t="shared" si="37"/>
        <v>0.24599454213533389</v>
      </c>
      <c r="U210" s="41">
        <f t="shared" si="54"/>
        <v>0</v>
      </c>
      <c r="V210" s="41">
        <f t="shared" si="55"/>
        <v>-3.9908179873888727E-3</v>
      </c>
      <c r="W210" s="39">
        <f t="shared" si="41"/>
        <v>211.66</v>
      </c>
      <c r="X210" s="21"/>
    </row>
    <row r="211" spans="1:24" x14ac:dyDescent="0.2">
      <c r="A211" s="38">
        <v>45243</v>
      </c>
      <c r="B211" s="39">
        <v>210.49</v>
      </c>
      <c r="C211" s="39">
        <v>440.19</v>
      </c>
      <c r="D211" s="39">
        <v>38.625</v>
      </c>
      <c r="E211" s="41">
        <f t="shared" si="42"/>
        <v>-5.5277331569497656E-3</v>
      </c>
      <c r="F211" s="41">
        <f t="shared" si="43"/>
        <v>-9.5322393953845008E-4</v>
      </c>
      <c r="G211" s="41">
        <f t="shared" si="44"/>
        <v>-1.4219234746638554E-3</v>
      </c>
      <c r="H211" s="41">
        <f t="shared" si="45"/>
        <v>0.1707547694532503</v>
      </c>
      <c r="I211" s="41">
        <f t="shared" si="46"/>
        <v>8.8313101095258473E-2</v>
      </c>
      <c r="J211" s="41">
        <f t="shared" si="47"/>
        <v>-7.1849092875165388E-2</v>
      </c>
      <c r="K211" s="42">
        <f t="shared" si="38"/>
        <v>117.07547694532512</v>
      </c>
      <c r="L211" s="42">
        <f t="shared" si="39"/>
        <v>108.83131010952604</v>
      </c>
      <c r="M211" s="42">
        <f t="shared" si="40"/>
        <v>92.815090712483467</v>
      </c>
      <c r="N211" s="41">
        <f t="shared" si="48"/>
        <v>7.5751792636718163E-2</v>
      </c>
      <c r="O211" s="41">
        <f t="shared" si="49"/>
        <v>0.26138407070024638</v>
      </c>
      <c r="P211" s="39">
        <f t="shared" si="50"/>
        <v>201.55970468917999</v>
      </c>
      <c r="Q211" s="42">
        <f t="shared" si="51"/>
        <v>1.1707547694532503</v>
      </c>
      <c r="R211" s="42">
        <f t="shared" si="52"/>
        <v>1.2721508426497581</v>
      </c>
      <c r="S211" s="41">
        <f t="shared" si="53"/>
        <v>-7.9704442112627394E-2</v>
      </c>
      <c r="T211" s="41">
        <f t="shared" si="37"/>
        <v>0.24581313638534449</v>
      </c>
      <c r="U211" s="41">
        <f t="shared" si="54"/>
        <v>-5.6833830197410284E-3</v>
      </c>
      <c r="V211" s="41">
        <f t="shared" si="55"/>
        <v>-4.5745092174113156E-3</v>
      </c>
      <c r="W211" s="39">
        <f t="shared" si="41"/>
        <v>210.49</v>
      </c>
      <c r="X211" s="21"/>
    </row>
    <row r="212" spans="1:24" x14ac:dyDescent="0.2">
      <c r="A212" s="38">
        <v>45244</v>
      </c>
      <c r="B212" s="39">
        <v>216.54</v>
      </c>
      <c r="C212" s="39">
        <v>448.73</v>
      </c>
      <c r="D212" s="39">
        <v>39.765000000000001</v>
      </c>
      <c r="E212" s="41">
        <f t="shared" si="42"/>
        <v>2.8742458074017652E-2</v>
      </c>
      <c r="F212" s="41">
        <f t="shared" si="43"/>
        <v>1.9400713328335595E-2</v>
      </c>
      <c r="G212" s="41">
        <f t="shared" si="44"/>
        <v>2.9514563106796121E-2</v>
      </c>
      <c r="H212" s="41">
        <f t="shared" si="45"/>
        <v>0.20440513932921656</v>
      </c>
      <c r="I212" s="41">
        <f t="shared" si="46"/>
        <v>0.10942715158107941</v>
      </c>
      <c r="J212" s="41">
        <f t="shared" si="47"/>
        <v>-4.4455124354199405E-2</v>
      </c>
      <c r="K212" s="42">
        <f t="shared" si="38"/>
        <v>120.44051393292175</v>
      </c>
      <c r="L212" s="42">
        <f t="shared" si="39"/>
        <v>110.94271515810814</v>
      </c>
      <c r="M212" s="42">
        <f t="shared" si="40"/>
        <v>95.554487564580072</v>
      </c>
      <c r="N212" s="41">
        <f t="shared" si="48"/>
        <v>8.5609936274572807E-2</v>
      </c>
      <c r="O212" s="41">
        <f t="shared" si="49"/>
        <v>0.26043807049378498</v>
      </c>
      <c r="P212" s="39">
        <f t="shared" si="50"/>
        <v>201.70876235396429</v>
      </c>
      <c r="Q212" s="42">
        <f t="shared" si="51"/>
        <v>1.2044051393292166</v>
      </c>
      <c r="R212" s="42">
        <f t="shared" si="52"/>
        <v>1.2721508426497581</v>
      </c>
      <c r="S212" s="41">
        <f t="shared" si="53"/>
        <v>-5.3252885624344826E-2</v>
      </c>
      <c r="T212" s="41">
        <f t="shared" si="37"/>
        <v>0.25268154311156737</v>
      </c>
      <c r="U212" s="41">
        <f t="shared" si="54"/>
        <v>0</v>
      </c>
      <c r="V212" s="41">
        <f t="shared" si="55"/>
        <v>9.3417447456820568E-3</v>
      </c>
      <c r="W212" s="39">
        <f t="shared" si="41"/>
        <v>216.54</v>
      </c>
      <c r="X212" s="21"/>
    </row>
    <row r="213" spans="1:24" x14ac:dyDescent="0.2">
      <c r="A213" s="38">
        <v>45245</v>
      </c>
      <c r="B213" s="39">
        <v>210.87</v>
      </c>
      <c r="C213" s="39">
        <v>449.68</v>
      </c>
      <c r="D213" s="39">
        <v>39.94</v>
      </c>
      <c r="E213" s="41">
        <f t="shared" si="42"/>
        <v>-2.6184538653366562E-2</v>
      </c>
      <c r="F213" s="41">
        <f t="shared" si="43"/>
        <v>2.1170859982617696E-3</v>
      </c>
      <c r="G213" s="41">
        <f t="shared" si="44"/>
        <v>4.4008550232614851E-3</v>
      </c>
      <c r="H213" s="41">
        <f t="shared" si="45"/>
        <v>0.1728683464041374</v>
      </c>
      <c r="I213" s="41">
        <f t="shared" si="46"/>
        <v>0.11177590426978323</v>
      </c>
      <c r="J213" s="41">
        <f t="shared" si="47"/>
        <v>-4.0249909888261826E-2</v>
      </c>
      <c r="K213" s="42">
        <f t="shared" si="38"/>
        <v>117.28683464041383</v>
      </c>
      <c r="L213" s="42">
        <f t="shared" si="39"/>
        <v>111.1775904269785</v>
      </c>
      <c r="M213" s="42">
        <f t="shared" si="40"/>
        <v>95.975009011173853</v>
      </c>
      <c r="N213" s="41">
        <f t="shared" si="48"/>
        <v>5.495032038356662E-2</v>
      </c>
      <c r="O213" s="41">
        <f t="shared" si="49"/>
        <v>0.2220559898750174</v>
      </c>
      <c r="P213" s="39">
        <f t="shared" si="50"/>
        <v>201.79991894745717</v>
      </c>
      <c r="Q213" s="42">
        <f t="shared" si="51"/>
        <v>1.1728683464041374</v>
      </c>
      <c r="R213" s="42">
        <f t="shared" si="52"/>
        <v>1.2721508426497581</v>
      </c>
      <c r="S213" s="41">
        <f t="shared" si="53"/>
        <v>-7.8043022035677478E-2</v>
      </c>
      <c r="T213" s="41">
        <f t="shared" si="37"/>
        <v>0.25775235025214216</v>
      </c>
      <c r="U213" s="41">
        <f t="shared" si="54"/>
        <v>-2.6340188516157825E-2</v>
      </c>
      <c r="V213" s="41">
        <f t="shared" si="55"/>
        <v>-2.8301624651628332E-2</v>
      </c>
      <c r="W213" s="39">
        <f t="shared" si="41"/>
        <v>210.87</v>
      </c>
      <c r="X213" s="21"/>
    </row>
    <row r="214" spans="1:24" x14ac:dyDescent="0.2">
      <c r="A214" s="38">
        <v>45246</v>
      </c>
      <c r="B214" s="39">
        <v>212.27</v>
      </c>
      <c r="C214" s="39">
        <v>450.23</v>
      </c>
      <c r="D214" s="39">
        <v>40.06</v>
      </c>
      <c r="E214" s="41">
        <f t="shared" si="42"/>
        <v>6.6391615687391159E-3</v>
      </c>
      <c r="F214" s="41">
        <f t="shared" si="43"/>
        <v>1.2230919765165993E-3</v>
      </c>
      <c r="G214" s="41">
        <f t="shared" si="44"/>
        <v>3.0045067601403019E-3</v>
      </c>
      <c r="H214" s="41">
        <f t="shared" si="45"/>
        <v>0.18065520885477437</v>
      </c>
      <c r="I214" s="41">
        <f t="shared" si="46"/>
        <v>0.11313570845798004</v>
      </c>
      <c r="J214" s="41">
        <f t="shared" si="47"/>
        <v>-3.7366334254475886E-2</v>
      </c>
      <c r="K214" s="42">
        <f t="shared" si="38"/>
        <v>118.0655208854775</v>
      </c>
      <c r="L214" s="42">
        <f t="shared" si="39"/>
        <v>111.31357084579821</v>
      </c>
      <c r="M214" s="42">
        <f t="shared" si="40"/>
        <v>96.26336657455245</v>
      </c>
      <c r="N214" s="41">
        <f t="shared" si="48"/>
        <v>6.0657024910582225E-2</v>
      </c>
      <c r="O214" s="41">
        <f t="shared" si="49"/>
        <v>0.22648443625789949</v>
      </c>
      <c r="P214" s="39">
        <f t="shared" si="50"/>
        <v>201.90409885842777</v>
      </c>
      <c r="Q214" s="42">
        <f t="shared" si="51"/>
        <v>1.1806552088547744</v>
      </c>
      <c r="R214" s="42">
        <f t="shared" si="52"/>
        <v>1.2721508426497581</v>
      </c>
      <c r="S214" s="41">
        <f t="shared" si="53"/>
        <v>-7.1922000699545796E-2</v>
      </c>
      <c r="T214" s="41">
        <f t="shared" si="37"/>
        <v>0.25699334395802914</v>
      </c>
      <c r="U214" s="41">
        <f t="shared" si="54"/>
        <v>0</v>
      </c>
      <c r="V214" s="41">
        <f t="shared" si="55"/>
        <v>5.4160695922225166E-3</v>
      </c>
      <c r="W214" s="39">
        <f t="shared" si="41"/>
        <v>212.27</v>
      </c>
      <c r="X214" s="21"/>
    </row>
    <row r="215" spans="1:24" x14ac:dyDescent="0.2">
      <c r="A215" s="38">
        <v>45247</v>
      </c>
      <c r="B215" s="39">
        <v>212.35</v>
      </c>
      <c r="C215" s="39">
        <v>450.79</v>
      </c>
      <c r="D215" s="39">
        <v>40.134999999999998</v>
      </c>
      <c r="E215" s="41">
        <f t="shared" si="42"/>
        <v>3.7687850379231058E-4</v>
      </c>
      <c r="F215" s="41">
        <f t="shared" si="43"/>
        <v>1.243808719987527E-3</v>
      </c>
      <c r="G215" s="41">
        <f t="shared" si="44"/>
        <v>1.8721917124311371E-3</v>
      </c>
      <c r="H215" s="41">
        <f t="shared" si="45"/>
        <v>0.18110017242338206</v>
      </c>
      <c r="I215" s="41">
        <f t="shared" si="46"/>
        <v>0.11452023635868946</v>
      </c>
      <c r="J215" s="41">
        <f t="shared" si="47"/>
        <v>-3.5564099483359923E-2</v>
      </c>
      <c r="K215" s="42">
        <f t="shared" si="38"/>
        <v>118.1100172423383</v>
      </c>
      <c r="L215" s="42">
        <f t="shared" si="39"/>
        <v>111.45202363586917</v>
      </c>
      <c r="M215" s="42">
        <f t="shared" si="40"/>
        <v>96.443590051664046</v>
      </c>
      <c r="N215" s="41">
        <f t="shared" si="48"/>
        <v>5.9738651567440071E-2</v>
      </c>
      <c r="O215" s="41">
        <f t="shared" si="49"/>
        <v>0.22465388502302419</v>
      </c>
      <c r="P215" s="39">
        <f t="shared" si="50"/>
        <v>202.00803817326928</v>
      </c>
      <c r="Q215" s="42">
        <f t="shared" si="51"/>
        <v>1.1811001724233821</v>
      </c>
      <c r="R215" s="42">
        <f t="shared" si="52"/>
        <v>1.2721508426497581</v>
      </c>
      <c r="S215" s="41">
        <f t="shared" si="53"/>
        <v>-7.1572228051766995E-2</v>
      </c>
      <c r="T215" s="41">
        <f t="shared" si="37"/>
        <v>0.2562566945551592</v>
      </c>
      <c r="U215" s="41">
        <f t="shared" si="54"/>
        <v>0</v>
      </c>
      <c r="V215" s="41">
        <f t="shared" si="55"/>
        <v>-8.6693021619521637E-4</v>
      </c>
      <c r="W215" s="39">
        <f t="shared" si="41"/>
        <v>212.35</v>
      </c>
      <c r="X215" s="21"/>
    </row>
    <row r="216" spans="1:24" x14ac:dyDescent="0.2">
      <c r="A216" s="38">
        <v>45250</v>
      </c>
      <c r="B216" s="39">
        <v>210.38</v>
      </c>
      <c r="C216" s="39">
        <v>454.26</v>
      </c>
      <c r="D216" s="39">
        <v>40.204999999999998</v>
      </c>
      <c r="E216" s="41">
        <f t="shared" si="42"/>
        <v>-9.2771368024487932E-3</v>
      </c>
      <c r="F216" s="41">
        <f t="shared" si="43"/>
        <v>7.6975975509661065E-3</v>
      </c>
      <c r="G216" s="41">
        <f t="shared" si="44"/>
        <v>1.7441136165441407E-3</v>
      </c>
      <c r="H216" s="41">
        <f t="shared" si="45"/>
        <v>0.17014294454641443</v>
      </c>
      <c r="I216" s="41">
        <f t="shared" si="46"/>
        <v>0.12309936460058624</v>
      </c>
      <c r="J216" s="41">
        <f t="shared" si="47"/>
        <v>-3.3882013696984847E-2</v>
      </c>
      <c r="K216" s="42">
        <f t="shared" si="38"/>
        <v>117.01429445464153</v>
      </c>
      <c r="L216" s="42">
        <f t="shared" si="39"/>
        <v>112.30993646005882</v>
      </c>
      <c r="M216" s="42">
        <f t="shared" si="40"/>
        <v>96.611798630301564</v>
      </c>
      <c r="N216" s="41">
        <f t="shared" si="48"/>
        <v>4.1887282130694148E-2</v>
      </c>
      <c r="O216" s="41">
        <f t="shared" si="49"/>
        <v>0.21118016757366154</v>
      </c>
      <c r="P216" s="39">
        <f t="shared" si="50"/>
        <v>202.09134127602283</v>
      </c>
      <c r="Q216" s="42">
        <f t="shared" si="51"/>
        <v>1.1701429445464144</v>
      </c>
      <c r="R216" s="42">
        <f t="shared" si="52"/>
        <v>1.2721508426497581</v>
      </c>
      <c r="S216" s="41">
        <f t="shared" si="53"/>
        <v>-8.0185379503323495E-2</v>
      </c>
      <c r="T216" s="41">
        <f t="shared" si="37"/>
        <v>0.2569478845256844</v>
      </c>
      <c r="U216" s="41">
        <f t="shared" si="54"/>
        <v>-9.432786665240056E-3</v>
      </c>
      <c r="V216" s="41">
        <f t="shared" si="55"/>
        <v>-1.69747343534149E-2</v>
      </c>
      <c r="W216" s="39">
        <f t="shared" si="41"/>
        <v>210.38</v>
      </c>
      <c r="X216" s="21"/>
    </row>
    <row r="217" spans="1:24" x14ac:dyDescent="0.2">
      <c r="A217" s="38">
        <v>45251</v>
      </c>
      <c r="B217" s="39">
        <v>209.84</v>
      </c>
      <c r="C217" s="39">
        <v>453.27</v>
      </c>
      <c r="D217" s="39">
        <v>40.36</v>
      </c>
      <c r="E217" s="41">
        <f t="shared" si="42"/>
        <v>-2.5667839148207916E-3</v>
      </c>
      <c r="F217" s="41">
        <f t="shared" si="43"/>
        <v>-2.179368643508095E-3</v>
      </c>
      <c r="G217" s="41">
        <f t="shared" si="44"/>
        <v>3.8552418853377013E-3</v>
      </c>
      <c r="H217" s="41">
        <f t="shared" si="45"/>
        <v>0.16713944045831175</v>
      </c>
      <c r="I217" s="41">
        <f t="shared" si="46"/>
        <v>0.12065171706183175</v>
      </c>
      <c r="J217" s="41">
        <f t="shared" si="47"/>
        <v>-3.015739517001137E-2</v>
      </c>
      <c r="K217" s="42">
        <f t="shared" si="38"/>
        <v>116.71394404583127</v>
      </c>
      <c r="L217" s="42">
        <f t="shared" si="39"/>
        <v>112.06517170618339</v>
      </c>
      <c r="M217" s="42">
        <f t="shared" si="40"/>
        <v>96.984260482998906</v>
      </c>
      <c r="N217" s="41">
        <f t="shared" si="48"/>
        <v>4.1482757478267462E-2</v>
      </c>
      <c r="O217" s="41">
        <f t="shared" si="49"/>
        <v>0.20343180908505132</v>
      </c>
      <c r="P217" s="39">
        <f t="shared" si="50"/>
        <v>202.16844235785348</v>
      </c>
      <c r="Q217" s="42">
        <f t="shared" si="51"/>
        <v>1.1671394404583117</v>
      </c>
      <c r="R217" s="42">
        <f t="shared" si="52"/>
        <v>1.2721508426497581</v>
      </c>
      <c r="S217" s="41">
        <f t="shared" si="53"/>
        <v>-8.2546344875831346E-2</v>
      </c>
      <c r="T217" s="41">
        <f t="shared" si="37"/>
        <v>0.25697236898564235</v>
      </c>
      <c r="U217" s="41">
        <f t="shared" si="54"/>
        <v>-2.7224337776120544E-3</v>
      </c>
      <c r="V217" s="41">
        <f t="shared" si="55"/>
        <v>-3.874152713126966E-4</v>
      </c>
      <c r="W217" s="39">
        <f t="shared" si="41"/>
        <v>209.84</v>
      </c>
      <c r="X217" s="21"/>
    </row>
    <row r="218" spans="1:24" x14ac:dyDescent="0.2">
      <c r="A218" s="38">
        <v>45252</v>
      </c>
      <c r="B218" s="39">
        <v>211.9</v>
      </c>
      <c r="C218" s="39">
        <v>455.02</v>
      </c>
      <c r="D218" s="39">
        <v>40.384999999999998</v>
      </c>
      <c r="E218" s="41">
        <f t="shared" si="42"/>
        <v>9.8170034311857446E-3</v>
      </c>
      <c r="F218" s="41">
        <f t="shared" si="43"/>
        <v>3.8608334987977333E-3</v>
      </c>
      <c r="G218" s="41">
        <f t="shared" si="44"/>
        <v>6.1942517343904768E-4</v>
      </c>
      <c r="H218" s="41">
        <f t="shared" si="45"/>
        <v>0.17859725234996326</v>
      </c>
      <c r="I218" s="41">
        <f t="shared" si="46"/>
        <v>0.12497836675154916</v>
      </c>
      <c r="J218" s="41">
        <f t="shared" si="47"/>
        <v>-2.9556650246305938E-2</v>
      </c>
      <c r="K218" s="42">
        <f t="shared" si="38"/>
        <v>117.85972523499639</v>
      </c>
      <c r="L218" s="42">
        <f t="shared" si="39"/>
        <v>112.49783667515514</v>
      </c>
      <c r="M218" s="42">
        <f t="shared" si="40"/>
        <v>97.044334975369452</v>
      </c>
      <c r="N218" s="41">
        <f t="shared" si="48"/>
        <v>4.7662148164895113E-2</v>
      </c>
      <c r="O218" s="41">
        <f t="shared" si="49"/>
        <v>0.21449361536569889</v>
      </c>
      <c r="P218" s="39">
        <f t="shared" si="50"/>
        <v>202.26527377717832</v>
      </c>
      <c r="Q218" s="42">
        <f t="shared" si="51"/>
        <v>1.1785972523499633</v>
      </c>
      <c r="R218" s="42">
        <f t="shared" si="52"/>
        <v>1.2721508426497581</v>
      </c>
      <c r="S218" s="41">
        <f t="shared" si="53"/>
        <v>-7.3539699195523389E-2</v>
      </c>
      <c r="T218" s="41">
        <f t="shared" si="37"/>
        <v>0.25555879061556042</v>
      </c>
      <c r="U218" s="41">
        <f t="shared" si="54"/>
        <v>0</v>
      </c>
      <c r="V218" s="41">
        <f t="shared" si="55"/>
        <v>5.9561699323880113E-3</v>
      </c>
      <c r="W218" s="39">
        <f t="shared" si="41"/>
        <v>211.9</v>
      </c>
      <c r="X218" s="21"/>
    </row>
    <row r="219" spans="1:24" x14ac:dyDescent="0.2">
      <c r="A219" s="38">
        <v>45254</v>
      </c>
      <c r="B219" s="39">
        <v>211.68</v>
      </c>
      <c r="C219" s="39">
        <v>455.3</v>
      </c>
      <c r="D219" s="39">
        <v>40.56</v>
      </c>
      <c r="E219" s="41">
        <f t="shared" si="42"/>
        <v>-1.0382255781028471E-3</v>
      </c>
      <c r="F219" s="41">
        <f t="shared" si="43"/>
        <v>6.153575667005029E-4</v>
      </c>
      <c r="G219" s="41">
        <f t="shared" si="44"/>
        <v>4.333292063885219E-3</v>
      </c>
      <c r="H219" s="41">
        <f t="shared" si="45"/>
        <v>0.17737360253629175</v>
      </c>
      <c r="I219" s="41">
        <f t="shared" si="46"/>
        <v>0.12567063070190421</v>
      </c>
      <c r="J219" s="41">
        <f t="shared" si="47"/>
        <v>-2.5351435780368026E-2</v>
      </c>
      <c r="K219" s="42">
        <f t="shared" si="38"/>
        <v>117.73736025362925</v>
      </c>
      <c r="L219" s="42">
        <f t="shared" si="39"/>
        <v>112.56706307019061</v>
      </c>
      <c r="M219" s="42">
        <f t="shared" si="40"/>
        <v>97.464856421963233</v>
      </c>
      <c r="N219" s="41">
        <f t="shared" si="48"/>
        <v>4.5930817082922903E-2</v>
      </c>
      <c r="O219" s="41">
        <f t="shared" si="49"/>
        <v>0.20799808849969925</v>
      </c>
      <c r="P219" s="39">
        <f t="shared" si="50"/>
        <v>202.35895264506712</v>
      </c>
      <c r="Q219" s="42">
        <f t="shared" si="51"/>
        <v>1.1773736025362918</v>
      </c>
      <c r="R219" s="42">
        <f t="shared" si="52"/>
        <v>1.2721508426497581</v>
      </c>
      <c r="S219" s="41">
        <f t="shared" si="53"/>
        <v>-7.4501573976915481E-2</v>
      </c>
      <c r="T219" s="41">
        <f t="shared" si="37"/>
        <v>0.25554999322959088</v>
      </c>
      <c r="U219" s="41">
        <f t="shared" si="54"/>
        <v>-1.1938754408941099E-3</v>
      </c>
      <c r="V219" s="41">
        <f t="shared" si="55"/>
        <v>-1.65358314480335E-3</v>
      </c>
      <c r="W219" s="39">
        <f t="shared" si="41"/>
        <v>211.68</v>
      </c>
      <c r="X219" s="21"/>
    </row>
    <row r="220" spans="1:24" x14ac:dyDescent="0.2">
      <c r="A220" s="38">
        <v>45257</v>
      </c>
      <c r="B220" s="39">
        <v>212.85</v>
      </c>
      <c r="C220" s="39">
        <v>454.48</v>
      </c>
      <c r="D220" s="39">
        <v>40.51</v>
      </c>
      <c r="E220" s="41">
        <f t="shared" si="42"/>
        <v>5.527210884353595E-3</v>
      </c>
      <c r="F220" s="41">
        <f t="shared" si="43"/>
        <v>-1.8010103228640606E-3</v>
      </c>
      <c r="G220" s="41">
        <f t="shared" si="44"/>
        <v>-1.2327416173570915E-3</v>
      </c>
      <c r="H220" s="41">
        <f t="shared" si="45"/>
        <v>0.18388119472718101</v>
      </c>
      <c r="I220" s="41">
        <f t="shared" si="46"/>
        <v>0.12364328627586518</v>
      </c>
      <c r="J220" s="41">
        <f t="shared" si="47"/>
        <v>-2.6552925627778889E-2</v>
      </c>
      <c r="K220" s="42">
        <f t="shared" si="38"/>
        <v>118.38811947271817</v>
      </c>
      <c r="L220" s="42">
        <f t="shared" si="39"/>
        <v>112.36432862758672</v>
      </c>
      <c r="M220" s="42">
        <f t="shared" si="40"/>
        <v>97.344707437222141</v>
      </c>
      <c r="N220" s="41">
        <f t="shared" si="48"/>
        <v>5.360945879093415E-2</v>
      </c>
      <c r="O220" s="41">
        <f t="shared" si="49"/>
        <v>0.2161741772049286</v>
      </c>
      <c r="P220" s="39">
        <f t="shared" si="50"/>
        <v>202.463341175962</v>
      </c>
      <c r="Q220" s="42">
        <f t="shared" si="51"/>
        <v>1.183881194727181</v>
      </c>
      <c r="R220" s="42">
        <f t="shared" si="52"/>
        <v>1.2721508426497581</v>
      </c>
      <c r="S220" s="41">
        <f t="shared" si="53"/>
        <v>-6.9386149003148545E-2</v>
      </c>
      <c r="T220" s="41">
        <f t="shared" ref="T220:T283" si="56">IFERROR(_xlfn.STDEV.S(E161:E220)*SQRT($D$7),"")</f>
        <v>0.2558357454742895</v>
      </c>
      <c r="U220" s="41">
        <f t="shared" si="54"/>
        <v>0</v>
      </c>
      <c r="V220" s="41">
        <f t="shared" si="55"/>
        <v>7.3282212072176556E-3</v>
      </c>
      <c r="W220" s="39">
        <f t="shared" si="41"/>
        <v>212.85</v>
      </c>
      <c r="X220" s="21"/>
    </row>
    <row r="221" spans="1:24" x14ac:dyDescent="0.2">
      <c r="A221" s="38">
        <v>45258</v>
      </c>
      <c r="B221" s="39">
        <v>211.16</v>
      </c>
      <c r="C221" s="39">
        <v>454.93</v>
      </c>
      <c r="D221" s="39">
        <v>40.590000000000003</v>
      </c>
      <c r="E221" s="41">
        <f t="shared" si="42"/>
        <v>-7.9398637538172778E-3</v>
      </c>
      <c r="F221" s="41">
        <f t="shared" si="43"/>
        <v>9.9014258053164994E-4</v>
      </c>
      <c r="G221" s="41">
        <f t="shared" si="44"/>
        <v>1.9748210318442094E-3</v>
      </c>
      <c r="H221" s="41">
        <f t="shared" si="45"/>
        <v>0.17448133934034082</v>
      </c>
      <c r="I221" s="41">
        <f t="shared" si="46"/>
        <v>0.12475585333893546</v>
      </c>
      <c r="J221" s="41">
        <f t="shared" si="47"/>
        <v>-2.4630541871921374E-2</v>
      </c>
      <c r="K221" s="42">
        <f t="shared" si="38"/>
        <v>117.44813393403415</v>
      </c>
      <c r="L221" s="42">
        <f t="shared" si="39"/>
        <v>112.47558533389372</v>
      </c>
      <c r="M221" s="42">
        <f t="shared" si="40"/>
        <v>97.536945812807886</v>
      </c>
      <c r="N221" s="41">
        <f t="shared" si="48"/>
        <v>4.4210026428216365E-2</v>
      </c>
      <c r="O221" s="41">
        <f t="shared" si="49"/>
        <v>0.20413995902065274</v>
      </c>
      <c r="P221" s="39">
        <f t="shared" si="50"/>
        <v>202.54987509460915</v>
      </c>
      <c r="Q221" s="42">
        <f t="shared" si="51"/>
        <v>1.1744813393403408</v>
      </c>
      <c r="R221" s="42">
        <f t="shared" si="52"/>
        <v>1.2721508426497581</v>
      </c>
      <c r="S221" s="41">
        <f t="shared" si="53"/>
        <v>-7.6775096187478686E-2</v>
      </c>
      <c r="T221" s="41">
        <f t="shared" si="56"/>
        <v>0.25225387315927073</v>
      </c>
      <c r="U221" s="41">
        <f t="shared" si="54"/>
        <v>-8.0955136166085406E-3</v>
      </c>
      <c r="V221" s="41">
        <f t="shared" si="55"/>
        <v>-8.9300063343489278E-3</v>
      </c>
      <c r="W221" s="39">
        <f t="shared" si="41"/>
        <v>211.16</v>
      </c>
      <c r="X221" s="21"/>
    </row>
    <row r="222" spans="1:24" x14ac:dyDescent="0.2">
      <c r="A222" s="38">
        <v>45259</v>
      </c>
      <c r="B222" s="39">
        <v>212.68</v>
      </c>
      <c r="C222" s="39">
        <v>454.61</v>
      </c>
      <c r="D222" s="39">
        <v>40.799999999999997</v>
      </c>
      <c r="E222" s="41">
        <f t="shared" si="42"/>
        <v>7.1983330176170757E-3</v>
      </c>
      <c r="F222" s="41">
        <f t="shared" si="43"/>
        <v>-7.034049194380998E-4</v>
      </c>
      <c r="G222" s="41">
        <f t="shared" si="44"/>
        <v>5.1736881005171043E-3</v>
      </c>
      <c r="H222" s="41">
        <f t="shared" si="45"/>
        <v>0.18293564714388943</v>
      </c>
      <c r="I222" s="41">
        <f t="shared" si="46"/>
        <v>0.12396469453852998</v>
      </c>
      <c r="J222" s="41">
        <f t="shared" si="47"/>
        <v>-1.9584284512796368E-2</v>
      </c>
      <c r="K222" s="42">
        <f t="shared" si="38"/>
        <v>118.29356471438901</v>
      </c>
      <c r="L222" s="42">
        <f t="shared" si="39"/>
        <v>112.39646945385317</v>
      </c>
      <c r="M222" s="42">
        <f t="shared" si="40"/>
        <v>98.041571548720398</v>
      </c>
      <c r="N222" s="41">
        <f t="shared" si="48"/>
        <v>5.2466908339653173E-2</v>
      </c>
      <c r="O222" s="41">
        <f t="shared" si="49"/>
        <v>0.20656536656600455</v>
      </c>
      <c r="P222" s="39">
        <f t="shared" si="50"/>
        <v>202.65067235734935</v>
      </c>
      <c r="Q222" s="42">
        <f t="shared" si="51"/>
        <v>1.1829356471438894</v>
      </c>
      <c r="R222" s="42">
        <f t="shared" si="52"/>
        <v>1.2721508426497581</v>
      </c>
      <c r="S222" s="41">
        <f t="shared" si="53"/>
        <v>-7.0129415879678803E-2</v>
      </c>
      <c r="T222" s="41">
        <f t="shared" si="56"/>
        <v>0.24528867773032767</v>
      </c>
      <c r="U222" s="41">
        <f t="shared" si="54"/>
        <v>0</v>
      </c>
      <c r="V222" s="41">
        <f t="shared" si="55"/>
        <v>7.9017379370551755E-3</v>
      </c>
      <c r="W222" s="39">
        <f t="shared" si="41"/>
        <v>212.68</v>
      </c>
      <c r="X222" s="21"/>
    </row>
    <row r="223" spans="1:24" x14ac:dyDescent="0.2">
      <c r="A223" s="38">
        <v>45260</v>
      </c>
      <c r="B223" s="39">
        <v>213.56</v>
      </c>
      <c r="C223" s="39">
        <v>456.4</v>
      </c>
      <c r="D223" s="39">
        <v>41.204999999999998</v>
      </c>
      <c r="E223" s="41">
        <f t="shared" si="42"/>
        <v>4.1376716193342045E-3</v>
      </c>
      <c r="F223" s="41">
        <f t="shared" si="43"/>
        <v>3.9374408833945385E-3</v>
      </c>
      <c r="G223" s="41">
        <f t="shared" si="44"/>
        <v>9.9264705882353699E-3</v>
      </c>
      <c r="H223" s="41">
        <f t="shared" si="45"/>
        <v>0.18783024639857548</v>
      </c>
      <c r="I223" s="41">
        <f t="shared" si="46"/>
        <v>0.12839023907829805</v>
      </c>
      <c r="J223" s="41">
        <f t="shared" si="47"/>
        <v>-9.852216748768905E-3</v>
      </c>
      <c r="K223" s="42">
        <f t="shared" si="38"/>
        <v>118.78302463985762</v>
      </c>
      <c r="L223" s="42">
        <f t="shared" si="39"/>
        <v>112.83902390782998</v>
      </c>
      <c r="M223" s="42">
        <f t="shared" si="40"/>
        <v>99.014778325123146</v>
      </c>
      <c r="N223" s="41">
        <f t="shared" si="48"/>
        <v>5.2676818056162755E-2</v>
      </c>
      <c r="O223" s="41">
        <f t="shared" si="49"/>
        <v>0.1996494528304027</v>
      </c>
      <c r="P223" s="39">
        <f t="shared" si="50"/>
        <v>202.7592228811568</v>
      </c>
      <c r="Q223" s="42">
        <f t="shared" si="51"/>
        <v>1.1878302463985755</v>
      </c>
      <c r="R223" s="42">
        <f t="shared" si="52"/>
        <v>1.2721508426497581</v>
      </c>
      <c r="S223" s="41">
        <f t="shared" si="53"/>
        <v>-6.6281916754110326E-2</v>
      </c>
      <c r="T223" s="41">
        <f t="shared" si="56"/>
        <v>0.24524937055511489</v>
      </c>
      <c r="U223" s="41">
        <f t="shared" si="54"/>
        <v>0</v>
      </c>
      <c r="V223" s="41">
        <f t="shared" si="55"/>
        <v>2.00230735939666E-4</v>
      </c>
      <c r="W223" s="39">
        <f t="shared" si="41"/>
        <v>213.56</v>
      </c>
      <c r="X223" s="21"/>
    </row>
    <row r="224" spans="1:24" x14ac:dyDescent="0.2">
      <c r="A224" s="38">
        <v>45261</v>
      </c>
      <c r="B224" s="39">
        <v>215.63</v>
      </c>
      <c r="C224" s="39">
        <v>459.1</v>
      </c>
      <c r="D224" s="39">
        <v>41.674999999999997</v>
      </c>
      <c r="E224" s="41">
        <f t="shared" si="42"/>
        <v>9.692826371979768E-3</v>
      </c>
      <c r="F224" s="41">
        <f t="shared" si="43"/>
        <v>5.9158632778266718E-3</v>
      </c>
      <c r="G224" s="41">
        <f t="shared" si="44"/>
        <v>1.1406382720543506E-2</v>
      </c>
      <c r="H224" s="41">
        <f t="shared" si="45"/>
        <v>0.19934367873630277</v>
      </c>
      <c r="I224" s="41">
        <f t="shared" si="46"/>
        <v>0.13506564145671951</v>
      </c>
      <c r="J224" s="41">
        <f t="shared" si="47"/>
        <v>1.4417878168924148E-3</v>
      </c>
      <c r="K224" s="42">
        <f t="shared" si="38"/>
        <v>119.93436787363035</v>
      </c>
      <c r="L224" s="42">
        <f t="shared" si="39"/>
        <v>113.5065641456721</v>
      </c>
      <c r="M224" s="42">
        <f t="shared" si="40"/>
        <v>100.14417878168929</v>
      </c>
      <c r="N224" s="41">
        <f t="shared" si="48"/>
        <v>5.6629356868815206E-2</v>
      </c>
      <c r="O224" s="41">
        <f t="shared" si="49"/>
        <v>0.19761696918083427</v>
      </c>
      <c r="P224" s="39">
        <f t="shared" si="50"/>
        <v>202.88729031517516</v>
      </c>
      <c r="Q224" s="42">
        <f t="shared" si="51"/>
        <v>1.1993436787363028</v>
      </c>
      <c r="R224" s="42">
        <f t="shared" si="52"/>
        <v>1.2721508426497581</v>
      </c>
      <c r="S224" s="41">
        <f t="shared" si="53"/>
        <v>-5.7231549492830269E-2</v>
      </c>
      <c r="T224" s="41">
        <f t="shared" si="56"/>
        <v>0.2460337878575381</v>
      </c>
      <c r="U224" s="41">
        <f t="shared" si="54"/>
        <v>0</v>
      </c>
      <c r="V224" s="41">
        <f t="shared" si="55"/>
        <v>3.7769630941530963E-3</v>
      </c>
      <c r="W224" s="39">
        <f t="shared" si="41"/>
        <v>215.63</v>
      </c>
      <c r="X224" s="21"/>
    </row>
    <row r="225" spans="1:24" x14ac:dyDescent="0.2">
      <c r="A225" s="38">
        <v>45264</v>
      </c>
      <c r="B225" s="39">
        <v>214.8</v>
      </c>
      <c r="C225" s="39">
        <v>456.69</v>
      </c>
      <c r="D225" s="39">
        <v>41.19</v>
      </c>
      <c r="E225" s="41">
        <f t="shared" si="42"/>
        <v>-3.8491861058294052E-3</v>
      </c>
      <c r="F225" s="41">
        <f t="shared" si="43"/>
        <v>-5.2494010019603632E-3</v>
      </c>
      <c r="G225" s="41">
        <f t="shared" si="44"/>
        <v>-1.1637672465506843E-2</v>
      </c>
      <c r="H225" s="41">
        <f t="shared" si="45"/>
        <v>0.19472718171199666</v>
      </c>
      <c r="I225" s="41">
        <f t="shared" si="46"/>
        <v>0.12910722674116593</v>
      </c>
      <c r="J225" s="41">
        <f t="shared" si="47"/>
        <v>-1.0212663702992231E-2</v>
      </c>
      <c r="K225" s="42">
        <f t="shared" si="38"/>
        <v>119.47271817119976</v>
      </c>
      <c r="L225" s="42">
        <f t="shared" si="39"/>
        <v>112.91072267411676</v>
      </c>
      <c r="M225" s="42">
        <f t="shared" si="40"/>
        <v>98.978733629700827</v>
      </c>
      <c r="N225" s="41">
        <f t="shared" si="48"/>
        <v>5.8116672550421411E-2</v>
      </c>
      <c r="O225" s="41">
        <f t="shared" si="49"/>
        <v>0.20705442260123252</v>
      </c>
      <c r="P225" s="39">
        <f t="shared" si="50"/>
        <v>203.00582473989979</v>
      </c>
      <c r="Q225" s="42">
        <f t="shared" si="51"/>
        <v>1.1947271817119967</v>
      </c>
      <c r="R225" s="42">
        <f t="shared" si="52"/>
        <v>1.2721508426497581</v>
      </c>
      <c r="S225" s="41">
        <f t="shared" si="53"/>
        <v>-6.0860440713536801E-2</v>
      </c>
      <c r="T225" s="41">
        <f t="shared" si="56"/>
        <v>0.24608151168051529</v>
      </c>
      <c r="U225" s="41">
        <f t="shared" si="54"/>
        <v>-4.004835968620668E-3</v>
      </c>
      <c r="V225" s="41">
        <f t="shared" si="55"/>
        <v>1.400214896130958E-3</v>
      </c>
      <c r="W225" s="39">
        <f t="shared" si="41"/>
        <v>214.8</v>
      </c>
      <c r="X225" s="21"/>
    </row>
    <row r="226" spans="1:24" x14ac:dyDescent="0.2">
      <c r="A226" s="38">
        <v>45265</v>
      </c>
      <c r="B226" s="39">
        <v>212.02</v>
      </c>
      <c r="C226" s="39">
        <v>456.6</v>
      </c>
      <c r="D226" s="39">
        <v>40.625</v>
      </c>
      <c r="E226" s="41">
        <f t="shared" si="42"/>
        <v>-1.2942271880819423E-2</v>
      </c>
      <c r="F226" s="41">
        <f t="shared" si="43"/>
        <v>-1.9707022268933283E-4</v>
      </c>
      <c r="G226" s="41">
        <f t="shared" si="44"/>
        <v>-1.3716921582908381E-2</v>
      </c>
      <c r="H226" s="41">
        <f t="shared" si="45"/>
        <v>0.1792646977028749</v>
      </c>
      <c r="I226" s="41">
        <f t="shared" si="46"/>
        <v>0.128884713328552</v>
      </c>
      <c r="J226" s="41">
        <f t="shared" si="47"/>
        <v>-2.3789498978734058E-2</v>
      </c>
      <c r="K226" s="42">
        <f t="shared" si="38"/>
        <v>117.92646977028758</v>
      </c>
      <c r="L226" s="42">
        <f t="shared" si="39"/>
        <v>112.88847133285533</v>
      </c>
      <c r="M226" s="42">
        <f t="shared" si="40"/>
        <v>97.621050102126631</v>
      </c>
      <c r="N226" s="41">
        <f t="shared" si="48"/>
        <v>4.462810398572592E-2</v>
      </c>
      <c r="O226" s="41">
        <f t="shared" si="49"/>
        <v>0.2080024712592039</v>
      </c>
      <c r="P226" s="39">
        <f t="shared" si="50"/>
        <v>203.09551802606995</v>
      </c>
      <c r="Q226" s="42">
        <f t="shared" si="51"/>
        <v>1.1792646977028749</v>
      </c>
      <c r="R226" s="42">
        <f t="shared" si="52"/>
        <v>1.2721508426497581</v>
      </c>
      <c r="S226" s="41">
        <f t="shared" si="53"/>
        <v>-7.3015040223855077E-2</v>
      </c>
      <c r="T226" s="41">
        <f t="shared" si="56"/>
        <v>0.24748104932868592</v>
      </c>
      <c r="U226" s="41">
        <f t="shared" si="54"/>
        <v>-1.3097921743610685E-2</v>
      </c>
      <c r="V226" s="41">
        <f t="shared" si="55"/>
        <v>-1.274520165813009E-2</v>
      </c>
      <c r="W226" s="39">
        <f t="shared" si="41"/>
        <v>212.02</v>
      </c>
      <c r="X226" s="21"/>
    </row>
    <row r="227" spans="1:24" x14ac:dyDescent="0.2">
      <c r="A227" s="38">
        <v>45266</v>
      </c>
      <c r="B227" s="39">
        <v>211.93</v>
      </c>
      <c r="C227" s="39">
        <v>454.76</v>
      </c>
      <c r="D227" s="39">
        <v>40.54</v>
      </c>
      <c r="E227" s="41">
        <f t="shared" si="42"/>
        <v>-4.2448825582497296E-4</v>
      </c>
      <c r="F227" s="41">
        <f t="shared" si="43"/>
        <v>-4.0297853701271036E-3</v>
      </c>
      <c r="G227" s="41">
        <f t="shared" si="44"/>
        <v>-2.0923076923077266E-3</v>
      </c>
      <c r="H227" s="41">
        <f t="shared" si="45"/>
        <v>0.17876411368819101</v>
      </c>
      <c r="I227" s="41">
        <f t="shared" si="46"/>
        <v>0.12433555022622045</v>
      </c>
      <c r="J227" s="41">
        <f t="shared" si="47"/>
        <v>-2.583203171933246E-2</v>
      </c>
      <c r="K227" s="42">
        <f t="shared" si="38"/>
        <v>117.87641136881919</v>
      </c>
      <c r="L227" s="42">
        <f t="shared" si="39"/>
        <v>112.43355502262217</v>
      </c>
      <c r="M227" s="42">
        <f t="shared" si="40"/>
        <v>97.416796828066794</v>
      </c>
      <c r="N227" s="41">
        <f t="shared" si="48"/>
        <v>4.8409537038137218E-2</v>
      </c>
      <c r="O227" s="41">
        <f t="shared" si="49"/>
        <v>0.21002142553364811</v>
      </c>
      <c r="P227" s="39">
        <f t="shared" si="50"/>
        <v>203.18342331934292</v>
      </c>
      <c r="Q227" s="42">
        <f t="shared" si="51"/>
        <v>1.178764113688191</v>
      </c>
      <c r="R227" s="42">
        <f t="shared" si="52"/>
        <v>1.2721508426497581</v>
      </c>
      <c r="S227" s="41">
        <f t="shared" si="53"/>
        <v>-7.3408534452606422E-2</v>
      </c>
      <c r="T227" s="41">
        <f t="shared" si="56"/>
        <v>0.24689577332543614</v>
      </c>
      <c r="U227" s="41">
        <f t="shared" si="54"/>
        <v>-5.8013811861623577E-4</v>
      </c>
      <c r="V227" s="41">
        <f t="shared" si="55"/>
        <v>3.6052971143021306E-3</v>
      </c>
      <c r="W227" s="39">
        <f t="shared" si="41"/>
        <v>211.93</v>
      </c>
      <c r="X227" s="21"/>
    </row>
    <row r="228" spans="1:24" x14ac:dyDescent="0.2">
      <c r="A228" s="38">
        <v>45267</v>
      </c>
      <c r="B228" s="39">
        <v>214.17</v>
      </c>
      <c r="C228" s="39">
        <v>458.23</v>
      </c>
      <c r="D228" s="39">
        <v>40.814999999999998</v>
      </c>
      <c r="E228" s="41">
        <f t="shared" si="42"/>
        <v>1.0569527674231916E-2</v>
      </c>
      <c r="F228" s="41">
        <f t="shared" si="43"/>
        <v>7.6303984519308088E-3</v>
      </c>
      <c r="G228" s="41">
        <f t="shared" si="44"/>
        <v>6.783423778983666E-3</v>
      </c>
      <c r="H228" s="41">
        <f t="shared" si="45"/>
        <v>0.19122309360920986</v>
      </c>
      <c r="I228" s="41">
        <f t="shared" si="46"/>
        <v>0.13291467846811744</v>
      </c>
      <c r="J228" s="41">
        <f t="shared" si="47"/>
        <v>-1.9223837558573154E-2</v>
      </c>
      <c r="K228" s="42">
        <f t="shared" ref="K228:K291" si="57">IFERROR(B228/$B$36*100,"")</f>
        <v>119.12230936092108</v>
      </c>
      <c r="L228" s="42">
        <f t="shared" ref="L228:L291" si="58">IFERROR(C228/$C$36*100,"")</f>
        <v>113.29146784681188</v>
      </c>
      <c r="M228" s="42">
        <f t="shared" ref="M228:M291" si="59">IFERROR(D228/$D$36*100,"")</f>
        <v>98.077616244142732</v>
      </c>
      <c r="N228" s="41">
        <f t="shared" si="48"/>
        <v>5.1467613801186474E-2</v>
      </c>
      <c r="O228" s="41">
        <f t="shared" si="49"/>
        <v>0.21457182507772377</v>
      </c>
      <c r="P228" s="39">
        <f t="shared" si="50"/>
        <v>203.29274249029476</v>
      </c>
      <c r="Q228" s="42">
        <f t="shared" si="51"/>
        <v>1.1912230936092099</v>
      </c>
      <c r="R228" s="42">
        <f t="shared" si="52"/>
        <v>1.2721508426497581</v>
      </c>
      <c r="S228" s="41">
        <f t="shared" si="53"/>
        <v>-6.3614900314796108E-2</v>
      </c>
      <c r="T228" s="41">
        <f t="shared" si="56"/>
        <v>0.24765500256749592</v>
      </c>
      <c r="U228" s="41">
        <f t="shared" si="54"/>
        <v>0</v>
      </c>
      <c r="V228" s="41">
        <f t="shared" si="55"/>
        <v>2.9391292223011067E-3</v>
      </c>
      <c r="W228" s="39">
        <f t="shared" ref="W228:W291" si="60">B228</f>
        <v>214.17</v>
      </c>
      <c r="X228" s="21"/>
    </row>
    <row r="229" spans="1:24" x14ac:dyDescent="0.2">
      <c r="A229" s="38">
        <v>45268</v>
      </c>
      <c r="B229" s="39">
        <v>216.03</v>
      </c>
      <c r="C229" s="39">
        <v>460.2</v>
      </c>
      <c r="D229" s="39">
        <v>40.965000000000003</v>
      </c>
      <c r="E229" s="41">
        <f t="shared" ref="E229:E292" si="61">IFERROR(B229/B228-1,"")</f>
        <v>8.6846897324555083E-3</v>
      </c>
      <c r="F229" s="41">
        <f t="shared" ref="F229:F292" si="62">IFERROR(C229/C228-1,"")</f>
        <v>4.2991510813346068E-3</v>
      </c>
      <c r="G229" s="41">
        <f t="shared" ref="G229:G292" si="63">IFERROR(D229/D228-1,"")</f>
        <v>3.675119441381991E-3</v>
      </c>
      <c r="H229" s="41">
        <f t="shared" ref="H229:H292" si="64">IFERROR((1+E229)*(1+H228)-1,"")</f>
        <v>0.20156849657934162</v>
      </c>
      <c r="I229" s="41">
        <f t="shared" ref="I229:I292" si="65">IFERROR((1+F229)*(1+I228)-1,"")</f>
        <v>0.13778524983311358</v>
      </c>
      <c r="J229" s="41">
        <f t="shared" ref="J229:J292" si="66">IFERROR((1+G229)*(1+J228)-1,"")</f>
        <v>-1.5619368016340673E-2</v>
      </c>
      <c r="K229" s="42">
        <f t="shared" si="57"/>
        <v>120.15684965793427</v>
      </c>
      <c r="L229" s="42">
        <f t="shared" si="58"/>
        <v>113.77852498331148</v>
      </c>
      <c r="M229" s="42">
        <f t="shared" si="59"/>
        <v>98.438063198365981</v>
      </c>
      <c r="N229" s="41">
        <f t="shared" ref="N229:N292" si="67">IFERROR((1+H229)/(1+I229)-1,"")</f>
        <v>5.6059126057033559E-2</v>
      </c>
      <c r="O229" s="41">
        <f t="shared" ref="O229:O292" si="68">IFERROR((1+H229)/(1+J229)-1,"")</f>
        <v>0.22063402868666726</v>
      </c>
      <c r="P229" s="39">
        <f t="shared" ref="P229:P292" si="69">IFERROR(B229*0.0099502487562189+P228*(1-0.0099502487562189),"")</f>
        <v>203.41948137098834</v>
      </c>
      <c r="Q229" s="42">
        <f t="shared" ref="Q229:Q292" si="70">Q228*(1+E229)</f>
        <v>1.2015684965793416</v>
      </c>
      <c r="R229" s="42">
        <f t="shared" ref="R229:R292" si="71">MAX(R228,Q229)</f>
        <v>1.2721508426497581</v>
      </c>
      <c r="S229" s="41">
        <f t="shared" ref="S229:S292" si="72">IFERROR(Q229/R229-1,"")</f>
        <v>-5.5482686253935709E-2</v>
      </c>
      <c r="T229" s="41">
        <f t="shared" si="56"/>
        <v>0.24801054932391203</v>
      </c>
      <c r="U229" s="41">
        <f t="shared" ref="U229:U292" si="73">IFERROR(MIN(E229-$D$6,0),"")</f>
        <v>0</v>
      </c>
      <c r="V229" s="41">
        <f t="shared" ref="V229:V292" si="74">IFERROR(E229-F229,"")</f>
        <v>4.3855386511209016E-3</v>
      </c>
      <c r="W229" s="39">
        <f t="shared" si="60"/>
        <v>216.03</v>
      </c>
      <c r="X229" s="21"/>
    </row>
    <row r="230" spans="1:24" x14ac:dyDescent="0.2">
      <c r="A230" s="38">
        <v>45271</v>
      </c>
      <c r="B230" s="39">
        <v>218.86</v>
      </c>
      <c r="C230" s="39">
        <v>461.99</v>
      </c>
      <c r="D230" s="39">
        <v>41.255000000000003</v>
      </c>
      <c r="E230" s="41">
        <f t="shared" si="61"/>
        <v>1.3100032402907136E-2</v>
      </c>
      <c r="F230" s="41">
        <f t="shared" si="62"/>
        <v>3.8896132116470472E-3</v>
      </c>
      <c r="G230" s="41">
        <f t="shared" si="63"/>
        <v>7.0792139631392637E-3</v>
      </c>
      <c r="H230" s="41">
        <f t="shared" si="64"/>
        <v>0.21730908281884331</v>
      </c>
      <c r="I230" s="41">
        <f t="shared" si="65"/>
        <v>0.14221079437288164</v>
      </c>
      <c r="J230" s="41">
        <f t="shared" si="66"/>
        <v>-8.6507269013581523E-3</v>
      </c>
      <c r="K230" s="42">
        <f t="shared" si="57"/>
        <v>121.73090828188444</v>
      </c>
      <c r="L230" s="42">
        <f t="shared" si="58"/>
        <v>114.2210794372883</v>
      </c>
      <c r="M230" s="42">
        <f t="shared" si="59"/>
        <v>99.134927309864224</v>
      </c>
      <c r="N230" s="41">
        <f t="shared" si="67"/>
        <v>6.5748186600874892E-2</v>
      </c>
      <c r="O230" s="41">
        <f t="shared" si="68"/>
        <v>0.22793158360213761</v>
      </c>
      <c r="P230" s="39">
        <f t="shared" si="69"/>
        <v>203.57311837227203</v>
      </c>
      <c r="Q230" s="42">
        <f t="shared" si="70"/>
        <v>1.2173090828188433</v>
      </c>
      <c r="R230" s="42">
        <f t="shared" si="71"/>
        <v>1.2721508426497581</v>
      </c>
      <c r="S230" s="41">
        <f t="shared" si="72"/>
        <v>-4.3109478838755488E-2</v>
      </c>
      <c r="T230" s="41">
        <f t="shared" si="56"/>
        <v>0.24562417983662507</v>
      </c>
      <c r="U230" s="41">
        <f t="shared" si="73"/>
        <v>0</v>
      </c>
      <c r="V230" s="41">
        <f t="shared" si="74"/>
        <v>9.2104191912600886E-3</v>
      </c>
      <c r="W230" s="39">
        <f t="shared" si="60"/>
        <v>218.86</v>
      </c>
      <c r="X230" s="21"/>
    </row>
    <row r="231" spans="1:24" x14ac:dyDescent="0.2">
      <c r="A231" s="38">
        <v>45272</v>
      </c>
      <c r="B231" s="39">
        <v>220.9</v>
      </c>
      <c r="C231" s="39">
        <v>464.1</v>
      </c>
      <c r="D231" s="39">
        <v>41.494999999999997</v>
      </c>
      <c r="E231" s="41">
        <f t="shared" si="61"/>
        <v>9.321027140637872E-3</v>
      </c>
      <c r="F231" s="41">
        <f t="shared" si="62"/>
        <v>4.5671984242083852E-3</v>
      </c>
      <c r="G231" s="41">
        <f t="shared" si="63"/>
        <v>5.8174766694945035E-3</v>
      </c>
      <c r="H231" s="41">
        <f t="shared" si="64"/>
        <v>0.22865565381834285</v>
      </c>
      <c r="I231" s="41">
        <f t="shared" si="65"/>
        <v>0.14742749771305519</v>
      </c>
      <c r="J231" s="41">
        <f t="shared" si="66"/>
        <v>-2.8835756337864948E-3</v>
      </c>
      <c r="K231" s="42">
        <f t="shared" si="57"/>
        <v>122.86556538183437</v>
      </c>
      <c r="L231" s="42">
        <f t="shared" si="58"/>
        <v>114.74274977130565</v>
      </c>
      <c r="M231" s="42">
        <f t="shared" si="59"/>
        <v>99.711642436621389</v>
      </c>
      <c r="N231" s="41">
        <f t="shared" si="67"/>
        <v>7.0791536953039635E-2</v>
      </c>
      <c r="O231" s="41">
        <f t="shared" si="68"/>
        <v>0.23220882115075003</v>
      </c>
      <c r="P231" s="39">
        <f t="shared" si="69"/>
        <v>203.74552515463748</v>
      </c>
      <c r="Q231" s="42">
        <f t="shared" si="70"/>
        <v>1.2286556538183429</v>
      </c>
      <c r="R231" s="42">
        <f t="shared" si="71"/>
        <v>1.2721508426497581</v>
      </c>
      <c r="S231" s="41">
        <f t="shared" si="72"/>
        <v>-3.4190276320392399E-2</v>
      </c>
      <c r="T231" s="41">
        <f t="shared" si="56"/>
        <v>0.24608526252098015</v>
      </c>
      <c r="U231" s="41">
        <f t="shared" si="73"/>
        <v>0</v>
      </c>
      <c r="V231" s="41">
        <f t="shared" si="74"/>
        <v>4.7538287164294868E-3</v>
      </c>
      <c r="W231" s="39">
        <f t="shared" si="60"/>
        <v>220.9</v>
      </c>
      <c r="X231" s="21"/>
    </row>
    <row r="232" spans="1:24" x14ac:dyDescent="0.2">
      <c r="A232" s="38">
        <v>45273</v>
      </c>
      <c r="B232" s="39">
        <v>223.67</v>
      </c>
      <c r="C232" s="39">
        <v>470.5</v>
      </c>
      <c r="D232" s="39">
        <v>42</v>
      </c>
      <c r="E232" s="41">
        <f t="shared" si="61"/>
        <v>1.2539610683567126E-2</v>
      </c>
      <c r="F232" s="41">
        <f t="shared" si="62"/>
        <v>1.3790131437190212E-2</v>
      </c>
      <c r="G232" s="41">
        <f t="shared" si="63"/>
        <v>1.2170140980841238E-2</v>
      </c>
      <c r="H232" s="41">
        <f t="shared" si="64"/>
        <v>0.2440625173813884</v>
      </c>
      <c r="I232" s="41">
        <f t="shared" si="65"/>
        <v>0.16325067372116453</v>
      </c>
      <c r="J232" s="41">
        <f t="shared" si="66"/>
        <v>9.2514718250626959E-3</v>
      </c>
      <c r="K232" s="42">
        <f t="shared" si="57"/>
        <v>124.40625173813893</v>
      </c>
      <c r="L232" s="42">
        <f t="shared" si="58"/>
        <v>116.32506737211659</v>
      </c>
      <c r="M232" s="42">
        <f t="shared" si="59"/>
        <v>100.92514718250631</v>
      </c>
      <c r="N232" s="41">
        <f t="shared" si="67"/>
        <v>6.9470704368226999E-2</v>
      </c>
      <c r="O232" s="41">
        <f t="shared" si="68"/>
        <v>0.23265861097205942</v>
      </c>
      <c r="P232" s="39">
        <f t="shared" si="69"/>
        <v>203.94377863568587</v>
      </c>
      <c r="Q232" s="42">
        <f t="shared" si="70"/>
        <v>1.2440625173813884</v>
      </c>
      <c r="R232" s="42">
        <f t="shared" si="71"/>
        <v>1.2721508426497581</v>
      </c>
      <c r="S232" s="41">
        <f t="shared" si="72"/>
        <v>-2.2079398391046667E-2</v>
      </c>
      <c r="T232" s="41">
        <f t="shared" si="56"/>
        <v>0.24644724914039268</v>
      </c>
      <c r="U232" s="41">
        <f t="shared" si="73"/>
        <v>0</v>
      </c>
      <c r="V232" s="41">
        <f t="shared" si="74"/>
        <v>-1.2505207536230856E-3</v>
      </c>
      <c r="W232" s="39">
        <f t="shared" si="60"/>
        <v>223.67</v>
      </c>
      <c r="X232" s="21"/>
    </row>
    <row r="233" spans="1:24" x14ac:dyDescent="0.2">
      <c r="A233" s="38">
        <v>45274</v>
      </c>
      <c r="B233" s="39">
        <v>224.76</v>
      </c>
      <c r="C233" s="39">
        <v>472.01</v>
      </c>
      <c r="D233" s="39">
        <v>42.695</v>
      </c>
      <c r="E233" s="41">
        <f t="shared" si="61"/>
        <v>4.873250771225468E-3</v>
      </c>
      <c r="F233" s="41">
        <f t="shared" si="62"/>
        <v>3.2093517534537153E-3</v>
      </c>
      <c r="G233" s="41">
        <f t="shared" si="63"/>
        <v>1.6547619047619033E-2</v>
      </c>
      <c r="H233" s="41">
        <f t="shared" si="64"/>
        <v>0.25012514600366997</v>
      </c>
      <c r="I233" s="41">
        <f t="shared" si="65"/>
        <v>0.16698395431057778</v>
      </c>
      <c r="J233" s="41">
        <f t="shared" si="66"/>
        <v>2.5952180704072569E-2</v>
      </c>
      <c r="K233" s="42">
        <f t="shared" si="57"/>
        <v>125.01251460036708</v>
      </c>
      <c r="L233" s="42">
        <f t="shared" si="58"/>
        <v>116.69839543105792</v>
      </c>
      <c r="M233" s="42">
        <f t="shared" si="59"/>
        <v>102.5952180704073</v>
      </c>
      <c r="N233" s="41">
        <f t="shared" si="67"/>
        <v>7.1244502879398874E-2</v>
      </c>
      <c r="O233" s="41">
        <f t="shared" si="68"/>
        <v>0.21850235275659324</v>
      </c>
      <c r="P233" s="39">
        <f t="shared" si="69"/>
        <v>204.15090521642531</v>
      </c>
      <c r="Q233" s="42">
        <f t="shared" si="70"/>
        <v>1.25012514600367</v>
      </c>
      <c r="R233" s="42">
        <f t="shared" si="71"/>
        <v>1.2721508426497581</v>
      </c>
      <c r="S233" s="41">
        <f t="shared" si="72"/>
        <v>-1.7313746065058533E-2</v>
      </c>
      <c r="T233" s="41">
        <f t="shared" si="56"/>
        <v>0.24649370990509845</v>
      </c>
      <c r="U233" s="41">
        <f t="shared" si="73"/>
        <v>0</v>
      </c>
      <c r="V233" s="41">
        <f t="shared" si="74"/>
        <v>1.6638990177717528E-3</v>
      </c>
      <c r="W233" s="39">
        <f t="shared" si="60"/>
        <v>224.76</v>
      </c>
      <c r="X233" s="21"/>
    </row>
    <row r="234" spans="1:24" x14ac:dyDescent="0.2">
      <c r="A234" s="38">
        <v>45275</v>
      </c>
      <c r="B234" s="39">
        <v>224.35</v>
      </c>
      <c r="C234" s="39">
        <v>469.33</v>
      </c>
      <c r="D234" s="39">
        <v>42.585000000000001</v>
      </c>
      <c r="E234" s="41">
        <f t="shared" si="61"/>
        <v>-1.8241680014237094E-3</v>
      </c>
      <c r="F234" s="41">
        <f t="shared" si="62"/>
        <v>-5.6778458083515115E-3</v>
      </c>
      <c r="G234" s="41">
        <f t="shared" si="63"/>
        <v>-2.576414100011748E-3</v>
      </c>
      <c r="H234" s="41">
        <f t="shared" si="64"/>
        <v>0.24784470771455491</v>
      </c>
      <c r="I234" s="41">
        <f t="shared" si="65"/>
        <v>0.16035799935718198</v>
      </c>
      <c r="J234" s="41">
        <f t="shared" si="66"/>
        <v>2.3308903039768847E-2</v>
      </c>
      <c r="K234" s="42">
        <f t="shared" si="57"/>
        <v>124.78447077145557</v>
      </c>
      <c r="L234" s="42">
        <f t="shared" si="58"/>
        <v>116.03579993571833</v>
      </c>
      <c r="M234" s="42">
        <f t="shared" si="59"/>
        <v>102.33089030397693</v>
      </c>
      <c r="N234" s="41">
        <f t="shared" si="67"/>
        <v>7.5396307351558001E-2</v>
      </c>
      <c r="O234" s="41">
        <f t="shared" si="68"/>
        <v>0.21942133407399855</v>
      </c>
      <c r="P234" s="39">
        <f t="shared" si="69"/>
        <v>204.35189123417234</v>
      </c>
      <c r="Q234" s="42">
        <f t="shared" si="70"/>
        <v>1.2478447077145549</v>
      </c>
      <c r="R234" s="42">
        <f t="shared" si="71"/>
        <v>1.2721508426497581</v>
      </c>
      <c r="S234" s="41">
        <f t="shared" si="72"/>
        <v>-1.9106330884925526E-2</v>
      </c>
      <c r="T234" s="41">
        <f t="shared" si="56"/>
        <v>0.23515434188146825</v>
      </c>
      <c r="U234" s="41">
        <f t="shared" si="73"/>
        <v>-1.9798178642149722E-3</v>
      </c>
      <c r="V234" s="41">
        <f t="shared" si="74"/>
        <v>3.8536778069278022E-3</v>
      </c>
      <c r="W234" s="39">
        <f t="shared" si="60"/>
        <v>224.35</v>
      </c>
      <c r="X234" s="21"/>
    </row>
    <row r="235" spans="1:24" x14ac:dyDescent="0.2">
      <c r="A235" s="38">
        <v>45278</v>
      </c>
      <c r="B235" s="39">
        <v>222.7</v>
      </c>
      <c r="C235" s="39">
        <v>471.97</v>
      </c>
      <c r="D235" s="39">
        <v>42.354999999999997</v>
      </c>
      <c r="E235" s="41">
        <f t="shared" si="61"/>
        <v>-7.3545798974816723E-3</v>
      </c>
      <c r="F235" s="41">
        <f t="shared" si="62"/>
        <v>5.625039950567956E-3</v>
      </c>
      <c r="G235" s="41">
        <f t="shared" si="63"/>
        <v>-5.4009627803217608E-3</v>
      </c>
      <c r="H235" s="41">
        <f t="shared" si="64"/>
        <v>0.23866733411201846</v>
      </c>
      <c r="I235" s="41">
        <f t="shared" si="65"/>
        <v>0.16688505946052734</v>
      </c>
      <c r="J235" s="41">
        <f t="shared" si="66"/>
        <v>1.7782049741679185E-2</v>
      </c>
      <c r="K235" s="42">
        <f t="shared" si="57"/>
        <v>123.86673341120196</v>
      </c>
      <c r="L235" s="42">
        <f t="shared" si="58"/>
        <v>116.68850594605287</v>
      </c>
      <c r="M235" s="42">
        <f t="shared" si="59"/>
        <v>101.77820497416796</v>
      </c>
      <c r="N235" s="41">
        <f t="shared" si="67"/>
        <v>6.1516148543951266E-2</v>
      </c>
      <c r="O235" s="41">
        <f t="shared" si="68"/>
        <v>0.21702611519470372</v>
      </c>
      <c r="P235" s="39">
        <f t="shared" si="69"/>
        <v>204.53445948059851</v>
      </c>
      <c r="Q235" s="42">
        <f t="shared" si="70"/>
        <v>1.2386673341120185</v>
      </c>
      <c r="R235" s="42">
        <f t="shared" si="71"/>
        <v>1.2721508426497581</v>
      </c>
      <c r="S235" s="41">
        <f t="shared" si="72"/>
        <v>-2.6320391745366378E-2</v>
      </c>
      <c r="T235" s="41">
        <f t="shared" si="56"/>
        <v>0.23494170438683798</v>
      </c>
      <c r="U235" s="41">
        <f t="shared" si="73"/>
        <v>-7.5102297602729351E-3</v>
      </c>
      <c r="V235" s="41">
        <f t="shared" si="74"/>
        <v>-1.2979619848049628E-2</v>
      </c>
      <c r="W235" s="39">
        <f t="shared" si="60"/>
        <v>222.7</v>
      </c>
      <c r="X235" s="21"/>
    </row>
    <row r="236" spans="1:24" x14ac:dyDescent="0.2">
      <c r="A236" s="38">
        <v>45279</v>
      </c>
      <c r="B236" s="39">
        <v>224.69</v>
      </c>
      <c r="C236" s="39">
        <v>474.84</v>
      </c>
      <c r="D236" s="39">
        <v>42.744999999999997</v>
      </c>
      <c r="E236" s="41">
        <f t="shared" si="61"/>
        <v>8.9357880556804048E-3</v>
      </c>
      <c r="F236" s="41">
        <f t="shared" si="62"/>
        <v>6.0808949721380401E-3</v>
      </c>
      <c r="G236" s="41">
        <f t="shared" si="63"/>
        <v>9.2078857277770876E-3</v>
      </c>
      <c r="H236" s="41">
        <f t="shared" si="64"/>
        <v>0.24973580288113806</v>
      </c>
      <c r="I236" s="41">
        <f t="shared" si="65"/>
        <v>0.17398076495166381</v>
      </c>
      <c r="J236" s="41">
        <f t="shared" si="66"/>
        <v>2.7153670551483211E-2</v>
      </c>
      <c r="K236" s="42">
        <f t="shared" si="57"/>
        <v>124.97358028811392</v>
      </c>
      <c r="L236" s="42">
        <f t="shared" si="58"/>
        <v>117.39807649516649</v>
      </c>
      <c r="M236" s="42">
        <f t="shared" si="59"/>
        <v>102.71536705514836</v>
      </c>
      <c r="N236" s="41">
        <f t="shared" si="67"/>
        <v>6.4528346793308211E-2</v>
      </c>
      <c r="O236" s="41">
        <f t="shared" si="68"/>
        <v>0.21669798659255091</v>
      </c>
      <c r="P236" s="39">
        <f t="shared" si="69"/>
        <v>204.73501212258262</v>
      </c>
      <c r="Q236" s="42">
        <f t="shared" si="70"/>
        <v>1.2497358028811381</v>
      </c>
      <c r="R236" s="42">
        <f t="shared" si="71"/>
        <v>1.2721508426497581</v>
      </c>
      <c r="S236" s="41">
        <f t="shared" si="72"/>
        <v>-1.7619797131865123E-2</v>
      </c>
      <c r="T236" s="41">
        <f t="shared" si="56"/>
        <v>0.23514901518571663</v>
      </c>
      <c r="U236" s="41">
        <f t="shared" si="73"/>
        <v>0</v>
      </c>
      <c r="V236" s="41">
        <f t="shared" si="74"/>
        <v>2.8548930835423647E-3</v>
      </c>
      <c r="W236" s="39">
        <f t="shared" si="60"/>
        <v>224.69</v>
      </c>
      <c r="X236" s="21"/>
    </row>
    <row r="237" spans="1:24" x14ac:dyDescent="0.2">
      <c r="A237" s="38">
        <v>45280</v>
      </c>
      <c r="B237" s="39">
        <v>221.18</v>
      </c>
      <c r="C237" s="39">
        <v>468.26</v>
      </c>
      <c r="D237" s="39">
        <v>42.09</v>
      </c>
      <c r="E237" s="41">
        <f t="shared" si="61"/>
        <v>-1.5621522987226855E-2</v>
      </c>
      <c r="F237" s="41">
        <f t="shared" si="62"/>
        <v>-1.3857299300817139E-2</v>
      </c>
      <c r="G237" s="41">
        <f t="shared" si="63"/>
        <v>-1.5323429640893504E-2</v>
      </c>
      <c r="H237" s="41">
        <f t="shared" si="64"/>
        <v>0.23021302630846985</v>
      </c>
      <c r="I237" s="41">
        <f t="shared" si="65"/>
        <v>0.1577125621183264</v>
      </c>
      <c r="J237" s="41">
        <f t="shared" si="66"/>
        <v>1.1414153550401984E-2</v>
      </c>
      <c r="K237" s="42">
        <f t="shared" si="57"/>
        <v>123.02130263084712</v>
      </c>
      <c r="L237" s="42">
        <f t="shared" si="58"/>
        <v>115.77125621183275</v>
      </c>
      <c r="M237" s="42">
        <f t="shared" si="59"/>
        <v>101.14141535504024</v>
      </c>
      <c r="N237" s="41">
        <f t="shared" si="67"/>
        <v>6.262389004183011E-2</v>
      </c>
      <c r="O237" s="41">
        <f t="shared" si="68"/>
        <v>0.21632965288256112</v>
      </c>
      <c r="P237" s="39">
        <f t="shared" si="69"/>
        <v>204.89864384275594</v>
      </c>
      <c r="Q237" s="42">
        <f t="shared" si="70"/>
        <v>1.2302130263084698</v>
      </c>
      <c r="R237" s="42">
        <f t="shared" si="71"/>
        <v>1.2721508426497581</v>
      </c>
      <c r="S237" s="41">
        <f t="shared" si="72"/>
        <v>-3.2966072053166373E-2</v>
      </c>
      <c r="T237" s="41">
        <f t="shared" si="56"/>
        <v>0.23764072468513159</v>
      </c>
      <c r="U237" s="41">
        <f t="shared" si="73"/>
        <v>-1.5777172850018117E-2</v>
      </c>
      <c r="V237" s="41">
        <f t="shared" si="74"/>
        <v>-1.7642236864097161E-3</v>
      </c>
      <c r="W237" s="39">
        <f t="shared" si="60"/>
        <v>221.18</v>
      </c>
      <c r="X237" s="21"/>
    </row>
    <row r="238" spans="1:24" x14ac:dyDescent="0.2">
      <c r="A238" s="38">
        <v>45281</v>
      </c>
      <c r="B238" s="39">
        <v>223.28</v>
      </c>
      <c r="C238" s="39">
        <v>472.7</v>
      </c>
      <c r="D238" s="39">
        <v>42.534999999999997</v>
      </c>
      <c r="E238" s="41">
        <f t="shared" si="61"/>
        <v>9.4945293426167421E-3</v>
      </c>
      <c r="F238" s="41">
        <f t="shared" si="62"/>
        <v>9.4819117584248325E-3</v>
      </c>
      <c r="G238" s="41">
        <f t="shared" si="63"/>
        <v>1.0572582561178212E-2</v>
      </c>
      <c r="H238" s="41">
        <f t="shared" si="64"/>
        <v>0.24189331998442487</v>
      </c>
      <c r="I238" s="41">
        <f t="shared" si="65"/>
        <v>0.16868989047395222</v>
      </c>
      <c r="J238" s="41">
        <f t="shared" si="66"/>
        <v>2.2107413192357761E-2</v>
      </c>
      <c r="K238" s="42">
        <f t="shared" si="57"/>
        <v>124.18933199844264</v>
      </c>
      <c r="L238" s="42">
        <f t="shared" si="58"/>
        <v>116.86898904739536</v>
      </c>
      <c r="M238" s="42">
        <f t="shared" si="59"/>
        <v>102.21074131923584</v>
      </c>
      <c r="N238" s="41">
        <f t="shared" si="67"/>
        <v>6.2637171851281703E-2</v>
      </c>
      <c r="O238" s="41">
        <f t="shared" si="68"/>
        <v>0.21503210323620259</v>
      </c>
      <c r="P238" s="39">
        <f t="shared" si="69"/>
        <v>205.08154290899719</v>
      </c>
      <c r="Q238" s="42">
        <f t="shared" si="70"/>
        <v>1.2418933199844249</v>
      </c>
      <c r="R238" s="42">
        <f t="shared" si="71"/>
        <v>1.2721508426497581</v>
      </c>
      <c r="S238" s="41">
        <f t="shared" si="72"/>
        <v>-2.3784540048969349E-2</v>
      </c>
      <c r="T238" s="41">
        <f t="shared" si="56"/>
        <v>0.23737876276945971</v>
      </c>
      <c r="U238" s="41">
        <f t="shared" si="73"/>
        <v>0</v>
      </c>
      <c r="V238" s="41">
        <f t="shared" si="74"/>
        <v>1.2617584191909614E-5</v>
      </c>
      <c r="W238" s="39">
        <f t="shared" si="60"/>
        <v>223.28</v>
      </c>
      <c r="X238" s="21"/>
    </row>
    <row r="239" spans="1:24" x14ac:dyDescent="0.2">
      <c r="A239" s="38">
        <v>45282</v>
      </c>
      <c r="B239" s="39">
        <v>224.93</v>
      </c>
      <c r="C239" s="39">
        <v>473.65</v>
      </c>
      <c r="D239" s="39">
        <v>42.8</v>
      </c>
      <c r="E239" s="41">
        <f t="shared" si="61"/>
        <v>7.3898244356862541E-3</v>
      </c>
      <c r="F239" s="41">
        <f t="shared" si="62"/>
        <v>2.0097313306537412E-3</v>
      </c>
      <c r="G239" s="41">
        <f t="shared" si="63"/>
        <v>6.2301633948513846E-3</v>
      </c>
      <c r="H239" s="41">
        <f t="shared" si="64"/>
        <v>0.25107069358696132</v>
      </c>
      <c r="I239" s="41">
        <f t="shared" si="65"/>
        <v>0.17103864316265605</v>
      </c>
      <c r="J239" s="41">
        <f t="shared" si="66"/>
        <v>2.8475309383634961E-2</v>
      </c>
      <c r="K239" s="42">
        <f t="shared" si="57"/>
        <v>125.10706935869626</v>
      </c>
      <c r="L239" s="42">
        <f t="shared" si="58"/>
        <v>117.10386431626571</v>
      </c>
      <c r="M239" s="42">
        <f t="shared" si="59"/>
        <v>102.84753093836356</v>
      </c>
      <c r="N239" s="41">
        <f t="shared" si="67"/>
        <v>6.8342792009118192E-2</v>
      </c>
      <c r="O239" s="41">
        <f t="shared" si="68"/>
        <v>0.21643240452386525</v>
      </c>
      <c r="P239" s="39">
        <f t="shared" si="69"/>
        <v>205.27903999447983</v>
      </c>
      <c r="Q239" s="42">
        <f t="shared" si="70"/>
        <v>1.2510706935869613</v>
      </c>
      <c r="R239" s="42">
        <f t="shared" si="71"/>
        <v>1.2721508426497581</v>
      </c>
      <c r="S239" s="41">
        <f t="shared" si="72"/>
        <v>-1.6570479188528497E-2</v>
      </c>
      <c r="T239" s="41">
        <f t="shared" si="56"/>
        <v>0.23741535882569414</v>
      </c>
      <c r="U239" s="41">
        <f t="shared" si="73"/>
        <v>0</v>
      </c>
      <c r="V239" s="41">
        <f t="shared" si="74"/>
        <v>5.3800931050325129E-3</v>
      </c>
      <c r="W239" s="39">
        <f t="shared" si="60"/>
        <v>224.93</v>
      </c>
      <c r="X239" s="21"/>
    </row>
    <row r="240" spans="1:24" x14ac:dyDescent="0.2">
      <c r="A240" s="38">
        <v>45286</v>
      </c>
      <c r="B240" s="39">
        <v>225.65</v>
      </c>
      <c r="C240" s="39">
        <v>475.65</v>
      </c>
      <c r="D240" s="39">
        <v>43</v>
      </c>
      <c r="E240" s="41">
        <f t="shared" si="61"/>
        <v>3.2009958653802517E-3</v>
      </c>
      <c r="F240" s="41">
        <f t="shared" si="62"/>
        <v>4.2225271825186983E-3</v>
      </c>
      <c r="G240" s="41">
        <f t="shared" si="63"/>
        <v>4.6728971962617383E-3</v>
      </c>
      <c r="H240" s="41">
        <f t="shared" si="64"/>
        <v>0.25507536570443157</v>
      </c>
      <c r="I240" s="41">
        <f t="shared" si="65"/>
        <v>0.17598338566519023</v>
      </c>
      <c r="J240" s="41">
        <f t="shared" si="66"/>
        <v>3.3281268773278194E-2</v>
      </c>
      <c r="K240" s="42">
        <f t="shared" si="57"/>
        <v>125.50753657044331</v>
      </c>
      <c r="L240" s="42">
        <f t="shared" si="58"/>
        <v>117.59833856651913</v>
      </c>
      <c r="M240" s="42">
        <f t="shared" si="59"/>
        <v>103.32812687732789</v>
      </c>
      <c r="N240" s="41">
        <f t="shared" si="67"/>
        <v>6.7256035249599444E-2</v>
      </c>
      <c r="O240" s="41">
        <f t="shared" si="68"/>
        <v>0.2146502638090686</v>
      </c>
      <c r="P240" s="39">
        <f t="shared" si="69"/>
        <v>205.48173611393776</v>
      </c>
      <c r="Q240" s="42">
        <f t="shared" si="70"/>
        <v>1.2550753657044316</v>
      </c>
      <c r="R240" s="42">
        <f t="shared" si="71"/>
        <v>1.2721508426497581</v>
      </c>
      <c r="S240" s="41">
        <f t="shared" si="72"/>
        <v>-1.3422525358518067E-2</v>
      </c>
      <c r="T240" s="41">
        <f t="shared" si="56"/>
        <v>0.23497562441562403</v>
      </c>
      <c r="U240" s="41">
        <f t="shared" si="73"/>
        <v>0</v>
      </c>
      <c r="V240" s="41">
        <f t="shared" si="74"/>
        <v>-1.0215313171384466E-3</v>
      </c>
      <c r="W240" s="39">
        <f t="shared" si="60"/>
        <v>225.65</v>
      </c>
      <c r="X240" s="21"/>
    </row>
    <row r="241" spans="1:24" x14ac:dyDescent="0.2">
      <c r="A241" s="38">
        <v>45287</v>
      </c>
      <c r="B241" s="39">
        <v>225.82</v>
      </c>
      <c r="C241" s="39">
        <v>476.51</v>
      </c>
      <c r="D241" s="39">
        <v>43.104999999999997</v>
      </c>
      <c r="E241" s="41">
        <f t="shared" si="61"/>
        <v>7.5337912696649134E-4</v>
      </c>
      <c r="F241" s="41">
        <f t="shared" si="62"/>
        <v>1.8080521391778959E-3</v>
      </c>
      <c r="G241" s="41">
        <f t="shared" si="63"/>
        <v>2.4418604651161857E-3</v>
      </c>
      <c r="H241" s="41">
        <f t="shared" si="64"/>
        <v>0.25602091328772314</v>
      </c>
      <c r="I241" s="41">
        <f t="shared" si="65"/>
        <v>0.17810962494127991</v>
      </c>
      <c r="J241" s="41">
        <f t="shared" si="66"/>
        <v>3.5804397452840808E-2</v>
      </c>
      <c r="K241" s="42">
        <f t="shared" si="57"/>
        <v>125.60209132877247</v>
      </c>
      <c r="L241" s="42">
        <f t="shared" si="58"/>
        <v>117.81096249412811</v>
      </c>
      <c r="M241" s="42">
        <f t="shared" si="59"/>
        <v>103.58043974528415</v>
      </c>
      <c r="N241" s="41">
        <f t="shared" si="67"/>
        <v>6.6132460593662179E-2</v>
      </c>
      <c r="O241" s="41">
        <f t="shared" si="68"/>
        <v>0.2126043453536397</v>
      </c>
      <c r="P241" s="39">
        <f t="shared" si="69"/>
        <v>205.68410689887369</v>
      </c>
      <c r="Q241" s="42">
        <f t="shared" si="70"/>
        <v>1.2560209132877231</v>
      </c>
      <c r="R241" s="42">
        <f t="shared" si="71"/>
        <v>1.2721508426497581</v>
      </c>
      <c r="S241" s="41">
        <f t="shared" si="72"/>
        <v>-1.267925848198781E-2</v>
      </c>
      <c r="T241" s="41">
        <f t="shared" si="56"/>
        <v>0.23449157282323274</v>
      </c>
      <c r="U241" s="41">
        <f t="shared" si="73"/>
        <v>0</v>
      </c>
      <c r="V241" s="41">
        <f t="shared" si="74"/>
        <v>-1.0546730122114045E-3</v>
      </c>
      <c r="W241" s="39">
        <f t="shared" si="60"/>
        <v>225.82</v>
      </c>
      <c r="X241" s="21"/>
    </row>
    <row r="242" spans="1:24" x14ac:dyDescent="0.2">
      <c r="A242" s="38">
        <v>45288</v>
      </c>
      <c r="B242" s="39">
        <v>225.44</v>
      </c>
      <c r="C242" s="39">
        <v>476.69</v>
      </c>
      <c r="D242" s="39">
        <v>42.94</v>
      </c>
      <c r="E242" s="41">
        <f t="shared" si="61"/>
        <v>-1.6827561774864774E-3</v>
      </c>
      <c r="F242" s="41">
        <f t="shared" si="62"/>
        <v>3.7774653207689468E-4</v>
      </c>
      <c r="G242" s="41">
        <f t="shared" si="63"/>
        <v>-3.8278621969608517E-3</v>
      </c>
      <c r="H242" s="41">
        <f t="shared" si="64"/>
        <v>0.25390733633683604</v>
      </c>
      <c r="I242" s="41">
        <f t="shared" si="65"/>
        <v>0.17855465176650798</v>
      </c>
      <c r="J242" s="41">
        <f t="shared" si="66"/>
        <v>3.1839480956385335E-2</v>
      </c>
      <c r="K242" s="42">
        <f t="shared" si="57"/>
        <v>125.39073363368374</v>
      </c>
      <c r="L242" s="42">
        <f t="shared" si="58"/>
        <v>117.85546517665091</v>
      </c>
      <c r="M242" s="42">
        <f t="shared" si="59"/>
        <v>103.18394809563858</v>
      </c>
      <c r="N242" s="41">
        <f t="shared" si="67"/>
        <v>6.3936521278316283E-2</v>
      </c>
      <c r="O242" s="41">
        <f t="shared" si="68"/>
        <v>0.21521550539491052</v>
      </c>
      <c r="P242" s="39">
        <f t="shared" si="69"/>
        <v>205.88068294963119</v>
      </c>
      <c r="Q242" s="42">
        <f t="shared" si="70"/>
        <v>1.253907336336836</v>
      </c>
      <c r="R242" s="42">
        <f t="shared" si="71"/>
        <v>1.2721508426497581</v>
      </c>
      <c r="S242" s="41">
        <f t="shared" si="72"/>
        <v>-1.4340678558937836E-2</v>
      </c>
      <c r="T242" s="41">
        <f t="shared" si="56"/>
        <v>0.23420429261292752</v>
      </c>
      <c r="U242" s="41">
        <f t="shared" si="73"/>
        <v>-1.8384060402777402E-3</v>
      </c>
      <c r="V242" s="41">
        <f t="shared" si="74"/>
        <v>-2.0605027095633721E-3</v>
      </c>
      <c r="W242" s="39">
        <f t="shared" si="60"/>
        <v>225.44</v>
      </c>
      <c r="X242" s="21"/>
    </row>
    <row r="243" spans="1:24" x14ac:dyDescent="0.2">
      <c r="A243" s="38">
        <v>45289</v>
      </c>
      <c r="B243" s="39">
        <v>227.01</v>
      </c>
      <c r="C243" s="39">
        <v>475.31</v>
      </c>
      <c r="D243" s="39">
        <v>42.77</v>
      </c>
      <c r="E243" s="41">
        <f t="shared" si="61"/>
        <v>6.9641589779985136E-3</v>
      </c>
      <c r="F243" s="41">
        <f t="shared" si="62"/>
        <v>-2.8949631836203693E-3</v>
      </c>
      <c r="G243" s="41">
        <f t="shared" si="63"/>
        <v>-3.959012575686871E-3</v>
      </c>
      <c r="H243" s="41">
        <f t="shared" si="64"/>
        <v>0.26263974637076437</v>
      </c>
      <c r="I243" s="41">
        <f t="shared" si="65"/>
        <v>0.17514277943975931</v>
      </c>
      <c r="J243" s="41">
        <f t="shared" si="66"/>
        <v>2.7754415475188754E-2</v>
      </c>
      <c r="K243" s="42">
        <f t="shared" si="57"/>
        <v>126.26397463707659</v>
      </c>
      <c r="L243" s="42">
        <f t="shared" si="58"/>
        <v>117.51427794397607</v>
      </c>
      <c r="M243" s="42">
        <f t="shared" si="59"/>
        <v>102.77544154751892</v>
      </c>
      <c r="N243" s="41">
        <f t="shared" si="67"/>
        <v>7.4456456238210178E-2</v>
      </c>
      <c r="O243" s="41">
        <f t="shared" si="68"/>
        <v>0.22854227367826474</v>
      </c>
      <c r="P243" s="39">
        <f t="shared" si="69"/>
        <v>206.09092491033138</v>
      </c>
      <c r="Q243" s="42">
        <f t="shared" si="70"/>
        <v>1.2626397463707644</v>
      </c>
      <c r="R243" s="42">
        <f t="shared" si="71"/>
        <v>1.2721508426497581</v>
      </c>
      <c r="S243" s="41">
        <f t="shared" si="72"/>
        <v>-7.4763903462761183E-3</v>
      </c>
      <c r="T243" s="41">
        <f t="shared" si="56"/>
        <v>0.22945727373210592</v>
      </c>
      <c r="U243" s="41">
        <f t="shared" si="73"/>
        <v>0</v>
      </c>
      <c r="V243" s="41">
        <f t="shared" si="74"/>
        <v>9.8591221616188829E-3</v>
      </c>
      <c r="W243" s="39">
        <f t="shared" si="60"/>
        <v>227.01</v>
      </c>
      <c r="X243" s="21"/>
    </row>
    <row r="244" spans="1:24" x14ac:dyDescent="0.2">
      <c r="A244" s="38">
        <v>45293</v>
      </c>
      <c r="B244" s="39">
        <v>223.6</v>
      </c>
      <c r="C244" s="39">
        <v>472.65</v>
      </c>
      <c r="D244" s="39">
        <v>42.695</v>
      </c>
      <c r="E244" s="41">
        <f t="shared" si="61"/>
        <v>-1.5021364697590411E-2</v>
      </c>
      <c r="F244" s="41">
        <f t="shared" si="62"/>
        <v>-5.5963476467989492E-3</v>
      </c>
      <c r="G244" s="41">
        <f t="shared" si="63"/>
        <v>-1.753565583352934E-3</v>
      </c>
      <c r="H244" s="41">
        <f t="shared" si="64"/>
        <v>0.24367317425885604</v>
      </c>
      <c r="I244" s="41">
        <f t="shared" si="65"/>
        <v>0.16856627191138873</v>
      </c>
      <c r="J244" s="41">
        <f t="shared" si="66"/>
        <v>2.5952180704072347E-2</v>
      </c>
      <c r="K244" s="42">
        <f t="shared" si="57"/>
        <v>124.36731742588576</v>
      </c>
      <c r="L244" s="42">
        <f t="shared" si="58"/>
        <v>116.85662719113901</v>
      </c>
      <c r="M244" s="42">
        <f t="shared" si="59"/>
        <v>102.5952180704073</v>
      </c>
      <c r="N244" s="41">
        <f t="shared" si="67"/>
        <v>6.4272693943679515E-2</v>
      </c>
      <c r="O244" s="41">
        <f t="shared" si="68"/>
        <v>0.21221358816681879</v>
      </c>
      <c r="P244" s="39">
        <f t="shared" si="69"/>
        <v>206.26514456296491</v>
      </c>
      <c r="Q244" s="42">
        <f t="shared" si="70"/>
        <v>1.243673174258856</v>
      </c>
      <c r="R244" s="42">
        <f t="shared" si="71"/>
        <v>1.2721508426497581</v>
      </c>
      <c r="S244" s="41">
        <f t="shared" si="72"/>
        <v>-2.238544945785359E-2</v>
      </c>
      <c r="T244" s="41">
        <f t="shared" si="56"/>
        <v>0.23145840707813134</v>
      </c>
      <c r="U244" s="41">
        <f t="shared" si="73"/>
        <v>-1.5177014560381674E-2</v>
      </c>
      <c r="V244" s="41">
        <f t="shared" si="74"/>
        <v>-9.4250170507914621E-3</v>
      </c>
      <c r="W244" s="39">
        <f t="shared" si="60"/>
        <v>223.6</v>
      </c>
      <c r="X244" s="21"/>
    </row>
    <row r="245" spans="1:24" x14ac:dyDescent="0.2">
      <c r="A245" s="38">
        <v>45294</v>
      </c>
      <c r="B245" s="39">
        <v>219.33</v>
      </c>
      <c r="C245" s="39">
        <v>468.79</v>
      </c>
      <c r="D245" s="39">
        <v>42.234999999999999</v>
      </c>
      <c r="E245" s="41">
        <f t="shared" si="61"/>
        <v>-1.909660107334521E-2</v>
      </c>
      <c r="F245" s="41">
        <f t="shared" si="62"/>
        <v>-8.1667195599279818E-3</v>
      </c>
      <c r="G245" s="41">
        <f t="shared" si="63"/>
        <v>-1.0774095327321764E-2</v>
      </c>
      <c r="H245" s="41">
        <f t="shared" si="64"/>
        <v>0.21992324378441364</v>
      </c>
      <c r="I245" s="41">
        <f t="shared" si="65"/>
        <v>0.15902291888149778</v>
      </c>
      <c r="J245" s="41">
        <f t="shared" si="66"/>
        <v>1.4898474107893023E-2</v>
      </c>
      <c r="K245" s="42">
        <f t="shared" si="57"/>
        <v>121.99232437844152</v>
      </c>
      <c r="L245" s="42">
        <f t="shared" si="58"/>
        <v>115.9022918881499</v>
      </c>
      <c r="M245" s="42">
        <f t="shared" si="59"/>
        <v>101.48984741078937</v>
      </c>
      <c r="N245" s="41">
        <f t="shared" si="67"/>
        <v>5.2544538948105624E-2</v>
      </c>
      <c r="O245" s="41">
        <f t="shared" si="68"/>
        <v>0.20201505363060046</v>
      </c>
      <c r="P245" s="39">
        <f t="shared" si="69"/>
        <v>206.39514312452744</v>
      </c>
      <c r="Q245" s="42">
        <f t="shared" si="70"/>
        <v>1.2199232437844136</v>
      </c>
      <c r="R245" s="42">
        <f t="shared" si="71"/>
        <v>1.2721508426497581</v>
      </c>
      <c r="S245" s="41">
        <f t="shared" si="72"/>
        <v>-4.1054564533054783E-2</v>
      </c>
      <c r="T245" s="41">
        <f t="shared" si="56"/>
        <v>0.22926690165787764</v>
      </c>
      <c r="U245" s="41">
        <f t="shared" si="73"/>
        <v>-1.9252250936136472E-2</v>
      </c>
      <c r="V245" s="41">
        <f t="shared" si="74"/>
        <v>-1.0929881513417228E-2</v>
      </c>
      <c r="W245" s="39">
        <f t="shared" si="60"/>
        <v>219.33</v>
      </c>
      <c r="X245" s="21"/>
    </row>
    <row r="246" spans="1:24" x14ac:dyDescent="0.2">
      <c r="A246" s="38">
        <v>45295</v>
      </c>
      <c r="B246" s="39">
        <v>220.68</v>
      </c>
      <c r="C246" s="39">
        <v>467.28</v>
      </c>
      <c r="D246" s="39">
        <v>42.1</v>
      </c>
      <c r="E246" s="41">
        <f t="shared" si="61"/>
        <v>6.1551087402544891E-3</v>
      </c>
      <c r="F246" s="41">
        <f t="shared" si="62"/>
        <v>-3.2210584696773514E-3</v>
      </c>
      <c r="G246" s="41">
        <f t="shared" si="63"/>
        <v>-3.1964010891439854E-3</v>
      </c>
      <c r="H246" s="41">
        <f t="shared" si="64"/>
        <v>0.22743200400467067</v>
      </c>
      <c r="I246" s="41">
        <f t="shared" si="65"/>
        <v>0.15528963829208431</v>
      </c>
      <c r="J246" s="41">
        <f t="shared" si="66"/>
        <v>1.1654451519883979E-2</v>
      </c>
      <c r="K246" s="42">
        <f t="shared" si="57"/>
        <v>122.74320040046722</v>
      </c>
      <c r="L246" s="42">
        <f t="shared" si="58"/>
        <v>115.52896382920859</v>
      </c>
      <c r="M246" s="42">
        <f t="shared" si="59"/>
        <v>101.16544515198846</v>
      </c>
      <c r="N246" s="41">
        <f t="shared" si="67"/>
        <v>6.2445263353385183E-2</v>
      </c>
      <c r="O246" s="41">
        <f t="shared" si="68"/>
        <v>0.21329175407730183</v>
      </c>
      <c r="P246" s="39">
        <f t="shared" si="69"/>
        <v>206.53728100388537</v>
      </c>
      <c r="Q246" s="42">
        <f t="shared" si="70"/>
        <v>1.2274320040046707</v>
      </c>
      <c r="R246" s="42">
        <f t="shared" si="71"/>
        <v>1.2721508426497581</v>
      </c>
      <c r="S246" s="41">
        <f t="shared" si="72"/>
        <v>-3.5152151101785045E-2</v>
      </c>
      <c r="T246" s="41">
        <f t="shared" si="56"/>
        <v>0.22842896284747255</v>
      </c>
      <c r="U246" s="41">
        <f t="shared" si="73"/>
        <v>0</v>
      </c>
      <c r="V246" s="41">
        <f t="shared" si="74"/>
        <v>9.3761672099318405E-3</v>
      </c>
      <c r="W246" s="39">
        <f t="shared" si="60"/>
        <v>220.68</v>
      </c>
      <c r="X246" s="21"/>
    </row>
    <row r="247" spans="1:24" x14ac:dyDescent="0.2">
      <c r="A247" s="38">
        <v>45296</v>
      </c>
      <c r="B247" s="39">
        <v>221.62</v>
      </c>
      <c r="C247" s="39">
        <v>467.92</v>
      </c>
      <c r="D247" s="39">
        <v>42.17</v>
      </c>
      <c r="E247" s="41">
        <f t="shared" si="61"/>
        <v>4.2595613558094048E-3</v>
      </c>
      <c r="F247" s="41">
        <f t="shared" si="62"/>
        <v>1.3696284882727117E-3</v>
      </c>
      <c r="G247" s="41">
        <f t="shared" si="63"/>
        <v>1.6627078384798821E-3</v>
      </c>
      <c r="H247" s="41">
        <f t="shared" si="64"/>
        <v>0.23266032593581265</v>
      </c>
      <c r="I247" s="41">
        <f t="shared" si="65"/>
        <v>0.15687195589289549</v>
      </c>
      <c r="J247" s="41">
        <f t="shared" si="66"/>
        <v>1.3336537306259055E-2</v>
      </c>
      <c r="K247" s="42">
        <f t="shared" si="57"/>
        <v>123.2660325935814</v>
      </c>
      <c r="L247" s="42">
        <f t="shared" si="58"/>
        <v>115.68719558928969</v>
      </c>
      <c r="M247" s="42">
        <f t="shared" si="59"/>
        <v>101.33365373062597</v>
      </c>
      <c r="N247" s="41">
        <f t="shared" si="67"/>
        <v>6.5511459290602536E-2</v>
      </c>
      <c r="O247" s="41">
        <f t="shared" si="68"/>
        <v>0.21643726497080573</v>
      </c>
      <c r="P247" s="39">
        <f t="shared" si="69"/>
        <v>206.68735780981686</v>
      </c>
      <c r="Q247" s="42">
        <f t="shared" si="70"/>
        <v>1.2326603259358127</v>
      </c>
      <c r="R247" s="42">
        <f t="shared" si="71"/>
        <v>1.2721508426497581</v>
      </c>
      <c r="S247" s="41">
        <f t="shared" si="72"/>
        <v>-3.1042322490382301E-2</v>
      </c>
      <c r="T247" s="41">
        <f t="shared" si="56"/>
        <v>0.22846776477125338</v>
      </c>
      <c r="U247" s="41">
        <f t="shared" si="73"/>
        <v>0</v>
      </c>
      <c r="V247" s="41">
        <f t="shared" si="74"/>
        <v>2.8899328675366931E-3</v>
      </c>
      <c r="W247" s="39">
        <f t="shared" si="60"/>
        <v>221.62</v>
      </c>
      <c r="X247" s="21"/>
    </row>
    <row r="248" spans="1:24" x14ac:dyDescent="0.2">
      <c r="A248" s="38">
        <v>45299</v>
      </c>
      <c r="B248" s="39">
        <v>224</v>
      </c>
      <c r="C248" s="39">
        <v>474.6</v>
      </c>
      <c r="D248" s="39">
        <v>42.35</v>
      </c>
      <c r="E248" s="41">
        <f t="shared" si="61"/>
        <v>1.073910296904601E-2</v>
      </c>
      <c r="F248" s="41">
        <f t="shared" si="62"/>
        <v>1.4275944605915525E-2</v>
      </c>
      <c r="G248" s="41">
        <f t="shared" si="63"/>
        <v>4.268437277685555E-3</v>
      </c>
      <c r="H248" s="41">
        <f t="shared" si="64"/>
        <v>0.24589799210189511</v>
      </c>
      <c r="I248" s="41">
        <f t="shared" si="65"/>
        <v>0.17338739585135965</v>
      </c>
      <c r="J248" s="41">
        <f t="shared" si="66"/>
        <v>1.7661900756937854E-2</v>
      </c>
      <c r="K248" s="42">
        <f t="shared" si="57"/>
        <v>124.58979921018967</v>
      </c>
      <c r="L248" s="42">
        <f t="shared" si="58"/>
        <v>117.3387395851361</v>
      </c>
      <c r="M248" s="42">
        <f t="shared" si="59"/>
        <v>101.76619007569386</v>
      </c>
      <c r="N248" s="41">
        <f t="shared" si="67"/>
        <v>6.1795956311534228E-2</v>
      </c>
      <c r="O248" s="41">
        <f t="shared" si="68"/>
        <v>0.22427496909847466</v>
      </c>
      <c r="P248" s="39">
        <f t="shared" si="69"/>
        <v>206.85962290623661</v>
      </c>
      <c r="Q248" s="42">
        <f t="shared" si="70"/>
        <v>1.2458979921018951</v>
      </c>
      <c r="R248" s="42">
        <f t="shared" si="71"/>
        <v>1.2721508426497581</v>
      </c>
      <c r="S248" s="41">
        <f t="shared" si="72"/>
        <v>-2.0636586218958919E-2</v>
      </c>
      <c r="T248" s="41">
        <f t="shared" si="56"/>
        <v>0.22668475852770018</v>
      </c>
      <c r="U248" s="41">
        <f t="shared" si="73"/>
        <v>0</v>
      </c>
      <c r="V248" s="41">
        <f t="shared" si="74"/>
        <v>-3.5368416368695144E-3</v>
      </c>
      <c r="W248" s="39">
        <f t="shared" si="60"/>
        <v>224</v>
      </c>
      <c r="X248" s="21"/>
    </row>
    <row r="249" spans="1:24" x14ac:dyDescent="0.2">
      <c r="A249" s="38">
        <v>45300</v>
      </c>
      <c r="B249" s="39">
        <v>223.42</v>
      </c>
      <c r="C249" s="39">
        <v>473.88</v>
      </c>
      <c r="D249" s="39">
        <v>41.865000000000002</v>
      </c>
      <c r="E249" s="41">
        <f t="shared" si="61"/>
        <v>-2.5892857142857384E-3</v>
      </c>
      <c r="F249" s="41">
        <f t="shared" si="62"/>
        <v>-1.517067003792727E-3</v>
      </c>
      <c r="G249" s="41">
        <f t="shared" si="63"/>
        <v>-1.1452184179456926E-2</v>
      </c>
      <c r="H249" s="41">
        <f t="shared" si="64"/>
        <v>0.24267200622948848</v>
      </c>
      <c r="I249" s="41">
        <f t="shared" si="65"/>
        <v>0.17160728855044738</v>
      </c>
      <c r="J249" s="41">
        <f t="shared" si="66"/>
        <v>6.0074492370532084E-3</v>
      </c>
      <c r="K249" s="42">
        <f t="shared" si="57"/>
        <v>124.26720062294901</v>
      </c>
      <c r="L249" s="42">
        <f t="shared" si="58"/>
        <v>117.16072885504487</v>
      </c>
      <c r="M249" s="42">
        <f t="shared" si="59"/>
        <v>100.60074492370539</v>
      </c>
      <c r="N249" s="41">
        <f t="shared" si="67"/>
        <v>6.0655749049636665E-2</v>
      </c>
      <c r="O249" s="41">
        <f t="shared" si="68"/>
        <v>0.2352512967691438</v>
      </c>
      <c r="P249" s="39">
        <f t="shared" si="69"/>
        <v>207.02440277781636</v>
      </c>
      <c r="Q249" s="42">
        <f t="shared" si="70"/>
        <v>1.2426720062294885</v>
      </c>
      <c r="R249" s="42">
        <f t="shared" si="71"/>
        <v>1.2721508426497581</v>
      </c>
      <c r="S249" s="41">
        <f t="shared" si="72"/>
        <v>-2.317243791535617E-2</v>
      </c>
      <c r="T249" s="41">
        <f t="shared" si="56"/>
        <v>0.22293736356329683</v>
      </c>
      <c r="U249" s="41">
        <f t="shared" si="73"/>
        <v>-2.7449355770770012E-3</v>
      </c>
      <c r="V249" s="41">
        <f t="shared" si="74"/>
        <v>-1.0722187104930114E-3</v>
      </c>
      <c r="W249" s="39">
        <f t="shared" si="60"/>
        <v>223.42</v>
      </c>
      <c r="X249" s="21"/>
    </row>
    <row r="250" spans="1:24" x14ac:dyDescent="0.2">
      <c r="A250" s="38">
        <v>45301</v>
      </c>
      <c r="B250" s="39">
        <v>226.11</v>
      </c>
      <c r="C250" s="39">
        <v>476.56</v>
      </c>
      <c r="D250" s="39">
        <v>41.81</v>
      </c>
      <c r="E250" s="41">
        <f t="shared" si="61"/>
        <v>1.2040103840300853E-2</v>
      </c>
      <c r="F250" s="41">
        <f t="shared" si="62"/>
        <v>5.655440195830197E-3</v>
      </c>
      <c r="G250" s="41">
        <f t="shared" si="63"/>
        <v>-1.3137465663441983E-3</v>
      </c>
      <c r="H250" s="41">
        <f t="shared" si="64"/>
        <v>0.25763390622392657</v>
      </c>
      <c r="I250" s="41">
        <f t="shared" si="65"/>
        <v>0.17823324350384318</v>
      </c>
      <c r="J250" s="41">
        <f t="shared" si="66"/>
        <v>4.6858104049012361E-3</v>
      </c>
      <c r="K250" s="42">
        <f t="shared" si="57"/>
        <v>125.76339062239282</v>
      </c>
      <c r="L250" s="42">
        <f t="shared" si="58"/>
        <v>117.82332435038445</v>
      </c>
      <c r="M250" s="42">
        <f t="shared" si="59"/>
        <v>100.46858104049021</v>
      </c>
      <c r="N250" s="41">
        <f t="shared" si="67"/>
        <v>6.7389596379033412E-2</v>
      </c>
      <c r="O250" s="41">
        <f t="shared" si="68"/>
        <v>0.25176835703201972</v>
      </c>
      <c r="P250" s="39">
        <f t="shared" si="69"/>
        <v>207.21430921783809</v>
      </c>
      <c r="Q250" s="42">
        <f t="shared" si="70"/>
        <v>1.2576339062239266</v>
      </c>
      <c r="R250" s="42">
        <f t="shared" si="71"/>
        <v>1.2721508426497581</v>
      </c>
      <c r="S250" s="41">
        <f t="shared" si="72"/>
        <v>-1.1411332633789129E-2</v>
      </c>
      <c r="T250" s="41">
        <f t="shared" si="56"/>
        <v>0.22350240000895727</v>
      </c>
      <c r="U250" s="41">
        <f t="shared" si="73"/>
        <v>0</v>
      </c>
      <c r="V250" s="41">
        <f t="shared" si="74"/>
        <v>6.3846636444706562E-3</v>
      </c>
      <c r="W250" s="39">
        <f t="shared" si="60"/>
        <v>226.11</v>
      </c>
      <c r="X250" s="21"/>
    </row>
    <row r="251" spans="1:24" x14ac:dyDescent="0.2">
      <c r="A251" s="38">
        <v>45302</v>
      </c>
      <c r="B251" s="39">
        <v>224.36</v>
      </c>
      <c r="C251" s="39">
        <v>476.35</v>
      </c>
      <c r="D251" s="39">
        <v>41.685000000000002</v>
      </c>
      <c r="E251" s="41">
        <f t="shared" si="61"/>
        <v>-7.7395957719693653E-3</v>
      </c>
      <c r="F251" s="41">
        <f t="shared" si="62"/>
        <v>-4.4065804935367048E-4</v>
      </c>
      <c r="G251" s="41">
        <f t="shared" si="63"/>
        <v>-2.9897153790958697E-3</v>
      </c>
      <c r="H251" s="41">
        <f t="shared" si="64"/>
        <v>0.24790032816063046</v>
      </c>
      <c r="I251" s="41">
        <f t="shared" si="65"/>
        <v>0.17771404554107706</v>
      </c>
      <c r="J251" s="41">
        <f t="shared" si="66"/>
        <v>1.6820857863744099E-3</v>
      </c>
      <c r="K251" s="42">
        <f t="shared" si="57"/>
        <v>124.7900328160632</v>
      </c>
      <c r="L251" s="42">
        <f t="shared" si="58"/>
        <v>117.77140455410785</v>
      </c>
      <c r="M251" s="42">
        <f t="shared" si="59"/>
        <v>100.1682085786375</v>
      </c>
      <c r="N251" s="41">
        <f t="shared" si="67"/>
        <v>5.9595351592591106E-2</v>
      </c>
      <c r="O251" s="41">
        <f t="shared" si="68"/>
        <v>0.24580477765154551</v>
      </c>
      <c r="P251" s="39">
        <f t="shared" si="69"/>
        <v>207.38491310621782</v>
      </c>
      <c r="Q251" s="42">
        <f t="shared" si="70"/>
        <v>1.2479003281606305</v>
      </c>
      <c r="R251" s="42">
        <f t="shared" si="71"/>
        <v>1.2721508426497581</v>
      </c>
      <c r="S251" s="41">
        <f t="shared" si="72"/>
        <v>-1.9062609303953537E-2</v>
      </c>
      <c r="T251" s="41">
        <f t="shared" si="56"/>
        <v>0.2215744340901101</v>
      </c>
      <c r="U251" s="41">
        <f t="shared" si="73"/>
        <v>-7.8952456347606281E-3</v>
      </c>
      <c r="V251" s="41">
        <f t="shared" si="74"/>
        <v>-7.2989377226156948E-3</v>
      </c>
      <c r="W251" s="39">
        <f t="shared" si="60"/>
        <v>224.36</v>
      </c>
      <c r="X251" s="21"/>
    </row>
    <row r="252" spans="1:24" x14ac:dyDescent="0.2">
      <c r="A252" s="38">
        <v>45303</v>
      </c>
      <c r="B252" s="39">
        <v>223.96</v>
      </c>
      <c r="C252" s="39">
        <v>476.68</v>
      </c>
      <c r="D252" s="39">
        <v>41.725000000000001</v>
      </c>
      <c r="E252" s="41">
        <f t="shared" si="61"/>
        <v>-1.7828489926903224E-3</v>
      </c>
      <c r="F252" s="41">
        <f t="shared" si="62"/>
        <v>6.9276792274575172E-4</v>
      </c>
      <c r="G252" s="41">
        <f t="shared" si="63"/>
        <v>9.5957778577426822E-4</v>
      </c>
      <c r="H252" s="41">
        <f t="shared" si="64"/>
        <v>0.24567551031759138</v>
      </c>
      <c r="I252" s="41">
        <f t="shared" si="65"/>
        <v>0.17852992805399515</v>
      </c>
      <c r="J252" s="41">
        <f t="shared" si="66"/>
        <v>2.6432776643030564E-3</v>
      </c>
      <c r="K252" s="42">
        <f t="shared" si="57"/>
        <v>124.56755103175929</v>
      </c>
      <c r="L252" s="42">
        <f t="shared" si="58"/>
        <v>117.85299280539965</v>
      </c>
      <c r="M252" s="42">
        <f t="shared" si="59"/>
        <v>100.26432776643037</v>
      </c>
      <c r="N252" s="41">
        <f t="shared" si="67"/>
        <v>5.6974015394303912E-2</v>
      </c>
      <c r="O252" s="41">
        <f t="shared" si="68"/>
        <v>0.24239152455042778</v>
      </c>
      <c r="P252" s="39">
        <f t="shared" si="69"/>
        <v>207.54983934396691</v>
      </c>
      <c r="Q252" s="42">
        <f t="shared" si="70"/>
        <v>1.2456755103175914</v>
      </c>
      <c r="R252" s="42">
        <f t="shared" si="71"/>
        <v>1.2721508426497581</v>
      </c>
      <c r="S252" s="41">
        <f t="shared" si="72"/>
        <v>-2.0811472542848208E-2</v>
      </c>
      <c r="T252" s="41">
        <f t="shared" si="56"/>
        <v>0.22112322759721237</v>
      </c>
      <c r="U252" s="41">
        <f t="shared" si="73"/>
        <v>-1.9384988554815852E-3</v>
      </c>
      <c r="V252" s="41">
        <f t="shared" si="74"/>
        <v>-2.4756169154360741E-3</v>
      </c>
      <c r="W252" s="39">
        <f t="shared" si="60"/>
        <v>223.96</v>
      </c>
      <c r="X252" s="21"/>
    </row>
    <row r="253" spans="1:24" x14ac:dyDescent="0.2">
      <c r="A253" s="38">
        <v>45307</v>
      </c>
      <c r="B253" s="39">
        <v>222.38</v>
      </c>
      <c r="C253" s="39">
        <v>474.93</v>
      </c>
      <c r="D253" s="39">
        <v>41.244999999999997</v>
      </c>
      <c r="E253" s="41">
        <f t="shared" si="61"/>
        <v>-7.0548312198607244E-3</v>
      </c>
      <c r="F253" s="41">
        <f t="shared" si="62"/>
        <v>-3.671225979692827E-3</v>
      </c>
      <c r="G253" s="41">
        <f t="shared" si="63"/>
        <v>-1.1503894547633453E-2</v>
      </c>
      <c r="H253" s="41">
        <f t="shared" si="64"/>
        <v>0.23688747983758685</v>
      </c>
      <c r="I253" s="41">
        <f t="shared" si="65"/>
        <v>0.17420327836427774</v>
      </c>
      <c r="J253" s="41">
        <f t="shared" si="66"/>
        <v>-8.8910248708407025E-3</v>
      </c>
      <c r="K253" s="42">
        <f t="shared" si="57"/>
        <v>123.68874798375884</v>
      </c>
      <c r="L253" s="42">
        <f t="shared" si="58"/>
        <v>117.4203278364279</v>
      </c>
      <c r="M253" s="42">
        <f t="shared" si="59"/>
        <v>99.110897512916011</v>
      </c>
      <c r="N253" s="41">
        <f t="shared" si="67"/>
        <v>5.3384454487839017E-2</v>
      </c>
      <c r="O253" s="41">
        <f t="shared" si="68"/>
        <v>0.24798333066895917</v>
      </c>
      <c r="P253" s="39">
        <f t="shared" si="69"/>
        <v>207.69740313158914</v>
      </c>
      <c r="Q253" s="42">
        <f t="shared" si="70"/>
        <v>1.2368874798375868</v>
      </c>
      <c r="R253" s="42">
        <f t="shared" si="71"/>
        <v>1.2721508426497581</v>
      </c>
      <c r="S253" s="41">
        <f t="shared" si="72"/>
        <v>-2.7719482336482471E-2</v>
      </c>
      <c r="T253" s="41">
        <f t="shared" si="56"/>
        <v>0.19329394453917564</v>
      </c>
      <c r="U253" s="41">
        <f t="shared" si="73"/>
        <v>-7.2104810826519872E-3</v>
      </c>
      <c r="V253" s="41">
        <f t="shared" si="74"/>
        <v>-3.3836052401678973E-3</v>
      </c>
      <c r="W253" s="39">
        <f t="shared" si="60"/>
        <v>222.38</v>
      </c>
      <c r="X253" s="21"/>
    </row>
    <row r="254" spans="1:24" x14ac:dyDescent="0.2">
      <c r="A254" s="38">
        <v>45308</v>
      </c>
      <c r="B254" s="39">
        <v>221.26</v>
      </c>
      <c r="C254" s="39">
        <v>472.29</v>
      </c>
      <c r="D254" s="39">
        <v>40.945</v>
      </c>
      <c r="E254" s="41">
        <f t="shared" si="61"/>
        <v>-5.0364241388614062E-3</v>
      </c>
      <c r="F254" s="41">
        <f t="shared" si="62"/>
        <v>-5.5587139157349252E-3</v>
      </c>
      <c r="G254" s="41">
        <f t="shared" si="63"/>
        <v>-7.2736089222935618E-3</v>
      </c>
      <c r="H254" s="41">
        <f t="shared" si="64"/>
        <v>0.23065798987707731</v>
      </c>
      <c r="I254" s="41">
        <f t="shared" si="65"/>
        <v>0.1676762182609326</v>
      </c>
      <c r="J254" s="41">
        <f t="shared" si="66"/>
        <v>-1.609996395530533E-2</v>
      </c>
      <c r="K254" s="42">
        <f t="shared" si="57"/>
        <v>123.06579898770789</v>
      </c>
      <c r="L254" s="42">
        <f t="shared" si="58"/>
        <v>116.76762182609339</v>
      </c>
      <c r="M254" s="42">
        <f t="shared" si="59"/>
        <v>98.390003604469527</v>
      </c>
      <c r="N254" s="41">
        <f t="shared" si="67"/>
        <v>5.3937701762861945E-2</v>
      </c>
      <c r="O254" s="41">
        <f t="shared" si="68"/>
        <v>0.25079575647172092</v>
      </c>
      <c r="P254" s="39">
        <f t="shared" si="69"/>
        <v>207.83235434421016</v>
      </c>
      <c r="Q254" s="42">
        <f t="shared" si="70"/>
        <v>1.2306579898770773</v>
      </c>
      <c r="R254" s="42">
        <f t="shared" si="71"/>
        <v>1.2721508426497581</v>
      </c>
      <c r="S254" s="41">
        <f t="shared" si="72"/>
        <v>-3.2616299405387683E-2</v>
      </c>
      <c r="T254" s="41">
        <f t="shared" si="56"/>
        <v>0.19327677493502166</v>
      </c>
      <c r="U254" s="41">
        <f t="shared" si="73"/>
        <v>-5.192074001652669E-3</v>
      </c>
      <c r="V254" s="41">
        <f t="shared" si="74"/>
        <v>5.2228977687351907E-4</v>
      </c>
      <c r="W254" s="39">
        <f t="shared" si="60"/>
        <v>221.26</v>
      </c>
      <c r="X254" s="21"/>
    </row>
    <row r="255" spans="1:24" x14ac:dyDescent="0.2">
      <c r="A255" s="38">
        <v>45309</v>
      </c>
      <c r="B255" s="39">
        <v>225.12</v>
      </c>
      <c r="C255" s="39">
        <v>476.49</v>
      </c>
      <c r="D255" s="39">
        <v>41.075000000000003</v>
      </c>
      <c r="E255" s="41">
        <f t="shared" si="61"/>
        <v>1.7445539184669734E-2</v>
      </c>
      <c r="F255" s="41">
        <f t="shared" si="62"/>
        <v>8.8928412627833353E-3</v>
      </c>
      <c r="G255" s="41">
        <f t="shared" si="63"/>
        <v>3.1749908413727379E-3</v>
      </c>
      <c r="H255" s="41">
        <f t="shared" si="64"/>
        <v>0.25212748206240465</v>
      </c>
      <c r="I255" s="41">
        <f t="shared" si="65"/>
        <v>0.17806017751625425</v>
      </c>
      <c r="J255" s="41">
        <f t="shared" si="66"/>
        <v>-1.2976090352037173E-2</v>
      </c>
      <c r="K255" s="42">
        <f t="shared" si="57"/>
        <v>125.21274820624062</v>
      </c>
      <c r="L255" s="42">
        <f t="shared" si="58"/>
        <v>117.80601775162557</v>
      </c>
      <c r="M255" s="42">
        <f t="shared" si="59"/>
        <v>98.702390964796351</v>
      </c>
      <c r="N255" s="41">
        <f t="shared" si="67"/>
        <v>6.2872258955658067E-2</v>
      </c>
      <c r="O255" s="41">
        <f t="shared" si="68"/>
        <v>0.26858880501587357</v>
      </c>
      <c r="P255" s="39">
        <f t="shared" si="69"/>
        <v>208.00437071889465</v>
      </c>
      <c r="Q255" s="42">
        <f t="shared" si="70"/>
        <v>1.2521274820624047</v>
      </c>
      <c r="R255" s="42">
        <f t="shared" si="71"/>
        <v>1.2721508426497581</v>
      </c>
      <c r="S255" s="41">
        <f t="shared" si="72"/>
        <v>-1.5739769150053706E-2</v>
      </c>
      <c r="T255" s="41">
        <f t="shared" si="56"/>
        <v>0.19539771767072181</v>
      </c>
      <c r="U255" s="41">
        <f t="shared" si="73"/>
        <v>0</v>
      </c>
      <c r="V255" s="41">
        <f t="shared" si="74"/>
        <v>8.5526979218863985E-3</v>
      </c>
      <c r="W255" s="39">
        <f t="shared" si="60"/>
        <v>225.12</v>
      </c>
      <c r="X255" s="21"/>
    </row>
    <row r="256" spans="1:24" x14ac:dyDescent="0.2">
      <c r="A256" s="38">
        <v>45310</v>
      </c>
      <c r="B256" s="39">
        <v>226.08</v>
      </c>
      <c r="C256" s="39">
        <v>482.43</v>
      </c>
      <c r="D256" s="39">
        <v>41.115000000000002</v>
      </c>
      <c r="E256" s="41">
        <f t="shared" si="61"/>
        <v>4.2643923240939241E-3</v>
      </c>
      <c r="F256" s="41">
        <f t="shared" si="62"/>
        <v>1.2466158786123449E-2</v>
      </c>
      <c r="G256" s="41">
        <f t="shared" si="63"/>
        <v>9.738283627509503E-4</v>
      </c>
      <c r="H256" s="41">
        <f t="shared" si="64"/>
        <v>0.2574670448856986</v>
      </c>
      <c r="I256" s="41">
        <f t="shared" si="65"/>
        <v>0.1927460627487807</v>
      </c>
      <c r="J256" s="41">
        <f t="shared" si="66"/>
        <v>-1.2014898474108637E-2</v>
      </c>
      <c r="K256" s="42">
        <f t="shared" si="57"/>
        <v>125.74670448857002</v>
      </c>
      <c r="L256" s="42">
        <f t="shared" si="58"/>
        <v>119.27460627487822</v>
      </c>
      <c r="M256" s="42">
        <f t="shared" si="59"/>
        <v>98.798510152589216</v>
      </c>
      <c r="N256" s="41">
        <f t="shared" si="67"/>
        <v>5.4262163723066914E-2</v>
      </c>
      <c r="O256" s="41">
        <f t="shared" si="68"/>
        <v>0.2727591164518639</v>
      </c>
      <c r="P256" s="39">
        <f t="shared" si="69"/>
        <v>208.18422772666685</v>
      </c>
      <c r="Q256" s="42">
        <f t="shared" si="70"/>
        <v>1.2574670448856986</v>
      </c>
      <c r="R256" s="42">
        <f t="shared" si="71"/>
        <v>1.2721508426497581</v>
      </c>
      <c r="S256" s="41">
        <f t="shared" si="72"/>
        <v>-1.1542497376706207E-2</v>
      </c>
      <c r="T256" s="41">
        <f t="shared" si="56"/>
        <v>0.19537245987668386</v>
      </c>
      <c r="U256" s="41">
        <f t="shared" si="73"/>
        <v>0</v>
      </c>
      <c r="V256" s="41">
        <f t="shared" si="74"/>
        <v>-8.201766462029525E-3</v>
      </c>
      <c r="W256" s="39">
        <f t="shared" si="60"/>
        <v>226.08</v>
      </c>
      <c r="X256" s="21"/>
    </row>
    <row r="257" spans="1:24" x14ac:dyDescent="0.2">
      <c r="A257" s="38">
        <v>45313</v>
      </c>
      <c r="B257" s="39">
        <v>227.28</v>
      </c>
      <c r="C257" s="39">
        <v>483.45</v>
      </c>
      <c r="D257" s="39">
        <v>41.234999999999999</v>
      </c>
      <c r="E257" s="41">
        <f t="shared" si="61"/>
        <v>5.3078556263268517E-3</v>
      </c>
      <c r="F257" s="41">
        <f t="shared" si="62"/>
        <v>2.1142963746034749E-3</v>
      </c>
      <c r="G257" s="41">
        <f t="shared" si="63"/>
        <v>2.9186428310834511E-3</v>
      </c>
      <c r="H257" s="41">
        <f t="shared" si="64"/>
        <v>0.26414149841481582</v>
      </c>
      <c r="I257" s="41">
        <f t="shared" si="65"/>
        <v>0.19526788142507301</v>
      </c>
      <c r="J257" s="41">
        <f t="shared" si="66"/>
        <v>-9.1313228403228086E-3</v>
      </c>
      <c r="K257" s="42">
        <f t="shared" si="57"/>
        <v>126.41414984148173</v>
      </c>
      <c r="L257" s="42">
        <f t="shared" si="58"/>
        <v>119.52678814250748</v>
      </c>
      <c r="M257" s="42">
        <f t="shared" si="59"/>
        <v>99.086867715967799</v>
      </c>
      <c r="N257" s="41">
        <f t="shared" si="67"/>
        <v>5.762190891269281E-2</v>
      </c>
      <c r="O257" s="41">
        <f t="shared" si="68"/>
        <v>0.27579115936783327</v>
      </c>
      <c r="P257" s="39">
        <f t="shared" si="69"/>
        <v>208.37423541097863</v>
      </c>
      <c r="Q257" s="42">
        <f t="shared" si="70"/>
        <v>1.2641414984148158</v>
      </c>
      <c r="R257" s="42">
        <f t="shared" si="71"/>
        <v>1.2721508426497581</v>
      </c>
      <c r="S257" s="41">
        <f t="shared" si="72"/>
        <v>-6.295907660022193E-3</v>
      </c>
      <c r="T257" s="41">
        <f t="shared" si="56"/>
        <v>0.19411860878065032</v>
      </c>
      <c r="U257" s="41">
        <f t="shared" si="73"/>
        <v>0</v>
      </c>
      <c r="V257" s="41">
        <f t="shared" si="74"/>
        <v>3.1935592517233768E-3</v>
      </c>
      <c r="W257" s="39">
        <f t="shared" si="60"/>
        <v>227.28</v>
      </c>
      <c r="X257" s="21"/>
    </row>
    <row r="258" spans="1:24" x14ac:dyDescent="0.2">
      <c r="A258" s="38">
        <v>45314</v>
      </c>
      <c r="B258" s="39">
        <v>222.8</v>
      </c>
      <c r="C258" s="39">
        <v>484.86</v>
      </c>
      <c r="D258" s="39">
        <v>41.37</v>
      </c>
      <c r="E258" s="41">
        <f t="shared" si="61"/>
        <v>-1.9711369236184439E-2</v>
      </c>
      <c r="F258" s="41">
        <f t="shared" si="62"/>
        <v>2.9165373875272849E-3</v>
      </c>
      <c r="G258" s="41">
        <f t="shared" si="63"/>
        <v>3.2739177882865622E-3</v>
      </c>
      <c r="H258" s="41">
        <f t="shared" si="64"/>
        <v>0.23922353857277789</v>
      </c>
      <c r="I258" s="41">
        <f t="shared" si="65"/>
        <v>0.19875392488935972</v>
      </c>
      <c r="J258" s="41">
        <f t="shared" si="66"/>
        <v>-5.8873002523137652E-3</v>
      </c>
      <c r="K258" s="42">
        <f t="shared" si="57"/>
        <v>123.92235385727794</v>
      </c>
      <c r="L258" s="42">
        <f t="shared" si="58"/>
        <v>119.87539248893613</v>
      </c>
      <c r="M258" s="42">
        <f t="shared" si="59"/>
        <v>99.4112699747687</v>
      </c>
      <c r="N258" s="41">
        <f t="shared" si="67"/>
        <v>3.3759734039789047E-2</v>
      </c>
      <c r="O258" s="41">
        <f t="shared" si="68"/>
        <v>0.2465624258570509</v>
      </c>
      <c r="P258" s="39">
        <f t="shared" si="69"/>
        <v>208.51777535713805</v>
      </c>
      <c r="Q258" s="42">
        <f t="shared" si="70"/>
        <v>1.2392235385727779</v>
      </c>
      <c r="R258" s="42">
        <f t="shared" si="71"/>
        <v>1.2721508426497581</v>
      </c>
      <c r="S258" s="41">
        <f t="shared" si="72"/>
        <v>-2.5883175935643044E-2</v>
      </c>
      <c r="T258" s="41">
        <f t="shared" si="56"/>
        <v>0.19793781547845296</v>
      </c>
      <c r="U258" s="41">
        <f t="shared" si="73"/>
        <v>-1.9867019098975702E-2</v>
      </c>
      <c r="V258" s="41">
        <f t="shared" si="74"/>
        <v>-2.2627906623711724E-2</v>
      </c>
      <c r="W258" s="39">
        <f t="shared" si="60"/>
        <v>222.8</v>
      </c>
      <c r="X258" s="21"/>
    </row>
    <row r="259" spans="1:24" x14ac:dyDescent="0.2">
      <c r="A259" s="38">
        <v>45315</v>
      </c>
      <c r="B259" s="39">
        <v>219.8</v>
      </c>
      <c r="C259" s="39">
        <v>485.39</v>
      </c>
      <c r="D259" s="39">
        <v>40.81</v>
      </c>
      <c r="E259" s="41">
        <f t="shared" si="61"/>
        <v>-1.3464991023339312E-2</v>
      </c>
      <c r="F259" s="41">
        <f t="shared" si="62"/>
        <v>1.0930990388977602E-3</v>
      </c>
      <c r="G259" s="41">
        <f t="shared" si="63"/>
        <v>-1.3536379018612377E-2</v>
      </c>
      <c r="H259" s="41">
        <f t="shared" si="64"/>
        <v>0.22253740474998462</v>
      </c>
      <c r="I259" s="41">
        <f t="shared" si="65"/>
        <v>0.2000642816525311</v>
      </c>
      <c r="J259" s="41">
        <f t="shared" si="66"/>
        <v>-1.9343986543314484E-2</v>
      </c>
      <c r="K259" s="42">
        <f t="shared" si="57"/>
        <v>122.25374047499862</v>
      </c>
      <c r="L259" s="42">
        <f t="shared" si="58"/>
        <v>120.00642816525328</v>
      </c>
      <c r="M259" s="42">
        <f t="shared" si="59"/>
        <v>98.065601345668625</v>
      </c>
      <c r="N259" s="41">
        <f t="shared" si="67"/>
        <v>1.8726599433912972E-2</v>
      </c>
      <c r="O259" s="41">
        <f t="shared" si="68"/>
        <v>0.24665263657610015</v>
      </c>
      <c r="P259" s="39">
        <f t="shared" si="69"/>
        <v>208.6300362988581</v>
      </c>
      <c r="Q259" s="42">
        <f t="shared" si="70"/>
        <v>1.2225374047499846</v>
      </c>
      <c r="R259" s="42">
        <f t="shared" si="71"/>
        <v>1.2721508426497581</v>
      </c>
      <c r="S259" s="41">
        <f t="shared" si="72"/>
        <v>-3.8999650227353411E-2</v>
      </c>
      <c r="T259" s="41">
        <f t="shared" si="56"/>
        <v>0.1740835404092835</v>
      </c>
      <c r="U259" s="41">
        <f t="shared" si="73"/>
        <v>-1.3620640886130575E-2</v>
      </c>
      <c r="V259" s="41">
        <f t="shared" si="74"/>
        <v>-1.4558090062237072E-2</v>
      </c>
      <c r="W259" s="39">
        <f t="shared" si="60"/>
        <v>219.8</v>
      </c>
      <c r="X259" s="21"/>
    </row>
    <row r="260" spans="1:24" x14ac:dyDescent="0.2">
      <c r="A260" s="38">
        <v>45316</v>
      </c>
      <c r="B260" s="39">
        <v>223.41</v>
      </c>
      <c r="C260" s="39">
        <v>488.03</v>
      </c>
      <c r="D260" s="39">
        <v>41.24</v>
      </c>
      <c r="E260" s="41">
        <f t="shared" si="61"/>
        <v>1.6424021838034486E-2</v>
      </c>
      <c r="F260" s="41">
        <f t="shared" si="62"/>
        <v>5.4389254001936393E-3</v>
      </c>
      <c r="G260" s="41">
        <f t="shared" si="63"/>
        <v>1.0536633178142685E-2</v>
      </c>
      <c r="H260" s="41">
        <f t="shared" si="64"/>
        <v>0.24261638578341227</v>
      </c>
      <c r="I260" s="41">
        <f t="shared" si="65"/>
        <v>0.20659134175587623</v>
      </c>
      <c r="J260" s="41">
        <f t="shared" si="66"/>
        <v>-9.011173855581589E-3</v>
      </c>
      <c r="K260" s="42">
        <f t="shared" si="57"/>
        <v>124.2616385783414</v>
      </c>
      <c r="L260" s="42">
        <f t="shared" si="58"/>
        <v>120.65913417558779</v>
      </c>
      <c r="M260" s="42">
        <f t="shared" si="59"/>
        <v>99.098882614441905</v>
      </c>
      <c r="N260" s="41">
        <f t="shared" si="67"/>
        <v>2.9856872646799371E-2</v>
      </c>
      <c r="O260" s="41">
        <f t="shared" si="68"/>
        <v>0.25391563759400437</v>
      </c>
      <c r="P260" s="39">
        <f t="shared" si="69"/>
        <v>208.77710061429238</v>
      </c>
      <c r="Q260" s="42">
        <f t="shared" si="70"/>
        <v>1.2426163857834123</v>
      </c>
      <c r="R260" s="42">
        <f t="shared" si="71"/>
        <v>1.2721508426497581</v>
      </c>
      <c r="S260" s="41">
        <f t="shared" si="72"/>
        <v>-2.3216159496328714E-2</v>
      </c>
      <c r="T260" s="41">
        <f t="shared" si="56"/>
        <v>0.17634695707282824</v>
      </c>
      <c r="U260" s="41">
        <f t="shared" si="73"/>
        <v>0</v>
      </c>
      <c r="V260" s="41">
        <f t="shared" si="74"/>
        <v>1.0985096437840847E-2</v>
      </c>
      <c r="W260" s="39">
        <f t="shared" si="60"/>
        <v>223.41</v>
      </c>
      <c r="X260" s="21"/>
    </row>
    <row r="261" spans="1:24" x14ac:dyDescent="0.2">
      <c r="A261" s="38">
        <v>45317</v>
      </c>
      <c r="B261" s="39">
        <v>222.36</v>
      </c>
      <c r="C261" s="39">
        <v>487.41</v>
      </c>
      <c r="D261" s="39">
        <v>41.255000000000003</v>
      </c>
      <c r="E261" s="41">
        <f t="shared" si="61"/>
        <v>-4.6998791459647027E-3</v>
      </c>
      <c r="F261" s="41">
        <f t="shared" si="62"/>
        <v>-1.2704137040754349E-3</v>
      </c>
      <c r="G261" s="41">
        <f t="shared" si="63"/>
        <v>3.6372453928223969E-4</v>
      </c>
      <c r="H261" s="41">
        <f t="shared" si="64"/>
        <v>0.23677623894543487</v>
      </c>
      <c r="I261" s="41">
        <f t="shared" si="65"/>
        <v>0.20505847158009072</v>
      </c>
      <c r="J261" s="41">
        <f t="shared" si="66"/>
        <v>-8.6507269013583743E-3</v>
      </c>
      <c r="K261" s="42">
        <f t="shared" si="57"/>
        <v>123.67762389454364</v>
      </c>
      <c r="L261" s="42">
        <f t="shared" si="58"/>
        <v>120.50584715800925</v>
      </c>
      <c r="M261" s="42">
        <f t="shared" si="59"/>
        <v>99.134927309864224</v>
      </c>
      <c r="N261" s="41">
        <f t="shared" si="67"/>
        <v>2.6320521462958935E-2</v>
      </c>
      <c r="O261" s="41">
        <f t="shared" si="68"/>
        <v>0.24756861431861132</v>
      </c>
      <c r="P261" s="39">
        <f t="shared" si="69"/>
        <v>208.9122538420109</v>
      </c>
      <c r="Q261" s="42">
        <f t="shared" si="70"/>
        <v>1.2367762389454349</v>
      </c>
      <c r="R261" s="42">
        <f t="shared" si="71"/>
        <v>1.2721508426497581</v>
      </c>
      <c r="S261" s="41">
        <f t="shared" si="72"/>
        <v>-2.7806925498427226E-2</v>
      </c>
      <c r="T261" s="41">
        <f t="shared" si="56"/>
        <v>0.17583115299780633</v>
      </c>
      <c r="U261" s="41">
        <f t="shared" si="73"/>
        <v>-4.8555290087559655E-3</v>
      </c>
      <c r="V261" s="41">
        <f t="shared" si="74"/>
        <v>-3.4294654418892678E-3</v>
      </c>
      <c r="W261" s="39">
        <f t="shared" si="60"/>
        <v>222.36</v>
      </c>
      <c r="X261" s="21"/>
    </row>
    <row r="262" spans="1:24" x14ac:dyDescent="0.2">
      <c r="A262" s="38">
        <v>45320</v>
      </c>
      <c r="B262" s="39">
        <v>229.37</v>
      </c>
      <c r="C262" s="39">
        <v>491.27</v>
      </c>
      <c r="D262" s="39">
        <v>41.46</v>
      </c>
      <c r="E262" s="41">
        <f t="shared" si="61"/>
        <v>3.1525454218384485E-2</v>
      </c>
      <c r="F262" s="41">
        <f t="shared" si="62"/>
        <v>7.9194107630125021E-3</v>
      </c>
      <c r="G262" s="41">
        <f t="shared" si="63"/>
        <v>4.9690946551932402E-3</v>
      </c>
      <c r="H262" s="41">
        <f t="shared" si="64"/>
        <v>0.27576617164469486</v>
      </c>
      <c r="I262" s="41">
        <f t="shared" si="65"/>
        <v>0.21460182460998145</v>
      </c>
      <c r="J262" s="41">
        <f t="shared" si="66"/>
        <v>-3.7246185269742549E-3</v>
      </c>
      <c r="K262" s="42">
        <f t="shared" si="57"/>
        <v>127.57661716446967</v>
      </c>
      <c r="L262" s="42">
        <f t="shared" si="58"/>
        <v>121.46018246099833</v>
      </c>
      <c r="M262" s="42">
        <f t="shared" si="59"/>
        <v>99.627538147302658</v>
      </c>
      <c r="N262" s="41">
        <f t="shared" si="67"/>
        <v>5.0357529352760277E-2</v>
      </c>
      <c r="O262" s="41">
        <f t="shared" si="68"/>
        <v>0.28053567855750172</v>
      </c>
      <c r="P262" s="39">
        <f t="shared" si="69"/>
        <v>209.11581350527447</v>
      </c>
      <c r="Q262" s="42">
        <f t="shared" si="70"/>
        <v>1.2757661716446949</v>
      </c>
      <c r="R262" s="42">
        <f t="shared" si="71"/>
        <v>1.2757661716446949</v>
      </c>
      <c r="S262" s="41">
        <f t="shared" si="72"/>
        <v>0</v>
      </c>
      <c r="T262" s="41">
        <f t="shared" si="56"/>
        <v>0.18584348702698864</v>
      </c>
      <c r="U262" s="41">
        <f t="shared" si="73"/>
        <v>0</v>
      </c>
      <c r="V262" s="41">
        <f t="shared" si="74"/>
        <v>2.3606043455371983E-2</v>
      </c>
      <c r="W262" s="39">
        <f t="shared" si="60"/>
        <v>229.37</v>
      </c>
      <c r="X262" s="21"/>
    </row>
    <row r="263" spans="1:24" x14ac:dyDescent="0.2">
      <c r="A263" s="38">
        <v>45321</v>
      </c>
      <c r="B263" s="39">
        <v>231.05</v>
      </c>
      <c r="C263" s="39">
        <v>490.89</v>
      </c>
      <c r="D263" s="39">
        <v>41.65</v>
      </c>
      <c r="E263" s="41">
        <f t="shared" si="61"/>
        <v>7.3244103413698802E-3</v>
      </c>
      <c r="F263" s="41">
        <f t="shared" si="62"/>
        <v>-7.7350540436016413E-4</v>
      </c>
      <c r="G263" s="41">
        <f t="shared" si="63"/>
        <v>4.5827303424987864E-3</v>
      </c>
      <c r="H263" s="41">
        <f t="shared" si="64"/>
        <v>0.28511040658545905</v>
      </c>
      <c r="I263" s="41">
        <f t="shared" si="65"/>
        <v>0.21366232353449988</v>
      </c>
      <c r="J263" s="41">
        <f t="shared" si="66"/>
        <v>8.4104289318664982E-4</v>
      </c>
      <c r="K263" s="42">
        <f t="shared" si="57"/>
        <v>128.51104065854608</v>
      </c>
      <c r="L263" s="42">
        <f t="shared" si="58"/>
        <v>121.36623235345019</v>
      </c>
      <c r="M263" s="42">
        <f t="shared" si="59"/>
        <v>100.08410428931876</v>
      </c>
      <c r="N263" s="41">
        <f t="shared" si="67"/>
        <v>5.8869820431505016E-2</v>
      </c>
      <c r="O263" s="41">
        <f t="shared" si="68"/>
        <v>0.28403048187404378</v>
      </c>
      <c r="P263" s="39">
        <f t="shared" si="69"/>
        <v>209.33406411716228</v>
      </c>
      <c r="Q263" s="42">
        <f t="shared" si="70"/>
        <v>1.2851104065854591</v>
      </c>
      <c r="R263" s="42">
        <f t="shared" si="71"/>
        <v>1.2851104065854591</v>
      </c>
      <c r="S263" s="41">
        <f t="shared" si="72"/>
        <v>0</v>
      </c>
      <c r="T263" s="41">
        <f t="shared" si="56"/>
        <v>0.17166239906045608</v>
      </c>
      <c r="U263" s="41">
        <f t="shared" si="73"/>
        <v>0</v>
      </c>
      <c r="V263" s="41">
        <f t="shared" si="74"/>
        <v>8.0979157457300444E-3</v>
      </c>
      <c r="W263" s="39">
        <f t="shared" si="60"/>
        <v>231.05</v>
      </c>
      <c r="X263" s="21"/>
    </row>
    <row r="264" spans="1:24" x14ac:dyDescent="0.2">
      <c r="A264" s="38">
        <v>45322</v>
      </c>
      <c r="B264" s="39">
        <v>226.01</v>
      </c>
      <c r="C264" s="39">
        <v>482.88</v>
      </c>
      <c r="D264" s="39">
        <v>41.104999999999997</v>
      </c>
      <c r="E264" s="41">
        <f t="shared" si="61"/>
        <v>-2.1813460289980657E-2</v>
      </c>
      <c r="F264" s="41">
        <f t="shared" si="62"/>
        <v>-1.6317301228381043E-2</v>
      </c>
      <c r="G264" s="41">
        <f t="shared" si="63"/>
        <v>-1.3085234093637488E-2</v>
      </c>
      <c r="H264" s="41">
        <f t="shared" si="64"/>
        <v>0.25707770176316624</v>
      </c>
      <c r="I264" s="41">
        <f t="shared" si="65"/>
        <v>0.19385862981185054</v>
      </c>
      <c r="J264" s="41">
        <f t="shared" si="66"/>
        <v>-1.2255196443590965E-2</v>
      </c>
      <c r="K264" s="42">
        <f t="shared" si="57"/>
        <v>125.70777017631683</v>
      </c>
      <c r="L264" s="42">
        <f t="shared" si="58"/>
        <v>119.38586298118526</v>
      </c>
      <c r="M264" s="42">
        <f t="shared" si="59"/>
        <v>98.774480355640975</v>
      </c>
      <c r="N264" s="41">
        <f t="shared" si="67"/>
        <v>5.2953566169956723E-2</v>
      </c>
      <c r="O264" s="41">
        <f t="shared" si="68"/>
        <v>0.27267457873431966</v>
      </c>
      <c r="P264" s="39">
        <f t="shared" si="69"/>
        <v>209.49999382743928</v>
      </c>
      <c r="Q264" s="42">
        <f t="shared" si="70"/>
        <v>1.2570777017631662</v>
      </c>
      <c r="R264" s="42">
        <f t="shared" si="71"/>
        <v>1.2851104065854591</v>
      </c>
      <c r="S264" s="41">
        <f t="shared" si="72"/>
        <v>-2.1813460289980657E-2</v>
      </c>
      <c r="T264" s="41">
        <f t="shared" si="56"/>
        <v>0.17646547355405184</v>
      </c>
      <c r="U264" s="41">
        <f t="shared" si="73"/>
        <v>-2.196911015277192E-2</v>
      </c>
      <c r="V264" s="41">
        <f t="shared" si="74"/>
        <v>-5.4961590615996148E-3</v>
      </c>
      <c r="W264" s="39">
        <f t="shared" si="60"/>
        <v>226.01</v>
      </c>
      <c r="X264" s="21"/>
    </row>
    <row r="265" spans="1:24" x14ac:dyDescent="0.2">
      <c r="A265" s="38">
        <v>45323</v>
      </c>
      <c r="B265" s="39">
        <v>230.36</v>
      </c>
      <c r="C265" s="39">
        <v>489.2</v>
      </c>
      <c r="D265" s="39">
        <v>41.79</v>
      </c>
      <c r="E265" s="41">
        <f t="shared" si="61"/>
        <v>1.9246935976284352E-2</v>
      </c>
      <c r="F265" s="41">
        <f t="shared" si="62"/>
        <v>1.3088137839628811E-2</v>
      </c>
      <c r="G265" s="41">
        <f t="shared" si="63"/>
        <v>1.6664639338280107E-2</v>
      </c>
      <c r="H265" s="41">
        <f t="shared" si="64"/>
        <v>0.28127259580621655</v>
      </c>
      <c r="I265" s="41">
        <f t="shared" si="65"/>
        <v>0.20948401611985834</v>
      </c>
      <c r="J265" s="41">
        <f t="shared" si="66"/>
        <v>4.2052144659370239E-3</v>
      </c>
      <c r="K265" s="42">
        <f t="shared" si="57"/>
        <v>128.12725958062185</v>
      </c>
      <c r="L265" s="42">
        <f t="shared" si="58"/>
        <v>120.94840161198603</v>
      </c>
      <c r="M265" s="42">
        <f t="shared" si="59"/>
        <v>100.42052144659377</v>
      </c>
      <c r="N265" s="41">
        <f t="shared" si="67"/>
        <v>5.9354715506421352E-2</v>
      </c>
      <c r="O265" s="41">
        <f t="shared" si="68"/>
        <v>0.27590713267470068</v>
      </c>
      <c r="P265" s="39">
        <f t="shared" si="69"/>
        <v>209.70755607791256</v>
      </c>
      <c r="Q265" s="42">
        <f t="shared" si="70"/>
        <v>1.2812725958062166</v>
      </c>
      <c r="R265" s="42">
        <f t="shared" si="71"/>
        <v>1.2851104065854591</v>
      </c>
      <c r="S265" s="41">
        <f t="shared" si="72"/>
        <v>-2.9863665873187673E-3</v>
      </c>
      <c r="T265" s="41">
        <f t="shared" si="56"/>
        <v>0.18006352684110305</v>
      </c>
      <c r="U265" s="41">
        <f t="shared" si="73"/>
        <v>0</v>
      </c>
      <c r="V265" s="41">
        <f t="shared" si="74"/>
        <v>6.1587981366555411E-3</v>
      </c>
      <c r="W265" s="39">
        <f t="shared" si="60"/>
        <v>230.36</v>
      </c>
      <c r="X265" s="21"/>
    </row>
    <row r="266" spans="1:24" x14ac:dyDescent="0.2">
      <c r="A266" s="38">
        <v>45324</v>
      </c>
      <c r="B266" s="39">
        <v>234.44</v>
      </c>
      <c r="C266" s="39">
        <v>494.35</v>
      </c>
      <c r="D266" s="39">
        <v>41.545000000000002</v>
      </c>
      <c r="E266" s="41">
        <f t="shared" si="61"/>
        <v>1.7711408230595582E-2</v>
      </c>
      <c r="F266" s="41">
        <f t="shared" si="62"/>
        <v>1.0527391659852947E-2</v>
      </c>
      <c r="G266" s="41">
        <f t="shared" si="63"/>
        <v>-5.862646566164087E-3</v>
      </c>
      <c r="H266" s="41">
        <f t="shared" si="64"/>
        <v>0.30396573780521541</v>
      </c>
      <c r="I266" s="41">
        <f t="shared" si="65"/>
        <v>0.22221672806388404</v>
      </c>
      <c r="J266" s="41">
        <f t="shared" si="66"/>
        <v>-1.6820857863757421E-3</v>
      </c>
      <c r="K266" s="42">
        <f t="shared" si="57"/>
        <v>130.39657378052172</v>
      </c>
      <c r="L266" s="42">
        <f t="shared" si="58"/>
        <v>122.2216728063886</v>
      </c>
      <c r="M266" s="42">
        <f t="shared" si="59"/>
        <v>99.831791421362496</v>
      </c>
      <c r="N266" s="41">
        <f t="shared" si="67"/>
        <v>6.6885854091385255E-2</v>
      </c>
      <c r="O266" s="41">
        <f t="shared" si="68"/>
        <v>0.30616281571221737</v>
      </c>
      <c r="P266" s="39">
        <f t="shared" si="69"/>
        <v>209.95365004728657</v>
      </c>
      <c r="Q266" s="42">
        <f t="shared" si="70"/>
        <v>1.3039657378052154</v>
      </c>
      <c r="R266" s="42">
        <f t="shared" si="71"/>
        <v>1.3039657378052154</v>
      </c>
      <c r="S266" s="41">
        <f t="shared" si="72"/>
        <v>0</v>
      </c>
      <c r="T266" s="41">
        <f t="shared" si="56"/>
        <v>0.18268703797813873</v>
      </c>
      <c r="U266" s="41">
        <f t="shared" si="73"/>
        <v>0</v>
      </c>
      <c r="V266" s="41">
        <f t="shared" si="74"/>
        <v>7.1840165707426351E-3</v>
      </c>
      <c r="W266" s="39">
        <f t="shared" si="60"/>
        <v>234.44</v>
      </c>
      <c r="X266" s="21"/>
    </row>
    <row r="267" spans="1:24" x14ac:dyDescent="0.2">
      <c r="A267" s="38">
        <v>45327</v>
      </c>
      <c r="B267" s="39">
        <v>229.65</v>
      </c>
      <c r="C267" s="39">
        <v>492.55</v>
      </c>
      <c r="D267" s="39">
        <v>40.49</v>
      </c>
      <c r="E267" s="41">
        <f t="shared" si="61"/>
        <v>-2.0431666951032268E-2</v>
      </c>
      <c r="F267" s="41">
        <f t="shared" si="62"/>
        <v>-3.6411449377971028E-3</v>
      </c>
      <c r="G267" s="41">
        <f t="shared" si="63"/>
        <v>-2.5394150920688419E-2</v>
      </c>
      <c r="H267" s="41">
        <f t="shared" si="64"/>
        <v>0.27732354413482208</v>
      </c>
      <c r="I267" s="41">
        <f t="shared" si="65"/>
        <v>0.21776645981160336</v>
      </c>
      <c r="J267" s="41">
        <f t="shared" si="66"/>
        <v>-2.7033521566743435E-2</v>
      </c>
      <c r="K267" s="42">
        <f t="shared" si="57"/>
        <v>127.73235441348241</v>
      </c>
      <c r="L267" s="42">
        <f t="shared" si="58"/>
        <v>121.77664598116054</v>
      </c>
      <c r="M267" s="42">
        <f t="shared" si="59"/>
        <v>97.296647843325729</v>
      </c>
      <c r="N267" s="41">
        <f t="shared" si="67"/>
        <v>4.8906819401506985E-2</v>
      </c>
      <c r="O267" s="41">
        <f t="shared" si="68"/>
        <v>0.31281351665030033</v>
      </c>
      <c r="P267" s="39">
        <f t="shared" si="69"/>
        <v>210.14963362890563</v>
      </c>
      <c r="Q267" s="42">
        <f t="shared" si="70"/>
        <v>1.2773235441348221</v>
      </c>
      <c r="R267" s="42">
        <f t="shared" si="71"/>
        <v>1.3039657378052154</v>
      </c>
      <c r="S267" s="41">
        <f t="shared" si="72"/>
        <v>-2.0431666951032379E-2</v>
      </c>
      <c r="T267" s="41">
        <f t="shared" si="56"/>
        <v>0.18842609427137028</v>
      </c>
      <c r="U267" s="41">
        <f t="shared" si="73"/>
        <v>-2.0587316813823531E-2</v>
      </c>
      <c r="V267" s="41">
        <f t="shared" si="74"/>
        <v>-1.6790522013235165E-2</v>
      </c>
      <c r="W267" s="39">
        <f t="shared" si="60"/>
        <v>229.65</v>
      </c>
      <c r="X267" s="21"/>
    </row>
    <row r="268" spans="1:24" x14ac:dyDescent="0.2">
      <c r="A268" s="38">
        <v>45328</v>
      </c>
      <c r="B268" s="39">
        <v>231.58</v>
      </c>
      <c r="C268" s="39">
        <v>493.98</v>
      </c>
      <c r="D268" s="39">
        <v>41.204999999999998</v>
      </c>
      <c r="E268" s="41">
        <f t="shared" si="61"/>
        <v>8.4040931852820133E-3</v>
      </c>
      <c r="F268" s="41">
        <f t="shared" si="62"/>
        <v>2.9032585524313426E-3</v>
      </c>
      <c r="G268" s="41">
        <f t="shared" si="63"/>
        <v>1.7658681155840794E-2</v>
      </c>
      <c r="H268" s="41">
        <f t="shared" si="64"/>
        <v>0.28805829022748575</v>
      </c>
      <c r="I268" s="41">
        <f t="shared" si="65"/>
        <v>0.22130195070091552</v>
      </c>
      <c r="J268" s="41">
        <f t="shared" si="66"/>
        <v>-9.8522167487693491E-3</v>
      </c>
      <c r="K268" s="42">
        <f t="shared" si="57"/>
        <v>128.80582902274878</v>
      </c>
      <c r="L268" s="42">
        <f t="shared" si="58"/>
        <v>122.13019507009173</v>
      </c>
      <c r="M268" s="42">
        <f t="shared" si="59"/>
        <v>99.014778325123146</v>
      </c>
      <c r="N268" s="41">
        <f t="shared" si="67"/>
        <v>5.4659979449191987E-2</v>
      </c>
      <c r="O268" s="41">
        <f t="shared" si="68"/>
        <v>0.30087479062776046</v>
      </c>
      <c r="P268" s="39">
        <f t="shared" si="69"/>
        <v>210.36287110523494</v>
      </c>
      <c r="Q268" s="42">
        <f t="shared" si="70"/>
        <v>1.2880582902274857</v>
      </c>
      <c r="R268" s="42">
        <f t="shared" si="71"/>
        <v>1.3039657378052154</v>
      </c>
      <c r="S268" s="41">
        <f t="shared" si="72"/>
        <v>-1.2199283398737548E-2</v>
      </c>
      <c r="T268" s="41">
        <f t="shared" si="56"/>
        <v>0.18873046978071228</v>
      </c>
      <c r="U268" s="41">
        <f t="shared" si="73"/>
        <v>0</v>
      </c>
      <c r="V268" s="41">
        <f t="shared" si="74"/>
        <v>5.5008346328506708E-3</v>
      </c>
      <c r="W268" s="39">
        <f t="shared" si="60"/>
        <v>231.58</v>
      </c>
      <c r="X268" s="21"/>
    </row>
    <row r="269" spans="1:24" x14ac:dyDescent="0.2">
      <c r="A269" s="38">
        <v>45329</v>
      </c>
      <c r="B269" s="39">
        <v>236.52</v>
      </c>
      <c r="C269" s="39">
        <v>498.1</v>
      </c>
      <c r="D269" s="39">
        <v>41.534999999999997</v>
      </c>
      <c r="E269" s="41">
        <f t="shared" si="61"/>
        <v>2.133172121944904E-2</v>
      </c>
      <c r="F269" s="41">
        <f t="shared" si="62"/>
        <v>8.3404186404307801E-3</v>
      </c>
      <c r="G269" s="41">
        <f t="shared" si="63"/>
        <v>8.0087368037859985E-3</v>
      </c>
      <c r="H269" s="41">
        <f t="shared" si="64"/>
        <v>0.31553479058901868</v>
      </c>
      <c r="I269" s="41">
        <f t="shared" si="65"/>
        <v>0.23148812025613585</v>
      </c>
      <c r="J269" s="41">
        <f t="shared" si="66"/>
        <v>-1.9223837558580703E-3</v>
      </c>
      <c r="K269" s="42">
        <f t="shared" si="57"/>
        <v>131.55347905890207</v>
      </c>
      <c r="L269" s="42">
        <f t="shared" si="58"/>
        <v>123.14881202561376</v>
      </c>
      <c r="M269" s="42">
        <f t="shared" si="59"/>
        <v>99.807761624414255</v>
      </c>
      <c r="N269" s="41">
        <f t="shared" si="67"/>
        <v>6.8248056112309108E-2</v>
      </c>
      <c r="O269" s="41">
        <f t="shared" si="68"/>
        <v>0.31806862430148208</v>
      </c>
      <c r="P269" s="39">
        <f t="shared" si="69"/>
        <v>210.62314104448635</v>
      </c>
      <c r="Q269" s="42">
        <f t="shared" si="70"/>
        <v>1.3155347905890187</v>
      </c>
      <c r="R269" s="42">
        <f t="shared" si="71"/>
        <v>1.3155347905890187</v>
      </c>
      <c r="S269" s="41">
        <f t="shared" si="72"/>
        <v>0</v>
      </c>
      <c r="T269" s="41">
        <f t="shared" si="56"/>
        <v>0.19288630311150087</v>
      </c>
      <c r="U269" s="41">
        <f t="shared" si="73"/>
        <v>0</v>
      </c>
      <c r="V269" s="41">
        <f t="shared" si="74"/>
        <v>1.299130257901826E-2</v>
      </c>
      <c r="W269" s="39">
        <f t="shared" si="60"/>
        <v>236.52</v>
      </c>
      <c r="X269" s="21"/>
    </row>
    <row r="270" spans="1:24" x14ac:dyDescent="0.2">
      <c r="A270" s="38">
        <v>45330</v>
      </c>
      <c r="B270" s="39">
        <v>238.44</v>
      </c>
      <c r="C270" s="39">
        <v>498.32</v>
      </c>
      <c r="D270" s="39">
        <v>41.48</v>
      </c>
      <c r="E270" s="41">
        <f t="shared" si="61"/>
        <v>8.1177067478437337E-3</v>
      </c>
      <c r="F270" s="41">
        <f t="shared" si="62"/>
        <v>4.4167837783581909E-4</v>
      </c>
      <c r="G270" s="41">
        <f t="shared" si="63"/>
        <v>-1.3241844227759314E-3</v>
      </c>
      <c r="H270" s="41">
        <f t="shared" si="64"/>
        <v>0.32621391623560636</v>
      </c>
      <c r="I270" s="41">
        <f t="shared" si="65"/>
        <v>0.23203204193141458</v>
      </c>
      <c r="J270" s="41">
        <f t="shared" si="66"/>
        <v>-3.2440225880099316E-3</v>
      </c>
      <c r="K270" s="42">
        <f t="shared" si="57"/>
        <v>132.62139162356084</v>
      </c>
      <c r="L270" s="42">
        <f t="shared" si="58"/>
        <v>123.20320419314163</v>
      </c>
      <c r="M270" s="42">
        <f t="shared" si="59"/>
        <v>99.67559774119907</v>
      </c>
      <c r="N270" s="41">
        <f t="shared" si="67"/>
        <v>7.6444338376578269E-2</v>
      </c>
      <c r="O270" s="41">
        <f t="shared" si="68"/>
        <v>0.33053018621371266</v>
      </c>
      <c r="P270" s="39">
        <f t="shared" si="69"/>
        <v>210.89992571071039</v>
      </c>
      <c r="Q270" s="42">
        <f t="shared" si="70"/>
        <v>1.3262139162356064</v>
      </c>
      <c r="R270" s="42">
        <f t="shared" si="71"/>
        <v>1.3262139162356064</v>
      </c>
      <c r="S270" s="41">
        <f t="shared" si="72"/>
        <v>0</v>
      </c>
      <c r="T270" s="41">
        <f t="shared" si="56"/>
        <v>0.19228325606835606</v>
      </c>
      <c r="U270" s="41">
        <f t="shared" si="73"/>
        <v>0</v>
      </c>
      <c r="V270" s="41">
        <f t="shared" si="74"/>
        <v>7.6760283700079146E-3</v>
      </c>
      <c r="W270" s="39">
        <f t="shared" si="60"/>
        <v>238.44</v>
      </c>
      <c r="X270" s="21"/>
    </row>
    <row r="271" spans="1:24" x14ac:dyDescent="0.2">
      <c r="A271" s="38">
        <v>45331</v>
      </c>
      <c r="B271" s="39">
        <v>240</v>
      </c>
      <c r="C271" s="39">
        <v>501.2</v>
      </c>
      <c r="D271" s="39">
        <v>41.57</v>
      </c>
      <c r="E271" s="41">
        <f t="shared" si="61"/>
        <v>6.542526421741357E-3</v>
      </c>
      <c r="F271" s="41">
        <f t="shared" si="62"/>
        <v>5.7794188473270225E-3</v>
      </c>
      <c r="G271" s="41">
        <f t="shared" si="63"/>
        <v>2.1697203471553461E-3</v>
      </c>
      <c r="H271" s="41">
        <f t="shared" si="64"/>
        <v>0.33489070582345892</v>
      </c>
      <c r="I271" s="41">
        <f t="shared" si="65"/>
        <v>0.23915247113506388</v>
      </c>
      <c r="J271" s="41">
        <f t="shared" si="66"/>
        <v>-1.0813408626704213E-3</v>
      </c>
      <c r="K271" s="42">
        <f t="shared" si="57"/>
        <v>133.48907058234607</v>
      </c>
      <c r="L271" s="42">
        <f t="shared" si="58"/>
        <v>123.91524711350654</v>
      </c>
      <c r="M271" s="42">
        <f t="shared" si="59"/>
        <v>99.891865913733028</v>
      </c>
      <c r="N271" s="41">
        <f t="shared" si="67"/>
        <v>7.7261061022376731E-2</v>
      </c>
      <c r="O271" s="41">
        <f t="shared" si="68"/>
        <v>0.33633574026565505</v>
      </c>
      <c r="P271" s="39">
        <f t="shared" si="69"/>
        <v>211.18947868871328</v>
      </c>
      <c r="Q271" s="42">
        <f t="shared" si="70"/>
        <v>1.3348907058234589</v>
      </c>
      <c r="R271" s="42">
        <f t="shared" si="71"/>
        <v>1.3348907058234589</v>
      </c>
      <c r="S271" s="41">
        <f t="shared" si="72"/>
        <v>0</v>
      </c>
      <c r="T271" s="41">
        <f t="shared" si="56"/>
        <v>0.191839585343202</v>
      </c>
      <c r="U271" s="41">
        <f t="shared" si="73"/>
        <v>0</v>
      </c>
      <c r="V271" s="41">
        <f t="shared" si="74"/>
        <v>7.6310757441433452E-4</v>
      </c>
      <c r="W271" s="39">
        <f t="shared" si="60"/>
        <v>240</v>
      </c>
      <c r="X271" s="21"/>
    </row>
    <row r="272" spans="1:24" x14ac:dyDescent="0.2">
      <c r="A272" s="38">
        <v>45334</v>
      </c>
      <c r="B272" s="39">
        <v>240.13</v>
      </c>
      <c r="C272" s="39">
        <v>500.98</v>
      </c>
      <c r="D272" s="39">
        <v>41.9</v>
      </c>
      <c r="E272" s="41">
        <f t="shared" si="61"/>
        <v>5.4166666666666252E-4</v>
      </c>
      <c r="F272" s="41">
        <f t="shared" si="62"/>
        <v>-4.3894652833198489E-4</v>
      </c>
      <c r="G272" s="41">
        <f t="shared" si="63"/>
        <v>7.9384171277363524E-3</v>
      </c>
      <c r="H272" s="41">
        <f t="shared" si="64"/>
        <v>0.33561377162244654</v>
      </c>
      <c r="I272" s="41">
        <f t="shared" si="65"/>
        <v>0.23860854945978516</v>
      </c>
      <c r="J272" s="41">
        <f t="shared" si="66"/>
        <v>6.8484921302407464E-3</v>
      </c>
      <c r="K272" s="42">
        <f t="shared" si="57"/>
        <v>133.56137716224487</v>
      </c>
      <c r="L272" s="42">
        <f t="shared" si="58"/>
        <v>123.86085494597869</v>
      </c>
      <c r="M272" s="42">
        <f t="shared" si="59"/>
        <v>100.68484921302414</v>
      </c>
      <c r="N272" s="41">
        <f t="shared" si="67"/>
        <v>7.8317901329657325E-2</v>
      </c>
      <c r="O272" s="41">
        <f t="shared" si="68"/>
        <v>0.32652904787752157</v>
      </c>
      <c r="P272" s="39">
        <f t="shared" si="69"/>
        <v>211.47744407489523</v>
      </c>
      <c r="Q272" s="42">
        <f t="shared" si="70"/>
        <v>1.3356137716224465</v>
      </c>
      <c r="R272" s="42">
        <f t="shared" si="71"/>
        <v>1.3356137716224465</v>
      </c>
      <c r="S272" s="41">
        <f t="shared" si="72"/>
        <v>0</v>
      </c>
      <c r="T272" s="41">
        <f t="shared" si="56"/>
        <v>0.18374753343832723</v>
      </c>
      <c r="U272" s="41">
        <f t="shared" si="73"/>
        <v>0</v>
      </c>
      <c r="V272" s="41">
        <f t="shared" si="74"/>
        <v>9.8061319499864741E-4</v>
      </c>
      <c r="W272" s="39">
        <f t="shared" si="60"/>
        <v>240.13</v>
      </c>
      <c r="X272" s="21"/>
    </row>
    <row r="273" spans="1:24" x14ac:dyDescent="0.2">
      <c r="A273" s="38">
        <v>45335</v>
      </c>
      <c r="B273" s="39">
        <v>237.12</v>
      </c>
      <c r="C273" s="39">
        <v>494.08</v>
      </c>
      <c r="D273" s="39">
        <v>41.31</v>
      </c>
      <c r="E273" s="41">
        <f t="shared" si="61"/>
        <v>-1.2534876941656559E-2</v>
      </c>
      <c r="F273" s="41">
        <f t="shared" si="62"/>
        <v>-1.3773004910375697E-2</v>
      </c>
      <c r="G273" s="41">
        <f t="shared" si="63"/>
        <v>-1.4081145584725396E-2</v>
      </c>
      <c r="H273" s="41">
        <f t="shared" si="64"/>
        <v>0.31887201735357729</v>
      </c>
      <c r="I273" s="41">
        <f t="shared" si="65"/>
        <v>0.22154918782604227</v>
      </c>
      <c r="J273" s="41">
        <f t="shared" si="66"/>
        <v>-7.329088069206402E-3</v>
      </c>
      <c r="K273" s="42">
        <f t="shared" si="57"/>
        <v>131.88720173535793</v>
      </c>
      <c r="L273" s="42">
        <f t="shared" si="58"/>
        <v>122.15491878260438</v>
      </c>
      <c r="M273" s="42">
        <f t="shared" si="59"/>
        <v>99.267091193079409</v>
      </c>
      <c r="N273" s="41">
        <f t="shared" si="67"/>
        <v>7.9671641958796391E-2</v>
      </c>
      <c r="O273" s="41">
        <f t="shared" si="68"/>
        <v>0.32860951348751266</v>
      </c>
      <c r="P273" s="39">
        <f t="shared" si="69"/>
        <v>211.7325938850953</v>
      </c>
      <c r="Q273" s="42">
        <f t="shared" si="70"/>
        <v>1.3188720173535773</v>
      </c>
      <c r="R273" s="42">
        <f t="shared" si="71"/>
        <v>1.3356137716224465</v>
      </c>
      <c r="S273" s="41">
        <f t="shared" si="72"/>
        <v>-1.253487694165667E-2</v>
      </c>
      <c r="T273" s="41">
        <f t="shared" si="56"/>
        <v>0.17687207252458792</v>
      </c>
      <c r="U273" s="41">
        <f t="shared" si="73"/>
        <v>-1.2690526804447821E-2</v>
      </c>
      <c r="V273" s="41">
        <f t="shared" si="74"/>
        <v>1.2381279687191382E-3</v>
      </c>
      <c r="W273" s="39">
        <f t="shared" si="60"/>
        <v>237.12</v>
      </c>
      <c r="X273" s="21"/>
    </row>
    <row r="274" spans="1:24" x14ac:dyDescent="0.2">
      <c r="A274" s="38">
        <v>45336</v>
      </c>
      <c r="B274" s="39">
        <v>241.1</v>
      </c>
      <c r="C274" s="39">
        <v>498.57</v>
      </c>
      <c r="D274" s="39">
        <v>41.575000000000003</v>
      </c>
      <c r="E274" s="41">
        <f t="shared" si="61"/>
        <v>1.6784750337381915E-2</v>
      </c>
      <c r="F274" s="41">
        <f t="shared" si="62"/>
        <v>9.0875971502590858E-3</v>
      </c>
      <c r="G274" s="41">
        <f t="shared" si="63"/>
        <v>6.4149116436698073E-3</v>
      </c>
      <c r="H274" s="41">
        <f t="shared" si="64"/>
        <v>0.34100895489181626</v>
      </c>
      <c r="I274" s="41">
        <f t="shared" si="65"/>
        <v>0.23265013474423157</v>
      </c>
      <c r="J274" s="41">
        <f t="shared" si="66"/>
        <v>-9.6119187792920169E-4</v>
      </c>
      <c r="K274" s="42">
        <f t="shared" si="57"/>
        <v>134.10089548918182</v>
      </c>
      <c r="L274" s="42">
        <f t="shared" si="58"/>
        <v>123.26501347442331</v>
      </c>
      <c r="M274" s="42">
        <f t="shared" si="59"/>
        <v>99.903880812207134</v>
      </c>
      <c r="N274" s="41">
        <f t="shared" si="67"/>
        <v>8.7907198558063282E-2</v>
      </c>
      <c r="O274" s="41">
        <f t="shared" si="68"/>
        <v>0.3422991619440281</v>
      </c>
      <c r="P274" s="39">
        <f t="shared" si="69"/>
        <v>212.02480688126352</v>
      </c>
      <c r="Q274" s="42">
        <f t="shared" si="70"/>
        <v>1.3410089548918163</v>
      </c>
      <c r="R274" s="42">
        <f t="shared" si="71"/>
        <v>1.3410089548918163</v>
      </c>
      <c r="S274" s="41">
        <f t="shared" si="72"/>
        <v>0</v>
      </c>
      <c r="T274" s="41">
        <f t="shared" si="56"/>
        <v>0.17921083858707812</v>
      </c>
      <c r="U274" s="41">
        <f t="shared" si="73"/>
        <v>0</v>
      </c>
      <c r="V274" s="41">
        <f t="shared" si="74"/>
        <v>7.6971531871228294E-3</v>
      </c>
      <c r="W274" s="39">
        <f t="shared" si="60"/>
        <v>241.1</v>
      </c>
      <c r="X274" s="21"/>
    </row>
    <row r="275" spans="1:24" x14ac:dyDescent="0.2">
      <c r="A275" s="38">
        <v>45337</v>
      </c>
      <c r="B275" s="39">
        <v>242.46</v>
      </c>
      <c r="C275" s="39">
        <v>502.01</v>
      </c>
      <c r="D275" s="39">
        <v>42.36</v>
      </c>
      <c r="E275" s="41">
        <f t="shared" si="61"/>
        <v>5.6408129406886331E-3</v>
      </c>
      <c r="F275" s="41">
        <f t="shared" si="62"/>
        <v>6.8997332370579478E-3</v>
      </c>
      <c r="G275" s="41">
        <f t="shared" si="63"/>
        <v>1.8881539386650603E-2</v>
      </c>
      <c r="H275" s="41">
        <f t="shared" si="64"/>
        <v>0.34857333555814929</v>
      </c>
      <c r="I275" s="41">
        <f t="shared" si="65"/>
        <v>0.2411550918485903</v>
      </c>
      <c r="J275" s="41">
        <f t="shared" si="66"/>
        <v>1.7902198726420071E-2</v>
      </c>
      <c r="K275" s="42">
        <f t="shared" si="57"/>
        <v>134.85733355581513</v>
      </c>
      <c r="L275" s="42">
        <f t="shared" si="58"/>
        <v>124.11550918485918</v>
      </c>
      <c r="M275" s="42">
        <f t="shared" si="59"/>
        <v>101.79021987264207</v>
      </c>
      <c r="N275" s="41">
        <f t="shared" si="67"/>
        <v>8.6546995145924122E-2</v>
      </c>
      <c r="O275" s="41">
        <f t="shared" si="68"/>
        <v>0.32485550895307891</v>
      </c>
      <c r="P275" s="39">
        <f t="shared" si="69"/>
        <v>212.32764462373851</v>
      </c>
      <c r="Q275" s="42">
        <f t="shared" si="70"/>
        <v>1.3485733355581493</v>
      </c>
      <c r="R275" s="42">
        <f t="shared" si="71"/>
        <v>1.3485733355581493</v>
      </c>
      <c r="S275" s="41">
        <f t="shared" si="72"/>
        <v>0</v>
      </c>
      <c r="T275" s="41">
        <f t="shared" si="56"/>
        <v>0.17930836289634788</v>
      </c>
      <c r="U275" s="41">
        <f t="shared" si="73"/>
        <v>0</v>
      </c>
      <c r="V275" s="41">
        <f t="shared" si="74"/>
        <v>-1.2589202963693147E-3</v>
      </c>
      <c r="W275" s="39">
        <f t="shared" si="60"/>
        <v>242.46</v>
      </c>
      <c r="X275" s="21"/>
    </row>
    <row r="276" spans="1:24" x14ac:dyDescent="0.2">
      <c r="A276" s="38">
        <v>45338</v>
      </c>
      <c r="B276" s="39">
        <v>255.15</v>
      </c>
      <c r="C276" s="39">
        <v>499.51</v>
      </c>
      <c r="D276" s="39">
        <v>42.585000000000001</v>
      </c>
      <c r="E276" s="41">
        <f t="shared" si="61"/>
        <v>5.2338530066815103E-2</v>
      </c>
      <c r="F276" s="41">
        <f t="shared" si="62"/>
        <v>-4.9799804784764756E-3</v>
      </c>
      <c r="G276" s="41">
        <f t="shared" si="63"/>
        <v>5.3116147308782669E-3</v>
      </c>
      <c r="H276" s="41">
        <f t="shared" si="64"/>
        <v>0.41915568162856465</v>
      </c>
      <c r="I276" s="41">
        <f t="shared" si="65"/>
        <v>0.23497416372042257</v>
      </c>
      <c r="J276" s="41">
        <f t="shared" si="66"/>
        <v>2.3308903039768625E-2</v>
      </c>
      <c r="K276" s="42">
        <f t="shared" si="57"/>
        <v>141.91556816285666</v>
      </c>
      <c r="L276" s="42">
        <f t="shared" si="58"/>
        <v>123.49741637204241</v>
      </c>
      <c r="M276" s="42">
        <f t="shared" si="59"/>
        <v>102.33089030397693</v>
      </c>
      <c r="N276" s="41">
        <f t="shared" si="67"/>
        <v>0.14913795228985682</v>
      </c>
      <c r="O276" s="41">
        <f t="shared" si="68"/>
        <v>0.38683019116996031</v>
      </c>
      <c r="P276" s="39">
        <f t="shared" si="69"/>
        <v>212.75373771205952</v>
      </c>
      <c r="Q276" s="42">
        <f t="shared" si="70"/>
        <v>1.4191556816285646</v>
      </c>
      <c r="R276" s="42">
        <f t="shared" si="71"/>
        <v>1.4191556816285646</v>
      </c>
      <c r="S276" s="41">
        <f t="shared" si="72"/>
        <v>0</v>
      </c>
      <c r="T276" s="41">
        <f t="shared" si="56"/>
        <v>0.20497871383100838</v>
      </c>
      <c r="U276" s="41">
        <f t="shared" si="73"/>
        <v>0</v>
      </c>
      <c r="V276" s="41">
        <f t="shared" si="74"/>
        <v>5.7318510545291579E-2</v>
      </c>
      <c r="W276" s="39">
        <f t="shared" si="60"/>
        <v>255.15</v>
      </c>
      <c r="X276" s="21"/>
    </row>
    <row r="277" spans="1:24" x14ac:dyDescent="0.2">
      <c r="A277" s="38">
        <v>45342</v>
      </c>
      <c r="B277" s="39">
        <v>251.38</v>
      </c>
      <c r="C277" s="39">
        <v>496.76</v>
      </c>
      <c r="D277" s="39">
        <v>42.494999999999997</v>
      </c>
      <c r="E277" s="41">
        <f t="shared" si="61"/>
        <v>-1.4775622183029635E-2</v>
      </c>
      <c r="F277" s="41">
        <f t="shared" si="62"/>
        <v>-5.505395287381587E-3</v>
      </c>
      <c r="G277" s="41">
        <f t="shared" si="63"/>
        <v>-2.1134202183867856E-3</v>
      </c>
      <c r="H277" s="41">
        <f t="shared" si="64"/>
        <v>0.39818677345792119</v>
      </c>
      <c r="I277" s="41">
        <f t="shared" si="65"/>
        <v>0.22817514277943807</v>
      </c>
      <c r="J277" s="41">
        <f t="shared" si="66"/>
        <v>2.1146221314429114E-2</v>
      </c>
      <c r="K277" s="42">
        <f t="shared" si="57"/>
        <v>139.81867734579231</v>
      </c>
      <c r="L277" s="42">
        <f t="shared" si="58"/>
        <v>122.81751427794396</v>
      </c>
      <c r="M277" s="42">
        <f t="shared" si="59"/>
        <v>102.11462213144299</v>
      </c>
      <c r="N277" s="41">
        <f t="shared" si="67"/>
        <v>0.13842621036421243</v>
      </c>
      <c r="O277" s="41">
        <f t="shared" si="68"/>
        <v>0.3692326762548872</v>
      </c>
      <c r="P277" s="39">
        <f t="shared" si="69"/>
        <v>213.13807863034748</v>
      </c>
      <c r="Q277" s="42">
        <f t="shared" si="70"/>
        <v>1.3981867734579212</v>
      </c>
      <c r="R277" s="42">
        <f t="shared" si="71"/>
        <v>1.4191556816285646</v>
      </c>
      <c r="S277" s="41">
        <f t="shared" si="72"/>
        <v>-1.4775622183029524E-2</v>
      </c>
      <c r="T277" s="41">
        <f t="shared" si="56"/>
        <v>0.20797688549715324</v>
      </c>
      <c r="U277" s="41">
        <f t="shared" si="73"/>
        <v>-1.4931272045820898E-2</v>
      </c>
      <c r="V277" s="41">
        <f t="shared" si="74"/>
        <v>-9.2702268956480482E-3</v>
      </c>
      <c r="W277" s="39">
        <f t="shared" si="60"/>
        <v>251.38</v>
      </c>
      <c r="X277" s="21"/>
    </row>
    <row r="278" spans="1:24" x14ac:dyDescent="0.2">
      <c r="A278" s="38">
        <v>45343</v>
      </c>
      <c r="B278" s="39">
        <v>253.43</v>
      </c>
      <c r="C278" s="39">
        <v>497.21</v>
      </c>
      <c r="D278" s="39">
        <v>42.73</v>
      </c>
      <c r="E278" s="41">
        <f t="shared" si="61"/>
        <v>8.1549844856392273E-3</v>
      </c>
      <c r="F278" s="41">
        <f t="shared" si="62"/>
        <v>9.0587003784525777E-4</v>
      </c>
      <c r="G278" s="41">
        <f t="shared" si="63"/>
        <v>5.5300623602776433E-3</v>
      </c>
      <c r="H278" s="41">
        <f t="shared" si="64"/>
        <v>0.4095889649034965</v>
      </c>
      <c r="I278" s="41">
        <f t="shared" si="65"/>
        <v>0.22928770984250835</v>
      </c>
      <c r="J278" s="41">
        <f t="shared" si="66"/>
        <v>2.6793223597259885E-2</v>
      </c>
      <c r="K278" s="42">
        <f t="shared" si="57"/>
        <v>140.95889649034987</v>
      </c>
      <c r="L278" s="42">
        <f t="shared" si="58"/>
        <v>122.92877098425099</v>
      </c>
      <c r="M278" s="42">
        <f t="shared" si="59"/>
        <v>102.67932235972606</v>
      </c>
      <c r="N278" s="41">
        <f t="shared" si="67"/>
        <v>0.14667132325278653</v>
      </c>
      <c r="O278" s="41">
        <f t="shared" si="68"/>
        <v>0.3728070389529381</v>
      </c>
      <c r="P278" s="39">
        <f t="shared" si="69"/>
        <v>213.53899327084153</v>
      </c>
      <c r="Q278" s="42">
        <f t="shared" si="70"/>
        <v>1.4095889649034965</v>
      </c>
      <c r="R278" s="42">
        <f t="shared" si="71"/>
        <v>1.4191556816285646</v>
      </c>
      <c r="S278" s="41">
        <f t="shared" si="72"/>
        <v>-6.7411326670585581E-3</v>
      </c>
      <c r="T278" s="41">
        <f t="shared" si="56"/>
        <v>0.20777536285008832</v>
      </c>
      <c r="U278" s="41">
        <f t="shared" si="73"/>
        <v>0</v>
      </c>
      <c r="V278" s="41">
        <f t="shared" si="74"/>
        <v>7.2491144477939695E-3</v>
      </c>
      <c r="W278" s="39">
        <f t="shared" si="60"/>
        <v>253.43</v>
      </c>
      <c r="X278" s="21"/>
    </row>
    <row r="279" spans="1:24" x14ac:dyDescent="0.2">
      <c r="A279" s="38">
        <v>45344</v>
      </c>
      <c r="B279" s="39">
        <v>256.94</v>
      </c>
      <c r="C279" s="39">
        <v>507.5</v>
      </c>
      <c r="D279" s="39">
        <v>43.16</v>
      </c>
      <c r="E279" s="41">
        <f t="shared" si="61"/>
        <v>1.3849978297754806E-2</v>
      </c>
      <c r="F279" s="41">
        <f t="shared" si="62"/>
        <v>2.069548078276795E-2</v>
      </c>
      <c r="G279" s="41">
        <f t="shared" si="63"/>
        <v>1.0063187456119893E-2</v>
      </c>
      <c r="H279" s="41">
        <f t="shared" si="64"/>
        <v>0.42911174147616449</v>
      </c>
      <c r="I279" s="41">
        <f t="shared" si="65"/>
        <v>0.25472841001804669</v>
      </c>
      <c r="J279" s="41">
        <f t="shared" si="66"/>
        <v>3.7126036284992781E-2</v>
      </c>
      <c r="K279" s="42">
        <f t="shared" si="57"/>
        <v>142.91117414761666</v>
      </c>
      <c r="L279" s="42">
        <f t="shared" si="58"/>
        <v>125.47284100180482</v>
      </c>
      <c r="M279" s="42">
        <f t="shared" si="59"/>
        <v>103.71260362849932</v>
      </c>
      <c r="N279" s="41">
        <f t="shared" si="67"/>
        <v>0.13898093807855161</v>
      </c>
      <c r="O279" s="41">
        <f t="shared" si="68"/>
        <v>0.37795377946085784</v>
      </c>
      <c r="P279" s="39">
        <f t="shared" si="69"/>
        <v>213.97084408406701</v>
      </c>
      <c r="Q279" s="42">
        <f t="shared" si="70"/>
        <v>1.4291117414761645</v>
      </c>
      <c r="R279" s="42">
        <f t="shared" si="71"/>
        <v>1.4291117414761645</v>
      </c>
      <c r="S279" s="41">
        <f t="shared" si="72"/>
        <v>0</v>
      </c>
      <c r="T279" s="41">
        <f t="shared" si="56"/>
        <v>0.20875575990208345</v>
      </c>
      <c r="U279" s="41">
        <f t="shared" si="73"/>
        <v>0</v>
      </c>
      <c r="V279" s="41">
        <f t="shared" si="74"/>
        <v>-6.8455024850131441E-3</v>
      </c>
      <c r="W279" s="39">
        <f t="shared" si="60"/>
        <v>256.94</v>
      </c>
      <c r="X279" s="21"/>
    </row>
    <row r="280" spans="1:24" x14ac:dyDescent="0.2">
      <c r="A280" s="38">
        <v>45345</v>
      </c>
      <c r="B280" s="39">
        <v>257.23</v>
      </c>
      <c r="C280" s="39">
        <v>507.85</v>
      </c>
      <c r="D280" s="39">
        <v>43.414999999999999</v>
      </c>
      <c r="E280" s="41">
        <f t="shared" si="61"/>
        <v>1.1286681715576563E-3</v>
      </c>
      <c r="F280" s="41">
        <f t="shared" si="62"/>
        <v>6.8965517241381669E-4</v>
      </c>
      <c r="G280" s="41">
        <f t="shared" si="63"/>
        <v>5.9082483781278672E-3</v>
      </c>
      <c r="H280" s="41">
        <f t="shared" si="64"/>
        <v>0.43072473441236792</v>
      </c>
      <c r="I280" s="41">
        <f t="shared" si="65"/>
        <v>0.25559373995599022</v>
      </c>
      <c r="J280" s="41">
        <f t="shared" si="66"/>
        <v>4.3253634506787764E-2</v>
      </c>
      <c r="K280" s="42">
        <f t="shared" si="57"/>
        <v>143.07247344123701</v>
      </c>
      <c r="L280" s="42">
        <f t="shared" si="58"/>
        <v>125.55937399559917</v>
      </c>
      <c r="M280" s="42">
        <f t="shared" si="59"/>
        <v>104.32536345067885</v>
      </c>
      <c r="N280" s="41">
        <f t="shared" si="67"/>
        <v>0.13948062090729785</v>
      </c>
      <c r="O280" s="41">
        <f t="shared" si="68"/>
        <v>0.37140642226352027</v>
      </c>
      <c r="P280" s="39">
        <f t="shared" si="69"/>
        <v>214.4012834464146</v>
      </c>
      <c r="Q280" s="42">
        <f t="shared" si="70"/>
        <v>1.4307247344123679</v>
      </c>
      <c r="R280" s="42">
        <f t="shared" si="71"/>
        <v>1.4307247344123679</v>
      </c>
      <c r="S280" s="41">
        <f t="shared" si="72"/>
        <v>0</v>
      </c>
      <c r="T280" s="41">
        <f t="shared" si="56"/>
        <v>0.20875165942042512</v>
      </c>
      <c r="U280" s="41">
        <f t="shared" si="73"/>
        <v>0</v>
      </c>
      <c r="V280" s="41">
        <f t="shared" si="74"/>
        <v>4.3901299914383962E-4</v>
      </c>
      <c r="W280" s="39">
        <f t="shared" si="60"/>
        <v>257.23</v>
      </c>
      <c r="X280" s="21"/>
    </row>
    <row r="281" spans="1:24" x14ac:dyDescent="0.2">
      <c r="A281" s="38">
        <v>45348</v>
      </c>
      <c r="B281" s="39">
        <v>261.08</v>
      </c>
      <c r="C281" s="39">
        <v>505.99</v>
      </c>
      <c r="D281" s="39">
        <v>43.155000000000001</v>
      </c>
      <c r="E281" s="41">
        <f t="shared" si="61"/>
        <v>1.4967150021381492E-2</v>
      </c>
      <c r="F281" s="41">
        <f t="shared" si="62"/>
        <v>-3.662498769321676E-3</v>
      </c>
      <c r="G281" s="41">
        <f t="shared" si="63"/>
        <v>-5.9887135782563661E-3</v>
      </c>
      <c r="H281" s="41">
        <f t="shared" si="64"/>
        <v>0.45213860615161905</v>
      </c>
      <c r="I281" s="41">
        <f t="shared" si="65"/>
        <v>0.25099512942863345</v>
      </c>
      <c r="J281" s="41">
        <f t="shared" si="66"/>
        <v>3.7005887300251672E-2</v>
      </c>
      <c r="K281" s="42">
        <f t="shared" si="57"/>
        <v>145.21386061516213</v>
      </c>
      <c r="L281" s="42">
        <f t="shared" si="58"/>
        <v>125.0995129428635</v>
      </c>
      <c r="M281" s="42">
        <f t="shared" si="59"/>
        <v>103.70058873002523</v>
      </c>
      <c r="N281" s="41">
        <f t="shared" si="67"/>
        <v>0.16078677845440836</v>
      </c>
      <c r="O281" s="41">
        <f t="shared" si="68"/>
        <v>0.40031857478854516</v>
      </c>
      <c r="P281" s="39">
        <f t="shared" si="69"/>
        <v>214.86574828774383</v>
      </c>
      <c r="Q281" s="42">
        <f t="shared" si="70"/>
        <v>1.452138606151619</v>
      </c>
      <c r="R281" s="42">
        <f t="shared" si="71"/>
        <v>1.452138606151619</v>
      </c>
      <c r="S281" s="41">
        <f t="shared" si="72"/>
        <v>0</v>
      </c>
      <c r="T281" s="41">
        <f t="shared" si="56"/>
        <v>0.20878775927008428</v>
      </c>
      <c r="U281" s="41">
        <f t="shared" si="73"/>
        <v>0</v>
      </c>
      <c r="V281" s="41">
        <f t="shared" si="74"/>
        <v>1.8629648790703168E-2</v>
      </c>
      <c r="W281" s="39">
        <f t="shared" si="60"/>
        <v>261.08</v>
      </c>
      <c r="X281" s="21"/>
    </row>
    <row r="282" spans="1:24" x14ac:dyDescent="0.2">
      <c r="A282" s="38">
        <v>45349</v>
      </c>
      <c r="B282" s="39">
        <v>263.56</v>
      </c>
      <c r="C282" s="39">
        <v>506.93</v>
      </c>
      <c r="D282" s="39">
        <v>43.314999999999998</v>
      </c>
      <c r="E282" s="41">
        <f t="shared" si="61"/>
        <v>9.4990041366631583E-3</v>
      </c>
      <c r="F282" s="41">
        <f t="shared" si="62"/>
        <v>1.8577442241940467E-3</v>
      </c>
      <c r="G282" s="41">
        <f t="shared" si="63"/>
        <v>3.7075657513612192E-3</v>
      </c>
      <c r="H282" s="41">
        <f t="shared" si="64"/>
        <v>0.46593247677846161</v>
      </c>
      <c r="I282" s="41">
        <f t="shared" si="65"/>
        <v>0.25331915840482444</v>
      </c>
      <c r="J282" s="41">
        <f t="shared" si="66"/>
        <v>4.0850654811966036E-2</v>
      </c>
      <c r="K282" s="42">
        <f t="shared" si="57"/>
        <v>146.59324767784639</v>
      </c>
      <c r="L282" s="42">
        <f t="shared" si="58"/>
        <v>125.33191584048259</v>
      </c>
      <c r="M282" s="42">
        <f t="shared" si="59"/>
        <v>104.08506548119666</v>
      </c>
      <c r="N282" s="41">
        <f t="shared" si="67"/>
        <v>0.16964020453037931</v>
      </c>
      <c r="O282" s="41">
        <f t="shared" si="68"/>
        <v>0.40839847676637953</v>
      </c>
      <c r="P282" s="39">
        <f t="shared" si="69"/>
        <v>215.35026820527872</v>
      </c>
      <c r="Q282" s="42">
        <f t="shared" si="70"/>
        <v>1.4659324767784616</v>
      </c>
      <c r="R282" s="42">
        <f t="shared" si="71"/>
        <v>1.4659324767784616</v>
      </c>
      <c r="S282" s="41">
        <f t="shared" si="72"/>
        <v>0</v>
      </c>
      <c r="T282" s="41">
        <f t="shared" si="56"/>
        <v>0.20900894129227535</v>
      </c>
      <c r="U282" s="41">
        <f t="shared" si="73"/>
        <v>0</v>
      </c>
      <c r="V282" s="41">
        <f t="shared" si="74"/>
        <v>7.6412599124691116E-3</v>
      </c>
      <c r="W282" s="39">
        <f t="shared" si="60"/>
        <v>263.56</v>
      </c>
      <c r="X282" s="21"/>
    </row>
    <row r="283" spans="1:24" x14ac:dyDescent="0.2">
      <c r="A283" s="38">
        <v>45350</v>
      </c>
      <c r="B283" s="39">
        <v>262.3</v>
      </c>
      <c r="C283" s="39">
        <v>506.26</v>
      </c>
      <c r="D283" s="39">
        <v>43.45</v>
      </c>
      <c r="E283" s="41">
        <f t="shared" si="61"/>
        <v>-4.780695097890364E-3</v>
      </c>
      <c r="F283" s="41">
        <f t="shared" si="62"/>
        <v>-1.3216814944864153E-3</v>
      </c>
      <c r="G283" s="41">
        <f t="shared" si="63"/>
        <v>3.1167032205934309E-3</v>
      </c>
      <c r="H283" s="41">
        <f t="shared" si="64"/>
        <v>0.45892430057288847</v>
      </c>
      <c r="I283" s="41">
        <f t="shared" si="65"/>
        <v>0.25166266966647544</v>
      </c>
      <c r="J283" s="41">
        <f t="shared" si="66"/>
        <v>4.4094677399975302E-2</v>
      </c>
      <c r="K283" s="42">
        <f t="shared" si="57"/>
        <v>145.89243005728906</v>
      </c>
      <c r="L283" s="42">
        <f t="shared" si="58"/>
        <v>125.1662669666477</v>
      </c>
      <c r="M283" s="42">
        <f t="shared" si="59"/>
        <v>104.4094677399976</v>
      </c>
      <c r="N283" s="41">
        <f t="shared" si="67"/>
        <v>0.16558904881427927</v>
      </c>
      <c r="O283" s="41">
        <f t="shared" si="68"/>
        <v>0.39731035140024829</v>
      </c>
      <c r="P283" s="39">
        <f t="shared" si="69"/>
        <v>215.81742971567397</v>
      </c>
      <c r="Q283" s="42">
        <f t="shared" si="70"/>
        <v>1.4589243005728885</v>
      </c>
      <c r="R283" s="42">
        <f t="shared" si="71"/>
        <v>1.4659324767784616</v>
      </c>
      <c r="S283" s="41">
        <f t="shared" si="72"/>
        <v>-4.780695097890364E-3</v>
      </c>
      <c r="T283" s="41">
        <f t="shared" si="56"/>
        <v>0.20972088307822281</v>
      </c>
      <c r="U283" s="41">
        <f t="shared" si="73"/>
        <v>-4.9363449606816268E-3</v>
      </c>
      <c r="V283" s="41">
        <f t="shared" si="74"/>
        <v>-3.4590136034039487E-3</v>
      </c>
      <c r="W283" s="39">
        <f t="shared" si="60"/>
        <v>262.3</v>
      </c>
      <c r="X283" s="21"/>
    </row>
    <row r="284" spans="1:24" x14ac:dyDescent="0.2">
      <c r="A284" s="38">
        <v>45351</v>
      </c>
      <c r="B284" s="39">
        <v>265.85000000000002</v>
      </c>
      <c r="C284" s="39">
        <v>508.08</v>
      </c>
      <c r="D284" s="39">
        <v>43.78</v>
      </c>
      <c r="E284" s="41">
        <f t="shared" si="61"/>
        <v>1.3534121235226904E-2</v>
      </c>
      <c r="F284" s="41">
        <f t="shared" si="62"/>
        <v>3.5949907162327044E-3</v>
      </c>
      <c r="G284" s="41">
        <f t="shared" si="63"/>
        <v>7.5949367088608E-3</v>
      </c>
      <c r="H284" s="41">
        <f t="shared" si="64"/>
        <v>0.47866955892986063</v>
      </c>
      <c r="I284" s="41">
        <f t="shared" si="65"/>
        <v>0.25616238534378155</v>
      </c>
      <c r="J284" s="41">
        <f t="shared" si="66"/>
        <v>5.2024510392886469E-2</v>
      </c>
      <c r="K284" s="42">
        <f t="shared" si="57"/>
        <v>147.86695589298628</v>
      </c>
      <c r="L284" s="42">
        <f t="shared" si="58"/>
        <v>125.61623853437831</v>
      </c>
      <c r="M284" s="42">
        <f t="shared" si="59"/>
        <v>105.20245103928872</v>
      </c>
      <c r="N284" s="41">
        <f t="shared" si="67"/>
        <v>0.17713249193111613</v>
      </c>
      <c r="O284" s="41">
        <f t="shared" si="68"/>
        <v>0.40554668101567359</v>
      </c>
      <c r="P284" s="39">
        <f t="shared" si="69"/>
        <v>216.31526623591603</v>
      </c>
      <c r="Q284" s="42">
        <f t="shared" si="70"/>
        <v>1.4786695589298606</v>
      </c>
      <c r="R284" s="42">
        <f t="shared" si="71"/>
        <v>1.4786695589298606</v>
      </c>
      <c r="S284" s="41">
        <f t="shared" si="72"/>
        <v>0</v>
      </c>
      <c r="T284" s="41">
        <f t="shared" ref="T284:T347" si="75">IFERROR(_xlfn.STDEV.S(E225:E284)*SQRT($D$7),"")</f>
        <v>0.21035081969035768</v>
      </c>
      <c r="U284" s="41">
        <f t="shared" si="73"/>
        <v>0</v>
      </c>
      <c r="V284" s="41">
        <f t="shared" si="74"/>
        <v>9.9391305189941992E-3</v>
      </c>
      <c r="W284" s="39">
        <f t="shared" si="60"/>
        <v>265.85000000000002</v>
      </c>
      <c r="X284" s="21"/>
    </row>
    <row r="285" spans="1:24" x14ac:dyDescent="0.2">
      <c r="A285" s="38">
        <v>45352</v>
      </c>
      <c r="B285" s="39">
        <v>267.43</v>
      </c>
      <c r="C285" s="39">
        <v>512.85</v>
      </c>
      <c r="D285" s="39">
        <v>43.98</v>
      </c>
      <c r="E285" s="41">
        <f t="shared" si="61"/>
        <v>5.9432010532254331E-3</v>
      </c>
      <c r="F285" s="41">
        <f t="shared" si="62"/>
        <v>9.3882853094002794E-3</v>
      </c>
      <c r="G285" s="41">
        <f t="shared" si="63"/>
        <v>4.5682960255823968E-3</v>
      </c>
      <c r="H285" s="41">
        <f t="shared" si="64"/>
        <v>0.48745758940986494</v>
      </c>
      <c r="I285" s="41">
        <f t="shared" si="65"/>
        <v>0.2679555962123259</v>
      </c>
      <c r="J285" s="41">
        <f t="shared" si="66"/>
        <v>5.683046978252948E-2</v>
      </c>
      <c r="K285" s="42">
        <f t="shared" si="57"/>
        <v>148.74575894098672</v>
      </c>
      <c r="L285" s="42">
        <f t="shared" si="58"/>
        <v>126.79555962123273</v>
      </c>
      <c r="M285" s="42">
        <f t="shared" si="59"/>
        <v>105.68304697825302</v>
      </c>
      <c r="N285" s="41">
        <f t="shared" si="67"/>
        <v>0.17311488971162858</v>
      </c>
      <c r="O285" s="41">
        <f t="shared" si="68"/>
        <v>0.40747038615942666</v>
      </c>
      <c r="P285" s="39">
        <f t="shared" si="69"/>
        <v>216.8238705519766</v>
      </c>
      <c r="Q285" s="42">
        <f t="shared" si="70"/>
        <v>1.4874575894098649</v>
      </c>
      <c r="R285" s="42">
        <f t="shared" si="71"/>
        <v>1.4874575894098649</v>
      </c>
      <c r="S285" s="41">
        <f t="shared" si="72"/>
        <v>0</v>
      </c>
      <c r="T285" s="41">
        <f t="shared" si="75"/>
        <v>0.20983005682489661</v>
      </c>
      <c r="U285" s="41">
        <f t="shared" si="73"/>
        <v>0</v>
      </c>
      <c r="V285" s="41">
        <f t="shared" si="74"/>
        <v>-3.4450842561748463E-3</v>
      </c>
      <c r="W285" s="39">
        <f t="shared" si="60"/>
        <v>267.43</v>
      </c>
      <c r="X285" s="21"/>
    </row>
    <row r="286" spans="1:24" x14ac:dyDescent="0.2">
      <c r="A286" s="38">
        <v>45355</v>
      </c>
      <c r="B286" s="39">
        <v>267.85000000000002</v>
      </c>
      <c r="C286" s="39">
        <v>512.29999999999995</v>
      </c>
      <c r="D286" s="39">
        <v>44.3</v>
      </c>
      <c r="E286" s="41">
        <f t="shared" si="61"/>
        <v>1.5705044310660998E-3</v>
      </c>
      <c r="F286" s="41">
        <f t="shared" si="62"/>
        <v>-1.0724383347958666E-3</v>
      </c>
      <c r="G286" s="41">
        <f t="shared" si="63"/>
        <v>7.276034561164213E-3</v>
      </c>
      <c r="H286" s="41">
        <f t="shared" si="64"/>
        <v>0.48979364814505599</v>
      </c>
      <c r="I286" s="41">
        <f t="shared" si="65"/>
        <v>0.26659579202412886</v>
      </c>
      <c r="J286" s="41">
        <f t="shared" si="66"/>
        <v>6.4520004805958653E-2</v>
      </c>
      <c r="K286" s="42">
        <f t="shared" si="57"/>
        <v>148.97936481450583</v>
      </c>
      <c r="L286" s="42">
        <f t="shared" si="58"/>
        <v>126.65957920241301</v>
      </c>
      <c r="M286" s="42">
        <f t="shared" si="59"/>
        <v>106.45200048059593</v>
      </c>
      <c r="N286" s="41">
        <f t="shared" si="67"/>
        <v>0.17621869386147071</v>
      </c>
      <c r="O286" s="41">
        <f t="shared" si="68"/>
        <v>0.39949802861301453</v>
      </c>
      <c r="P286" s="39">
        <f t="shared" si="69"/>
        <v>217.33159323305148</v>
      </c>
      <c r="Q286" s="42">
        <f t="shared" si="70"/>
        <v>1.489793648145056</v>
      </c>
      <c r="R286" s="42">
        <f t="shared" si="71"/>
        <v>1.489793648145056</v>
      </c>
      <c r="S286" s="41">
        <f t="shared" si="72"/>
        <v>0</v>
      </c>
      <c r="T286" s="41">
        <f t="shared" si="75"/>
        <v>0.20698924824230069</v>
      </c>
      <c r="U286" s="41">
        <f t="shared" si="73"/>
        <v>0</v>
      </c>
      <c r="V286" s="41">
        <f t="shared" si="74"/>
        <v>2.6429427658619664E-3</v>
      </c>
      <c r="W286" s="39">
        <f t="shared" si="60"/>
        <v>267.85000000000002</v>
      </c>
      <c r="X286" s="21"/>
    </row>
    <row r="287" spans="1:24" x14ac:dyDescent="0.2">
      <c r="A287" s="38">
        <v>45356</v>
      </c>
      <c r="B287" s="39">
        <v>264.98</v>
      </c>
      <c r="C287" s="39">
        <v>507.18</v>
      </c>
      <c r="D287" s="39">
        <v>44.064999999999998</v>
      </c>
      <c r="E287" s="41">
        <f t="shared" si="61"/>
        <v>-1.0714952398730659E-2</v>
      </c>
      <c r="F287" s="41">
        <f t="shared" si="62"/>
        <v>-9.9941440562170136E-3</v>
      </c>
      <c r="G287" s="41">
        <f t="shared" si="63"/>
        <v>-5.3047404063205628E-3</v>
      </c>
      <c r="H287" s="41">
        <f t="shared" si="64"/>
        <v>0.47383058012125034</v>
      </c>
      <c r="I287" s="41">
        <f t="shared" si="65"/>
        <v>0.25393725121764144</v>
      </c>
      <c r="J287" s="41">
        <f t="shared" si="66"/>
        <v>5.8873002523127882E-2</v>
      </c>
      <c r="K287" s="42">
        <f t="shared" si="57"/>
        <v>147.38305801212528</v>
      </c>
      <c r="L287" s="42">
        <f t="shared" si="58"/>
        <v>125.39372512176428</v>
      </c>
      <c r="M287" s="42">
        <f t="shared" si="59"/>
        <v>105.88730025231285</v>
      </c>
      <c r="N287" s="41">
        <f t="shared" si="67"/>
        <v>0.17536230675823727</v>
      </c>
      <c r="O287" s="41">
        <f t="shared" si="68"/>
        <v>0.39188606812086424</v>
      </c>
      <c r="P287" s="39">
        <f t="shared" si="69"/>
        <v>217.80570673322012</v>
      </c>
      <c r="Q287" s="42">
        <f t="shared" si="70"/>
        <v>1.4738305801212503</v>
      </c>
      <c r="R287" s="42">
        <f t="shared" si="71"/>
        <v>1.489793648145056</v>
      </c>
      <c r="S287" s="41">
        <f t="shared" si="72"/>
        <v>-1.0714952398730659E-2</v>
      </c>
      <c r="T287" s="41">
        <f t="shared" si="75"/>
        <v>0.20899051198858412</v>
      </c>
      <c r="U287" s="41">
        <f t="shared" si="73"/>
        <v>-1.0870602261521922E-2</v>
      </c>
      <c r="V287" s="41">
        <f t="shared" si="74"/>
        <v>-7.2080834251364578E-4</v>
      </c>
      <c r="W287" s="39">
        <f t="shared" si="60"/>
        <v>264.98</v>
      </c>
      <c r="X287" s="21"/>
    </row>
    <row r="288" spans="1:24" x14ac:dyDescent="0.2">
      <c r="A288" s="38">
        <v>45357</v>
      </c>
      <c r="B288" s="39">
        <v>267.33999999999997</v>
      </c>
      <c r="C288" s="39">
        <v>509.75</v>
      </c>
      <c r="D288" s="39">
        <v>44.39</v>
      </c>
      <c r="E288" s="41">
        <f t="shared" si="61"/>
        <v>8.9063325534000093E-3</v>
      </c>
      <c r="F288" s="41">
        <f t="shared" si="62"/>
        <v>5.0672345124018747E-3</v>
      </c>
      <c r="G288" s="41">
        <f t="shared" si="63"/>
        <v>7.3754680585498278E-3</v>
      </c>
      <c r="H288" s="41">
        <f t="shared" si="64"/>
        <v>0.48695700539518061</v>
      </c>
      <c r="I288" s="41">
        <f t="shared" si="65"/>
        <v>0.26029124533339787</v>
      </c>
      <c r="J288" s="41">
        <f t="shared" si="66"/>
        <v>6.6682686531297941E-2</v>
      </c>
      <c r="K288" s="42">
        <f t="shared" si="57"/>
        <v>148.69570053951833</v>
      </c>
      <c r="L288" s="42">
        <f t="shared" si="58"/>
        <v>126.02912453333992</v>
      </c>
      <c r="M288" s="42">
        <f t="shared" si="59"/>
        <v>106.66826865312989</v>
      </c>
      <c r="N288" s="41">
        <f t="shared" si="67"/>
        <v>0.17985188812592323</v>
      </c>
      <c r="O288" s="41">
        <f t="shared" si="68"/>
        <v>0.39400125657851981</v>
      </c>
      <c r="P288" s="39">
        <f t="shared" si="69"/>
        <v>218.29858527318808</v>
      </c>
      <c r="Q288" s="42">
        <f t="shared" si="70"/>
        <v>1.4869570053951806</v>
      </c>
      <c r="R288" s="42">
        <f t="shared" si="71"/>
        <v>1.489793648145056</v>
      </c>
      <c r="S288" s="41">
        <f t="shared" si="72"/>
        <v>-1.9040507746876933E-3</v>
      </c>
      <c r="T288" s="41">
        <f t="shared" si="75"/>
        <v>0.20878861002569105</v>
      </c>
      <c r="U288" s="41">
        <f t="shared" si="73"/>
        <v>0</v>
      </c>
      <c r="V288" s="41">
        <f t="shared" si="74"/>
        <v>3.8390980409981346E-3</v>
      </c>
      <c r="W288" s="39">
        <f t="shared" si="60"/>
        <v>267.33999999999997</v>
      </c>
      <c r="X288" s="21"/>
    </row>
    <row r="289" spans="1:24" x14ac:dyDescent="0.2">
      <c r="A289" s="38">
        <v>45358</v>
      </c>
      <c r="B289" s="39">
        <v>271.17</v>
      </c>
      <c r="C289" s="39">
        <v>514.80999999999995</v>
      </c>
      <c r="D289" s="39">
        <v>44.935000000000002</v>
      </c>
      <c r="E289" s="41">
        <f t="shared" si="61"/>
        <v>1.4326326026782521E-2</v>
      </c>
      <c r="F289" s="41">
        <f t="shared" si="62"/>
        <v>9.9264345267287002E-3</v>
      </c>
      <c r="G289" s="41">
        <f t="shared" si="63"/>
        <v>1.2277539986483399E-2</v>
      </c>
      <c r="H289" s="41">
        <f t="shared" si="64"/>
        <v>0.50825963624228021</v>
      </c>
      <c r="I289" s="41">
        <f t="shared" si="65"/>
        <v>0.2728014438648092</v>
      </c>
      <c r="J289" s="41">
        <f t="shared" si="66"/>
        <v>7.9778925868075445E-2</v>
      </c>
      <c r="K289" s="42">
        <f t="shared" si="57"/>
        <v>150.82596362422828</v>
      </c>
      <c r="L289" s="42">
        <f t="shared" si="58"/>
        <v>127.28014438648106</v>
      </c>
      <c r="M289" s="42">
        <f t="shared" si="59"/>
        <v>107.97789258680763</v>
      </c>
      <c r="N289" s="41">
        <f t="shared" si="67"/>
        <v>0.18499208459609529</v>
      </c>
      <c r="O289" s="41">
        <f t="shared" si="68"/>
        <v>0.39682262740007901</v>
      </c>
      <c r="P289" s="39">
        <f t="shared" si="69"/>
        <v>218.82466900181311</v>
      </c>
      <c r="Q289" s="42">
        <f t="shared" si="70"/>
        <v>1.5082596362422802</v>
      </c>
      <c r="R289" s="42">
        <f t="shared" si="71"/>
        <v>1.5082596362422802</v>
      </c>
      <c r="S289" s="41">
        <f t="shared" si="72"/>
        <v>0</v>
      </c>
      <c r="T289" s="41">
        <f t="shared" si="75"/>
        <v>0.20967210431535799</v>
      </c>
      <c r="U289" s="41">
        <f t="shared" si="73"/>
        <v>0</v>
      </c>
      <c r="V289" s="41">
        <f t="shared" si="74"/>
        <v>4.3998915000538208E-3</v>
      </c>
      <c r="W289" s="39">
        <f t="shared" si="60"/>
        <v>271.17</v>
      </c>
      <c r="X289" s="21"/>
    </row>
    <row r="290" spans="1:24" x14ac:dyDescent="0.2">
      <c r="A290" s="38">
        <v>45359</v>
      </c>
      <c r="B290" s="39">
        <v>266.7</v>
      </c>
      <c r="C290" s="39">
        <v>511.72</v>
      </c>
      <c r="D290" s="39">
        <v>44.674999999999997</v>
      </c>
      <c r="E290" s="41">
        <f t="shared" si="61"/>
        <v>-1.6484124350038876E-2</v>
      </c>
      <c r="F290" s="41">
        <f t="shared" si="62"/>
        <v>-6.0022144091993468E-3</v>
      </c>
      <c r="G290" s="41">
        <f t="shared" si="63"/>
        <v>-5.7861355290976801E-3</v>
      </c>
      <c r="H290" s="41">
        <f t="shared" si="64"/>
        <v>0.48339729684631805</v>
      </c>
      <c r="I290" s="41">
        <f t="shared" si="65"/>
        <v>0.265161816698394</v>
      </c>
      <c r="J290" s="41">
        <f t="shared" si="66"/>
        <v>7.3531178661539354E-2</v>
      </c>
      <c r="K290" s="42">
        <f t="shared" si="57"/>
        <v>148.33972968463206</v>
      </c>
      <c r="L290" s="42">
        <f t="shared" si="58"/>
        <v>126.51618166983954</v>
      </c>
      <c r="M290" s="42">
        <f t="shared" si="59"/>
        <v>107.35311786615402</v>
      </c>
      <c r="N290" s="41">
        <f t="shared" si="67"/>
        <v>0.17249610071021437</v>
      </c>
      <c r="O290" s="41">
        <f t="shared" si="68"/>
        <v>0.38179246800804889</v>
      </c>
      <c r="P290" s="39">
        <f t="shared" si="69"/>
        <v>219.30104045453137</v>
      </c>
      <c r="Q290" s="42">
        <f t="shared" si="70"/>
        <v>1.483397296846318</v>
      </c>
      <c r="R290" s="42">
        <f t="shared" si="71"/>
        <v>1.5082596362422802</v>
      </c>
      <c r="S290" s="41">
        <f t="shared" si="72"/>
        <v>-1.6484124350038876E-2</v>
      </c>
      <c r="T290" s="41">
        <f t="shared" si="75"/>
        <v>0.21285800716627801</v>
      </c>
      <c r="U290" s="41">
        <f t="shared" si="73"/>
        <v>-1.6639774212830138E-2</v>
      </c>
      <c r="V290" s="41">
        <f t="shared" si="74"/>
        <v>-1.0481909940839529E-2</v>
      </c>
      <c r="W290" s="39">
        <f t="shared" si="60"/>
        <v>266.7</v>
      </c>
      <c r="X290" s="21"/>
    </row>
    <row r="291" spans="1:24" x14ac:dyDescent="0.2">
      <c r="A291" s="38">
        <v>45362</v>
      </c>
      <c r="B291" s="39">
        <v>264.95</v>
      </c>
      <c r="C291" s="39">
        <v>511.28</v>
      </c>
      <c r="D291" s="39">
        <v>45.18</v>
      </c>
      <c r="E291" s="41">
        <f t="shared" si="61"/>
        <v>-6.5616797900261981E-3</v>
      </c>
      <c r="F291" s="41">
        <f t="shared" si="62"/>
        <v>-8.5984522785909068E-4</v>
      </c>
      <c r="G291" s="41">
        <f t="shared" si="63"/>
        <v>1.1303861219921663E-2</v>
      </c>
      <c r="H291" s="41">
        <f t="shared" si="64"/>
        <v>0.47366371878302216</v>
      </c>
      <c r="I291" s="41">
        <f t="shared" si="65"/>
        <v>0.26407397334783633</v>
      </c>
      <c r="J291" s="41">
        <f t="shared" si="66"/>
        <v>8.5666226120388211E-2</v>
      </c>
      <c r="K291" s="42">
        <f t="shared" si="57"/>
        <v>147.36637187830246</v>
      </c>
      <c r="L291" s="42">
        <f t="shared" si="58"/>
        <v>126.40739733478377</v>
      </c>
      <c r="M291" s="42">
        <f t="shared" si="59"/>
        <v>108.56662261203893</v>
      </c>
      <c r="N291" s="41">
        <f t="shared" si="67"/>
        <v>0.16580496858114868</v>
      </c>
      <c r="O291" s="41">
        <f t="shared" si="68"/>
        <v>0.35738193132261009</v>
      </c>
      <c r="P291" s="39">
        <f t="shared" si="69"/>
        <v>219.75525895747137</v>
      </c>
      <c r="Q291" s="42">
        <f t="shared" si="70"/>
        <v>1.4736637187830222</v>
      </c>
      <c r="R291" s="42">
        <f t="shared" si="71"/>
        <v>1.5082596362422802</v>
      </c>
      <c r="S291" s="41">
        <f t="shared" si="72"/>
        <v>-2.2937640594461128E-2</v>
      </c>
      <c r="T291" s="41">
        <f t="shared" si="75"/>
        <v>0.21345505848601878</v>
      </c>
      <c r="U291" s="41">
        <f t="shared" si="73"/>
        <v>-6.7173296528174609E-3</v>
      </c>
      <c r="V291" s="41">
        <f t="shared" si="74"/>
        <v>-5.7018345621671074E-3</v>
      </c>
      <c r="W291" s="39">
        <f t="shared" si="60"/>
        <v>264.95</v>
      </c>
      <c r="X291" s="21"/>
    </row>
    <row r="292" spans="1:24" x14ac:dyDescent="0.2">
      <c r="A292" s="38">
        <v>45363</v>
      </c>
      <c r="B292" s="39">
        <v>269.58</v>
      </c>
      <c r="C292" s="39">
        <v>516.78</v>
      </c>
      <c r="D292" s="39">
        <v>45.174999999999997</v>
      </c>
      <c r="E292" s="41">
        <f t="shared" si="61"/>
        <v>1.7474995282128702E-2</v>
      </c>
      <c r="F292" s="41">
        <f t="shared" si="62"/>
        <v>1.0757314974182419E-2</v>
      </c>
      <c r="G292" s="41">
        <f t="shared" si="63"/>
        <v>-1.1066843736173837E-4</v>
      </c>
      <c r="H292" s="41">
        <f t="shared" si="64"/>
        <v>0.49941598531619968</v>
      </c>
      <c r="I292" s="41">
        <f t="shared" si="65"/>
        <v>0.27767201522980534</v>
      </c>
      <c r="J292" s="41">
        <f t="shared" si="66"/>
        <v>8.5546077135647103E-2</v>
      </c>
      <c r="K292" s="42">
        <f t="shared" ref="K292:K355" si="76">IFERROR(B292/$B$36*100,"")</f>
        <v>149.9415985316202</v>
      </c>
      <c r="L292" s="42">
        <f t="shared" ref="L292:L355" si="77">IFERROR(C292/$C$36*100,"")</f>
        <v>127.76720152298067</v>
      </c>
      <c r="M292" s="42">
        <f t="shared" ref="M292:M355" si="78">IFERROR(D292/$D$36*100,"")</f>
        <v>108.55460771356479</v>
      </c>
      <c r="N292" s="41">
        <f t="shared" si="67"/>
        <v>0.17355312430984959</v>
      </c>
      <c r="O292" s="41">
        <f t="shared" si="68"/>
        <v>0.3812550355048967</v>
      </c>
      <c r="P292" s="39">
        <f t="shared" si="69"/>
        <v>220.2510275250587</v>
      </c>
      <c r="Q292" s="42">
        <f t="shared" si="70"/>
        <v>1.4994159853161997</v>
      </c>
      <c r="R292" s="42">
        <f t="shared" si="71"/>
        <v>1.5082596362422802</v>
      </c>
      <c r="S292" s="41">
        <f t="shared" si="72"/>
        <v>-5.8634804735038237E-3</v>
      </c>
      <c r="T292" s="41">
        <f t="shared" si="75"/>
        <v>0.21462142204678816</v>
      </c>
      <c r="U292" s="41">
        <f t="shared" si="73"/>
        <v>0</v>
      </c>
      <c r="V292" s="41">
        <f t="shared" si="74"/>
        <v>6.7176803079462832E-3</v>
      </c>
      <c r="W292" s="39">
        <f t="shared" ref="W292:W355" si="79">B292</f>
        <v>269.58</v>
      </c>
      <c r="X292" s="21"/>
    </row>
    <row r="293" spans="1:24" x14ac:dyDescent="0.2">
      <c r="A293" s="38">
        <v>45364</v>
      </c>
      <c r="B293" s="39">
        <v>269.32</v>
      </c>
      <c r="C293" s="39">
        <v>515.97</v>
      </c>
      <c r="D293" s="39">
        <v>45.62</v>
      </c>
      <c r="E293" s="41">
        <f t="shared" ref="E293:E356" si="80">IFERROR(B293/B292-1,"")</f>
        <v>-9.644632391127006E-4</v>
      </c>
      <c r="F293" s="41">
        <f t="shared" ref="F293:F356" si="81">IFERROR(C293/C292-1,"")</f>
        <v>-1.5673981191220987E-3</v>
      </c>
      <c r="G293" s="41">
        <f t="shared" ref="G293:G356" si="82">IFERROR(D293/D292-1,"")</f>
        <v>9.8505810736027044E-3</v>
      </c>
      <c r="H293" s="41">
        <f t="shared" ref="H293:H356" si="83">IFERROR((1+E293)*(1+H292)-1,"")</f>
        <v>0.49796985371822422</v>
      </c>
      <c r="I293" s="41">
        <f t="shared" ref="I293:I356" si="84">IFERROR((1+F293)*(1+I292)-1,"")</f>
        <v>0.27566939451627914</v>
      </c>
      <c r="J293" s="41">
        <f t="shared" ref="J293:J356" si="85">IFERROR((1+G293)*(1+J292)-1,"")</f>
        <v>9.6239336777603102E-2</v>
      </c>
      <c r="K293" s="42">
        <f t="shared" si="76"/>
        <v>149.7969853718227</v>
      </c>
      <c r="L293" s="42">
        <f t="shared" si="77"/>
        <v>127.56693945162804</v>
      </c>
      <c r="M293" s="42">
        <f t="shared" si="78"/>
        <v>109.62393367776042</v>
      </c>
      <c r="N293" s="41">
        <f t="shared" ref="N293:N356" si="86">IFERROR((1+H293)/(1+I293)-1,"")</f>
        <v>0.17426181121656459</v>
      </c>
      <c r="O293" s="41">
        <f t="shared" ref="O293:O356" si="87">IFERROR((1+H293)/(1+J293)-1,"")</f>
        <v>0.36646241697685156</v>
      </c>
      <c r="P293" s="39">
        <f t="shared" ref="P293:P356" si="88">IFERROR(B293*0.0099502487562189+P292*(1-0.0099502487562189),"")</f>
        <v>220.73927600739643</v>
      </c>
      <c r="Q293" s="42">
        <f t="shared" ref="Q293:Q356" si="89">Q292*(1+E293)</f>
        <v>1.4979698537182242</v>
      </c>
      <c r="R293" s="42">
        <f t="shared" ref="R293:R356" si="90">MAX(R292,Q293)</f>
        <v>1.5082596362422802</v>
      </c>
      <c r="S293" s="41">
        <f t="shared" ref="S293:S356" si="91">IFERROR(Q293/R293-1,"")</f>
        <v>-6.8222886012465622E-3</v>
      </c>
      <c r="T293" s="41">
        <f t="shared" si="75"/>
        <v>0.21476108487429563</v>
      </c>
      <c r="U293" s="41">
        <f t="shared" ref="U293:U356" si="92">IFERROR(MIN(E293-$D$6,0),"")</f>
        <v>-1.1201131019039634E-3</v>
      </c>
      <c r="V293" s="41">
        <f t="shared" ref="V293:V356" si="93">IFERROR(E293-F293,"")</f>
        <v>6.029348800093981E-4</v>
      </c>
      <c r="W293" s="39">
        <f t="shared" si="79"/>
        <v>269.32</v>
      </c>
      <c r="X293" s="21"/>
    </row>
    <row r="294" spans="1:24" x14ac:dyDescent="0.2">
      <c r="A294" s="38">
        <v>45365</v>
      </c>
      <c r="B294" s="39">
        <v>270.73</v>
      </c>
      <c r="C294" s="39">
        <v>514.95000000000005</v>
      </c>
      <c r="D294" s="39">
        <v>45.38</v>
      </c>
      <c r="E294" s="41">
        <f t="shared" si="80"/>
        <v>5.2354076934502114E-3</v>
      </c>
      <c r="F294" s="41">
        <f t="shared" si="81"/>
        <v>-1.9768591197162344E-3</v>
      </c>
      <c r="G294" s="41">
        <f t="shared" si="82"/>
        <v>-5.2608505041646936E-3</v>
      </c>
      <c r="H294" s="41">
        <f t="shared" si="83"/>
        <v>0.50581233661493719</v>
      </c>
      <c r="I294" s="41">
        <f t="shared" si="84"/>
        <v>0.27314757583998683</v>
      </c>
      <c r="J294" s="41">
        <f t="shared" si="85"/>
        <v>9.0472185510031444E-2</v>
      </c>
      <c r="K294" s="42">
        <f t="shared" si="76"/>
        <v>150.581233661494</v>
      </c>
      <c r="L294" s="42">
        <f t="shared" si="77"/>
        <v>127.31475758399881</v>
      </c>
      <c r="M294" s="42">
        <f t="shared" si="78"/>
        <v>109.04721855100325</v>
      </c>
      <c r="N294" s="41">
        <f t="shared" si="86"/>
        <v>0.18274767606688846</v>
      </c>
      <c r="O294" s="41">
        <f t="shared" si="87"/>
        <v>0.3808810134030558</v>
      </c>
      <c r="P294" s="39">
        <f t="shared" si="88"/>
        <v>221.23669614662631</v>
      </c>
      <c r="Q294" s="42">
        <f t="shared" si="89"/>
        <v>1.5058123366149372</v>
      </c>
      <c r="R294" s="42">
        <f t="shared" si="90"/>
        <v>1.5082596362422802</v>
      </c>
      <c r="S294" s="41">
        <f t="shared" si="91"/>
        <v>-1.622598370026207E-3</v>
      </c>
      <c r="T294" s="41">
        <f t="shared" si="75"/>
        <v>0.21455578892984248</v>
      </c>
      <c r="U294" s="41">
        <f t="shared" si="92"/>
        <v>0</v>
      </c>
      <c r="V294" s="41">
        <f t="shared" si="93"/>
        <v>7.2122668131664458E-3</v>
      </c>
      <c r="W294" s="39">
        <f t="shared" si="79"/>
        <v>270.73</v>
      </c>
      <c r="X294" s="21"/>
    </row>
    <row r="295" spans="1:24" x14ac:dyDescent="0.2">
      <c r="A295" s="38">
        <v>45366</v>
      </c>
      <c r="B295" s="39">
        <v>266.86</v>
      </c>
      <c r="C295" s="39">
        <v>509.83</v>
      </c>
      <c r="D295" s="39">
        <v>45.4</v>
      </c>
      <c r="E295" s="41">
        <f t="shared" si="80"/>
        <v>-1.429468474125517E-2</v>
      </c>
      <c r="F295" s="41">
        <f t="shared" si="81"/>
        <v>-9.9427128847462409E-3</v>
      </c>
      <c r="G295" s="41">
        <f t="shared" si="82"/>
        <v>4.4072278536799736E-4</v>
      </c>
      <c r="H295" s="41">
        <f t="shared" si="83"/>
        <v>0.48428722398353385</v>
      </c>
      <c r="I295" s="41">
        <f t="shared" si="84"/>
        <v>0.26048903503349918</v>
      </c>
      <c r="J295" s="41">
        <f t="shared" si="85"/>
        <v>9.0952781448995657E-2</v>
      </c>
      <c r="K295" s="42">
        <f t="shared" si="76"/>
        <v>148.42872239835364</v>
      </c>
      <c r="L295" s="42">
        <f t="shared" si="77"/>
        <v>126.04890350335005</v>
      </c>
      <c r="M295" s="42">
        <f t="shared" si="78"/>
        <v>109.09527814489968</v>
      </c>
      <c r="N295" s="41">
        <f t="shared" si="86"/>
        <v>0.17754869953635644</v>
      </c>
      <c r="O295" s="41">
        <f t="shared" si="87"/>
        <v>0.36054213273292568</v>
      </c>
      <c r="P295" s="39">
        <f t="shared" si="88"/>
        <v>221.69065936904795</v>
      </c>
      <c r="Q295" s="42">
        <f t="shared" si="89"/>
        <v>1.4842872239835339</v>
      </c>
      <c r="R295" s="42">
        <f t="shared" si="90"/>
        <v>1.5082596362422802</v>
      </c>
      <c r="S295" s="41">
        <f t="shared" si="91"/>
        <v>-1.5894088579120114E-2</v>
      </c>
      <c r="T295" s="41">
        <f t="shared" si="75"/>
        <v>0.21648036072076388</v>
      </c>
      <c r="U295" s="41">
        <f t="shared" si="92"/>
        <v>-1.4450334604046433E-2</v>
      </c>
      <c r="V295" s="41">
        <f t="shared" si="93"/>
        <v>-4.3519718565089294E-3</v>
      </c>
      <c r="W295" s="39">
        <f t="shared" si="79"/>
        <v>266.86</v>
      </c>
      <c r="X295" s="21"/>
    </row>
    <row r="296" spans="1:24" x14ac:dyDescent="0.2">
      <c r="A296" s="38">
        <v>45369</v>
      </c>
      <c r="B296" s="39">
        <v>269.42</v>
      </c>
      <c r="C296" s="39">
        <v>512.86</v>
      </c>
      <c r="D296" s="39">
        <v>45.32</v>
      </c>
      <c r="E296" s="41">
        <f t="shared" si="80"/>
        <v>9.5930450423442615E-3</v>
      </c>
      <c r="F296" s="41">
        <f t="shared" si="81"/>
        <v>5.9431575230959321E-3</v>
      </c>
      <c r="G296" s="41">
        <f t="shared" si="82"/>
        <v>-1.7621145374449032E-3</v>
      </c>
      <c r="H296" s="41">
        <f t="shared" si="83"/>
        <v>0.4985260581789841</v>
      </c>
      <c r="I296" s="41">
        <f t="shared" si="84"/>
        <v>0.26798031992483851</v>
      </c>
      <c r="J296" s="41">
        <f t="shared" si="85"/>
        <v>8.9030397693138363E-2</v>
      </c>
      <c r="K296" s="42">
        <f t="shared" si="76"/>
        <v>149.85260581789868</v>
      </c>
      <c r="L296" s="42">
        <f t="shared" si="77"/>
        <v>126.79803199248398</v>
      </c>
      <c r="M296" s="42">
        <f t="shared" si="78"/>
        <v>108.90303976931395</v>
      </c>
      <c r="N296" s="41">
        <f t="shared" si="86"/>
        <v>0.18182122753120611</v>
      </c>
      <c r="O296" s="41">
        <f t="shared" si="87"/>
        <v>0.3760185770326232</v>
      </c>
      <c r="P296" s="39">
        <f t="shared" si="88"/>
        <v>222.16557818129624</v>
      </c>
      <c r="Q296" s="42">
        <f t="shared" si="89"/>
        <v>1.4985260581789841</v>
      </c>
      <c r="R296" s="42">
        <f t="shared" si="90"/>
        <v>1.5082596362422802</v>
      </c>
      <c r="S296" s="41">
        <f t="shared" si="91"/>
        <v>-6.4535162444223637E-3</v>
      </c>
      <c r="T296" s="41">
        <f t="shared" si="75"/>
        <v>0.21656008031196081</v>
      </c>
      <c r="U296" s="41">
        <f t="shared" si="92"/>
        <v>0</v>
      </c>
      <c r="V296" s="41">
        <f t="shared" si="93"/>
        <v>3.6498875192483293E-3</v>
      </c>
      <c r="W296" s="39">
        <f t="shared" si="79"/>
        <v>269.42</v>
      </c>
      <c r="X296" s="21"/>
    </row>
    <row r="297" spans="1:24" x14ac:dyDescent="0.2">
      <c r="A297" s="38">
        <v>45370</v>
      </c>
      <c r="B297" s="39">
        <v>269.01</v>
      </c>
      <c r="C297" s="39">
        <v>515.71</v>
      </c>
      <c r="D297" s="39">
        <v>45.325000000000003</v>
      </c>
      <c r="E297" s="41">
        <f t="shared" si="80"/>
        <v>-1.5217875436123185E-3</v>
      </c>
      <c r="F297" s="41">
        <f t="shared" si="81"/>
        <v>5.5570721054478689E-3</v>
      </c>
      <c r="G297" s="41">
        <f t="shared" si="82"/>
        <v>1.1032656663734208E-4</v>
      </c>
      <c r="H297" s="41">
        <f t="shared" si="83"/>
        <v>0.49624561988986882</v>
      </c>
      <c r="I297" s="41">
        <f t="shared" si="84"/>
        <v>0.27502657799094976</v>
      </c>
      <c r="J297" s="41">
        <f t="shared" si="85"/>
        <v>8.9150546677879472E-2</v>
      </c>
      <c r="K297" s="42">
        <f t="shared" si="76"/>
        <v>149.62456198898715</v>
      </c>
      <c r="L297" s="42">
        <f t="shared" si="77"/>
        <v>127.5026577990951</v>
      </c>
      <c r="M297" s="42">
        <f t="shared" si="78"/>
        <v>108.91505466778806</v>
      </c>
      <c r="N297" s="41">
        <f t="shared" si="86"/>
        <v>0.17350151417823167</v>
      </c>
      <c r="O297" s="41">
        <f t="shared" si="87"/>
        <v>0.3737730054432864</v>
      </c>
      <c r="P297" s="39">
        <f t="shared" si="88"/>
        <v>222.63169183123361</v>
      </c>
      <c r="Q297" s="42">
        <f t="shared" si="89"/>
        <v>1.4962456198898688</v>
      </c>
      <c r="R297" s="42">
        <f t="shared" si="90"/>
        <v>1.5082596362422802</v>
      </c>
      <c r="S297" s="41">
        <f t="shared" si="91"/>
        <v>-7.9654829074014E-3</v>
      </c>
      <c r="T297" s="41">
        <f t="shared" si="75"/>
        <v>0.21325046971032352</v>
      </c>
      <c r="U297" s="41">
        <f t="shared" si="92"/>
        <v>-1.6774374064035813E-3</v>
      </c>
      <c r="V297" s="41">
        <f t="shared" si="93"/>
        <v>-7.0788596490601874E-3</v>
      </c>
      <c r="W297" s="39">
        <f t="shared" si="79"/>
        <v>269.01</v>
      </c>
      <c r="X297" s="21"/>
    </row>
    <row r="298" spans="1:24" x14ac:dyDescent="0.2">
      <c r="A298" s="38">
        <v>45371</v>
      </c>
      <c r="B298" s="39">
        <v>271.74</v>
      </c>
      <c r="C298" s="39">
        <v>520.48</v>
      </c>
      <c r="D298" s="39">
        <v>45.78</v>
      </c>
      <c r="E298" s="41">
        <f t="shared" si="80"/>
        <v>1.0148321623731471E-2</v>
      </c>
      <c r="F298" s="41">
        <f t="shared" si="81"/>
        <v>9.249384343914091E-3</v>
      </c>
      <c r="G298" s="41">
        <f t="shared" si="82"/>
        <v>1.0038610038610063E-2</v>
      </c>
      <c r="H298" s="41">
        <f t="shared" si="83"/>
        <v>0.51143000166861063</v>
      </c>
      <c r="I298" s="41">
        <f t="shared" si="84"/>
        <v>0.28681978885949366</v>
      </c>
      <c r="J298" s="41">
        <f t="shared" si="85"/>
        <v>0.10008410428931769</v>
      </c>
      <c r="K298" s="42">
        <f t="shared" si="76"/>
        <v>151.14300016686136</v>
      </c>
      <c r="L298" s="42">
        <f t="shared" si="77"/>
        <v>128.68197888594949</v>
      </c>
      <c r="M298" s="42">
        <f t="shared" si="78"/>
        <v>110.00841042893188</v>
      </c>
      <c r="N298" s="41">
        <f t="shared" si="86"/>
        <v>0.17454675064345149</v>
      </c>
      <c r="O298" s="41">
        <f t="shared" si="87"/>
        <v>0.37392222628744642</v>
      </c>
      <c r="P298" s="39">
        <f t="shared" si="88"/>
        <v>223.1203317135099</v>
      </c>
      <c r="Q298" s="42">
        <f t="shared" si="89"/>
        <v>1.5114300016686106</v>
      </c>
      <c r="R298" s="42">
        <f t="shared" si="90"/>
        <v>1.5114300016686106</v>
      </c>
      <c r="S298" s="41">
        <f t="shared" si="91"/>
        <v>0</v>
      </c>
      <c r="T298" s="41">
        <f t="shared" si="75"/>
        <v>0.21333504181179777</v>
      </c>
      <c r="U298" s="41">
        <f t="shared" si="92"/>
        <v>0</v>
      </c>
      <c r="V298" s="41">
        <f t="shared" si="93"/>
        <v>8.9893727981738003E-4</v>
      </c>
      <c r="W298" s="39">
        <f t="shared" si="79"/>
        <v>271.74</v>
      </c>
      <c r="X298" s="21"/>
    </row>
    <row r="299" spans="1:24" x14ac:dyDescent="0.2">
      <c r="A299" s="38">
        <v>45372</v>
      </c>
      <c r="B299" s="39">
        <v>275.58999999999997</v>
      </c>
      <c r="C299" s="39">
        <v>522.20000000000005</v>
      </c>
      <c r="D299" s="39">
        <v>45.97</v>
      </c>
      <c r="E299" s="41">
        <f t="shared" si="80"/>
        <v>1.4167954662545057E-2</v>
      </c>
      <c r="F299" s="41">
        <f t="shared" si="81"/>
        <v>3.3046418690441115E-3</v>
      </c>
      <c r="G299" s="41">
        <f t="shared" si="82"/>
        <v>4.1502839667977298E-3</v>
      </c>
      <c r="H299" s="41">
        <f t="shared" si="83"/>
        <v>0.53284387340786199</v>
      </c>
      <c r="I299" s="41">
        <f t="shared" si="84"/>
        <v>0.29107226741167325</v>
      </c>
      <c r="J299" s="41">
        <f t="shared" si="85"/>
        <v>0.1046497657094787</v>
      </c>
      <c r="K299" s="42">
        <f t="shared" si="76"/>
        <v>153.28438734078645</v>
      </c>
      <c r="L299" s="42">
        <f t="shared" si="77"/>
        <v>129.10722674116747</v>
      </c>
      <c r="M299" s="42">
        <f t="shared" si="78"/>
        <v>110.46497657094795</v>
      </c>
      <c r="N299" s="41">
        <f t="shared" si="86"/>
        <v>0.18726419279448203</v>
      </c>
      <c r="O299" s="41">
        <f t="shared" si="87"/>
        <v>0.38762884037129086</v>
      </c>
      <c r="P299" s="39">
        <f t="shared" si="88"/>
        <v>223.64241796511678</v>
      </c>
      <c r="Q299" s="42">
        <f t="shared" si="89"/>
        <v>1.532843873407862</v>
      </c>
      <c r="R299" s="42">
        <f t="shared" si="90"/>
        <v>1.532843873407862</v>
      </c>
      <c r="S299" s="41">
        <f t="shared" si="91"/>
        <v>0</v>
      </c>
      <c r="T299" s="41">
        <f t="shared" si="75"/>
        <v>0.21433086535811027</v>
      </c>
      <c r="U299" s="41">
        <f t="shared" si="92"/>
        <v>0</v>
      </c>
      <c r="V299" s="41">
        <f t="shared" si="93"/>
        <v>1.0863312793500945E-2</v>
      </c>
      <c r="W299" s="39">
        <f t="shared" si="79"/>
        <v>275.58999999999997</v>
      </c>
      <c r="X299" s="21"/>
    </row>
    <row r="300" spans="1:24" x14ac:dyDescent="0.2">
      <c r="A300" s="38">
        <v>45373</v>
      </c>
      <c r="B300" s="39">
        <v>274.36</v>
      </c>
      <c r="C300" s="39">
        <v>521.21</v>
      </c>
      <c r="D300" s="39">
        <v>45.685000000000002</v>
      </c>
      <c r="E300" s="41">
        <f t="shared" si="80"/>
        <v>-4.4631517834462509E-3</v>
      </c>
      <c r="F300" s="41">
        <f t="shared" si="81"/>
        <v>-1.8958253542704639E-3</v>
      </c>
      <c r="G300" s="41">
        <f t="shared" si="82"/>
        <v>-6.1996954535565862E-3</v>
      </c>
      <c r="H300" s="41">
        <f t="shared" si="83"/>
        <v>0.52600255854051703</v>
      </c>
      <c r="I300" s="41">
        <f t="shared" si="84"/>
        <v>0.28862461987291876</v>
      </c>
      <c r="J300" s="41">
        <f t="shared" si="85"/>
        <v>9.7801273579237291E-2</v>
      </c>
      <c r="K300" s="42">
        <f t="shared" si="76"/>
        <v>152.60025585405197</v>
      </c>
      <c r="L300" s="42">
        <f t="shared" si="77"/>
        <v>128.86246198729202</v>
      </c>
      <c r="M300" s="42">
        <f t="shared" si="78"/>
        <v>109.78012735792382</v>
      </c>
      <c r="N300" s="41">
        <f t="shared" si="86"/>
        <v>0.18421030842248531</v>
      </c>
      <c r="O300" s="41">
        <f t="shared" si="87"/>
        <v>0.39005355091744942</v>
      </c>
      <c r="P300" s="39">
        <f t="shared" si="88"/>
        <v>224.14707052267781</v>
      </c>
      <c r="Q300" s="42">
        <f t="shared" si="89"/>
        <v>1.526002558540517</v>
      </c>
      <c r="R300" s="42">
        <f t="shared" si="90"/>
        <v>1.532843873407862</v>
      </c>
      <c r="S300" s="41">
        <f t="shared" si="91"/>
        <v>-4.4631517834462509E-3</v>
      </c>
      <c r="T300" s="41">
        <f t="shared" si="75"/>
        <v>0.21494812759876616</v>
      </c>
      <c r="U300" s="41">
        <f t="shared" si="92"/>
        <v>-4.6188016462375137E-3</v>
      </c>
      <c r="V300" s="41">
        <f t="shared" si="93"/>
        <v>-2.5673264291757869E-3</v>
      </c>
      <c r="W300" s="39">
        <f t="shared" si="79"/>
        <v>274.36</v>
      </c>
      <c r="X300" s="21"/>
    </row>
    <row r="301" spans="1:24" x14ac:dyDescent="0.2">
      <c r="A301" s="38">
        <v>45376</v>
      </c>
      <c r="B301" s="39">
        <v>272.62</v>
      </c>
      <c r="C301" s="39">
        <v>519.77</v>
      </c>
      <c r="D301" s="39">
        <v>45.7</v>
      </c>
      <c r="E301" s="41">
        <f t="shared" si="80"/>
        <v>-6.3420323662342071E-3</v>
      </c>
      <c r="F301" s="41">
        <f t="shared" si="81"/>
        <v>-2.7628019416359173E-3</v>
      </c>
      <c r="G301" s="41">
        <f t="shared" si="82"/>
        <v>3.2833533982712382E-4</v>
      </c>
      <c r="H301" s="41">
        <f t="shared" si="83"/>
        <v>0.51632460092329691</v>
      </c>
      <c r="I301" s="41">
        <f t="shared" si="84"/>
        <v>0.285064405271094</v>
      </c>
      <c r="J301" s="41">
        <f t="shared" si="85"/>
        <v>9.8161720533460617E-2</v>
      </c>
      <c r="K301" s="42">
        <f t="shared" si="76"/>
        <v>151.63246009232995</v>
      </c>
      <c r="L301" s="42">
        <f t="shared" si="77"/>
        <v>128.50644052710953</v>
      </c>
      <c r="M301" s="42">
        <f t="shared" si="78"/>
        <v>109.81617205334615</v>
      </c>
      <c r="N301" s="41">
        <f t="shared" si="86"/>
        <v>0.17996000410844526</v>
      </c>
      <c r="O301" s="41">
        <f t="shared" si="87"/>
        <v>0.38078442598299889</v>
      </c>
      <c r="P301" s="39">
        <f t="shared" si="88"/>
        <v>224.62938822891985</v>
      </c>
      <c r="Q301" s="42">
        <f t="shared" si="89"/>
        <v>1.5163246009232969</v>
      </c>
      <c r="R301" s="42">
        <f t="shared" si="90"/>
        <v>1.532843873407862</v>
      </c>
      <c r="S301" s="41">
        <f t="shared" si="91"/>
        <v>-1.0776878696614367E-2</v>
      </c>
      <c r="T301" s="41">
        <f t="shared" si="75"/>
        <v>0.21580471504785359</v>
      </c>
      <c r="U301" s="41">
        <f t="shared" si="92"/>
        <v>-6.4976822290254699E-3</v>
      </c>
      <c r="V301" s="41">
        <f t="shared" si="93"/>
        <v>-3.5792304245982898E-3</v>
      </c>
      <c r="W301" s="39">
        <f t="shared" si="79"/>
        <v>272.62</v>
      </c>
      <c r="X301" s="21"/>
    </row>
    <row r="302" spans="1:24" x14ac:dyDescent="0.2">
      <c r="A302" s="38">
        <v>45377</v>
      </c>
      <c r="B302" s="39">
        <v>273.87</v>
      </c>
      <c r="C302" s="39">
        <v>518.80999999999995</v>
      </c>
      <c r="D302" s="39">
        <v>45.664999999999999</v>
      </c>
      <c r="E302" s="41">
        <f t="shared" si="80"/>
        <v>4.5851368204827825E-3</v>
      </c>
      <c r="F302" s="41">
        <f t="shared" si="81"/>
        <v>-1.846970775535417E-3</v>
      </c>
      <c r="G302" s="41">
        <f t="shared" si="82"/>
        <v>-7.6586433260406039E-4</v>
      </c>
      <c r="H302" s="41">
        <f t="shared" si="83"/>
        <v>0.52327715668279406</v>
      </c>
      <c r="I302" s="41">
        <f t="shared" si="84"/>
        <v>0.28269092886987757</v>
      </c>
      <c r="J302" s="41">
        <f t="shared" si="85"/>
        <v>9.7320677640272857E-2</v>
      </c>
      <c r="K302" s="42">
        <f t="shared" si="76"/>
        <v>152.32771566827967</v>
      </c>
      <c r="L302" s="42">
        <f t="shared" si="77"/>
        <v>128.26909288698789</v>
      </c>
      <c r="M302" s="42">
        <f t="shared" si="78"/>
        <v>109.73206776402739</v>
      </c>
      <c r="N302" s="41">
        <f t="shared" si="86"/>
        <v>0.18756367757655101</v>
      </c>
      <c r="O302" s="41">
        <f t="shared" si="87"/>
        <v>0.38817866802484469</v>
      </c>
      <c r="P302" s="39">
        <f t="shared" si="88"/>
        <v>225.11934456495052</v>
      </c>
      <c r="Q302" s="42">
        <f t="shared" si="89"/>
        <v>1.5232771566827941</v>
      </c>
      <c r="R302" s="42">
        <f t="shared" si="90"/>
        <v>1.532843873407862</v>
      </c>
      <c r="S302" s="41">
        <f t="shared" si="91"/>
        <v>-6.2411553394534636E-3</v>
      </c>
      <c r="T302" s="41">
        <f t="shared" si="75"/>
        <v>0.21557693748771814</v>
      </c>
      <c r="U302" s="41">
        <f t="shared" si="92"/>
        <v>0</v>
      </c>
      <c r="V302" s="41">
        <f t="shared" si="93"/>
        <v>6.4321075960181995E-3</v>
      </c>
      <c r="W302" s="39">
        <f t="shared" si="79"/>
        <v>273.87</v>
      </c>
      <c r="X302" s="21"/>
    </row>
    <row r="303" spans="1:24" x14ac:dyDescent="0.2">
      <c r="A303" s="38">
        <v>45378</v>
      </c>
      <c r="B303" s="39">
        <v>272.79000000000002</v>
      </c>
      <c r="C303" s="39">
        <v>523.16999999999996</v>
      </c>
      <c r="D303" s="39">
        <v>46.32</v>
      </c>
      <c r="E303" s="41">
        <f t="shared" si="80"/>
        <v>-3.9434768320735225E-3</v>
      </c>
      <c r="F303" s="41">
        <f t="shared" si="81"/>
        <v>8.4038472658585217E-3</v>
      </c>
      <c r="G303" s="41">
        <f t="shared" si="82"/>
        <v>1.4343589182086891E-2</v>
      </c>
      <c r="H303" s="41">
        <f t="shared" si="83"/>
        <v>0.5172701485065887</v>
      </c>
      <c r="I303" s="41">
        <f t="shared" si="84"/>
        <v>0.29347046752540229</v>
      </c>
      <c r="J303" s="41">
        <f t="shared" si="85"/>
        <v>0.11306019464135408</v>
      </c>
      <c r="K303" s="42">
        <f t="shared" si="76"/>
        <v>151.72701485065912</v>
      </c>
      <c r="L303" s="42">
        <f t="shared" si="77"/>
        <v>129.34704675254034</v>
      </c>
      <c r="M303" s="42">
        <f t="shared" si="78"/>
        <v>111.30601946413552</v>
      </c>
      <c r="N303" s="41">
        <f t="shared" si="86"/>
        <v>0.17302264458294725</v>
      </c>
      <c r="O303" s="41">
        <f t="shared" si="87"/>
        <v>0.36315192638388938</v>
      </c>
      <c r="P303" s="39">
        <f t="shared" si="88"/>
        <v>225.59367944490126</v>
      </c>
      <c r="Q303" s="42">
        <f t="shared" si="89"/>
        <v>1.5172701485065887</v>
      </c>
      <c r="R303" s="42">
        <f t="shared" si="90"/>
        <v>1.532843873407862</v>
      </c>
      <c r="S303" s="41">
        <f t="shared" si="91"/>
        <v>-1.0160020320040375E-2</v>
      </c>
      <c r="T303" s="41">
        <f t="shared" si="75"/>
        <v>0.21595206909106915</v>
      </c>
      <c r="U303" s="41">
        <f t="shared" si="92"/>
        <v>-4.0991266948647853E-3</v>
      </c>
      <c r="V303" s="41">
        <f t="shared" si="93"/>
        <v>-1.2347324097932044E-2</v>
      </c>
      <c r="W303" s="39">
        <f t="shared" si="79"/>
        <v>272.79000000000002</v>
      </c>
      <c r="X303" s="21"/>
    </row>
    <row r="304" spans="1:24" x14ac:dyDescent="0.2">
      <c r="A304" s="38">
        <v>45379</v>
      </c>
      <c r="B304" s="39">
        <v>272.92</v>
      </c>
      <c r="C304" s="39">
        <v>523.07000000000005</v>
      </c>
      <c r="D304" s="39">
        <v>46.445</v>
      </c>
      <c r="E304" s="41">
        <f t="shared" si="80"/>
        <v>4.765570585432144E-4</v>
      </c>
      <c r="F304" s="41">
        <f t="shared" si="81"/>
        <v>-1.9114245847418054E-4</v>
      </c>
      <c r="G304" s="41">
        <f t="shared" si="82"/>
        <v>2.6986183074266812E-3</v>
      </c>
      <c r="H304" s="41">
        <f t="shared" si="83"/>
        <v>0.51799321430557632</v>
      </c>
      <c r="I304" s="41">
        <f t="shared" si="84"/>
        <v>0.29322323040027576</v>
      </c>
      <c r="J304" s="41">
        <f t="shared" si="85"/>
        <v>0.11606391925988113</v>
      </c>
      <c r="K304" s="42">
        <f t="shared" si="76"/>
        <v>151.79932143055791</v>
      </c>
      <c r="L304" s="42">
        <f t="shared" si="77"/>
        <v>129.3223230400277</v>
      </c>
      <c r="M304" s="42">
        <f t="shared" si="78"/>
        <v>111.60639192598822</v>
      </c>
      <c r="N304" s="41">
        <f t="shared" si="86"/>
        <v>0.17380602097267484</v>
      </c>
      <c r="O304" s="41">
        <f t="shared" si="87"/>
        <v>0.36013107144636924</v>
      </c>
      <c r="P304" s="39">
        <f t="shared" si="88"/>
        <v>226.06458810714105</v>
      </c>
      <c r="Q304" s="42">
        <f t="shared" si="89"/>
        <v>1.5179932143055763</v>
      </c>
      <c r="R304" s="42">
        <f t="shared" si="90"/>
        <v>1.532843873407862</v>
      </c>
      <c r="S304" s="41">
        <f t="shared" si="91"/>
        <v>-9.688305090895688E-3</v>
      </c>
      <c r="T304" s="41">
        <f t="shared" si="75"/>
        <v>0.21269106310254257</v>
      </c>
      <c r="U304" s="41">
        <f t="shared" si="92"/>
        <v>0</v>
      </c>
      <c r="V304" s="41">
        <f t="shared" si="93"/>
        <v>6.6769951701739494E-4</v>
      </c>
      <c r="W304" s="39">
        <f t="shared" si="79"/>
        <v>272.92</v>
      </c>
      <c r="X304" s="21"/>
    </row>
    <row r="305" spans="1:24" x14ac:dyDescent="0.2">
      <c r="A305" s="38">
        <v>45383</v>
      </c>
      <c r="B305" s="39">
        <v>269.69</v>
      </c>
      <c r="C305" s="39">
        <v>522.16</v>
      </c>
      <c r="D305" s="39">
        <v>46.335000000000001</v>
      </c>
      <c r="E305" s="41">
        <f t="shared" si="80"/>
        <v>-1.1834969954565455E-2</v>
      </c>
      <c r="F305" s="41">
        <f t="shared" si="81"/>
        <v>-1.739728908176863E-3</v>
      </c>
      <c r="G305" s="41">
        <f t="shared" si="82"/>
        <v>-2.3683927225750523E-3</v>
      </c>
      <c r="H305" s="41">
        <f t="shared" si="83"/>
        <v>0.50002781022303555</v>
      </c>
      <c r="I305" s="41">
        <f t="shared" si="84"/>
        <v>0.29097337256162259</v>
      </c>
      <c r="J305" s="41">
        <f t="shared" si="85"/>
        <v>0.11342064159557741</v>
      </c>
      <c r="K305" s="42">
        <f t="shared" si="76"/>
        <v>150.00278102230379</v>
      </c>
      <c r="L305" s="42">
        <f t="shared" si="77"/>
        <v>129.09733725616238</v>
      </c>
      <c r="M305" s="42">
        <f t="shared" si="78"/>
        <v>111.34206415955785</v>
      </c>
      <c r="N305" s="41">
        <f t="shared" si="86"/>
        <v>0.16193551478648649</v>
      </c>
      <c r="O305" s="41">
        <f t="shared" si="87"/>
        <v>0.34722471830002566</v>
      </c>
      <c r="P305" s="39">
        <f t="shared" si="88"/>
        <v>226.49867180756752</v>
      </c>
      <c r="Q305" s="42">
        <f t="shared" si="89"/>
        <v>1.5000278102230356</v>
      </c>
      <c r="R305" s="42">
        <f t="shared" si="90"/>
        <v>1.532843873407862</v>
      </c>
      <c r="S305" s="41">
        <f t="shared" si="91"/>
        <v>-2.1408614245799762E-2</v>
      </c>
      <c r="T305" s="41">
        <f t="shared" si="75"/>
        <v>0.20991075466021991</v>
      </c>
      <c r="U305" s="41">
        <f t="shared" si="92"/>
        <v>-1.1990619817356718E-2</v>
      </c>
      <c r="V305" s="41">
        <f t="shared" si="93"/>
        <v>-1.0095241046388592E-2</v>
      </c>
      <c r="W305" s="39">
        <f t="shared" si="79"/>
        <v>269.69</v>
      </c>
      <c r="X305" s="21"/>
    </row>
    <row r="306" spans="1:24" x14ac:dyDescent="0.2">
      <c r="A306" s="38">
        <v>45384</v>
      </c>
      <c r="B306" s="39">
        <v>266.25</v>
      </c>
      <c r="C306" s="39">
        <v>518.84</v>
      </c>
      <c r="D306" s="39">
        <v>46.164999999999999</v>
      </c>
      <c r="E306" s="41">
        <f t="shared" si="80"/>
        <v>-1.2755385813341236E-2</v>
      </c>
      <c r="F306" s="41">
        <f t="shared" si="81"/>
        <v>-6.3582043817985712E-3</v>
      </c>
      <c r="G306" s="41">
        <f t="shared" si="82"/>
        <v>-3.6689327722024823E-3</v>
      </c>
      <c r="H306" s="41">
        <f t="shared" si="83"/>
        <v>0.48089437677289926</v>
      </c>
      <c r="I306" s="41">
        <f t="shared" si="84"/>
        <v>0.28276510000741606</v>
      </c>
      <c r="J306" s="41">
        <f t="shared" si="85"/>
        <v>0.10933557611438061</v>
      </c>
      <c r="K306" s="42">
        <f t="shared" si="76"/>
        <v>148.08943767729016</v>
      </c>
      <c r="L306" s="42">
        <f t="shared" si="77"/>
        <v>128.27651000074172</v>
      </c>
      <c r="M306" s="42">
        <f t="shared" si="78"/>
        <v>110.93355761143818</v>
      </c>
      <c r="N306" s="41">
        <f t="shared" si="86"/>
        <v>0.15445483881993494</v>
      </c>
      <c r="O306" s="41">
        <f t="shared" si="87"/>
        <v>0.33493814555191759</v>
      </c>
      <c r="P306" s="39">
        <f t="shared" si="88"/>
        <v>226.89420741147234</v>
      </c>
      <c r="Q306" s="42">
        <f t="shared" si="89"/>
        <v>1.4808943767728993</v>
      </c>
      <c r="R306" s="42">
        <f t="shared" si="90"/>
        <v>1.532843873407862</v>
      </c>
      <c r="S306" s="41">
        <f t="shared" si="91"/>
        <v>-3.3890924924706911E-2</v>
      </c>
      <c r="T306" s="41">
        <f t="shared" si="75"/>
        <v>0.21246505343803626</v>
      </c>
      <c r="U306" s="41">
        <f t="shared" si="92"/>
        <v>-1.2911035676132498E-2</v>
      </c>
      <c r="V306" s="41">
        <f t="shared" si="93"/>
        <v>-6.3971814315426645E-3</v>
      </c>
      <c r="W306" s="39">
        <f t="shared" si="79"/>
        <v>266.25</v>
      </c>
      <c r="X306" s="21"/>
    </row>
    <row r="307" spans="1:24" x14ac:dyDescent="0.2">
      <c r="A307" s="38">
        <v>45385</v>
      </c>
      <c r="B307" s="39">
        <v>268.77</v>
      </c>
      <c r="C307" s="39">
        <v>519.41</v>
      </c>
      <c r="D307" s="39">
        <v>46.44</v>
      </c>
      <c r="E307" s="41">
        <f t="shared" si="80"/>
        <v>9.4647887323942026E-3</v>
      </c>
      <c r="F307" s="41">
        <f t="shared" si="81"/>
        <v>1.0986045794463273E-3</v>
      </c>
      <c r="G307" s="41">
        <f t="shared" si="82"/>
        <v>5.9568937506768727E-3</v>
      </c>
      <c r="H307" s="41">
        <f t="shared" si="83"/>
        <v>0.49491072918404533</v>
      </c>
      <c r="I307" s="41">
        <f t="shared" si="84"/>
        <v>0.28417435162063809</v>
      </c>
      <c r="J307" s="41">
        <f t="shared" si="85"/>
        <v>0.1159437702751398</v>
      </c>
      <c r="K307" s="42">
        <f t="shared" si="76"/>
        <v>149.4910729184048</v>
      </c>
      <c r="L307" s="42">
        <f t="shared" si="77"/>
        <v>128.41743516206392</v>
      </c>
      <c r="M307" s="42">
        <f t="shared" si="78"/>
        <v>111.59437702751411</v>
      </c>
      <c r="N307" s="41">
        <f t="shared" si="86"/>
        <v>0.16410262149953092</v>
      </c>
      <c r="O307" s="41">
        <f t="shared" si="87"/>
        <v>0.3395932384796323</v>
      </c>
      <c r="P307" s="39">
        <f t="shared" si="88"/>
        <v>227.31088196459203</v>
      </c>
      <c r="Q307" s="42">
        <f t="shared" si="89"/>
        <v>1.4949107291840453</v>
      </c>
      <c r="R307" s="42">
        <f t="shared" si="90"/>
        <v>1.532843873407862</v>
      </c>
      <c r="S307" s="41">
        <f t="shared" si="91"/>
        <v>-2.4746906636670452E-2</v>
      </c>
      <c r="T307" s="41">
        <f t="shared" si="75"/>
        <v>0.21284120359379236</v>
      </c>
      <c r="U307" s="41">
        <f t="shared" si="92"/>
        <v>0</v>
      </c>
      <c r="V307" s="41">
        <f t="shared" si="93"/>
        <v>8.3661841529478753E-3</v>
      </c>
      <c r="W307" s="39">
        <f t="shared" si="79"/>
        <v>268.77</v>
      </c>
      <c r="X307" s="21"/>
    </row>
    <row r="308" spans="1:24" x14ac:dyDescent="0.2">
      <c r="A308" s="38">
        <v>45386</v>
      </c>
      <c r="B308" s="39">
        <v>265.89</v>
      </c>
      <c r="C308" s="39">
        <v>513.07000000000005</v>
      </c>
      <c r="D308" s="39">
        <v>45.97</v>
      </c>
      <c r="E308" s="41">
        <f t="shared" si="80"/>
        <v>-1.0715481638575719E-2</v>
      </c>
      <c r="F308" s="41">
        <f t="shared" si="81"/>
        <v>-1.2206156985810623E-2</v>
      </c>
      <c r="G308" s="41">
        <f t="shared" si="82"/>
        <v>-1.0120585701981044E-2</v>
      </c>
      <c r="H308" s="41">
        <f t="shared" si="83"/>
        <v>0.47889204071416391</v>
      </c>
      <c r="I308" s="41">
        <f t="shared" si="84"/>
        <v>0.26849951788760507</v>
      </c>
      <c r="J308" s="41">
        <f t="shared" si="85"/>
        <v>0.10464976570947848</v>
      </c>
      <c r="K308" s="42">
        <f t="shared" si="76"/>
        <v>147.88920407141666</v>
      </c>
      <c r="L308" s="42">
        <f t="shared" si="77"/>
        <v>126.84995178876059</v>
      </c>
      <c r="M308" s="42">
        <f t="shared" si="78"/>
        <v>110.46497657094795</v>
      </c>
      <c r="N308" s="41">
        <f t="shared" si="86"/>
        <v>0.16585936364951825</v>
      </c>
      <c r="O308" s="41">
        <f t="shared" si="87"/>
        <v>0.33878817216271484</v>
      </c>
      <c r="P308" s="39">
        <f t="shared" si="88"/>
        <v>227.69475378583988</v>
      </c>
      <c r="Q308" s="42">
        <f t="shared" si="89"/>
        <v>1.4788920407141639</v>
      </c>
      <c r="R308" s="42">
        <f t="shared" si="90"/>
        <v>1.532843873407862</v>
      </c>
      <c r="S308" s="41">
        <f t="shared" si="91"/>
        <v>-3.5197213251569326E-2</v>
      </c>
      <c r="T308" s="41">
        <f t="shared" si="75"/>
        <v>0.21417902870299846</v>
      </c>
      <c r="U308" s="41">
        <f t="shared" si="92"/>
        <v>-1.0871131501366982E-2</v>
      </c>
      <c r="V308" s="41">
        <f t="shared" si="93"/>
        <v>1.4906753472349044E-3</v>
      </c>
      <c r="W308" s="39">
        <f t="shared" si="79"/>
        <v>265.89</v>
      </c>
      <c r="X308" s="21"/>
    </row>
    <row r="309" spans="1:24" x14ac:dyDescent="0.2">
      <c r="A309" s="38">
        <v>45387</v>
      </c>
      <c r="B309" s="39">
        <v>270.14999999999998</v>
      </c>
      <c r="C309" s="39">
        <v>518.42999999999995</v>
      </c>
      <c r="D309" s="39">
        <v>46.384999999999998</v>
      </c>
      <c r="E309" s="41">
        <f t="shared" si="80"/>
        <v>1.602166309376063E-2</v>
      </c>
      <c r="F309" s="41">
        <f t="shared" si="81"/>
        <v>1.0446917574599812E-2</v>
      </c>
      <c r="G309" s="41">
        <f t="shared" si="82"/>
        <v>9.0276267130737775E-3</v>
      </c>
      <c r="H309" s="41">
        <f t="shared" si="83"/>
        <v>0.50258635074253033</v>
      </c>
      <c r="I309" s="41">
        <f t="shared" si="84"/>
        <v>0.28175142779439644</v>
      </c>
      <c r="J309" s="41">
        <f t="shared" si="85"/>
        <v>0.11462213144298805</v>
      </c>
      <c r="K309" s="42">
        <f t="shared" si="76"/>
        <v>150.25863507425331</v>
      </c>
      <c r="L309" s="42">
        <f t="shared" si="77"/>
        <v>128.17514277943974</v>
      </c>
      <c r="M309" s="42">
        <f t="shared" si="78"/>
        <v>111.46221314429891</v>
      </c>
      <c r="N309" s="41">
        <f t="shared" si="86"/>
        <v>0.17229153653305529</v>
      </c>
      <c r="O309" s="41">
        <f t="shared" si="87"/>
        <v>0.34806793114477674</v>
      </c>
      <c r="P309" s="39">
        <f t="shared" si="88"/>
        <v>228.1171940466773</v>
      </c>
      <c r="Q309" s="42">
        <f t="shared" si="89"/>
        <v>1.5025863507425303</v>
      </c>
      <c r="R309" s="42">
        <f t="shared" si="90"/>
        <v>1.532843873407862</v>
      </c>
      <c r="S309" s="41">
        <f t="shared" si="91"/>
        <v>-1.9739468050364639E-2</v>
      </c>
      <c r="T309" s="41">
        <f t="shared" si="75"/>
        <v>0.21551505039624111</v>
      </c>
      <c r="U309" s="41">
        <f t="shared" si="92"/>
        <v>0</v>
      </c>
      <c r="V309" s="41">
        <f t="shared" si="93"/>
        <v>5.5747455191608175E-3</v>
      </c>
      <c r="W309" s="39">
        <f t="shared" si="79"/>
        <v>270.14999999999998</v>
      </c>
      <c r="X309" s="21"/>
    </row>
    <row r="310" spans="1:24" x14ac:dyDescent="0.2">
      <c r="A310" s="38">
        <v>45390</v>
      </c>
      <c r="B310" s="39">
        <v>269.72000000000003</v>
      </c>
      <c r="C310" s="39">
        <v>518.72</v>
      </c>
      <c r="D310" s="39">
        <v>46.42</v>
      </c>
      <c r="E310" s="41">
        <f t="shared" si="80"/>
        <v>-1.5917083101978369E-3</v>
      </c>
      <c r="F310" s="41">
        <f t="shared" si="81"/>
        <v>5.5938120864928997E-4</v>
      </c>
      <c r="G310" s="41">
        <f t="shared" si="82"/>
        <v>7.5455427401105446E-4</v>
      </c>
      <c r="H310" s="41">
        <f t="shared" si="83"/>
        <v>0.50019467156126352</v>
      </c>
      <c r="I310" s="41">
        <f t="shared" si="84"/>
        <v>0.28246841545726409</v>
      </c>
      <c r="J310" s="41">
        <f t="shared" si="85"/>
        <v>0.11546317433617559</v>
      </c>
      <c r="K310" s="42">
        <f t="shared" si="76"/>
        <v>150.01946715612661</v>
      </c>
      <c r="L310" s="42">
        <f t="shared" si="77"/>
        <v>128.24684154572651</v>
      </c>
      <c r="M310" s="42">
        <f t="shared" si="78"/>
        <v>111.54631743361769</v>
      </c>
      <c r="N310" s="41">
        <f t="shared" si="86"/>
        <v>0.16977124230101936</v>
      </c>
      <c r="O310" s="41">
        <f t="shared" si="87"/>
        <v>0.34490739459332298</v>
      </c>
      <c r="P310" s="39">
        <f t="shared" si="88"/>
        <v>228.53115231486959</v>
      </c>
      <c r="Q310" s="42">
        <f t="shared" si="89"/>
        <v>1.5001946715612635</v>
      </c>
      <c r="R310" s="42">
        <f t="shared" si="90"/>
        <v>1.532843873407862</v>
      </c>
      <c r="S310" s="41">
        <f t="shared" si="91"/>
        <v>-2.1299756885227894E-2</v>
      </c>
      <c r="T310" s="41">
        <f t="shared" si="75"/>
        <v>0.21495305506579421</v>
      </c>
      <c r="U310" s="41">
        <f t="shared" si="92"/>
        <v>-1.7473581729890997E-3</v>
      </c>
      <c r="V310" s="41">
        <f t="shared" si="93"/>
        <v>-2.1510895188471268E-3</v>
      </c>
      <c r="W310" s="39">
        <f t="shared" si="79"/>
        <v>269.72000000000003</v>
      </c>
      <c r="X310" s="21"/>
    </row>
    <row r="311" spans="1:24" x14ac:dyDescent="0.2">
      <c r="A311" s="38">
        <v>45391</v>
      </c>
      <c r="B311" s="39">
        <v>265.62</v>
      </c>
      <c r="C311" s="39">
        <v>519.32000000000005</v>
      </c>
      <c r="D311" s="39">
        <v>46.53</v>
      </c>
      <c r="E311" s="41">
        <f t="shared" si="80"/>
        <v>-1.520094913243375E-2</v>
      </c>
      <c r="F311" s="41">
        <f t="shared" si="81"/>
        <v>1.1566933991364881E-3</v>
      </c>
      <c r="G311" s="41">
        <f t="shared" si="82"/>
        <v>2.3696682464455776E-3</v>
      </c>
      <c r="H311" s="41">
        <f t="shared" si="83"/>
        <v>0.47739028867011268</v>
      </c>
      <c r="I311" s="41">
        <f t="shared" si="84"/>
        <v>0.28395183820802461</v>
      </c>
      <c r="J311" s="41">
        <f t="shared" si="85"/>
        <v>0.11810645200047931</v>
      </c>
      <c r="K311" s="42">
        <f t="shared" si="76"/>
        <v>147.73902886701151</v>
      </c>
      <c r="L311" s="42">
        <f t="shared" si="77"/>
        <v>128.39518382080252</v>
      </c>
      <c r="M311" s="42">
        <f t="shared" si="78"/>
        <v>111.81064520004807</v>
      </c>
      <c r="N311" s="41">
        <f t="shared" si="86"/>
        <v>0.15065864988523603</v>
      </c>
      <c r="O311" s="41">
        <f t="shared" si="87"/>
        <v>0.32133240625417603</v>
      </c>
      <c r="P311" s="39">
        <f t="shared" si="88"/>
        <v>228.90019557541817</v>
      </c>
      <c r="Q311" s="42">
        <f t="shared" si="89"/>
        <v>1.4773902886701127</v>
      </c>
      <c r="R311" s="42">
        <f t="shared" si="90"/>
        <v>1.532843873407862</v>
      </c>
      <c r="S311" s="41">
        <f t="shared" si="91"/>
        <v>-3.6176929496716026E-2</v>
      </c>
      <c r="T311" s="41">
        <f t="shared" si="75"/>
        <v>0.21708354073756028</v>
      </c>
      <c r="U311" s="41">
        <f t="shared" si="92"/>
        <v>-1.5356598995225013E-2</v>
      </c>
      <c r="V311" s="41">
        <f t="shared" si="93"/>
        <v>-1.6357642531570238E-2</v>
      </c>
      <c r="W311" s="39">
        <f t="shared" si="79"/>
        <v>265.62</v>
      </c>
      <c r="X311" s="21"/>
    </row>
    <row r="312" spans="1:24" x14ac:dyDescent="0.2">
      <c r="A312" s="38">
        <v>45392</v>
      </c>
      <c r="B312" s="39">
        <v>264.56</v>
      </c>
      <c r="C312" s="39">
        <v>514.12</v>
      </c>
      <c r="D312" s="39">
        <v>45.805</v>
      </c>
      <c r="E312" s="41">
        <f t="shared" si="80"/>
        <v>-3.9906633536631597E-3</v>
      </c>
      <c r="F312" s="41">
        <f t="shared" si="81"/>
        <v>-1.0013094046060322E-2</v>
      </c>
      <c r="G312" s="41">
        <f t="shared" si="82"/>
        <v>-1.5581345368579469E-2</v>
      </c>
      <c r="H312" s="41">
        <f t="shared" si="83"/>
        <v>0.47149452138605907</v>
      </c>
      <c r="I312" s="41">
        <f t="shared" si="84"/>
        <v>0.27109550770143565</v>
      </c>
      <c r="J312" s="41">
        <f t="shared" si="85"/>
        <v>0.10068484921302279</v>
      </c>
      <c r="K312" s="42">
        <f t="shared" si="76"/>
        <v>147.14945213860616</v>
      </c>
      <c r="L312" s="42">
        <f t="shared" si="77"/>
        <v>127.10955077014363</v>
      </c>
      <c r="M312" s="42">
        <f t="shared" si="78"/>
        <v>110.06848492130241</v>
      </c>
      <c r="N312" s="41">
        <f t="shared" si="86"/>
        <v>0.15765850203263776</v>
      </c>
      <c r="O312" s="41">
        <f t="shared" si="87"/>
        <v>0.33688995759154938</v>
      </c>
      <c r="P312" s="39">
        <f t="shared" si="88"/>
        <v>229.25501950004087</v>
      </c>
      <c r="Q312" s="42">
        <f t="shared" si="89"/>
        <v>1.4714945213860591</v>
      </c>
      <c r="R312" s="42">
        <f t="shared" si="90"/>
        <v>1.532843873407862</v>
      </c>
      <c r="S312" s="41">
        <f t="shared" si="91"/>
        <v>-4.0023222903588507E-2</v>
      </c>
      <c r="T312" s="41">
        <f t="shared" si="75"/>
        <v>0.21733434976033997</v>
      </c>
      <c r="U312" s="41">
        <f t="shared" si="92"/>
        <v>-4.1463132164544225E-3</v>
      </c>
      <c r="V312" s="41">
        <f t="shared" si="93"/>
        <v>6.0224306923971627E-3</v>
      </c>
      <c r="W312" s="39">
        <f t="shared" si="79"/>
        <v>264.56</v>
      </c>
      <c r="X312" s="21"/>
    </row>
    <row r="313" spans="1:24" x14ac:dyDescent="0.2">
      <c r="A313" s="38">
        <v>45393</v>
      </c>
      <c r="B313" s="39">
        <v>265.5</v>
      </c>
      <c r="C313" s="39">
        <v>518</v>
      </c>
      <c r="D313" s="39">
        <v>45.77</v>
      </c>
      <c r="E313" s="41">
        <f t="shared" si="80"/>
        <v>3.5530692470517877E-3</v>
      </c>
      <c r="F313" s="41">
        <f t="shared" si="81"/>
        <v>7.5468762156694069E-3</v>
      </c>
      <c r="G313" s="41">
        <f t="shared" si="82"/>
        <v>-7.6410872175514122E-4</v>
      </c>
      <c r="H313" s="41">
        <f t="shared" si="83"/>
        <v>0.47672284331720105</v>
      </c>
      <c r="I313" s="41">
        <f t="shared" si="84"/>
        <v>0.28068830815635182</v>
      </c>
      <c r="J313" s="41">
        <f t="shared" si="85"/>
        <v>9.9843806319835471E-2</v>
      </c>
      <c r="K313" s="42">
        <f t="shared" si="76"/>
        <v>147.67228433172036</v>
      </c>
      <c r="L313" s="42">
        <f t="shared" si="77"/>
        <v>128.06883081563527</v>
      </c>
      <c r="M313" s="42">
        <f t="shared" si="78"/>
        <v>109.98438063198365</v>
      </c>
      <c r="N313" s="41">
        <f t="shared" si="86"/>
        <v>0.15306966879634887</v>
      </c>
      <c r="O313" s="41">
        <f t="shared" si="87"/>
        <v>0.34266596295926122</v>
      </c>
      <c r="P313" s="39">
        <f t="shared" si="88"/>
        <v>229.61566607217978</v>
      </c>
      <c r="Q313" s="42">
        <f t="shared" si="89"/>
        <v>1.4767228433172011</v>
      </c>
      <c r="R313" s="42">
        <f t="shared" si="90"/>
        <v>1.532843873407862</v>
      </c>
      <c r="S313" s="41">
        <f t="shared" si="91"/>
        <v>-3.6612358939003387E-2</v>
      </c>
      <c r="T313" s="41">
        <f t="shared" si="75"/>
        <v>0.21634995788988082</v>
      </c>
      <c r="U313" s="41">
        <f t="shared" si="92"/>
        <v>0</v>
      </c>
      <c r="V313" s="41">
        <f t="shared" si="93"/>
        <v>-3.9938069686176192E-3</v>
      </c>
      <c r="W313" s="39">
        <f t="shared" si="79"/>
        <v>265.5</v>
      </c>
      <c r="X313" s="21"/>
    </row>
    <row r="314" spans="1:24" x14ac:dyDescent="0.2">
      <c r="A314" s="38">
        <v>45394</v>
      </c>
      <c r="B314" s="39">
        <v>262.77999999999997</v>
      </c>
      <c r="C314" s="39">
        <v>510.85</v>
      </c>
      <c r="D314" s="39">
        <v>44.96</v>
      </c>
      <c r="E314" s="41">
        <f t="shared" si="80"/>
        <v>-1.0244821092278866E-2</v>
      </c>
      <c r="F314" s="41">
        <f t="shared" si="81"/>
        <v>-1.3803088803088781E-2</v>
      </c>
      <c r="G314" s="41">
        <f t="shared" si="82"/>
        <v>-1.7697181559973796E-2</v>
      </c>
      <c r="H314" s="41">
        <f t="shared" si="83"/>
        <v>0.461594081984535</v>
      </c>
      <c r="I314" s="41">
        <f t="shared" si="84"/>
        <v>0.26301085370979216</v>
      </c>
      <c r="J314" s="41">
        <f t="shared" si="85"/>
        <v>8.0379670791780766E-2</v>
      </c>
      <c r="K314" s="42">
        <f t="shared" si="76"/>
        <v>146.15940819845375</v>
      </c>
      <c r="L314" s="42">
        <f t="shared" si="77"/>
        <v>126.30108537097931</v>
      </c>
      <c r="M314" s="42">
        <f t="shared" si="78"/>
        <v>108.03796707917819</v>
      </c>
      <c r="N314" s="41">
        <f t="shared" si="86"/>
        <v>0.15723002513513817</v>
      </c>
      <c r="O314" s="41">
        <f t="shared" si="87"/>
        <v>0.35285226249525103</v>
      </c>
      <c r="P314" s="39">
        <f t="shared" si="88"/>
        <v>229.94565944459592</v>
      </c>
      <c r="Q314" s="42">
        <f t="shared" si="89"/>
        <v>1.461594081984535</v>
      </c>
      <c r="R314" s="42">
        <f t="shared" si="90"/>
        <v>1.532843873407862</v>
      </c>
      <c r="S314" s="41">
        <f t="shared" si="91"/>
        <v>-4.6482092964185817E-2</v>
      </c>
      <c r="T314" s="41">
        <f t="shared" si="75"/>
        <v>0.21744186610850855</v>
      </c>
      <c r="U314" s="41">
        <f t="shared" si="92"/>
        <v>-1.0400470955070129E-2</v>
      </c>
      <c r="V314" s="41">
        <f t="shared" si="93"/>
        <v>3.5582677108099148E-3</v>
      </c>
      <c r="W314" s="39">
        <f t="shared" si="79"/>
        <v>262.77999999999997</v>
      </c>
      <c r="X314" s="21"/>
    </row>
    <row r="315" spans="1:24" x14ac:dyDescent="0.2">
      <c r="A315" s="38">
        <v>45397</v>
      </c>
      <c r="B315" s="39">
        <v>260.47000000000003</v>
      </c>
      <c r="C315" s="39">
        <v>504.45</v>
      </c>
      <c r="D315" s="39">
        <v>44.744999999999997</v>
      </c>
      <c r="E315" s="41">
        <f t="shared" si="80"/>
        <v>-8.790623335109049E-3</v>
      </c>
      <c r="F315" s="41">
        <f t="shared" si="81"/>
        <v>-1.252813937555064E-2</v>
      </c>
      <c r="G315" s="41">
        <f t="shared" si="82"/>
        <v>-4.7820284697509541E-3</v>
      </c>
      <c r="H315" s="41">
        <f t="shared" si="83"/>
        <v>0.44874575894098445</v>
      </c>
      <c r="I315" s="41">
        <f t="shared" si="84"/>
        <v>0.2471876777016826</v>
      </c>
      <c r="J315" s="41">
        <f t="shared" si="85"/>
        <v>7.5213264447914208E-2</v>
      </c>
      <c r="K315" s="42">
        <f t="shared" si="76"/>
        <v>144.87457589409868</v>
      </c>
      <c r="L315" s="42">
        <f t="shared" si="77"/>
        <v>124.71876777016834</v>
      </c>
      <c r="M315" s="42">
        <f t="shared" si="78"/>
        <v>107.52132644479153</v>
      </c>
      <c r="N315" s="41">
        <f t="shared" si="86"/>
        <v>0.16161006466222716</v>
      </c>
      <c r="O315" s="41">
        <f t="shared" si="87"/>
        <v>0.34740316813787309</v>
      </c>
      <c r="P315" s="39">
        <f t="shared" si="88"/>
        <v>230.24938422624172</v>
      </c>
      <c r="Q315" s="42">
        <f t="shared" si="89"/>
        <v>1.4487457589409845</v>
      </c>
      <c r="R315" s="42">
        <f t="shared" si="90"/>
        <v>1.532843873407862</v>
      </c>
      <c r="S315" s="41">
        <f t="shared" si="91"/>
        <v>-5.4864109728219201E-2</v>
      </c>
      <c r="T315" s="41">
        <f t="shared" si="75"/>
        <v>0.21662392605863748</v>
      </c>
      <c r="U315" s="41">
        <f t="shared" si="92"/>
        <v>-8.9462731979003118E-3</v>
      </c>
      <c r="V315" s="41">
        <f t="shared" si="93"/>
        <v>3.7375160404415908E-3</v>
      </c>
      <c r="W315" s="39">
        <f t="shared" si="79"/>
        <v>260.47000000000003</v>
      </c>
      <c r="X315" s="21"/>
    </row>
    <row r="316" spans="1:24" x14ac:dyDescent="0.2">
      <c r="A316" s="38">
        <v>45398</v>
      </c>
      <c r="B316" s="39">
        <v>258.54000000000002</v>
      </c>
      <c r="C316" s="39">
        <v>503.53</v>
      </c>
      <c r="D316" s="39">
        <v>44.4</v>
      </c>
      <c r="E316" s="41">
        <f t="shared" si="80"/>
        <v>-7.4096824970246722E-3</v>
      </c>
      <c r="F316" s="41">
        <f t="shared" si="81"/>
        <v>-1.8237684606997595E-3</v>
      </c>
      <c r="G316" s="41">
        <f t="shared" si="82"/>
        <v>-7.7103586992960382E-3</v>
      </c>
      <c r="H316" s="41">
        <f t="shared" si="83"/>
        <v>0.43801101284832078</v>
      </c>
      <c r="I316" s="41">
        <f t="shared" si="84"/>
        <v>0.24491309615051682</v>
      </c>
      <c r="J316" s="41">
        <f t="shared" si="85"/>
        <v>6.6922984500779714E-2</v>
      </c>
      <c r="K316" s="42">
        <f t="shared" si="76"/>
        <v>143.80110128483233</v>
      </c>
      <c r="L316" s="42">
        <f t="shared" si="77"/>
        <v>124.49130961505178</v>
      </c>
      <c r="M316" s="42">
        <f t="shared" si="78"/>
        <v>106.69229845007808</v>
      </c>
      <c r="N316" s="41">
        <f t="shared" si="86"/>
        <v>0.15510955527329218</v>
      </c>
      <c r="O316" s="41">
        <f t="shared" si="87"/>
        <v>0.34781144819105725</v>
      </c>
      <c r="P316" s="39">
        <f t="shared" si="88"/>
        <v>230.53088289065724</v>
      </c>
      <c r="Q316" s="42">
        <f t="shared" si="89"/>
        <v>1.4380110128483208</v>
      </c>
      <c r="R316" s="42">
        <f t="shared" si="90"/>
        <v>1.532843873407862</v>
      </c>
      <c r="S316" s="41">
        <f t="shared" si="91"/>
        <v>-6.1867266591675851E-2</v>
      </c>
      <c r="T316" s="41">
        <f t="shared" si="75"/>
        <v>0.21754269760033326</v>
      </c>
      <c r="U316" s="41">
        <f t="shared" si="92"/>
        <v>-7.565332359815935E-3</v>
      </c>
      <c r="V316" s="41">
        <f t="shared" si="93"/>
        <v>-5.5859140363249127E-3</v>
      </c>
      <c r="W316" s="39">
        <f t="shared" si="79"/>
        <v>258.54000000000002</v>
      </c>
      <c r="X316" s="21"/>
    </row>
    <row r="317" spans="1:24" x14ac:dyDescent="0.2">
      <c r="A317" s="38">
        <v>45399</v>
      </c>
      <c r="B317" s="39">
        <v>258.26</v>
      </c>
      <c r="C317" s="39">
        <v>500.55</v>
      </c>
      <c r="D317" s="39">
        <v>44.5</v>
      </c>
      <c r="E317" s="41">
        <f t="shared" si="80"/>
        <v>-1.0830045640908281E-3</v>
      </c>
      <c r="F317" s="41">
        <f t="shared" si="81"/>
        <v>-5.918217385259994E-3</v>
      </c>
      <c r="G317" s="41">
        <f t="shared" si="82"/>
        <v>2.2522522522523403E-3</v>
      </c>
      <c r="H317" s="41">
        <f t="shared" si="83"/>
        <v>0.43645364035819312</v>
      </c>
      <c r="I317" s="41">
        <f t="shared" si="84"/>
        <v>0.23754542982174098</v>
      </c>
      <c r="J317" s="41">
        <f t="shared" si="85"/>
        <v>6.9325964195601442E-2</v>
      </c>
      <c r="K317" s="42">
        <f t="shared" si="76"/>
        <v>143.64536403581957</v>
      </c>
      <c r="L317" s="42">
        <f t="shared" si="77"/>
        <v>123.75454298217419</v>
      </c>
      <c r="M317" s="42">
        <f t="shared" si="78"/>
        <v>106.93259641956026</v>
      </c>
      <c r="N317" s="41">
        <f t="shared" si="86"/>
        <v>0.16072800702363166</v>
      </c>
      <c r="O317" s="41">
        <f t="shared" si="87"/>
        <v>0.34332625266306227</v>
      </c>
      <c r="P317" s="39">
        <f t="shared" si="88"/>
        <v>230.80679450368555</v>
      </c>
      <c r="Q317" s="42">
        <f t="shared" si="89"/>
        <v>1.4364536403581931</v>
      </c>
      <c r="R317" s="42">
        <f t="shared" si="90"/>
        <v>1.532843873407862</v>
      </c>
      <c r="S317" s="41">
        <f t="shared" si="91"/>
        <v>-6.28832686236801E-2</v>
      </c>
      <c r="T317" s="41">
        <f t="shared" si="75"/>
        <v>0.21756332697445441</v>
      </c>
      <c r="U317" s="41">
        <f t="shared" si="92"/>
        <v>-1.2386544268820909E-3</v>
      </c>
      <c r="V317" s="41">
        <f t="shared" si="93"/>
        <v>4.8352128211691658E-3</v>
      </c>
      <c r="W317" s="39">
        <f t="shared" si="79"/>
        <v>258.26</v>
      </c>
      <c r="X317" s="21"/>
    </row>
    <row r="318" spans="1:24" x14ac:dyDescent="0.2">
      <c r="A318" s="38">
        <v>45400</v>
      </c>
      <c r="B318" s="39">
        <v>255.07</v>
      </c>
      <c r="C318" s="39">
        <v>499.52</v>
      </c>
      <c r="D318" s="39">
        <v>44.515000000000001</v>
      </c>
      <c r="E318" s="41">
        <f t="shared" si="80"/>
        <v>-1.2351893440718631E-2</v>
      </c>
      <c r="F318" s="41">
        <f t="shared" si="81"/>
        <v>-2.0577364898611838E-3</v>
      </c>
      <c r="G318" s="41">
        <f t="shared" si="82"/>
        <v>3.3707865168541851E-4</v>
      </c>
      <c r="H318" s="41">
        <f t="shared" si="83"/>
        <v>0.4187107180599563</v>
      </c>
      <c r="I318" s="41">
        <f t="shared" si="84"/>
        <v>0.23499888743293584</v>
      </c>
      <c r="J318" s="41">
        <f t="shared" si="85"/>
        <v>6.9686411149824767E-2</v>
      </c>
      <c r="K318" s="42">
        <f t="shared" si="76"/>
        <v>141.87107180599588</v>
      </c>
      <c r="L318" s="42">
        <f t="shared" si="77"/>
        <v>123.49988874329367</v>
      </c>
      <c r="M318" s="42">
        <f t="shared" si="78"/>
        <v>106.96864111498256</v>
      </c>
      <c r="N318" s="41">
        <f t="shared" si="86"/>
        <v>0.14875465273404664</v>
      </c>
      <c r="O318" s="41">
        <f t="shared" si="87"/>
        <v>0.32628656704627956</v>
      </c>
      <c r="P318" s="39">
        <f t="shared" si="88"/>
        <v>231.04821943399713</v>
      </c>
      <c r="Q318" s="42">
        <f t="shared" si="89"/>
        <v>1.4187107180599563</v>
      </c>
      <c r="R318" s="42">
        <f t="shared" si="90"/>
        <v>1.532843873407862</v>
      </c>
      <c r="S318" s="41">
        <f t="shared" si="91"/>
        <v>-7.4458434631154979E-2</v>
      </c>
      <c r="T318" s="41">
        <f t="shared" si="75"/>
        <v>0.21490064674279308</v>
      </c>
      <c r="U318" s="41">
        <f t="shared" si="92"/>
        <v>-1.2507543303509894E-2</v>
      </c>
      <c r="V318" s="41">
        <f t="shared" si="93"/>
        <v>-1.0294156950857447E-2</v>
      </c>
      <c r="W318" s="39">
        <f t="shared" si="79"/>
        <v>255.07</v>
      </c>
      <c r="X318" s="21"/>
    </row>
    <row r="319" spans="1:24" x14ac:dyDescent="0.2">
      <c r="A319" s="38">
        <v>45401</v>
      </c>
      <c r="B319" s="39">
        <v>252.06</v>
      </c>
      <c r="C319" s="39">
        <v>495.16</v>
      </c>
      <c r="D319" s="39">
        <v>44.48</v>
      </c>
      <c r="E319" s="41">
        <f t="shared" si="80"/>
        <v>-1.1800682165679977E-2</v>
      </c>
      <c r="F319" s="41">
        <f t="shared" si="81"/>
        <v>-8.7283792440742136E-3</v>
      </c>
      <c r="G319" s="41">
        <f t="shared" si="82"/>
        <v>-7.8625182522751302E-4</v>
      </c>
      <c r="H319" s="41">
        <f t="shared" si="83"/>
        <v>0.40196896379108704</v>
      </c>
      <c r="I319" s="41">
        <f t="shared" si="84"/>
        <v>0.22421934877741156</v>
      </c>
      <c r="J319" s="41">
        <f t="shared" si="85"/>
        <v>6.8845368256637229E-2</v>
      </c>
      <c r="K319" s="42">
        <f t="shared" si="76"/>
        <v>140.19689637910898</v>
      </c>
      <c r="L319" s="42">
        <f t="shared" si="77"/>
        <v>122.42193487774125</v>
      </c>
      <c r="M319" s="42">
        <f t="shared" si="78"/>
        <v>106.88453682566382</v>
      </c>
      <c r="N319" s="41">
        <f t="shared" si="86"/>
        <v>0.1451942539473734</v>
      </c>
      <c r="O319" s="41">
        <f t="shared" si="87"/>
        <v>0.31166678120877123</v>
      </c>
      <c r="P319" s="39">
        <f t="shared" si="88"/>
        <v>231.25729187743994</v>
      </c>
      <c r="Q319" s="42">
        <f t="shared" si="89"/>
        <v>1.401968963791087</v>
      </c>
      <c r="R319" s="42">
        <f t="shared" si="90"/>
        <v>1.532843873407862</v>
      </c>
      <c r="S319" s="41">
        <f t="shared" si="91"/>
        <v>-8.5380456475198652E-2</v>
      </c>
      <c r="T319" s="41">
        <f t="shared" si="75"/>
        <v>0.21440413015925405</v>
      </c>
      <c r="U319" s="41">
        <f t="shared" si="92"/>
        <v>-1.1956332028471239E-2</v>
      </c>
      <c r="V319" s="41">
        <f t="shared" si="93"/>
        <v>-3.0723029216057629E-3</v>
      </c>
      <c r="W319" s="39">
        <f t="shared" si="79"/>
        <v>252.06</v>
      </c>
      <c r="X319" s="21"/>
    </row>
    <row r="320" spans="1:24" x14ac:dyDescent="0.2">
      <c r="A320" s="38">
        <v>45404</v>
      </c>
      <c r="B320" s="39">
        <v>254.48</v>
      </c>
      <c r="C320" s="39">
        <v>499.72</v>
      </c>
      <c r="D320" s="39">
        <v>44.524999999999999</v>
      </c>
      <c r="E320" s="41">
        <f t="shared" si="80"/>
        <v>9.6008886772989133E-3</v>
      </c>
      <c r="F320" s="41">
        <f t="shared" si="81"/>
        <v>9.2091445189432797E-3</v>
      </c>
      <c r="G320" s="41">
        <f t="shared" si="82"/>
        <v>1.0116906474819665E-3</v>
      </c>
      <c r="H320" s="41">
        <f t="shared" si="83"/>
        <v>0.41542911174147346</v>
      </c>
      <c r="I320" s="41">
        <f t="shared" si="84"/>
        <v>0.23549336168318935</v>
      </c>
      <c r="J320" s="41">
        <f t="shared" si="85"/>
        <v>6.9926709119306985E-2</v>
      </c>
      <c r="K320" s="42">
        <f t="shared" si="76"/>
        <v>141.5429111741476</v>
      </c>
      <c r="L320" s="42">
        <f t="shared" si="77"/>
        <v>123.54933616831903</v>
      </c>
      <c r="M320" s="42">
        <f t="shared" si="78"/>
        <v>106.99267091193079</v>
      </c>
      <c r="N320" s="41">
        <f t="shared" si="86"/>
        <v>0.14563878337083613</v>
      </c>
      <c r="O320" s="41">
        <f t="shared" si="87"/>
        <v>0.32292156058666976</v>
      </c>
      <c r="P320" s="39">
        <f t="shared" si="88"/>
        <v>231.48836360005248</v>
      </c>
      <c r="Q320" s="42">
        <f t="shared" si="89"/>
        <v>1.4154291117414735</v>
      </c>
      <c r="R320" s="42">
        <f t="shared" si="90"/>
        <v>1.532843873407862</v>
      </c>
      <c r="S320" s="41">
        <f t="shared" si="91"/>
        <v>-7.6599296055735122E-2</v>
      </c>
      <c r="T320" s="41">
        <f t="shared" si="75"/>
        <v>0.2129454049227914</v>
      </c>
      <c r="U320" s="41">
        <f t="shared" si="92"/>
        <v>0</v>
      </c>
      <c r="V320" s="41">
        <f t="shared" si="93"/>
        <v>3.9174415835563359E-4</v>
      </c>
      <c r="W320" s="39">
        <f t="shared" si="79"/>
        <v>254.48</v>
      </c>
      <c r="X320" s="21"/>
    </row>
    <row r="321" spans="1:24" x14ac:dyDescent="0.2">
      <c r="A321" s="38">
        <v>45405</v>
      </c>
      <c r="B321" s="39">
        <v>259.33999999999997</v>
      </c>
      <c r="C321" s="39">
        <v>505.65</v>
      </c>
      <c r="D321" s="39">
        <v>44.14</v>
      </c>
      <c r="E321" s="41">
        <f t="shared" si="80"/>
        <v>1.9097767997485082E-2</v>
      </c>
      <c r="F321" s="41">
        <f t="shared" si="81"/>
        <v>1.1866645321379821E-2</v>
      </c>
      <c r="G321" s="41">
        <f t="shared" si="82"/>
        <v>-8.6468276249297427E-3</v>
      </c>
      <c r="H321" s="41">
        <f t="shared" si="83"/>
        <v>0.44246064853439848</v>
      </c>
      <c r="I321" s="41">
        <f t="shared" si="84"/>
        <v>0.25015452320320297</v>
      </c>
      <c r="J321" s="41">
        <f t="shared" si="85"/>
        <v>6.0675237294244067E-2</v>
      </c>
      <c r="K321" s="42">
        <f t="shared" si="76"/>
        <v>144.24606485344012</v>
      </c>
      <c r="L321" s="42">
        <f t="shared" si="77"/>
        <v>125.01545232032041</v>
      </c>
      <c r="M321" s="42">
        <f t="shared" si="78"/>
        <v>106.06752372942448</v>
      </c>
      <c r="N321" s="41">
        <f t="shared" si="86"/>
        <v>0.15382588453022583</v>
      </c>
      <c r="O321" s="41">
        <f t="shared" si="87"/>
        <v>0.35994562502852379</v>
      </c>
      <c r="P321" s="39">
        <f t="shared" si="88"/>
        <v>231.76549431049972</v>
      </c>
      <c r="Q321" s="42">
        <f t="shared" si="89"/>
        <v>1.4424606485343985</v>
      </c>
      <c r="R321" s="42">
        <f t="shared" si="90"/>
        <v>1.532843873407862</v>
      </c>
      <c r="S321" s="41">
        <f t="shared" si="91"/>
        <v>-5.8964403643093077E-2</v>
      </c>
      <c r="T321" s="41">
        <f t="shared" si="75"/>
        <v>0.21519620678017318</v>
      </c>
      <c r="U321" s="41">
        <f t="shared" si="92"/>
        <v>0</v>
      </c>
      <c r="V321" s="41">
        <f t="shared" si="93"/>
        <v>7.2311226761052616E-3</v>
      </c>
      <c r="W321" s="39">
        <f t="shared" si="79"/>
        <v>259.33999999999997</v>
      </c>
      <c r="X321" s="21"/>
    </row>
    <row r="322" spans="1:24" x14ac:dyDescent="0.2">
      <c r="A322" s="38">
        <v>45406</v>
      </c>
      <c r="B322" s="39">
        <v>256.39999999999998</v>
      </c>
      <c r="C322" s="39">
        <v>505.41</v>
      </c>
      <c r="D322" s="39">
        <v>44.17</v>
      </c>
      <c r="E322" s="41">
        <f t="shared" si="80"/>
        <v>-1.1336469499498736E-2</v>
      </c>
      <c r="F322" s="41">
        <f t="shared" si="81"/>
        <v>-4.7463660634816662E-4</v>
      </c>
      <c r="G322" s="41">
        <f t="shared" si="82"/>
        <v>6.7965564114191857E-4</v>
      </c>
      <c r="H322" s="41">
        <f t="shared" si="83"/>
        <v>0.42610823738806114</v>
      </c>
      <c r="I322" s="41">
        <f t="shared" si="84"/>
        <v>0.24956115410289903</v>
      </c>
      <c r="J322" s="41">
        <f t="shared" si="85"/>
        <v>6.1396131202690718E-2</v>
      </c>
      <c r="K322" s="42">
        <f t="shared" si="76"/>
        <v>142.61082373880637</v>
      </c>
      <c r="L322" s="42">
        <f t="shared" si="77"/>
        <v>124.95611541029001</v>
      </c>
      <c r="M322" s="42">
        <f t="shared" si="78"/>
        <v>106.13961312026913</v>
      </c>
      <c r="N322" s="41">
        <f t="shared" si="86"/>
        <v>0.14128726929888513</v>
      </c>
      <c r="O322" s="41">
        <f t="shared" si="87"/>
        <v>0.34361544711125647</v>
      </c>
      <c r="P322" s="39">
        <f t="shared" si="88"/>
        <v>232.01061377009674</v>
      </c>
      <c r="Q322" s="42">
        <f t="shared" si="89"/>
        <v>1.4261082373880611</v>
      </c>
      <c r="R322" s="42">
        <f t="shared" si="90"/>
        <v>1.532843873407862</v>
      </c>
      <c r="S322" s="41">
        <f t="shared" si="91"/>
        <v>-6.9632424979135799E-2</v>
      </c>
      <c r="T322" s="41">
        <f t="shared" si="75"/>
        <v>0.20845959969492009</v>
      </c>
      <c r="U322" s="41">
        <f t="shared" si="92"/>
        <v>-1.1492119362289999E-2</v>
      </c>
      <c r="V322" s="41">
        <f t="shared" si="93"/>
        <v>-1.0861832893150569E-2</v>
      </c>
      <c r="W322" s="39">
        <f t="shared" si="79"/>
        <v>256.39999999999998</v>
      </c>
      <c r="X322" s="21"/>
    </row>
    <row r="323" spans="1:24" x14ac:dyDescent="0.2">
      <c r="A323" s="38">
        <v>45407</v>
      </c>
      <c r="B323" s="39">
        <v>258.54000000000002</v>
      </c>
      <c r="C323" s="39">
        <v>503.49</v>
      </c>
      <c r="D323" s="39">
        <v>44.484999999999999</v>
      </c>
      <c r="E323" s="41">
        <f t="shared" si="80"/>
        <v>8.3463338533542597E-3</v>
      </c>
      <c r="F323" s="41">
        <f t="shared" si="81"/>
        <v>-3.7988959458657989E-3</v>
      </c>
      <c r="G323" s="41">
        <f t="shared" si="82"/>
        <v>7.1315372424722856E-3</v>
      </c>
      <c r="H323" s="41">
        <f t="shared" si="83"/>
        <v>0.43801101284832056</v>
      </c>
      <c r="I323" s="41">
        <f t="shared" si="84"/>
        <v>0.24481420130046616</v>
      </c>
      <c r="J323" s="41">
        <f t="shared" si="85"/>
        <v>6.8965517241378782E-2</v>
      </c>
      <c r="K323" s="42">
        <f t="shared" si="76"/>
        <v>143.80110128483233</v>
      </c>
      <c r="L323" s="42">
        <f t="shared" si="77"/>
        <v>124.48142013004673</v>
      </c>
      <c r="M323" s="42">
        <f t="shared" si="78"/>
        <v>106.89655172413792</v>
      </c>
      <c r="N323" s="41">
        <f t="shared" si="86"/>
        <v>0.15520132349552274</v>
      </c>
      <c r="O323" s="41">
        <f t="shared" si="87"/>
        <v>0.3452361087935909</v>
      </c>
      <c r="P323" s="39">
        <f t="shared" si="88"/>
        <v>232.27458776243409</v>
      </c>
      <c r="Q323" s="42">
        <f t="shared" si="89"/>
        <v>1.4380110128483206</v>
      </c>
      <c r="R323" s="42">
        <f t="shared" si="90"/>
        <v>1.532843873407862</v>
      </c>
      <c r="S323" s="41">
        <f t="shared" si="91"/>
        <v>-6.1867266591675962E-2</v>
      </c>
      <c r="T323" s="41">
        <f t="shared" si="75"/>
        <v>0.20858277224500657</v>
      </c>
      <c r="U323" s="41">
        <f t="shared" si="92"/>
        <v>0</v>
      </c>
      <c r="V323" s="41">
        <f t="shared" si="93"/>
        <v>1.2145229799220059E-2</v>
      </c>
      <c r="W323" s="39">
        <f t="shared" si="79"/>
        <v>258.54000000000002</v>
      </c>
      <c r="X323" s="21"/>
    </row>
    <row r="324" spans="1:24" x14ac:dyDescent="0.2">
      <c r="A324" s="38">
        <v>45408</v>
      </c>
      <c r="B324" s="39">
        <v>261.24</v>
      </c>
      <c r="C324" s="39">
        <v>508.26</v>
      </c>
      <c r="D324" s="39">
        <v>44.76</v>
      </c>
      <c r="E324" s="41">
        <f t="shared" si="80"/>
        <v>1.0443258296588542E-2</v>
      </c>
      <c r="F324" s="41">
        <f t="shared" si="81"/>
        <v>9.4738723708513994E-3</v>
      </c>
      <c r="G324" s="41">
        <f t="shared" si="82"/>
        <v>6.1818590536135698E-3</v>
      </c>
      <c r="H324" s="41">
        <f t="shared" si="83"/>
        <v>0.45302853328883441</v>
      </c>
      <c r="I324" s="41">
        <f t="shared" si="84"/>
        <v>0.25660741216901006</v>
      </c>
      <c r="J324" s="41">
        <f t="shared" si="85"/>
        <v>7.5573711402138199E-2</v>
      </c>
      <c r="K324" s="42">
        <f t="shared" si="76"/>
        <v>145.30285332888371</v>
      </c>
      <c r="L324" s="42">
        <f t="shared" si="77"/>
        <v>125.66074121690112</v>
      </c>
      <c r="M324" s="42">
        <f t="shared" si="78"/>
        <v>107.55737114021386</v>
      </c>
      <c r="N324" s="41">
        <f t="shared" si="86"/>
        <v>0.15631064978423526</v>
      </c>
      <c r="O324" s="41">
        <f t="shared" si="87"/>
        <v>0.35093347660444296</v>
      </c>
      <c r="P324" s="39">
        <f t="shared" si="88"/>
        <v>232.56280081952431</v>
      </c>
      <c r="Q324" s="42">
        <f t="shared" si="89"/>
        <v>1.4530285332888344</v>
      </c>
      <c r="R324" s="42">
        <f t="shared" si="90"/>
        <v>1.532843873407862</v>
      </c>
      <c r="S324" s="41">
        <f t="shared" si="91"/>
        <v>-5.2070104140208295E-2</v>
      </c>
      <c r="T324" s="41">
        <f t="shared" si="75"/>
        <v>0.20328853089402282</v>
      </c>
      <c r="U324" s="41">
        <f t="shared" si="92"/>
        <v>0</v>
      </c>
      <c r="V324" s="41">
        <f t="shared" si="93"/>
        <v>9.6938592573714288E-4</v>
      </c>
      <c r="W324" s="39">
        <f t="shared" si="79"/>
        <v>261.24</v>
      </c>
      <c r="X324" s="21"/>
    </row>
    <row r="325" spans="1:24" x14ac:dyDescent="0.2">
      <c r="A325" s="38">
        <v>45411</v>
      </c>
      <c r="B325" s="39">
        <v>261.45</v>
      </c>
      <c r="C325" s="39">
        <v>510.06</v>
      </c>
      <c r="D325" s="39">
        <v>45.134999999999998</v>
      </c>
      <c r="E325" s="41">
        <f t="shared" si="80"/>
        <v>8.03858520900258E-4</v>
      </c>
      <c r="F325" s="41">
        <f t="shared" si="81"/>
        <v>3.5414945106835294E-3</v>
      </c>
      <c r="G325" s="41">
        <f t="shared" si="82"/>
        <v>8.3780160857909181E-3</v>
      </c>
      <c r="H325" s="41">
        <f t="shared" si="83"/>
        <v>0.45419656265642994</v>
      </c>
      <c r="I325" s="41">
        <f t="shared" si="84"/>
        <v>0.26105768042129074</v>
      </c>
      <c r="J325" s="41">
        <f t="shared" si="85"/>
        <v>8.4584885257719122E-2</v>
      </c>
      <c r="K325" s="42">
        <f t="shared" si="76"/>
        <v>145.41965626564325</v>
      </c>
      <c r="L325" s="42">
        <f t="shared" si="77"/>
        <v>126.10576804212921</v>
      </c>
      <c r="M325" s="42">
        <f t="shared" si="78"/>
        <v>108.45848852577195</v>
      </c>
      <c r="N325" s="41">
        <f t="shared" si="86"/>
        <v>0.15315626337616517</v>
      </c>
      <c r="O325" s="41">
        <f t="shared" si="87"/>
        <v>0.340786306745261</v>
      </c>
      <c r="P325" s="39">
        <f t="shared" si="88"/>
        <v>232.85023563724047</v>
      </c>
      <c r="Q325" s="42">
        <f t="shared" si="89"/>
        <v>1.4541965626564299</v>
      </c>
      <c r="R325" s="42">
        <f t="shared" si="90"/>
        <v>1.532843873407862</v>
      </c>
      <c r="S325" s="41">
        <f t="shared" si="91"/>
        <v>-5.130810261620522E-2</v>
      </c>
      <c r="T325" s="41">
        <f t="shared" si="75"/>
        <v>0.20028968544381626</v>
      </c>
      <c r="U325" s="41">
        <f t="shared" si="92"/>
        <v>0</v>
      </c>
      <c r="V325" s="41">
        <f t="shared" si="93"/>
        <v>-2.7376359897832714E-3</v>
      </c>
      <c r="W325" s="39">
        <f t="shared" si="79"/>
        <v>261.45</v>
      </c>
      <c r="X325" s="21"/>
    </row>
    <row r="326" spans="1:24" x14ac:dyDescent="0.2">
      <c r="A326" s="38">
        <v>45412</v>
      </c>
      <c r="B326" s="39">
        <v>257.63</v>
      </c>
      <c r="C326" s="39">
        <v>501.98</v>
      </c>
      <c r="D326" s="39">
        <v>44.314999999999998</v>
      </c>
      <c r="E326" s="41">
        <f t="shared" si="80"/>
        <v>-1.4610824249378429E-2</v>
      </c>
      <c r="F326" s="41">
        <f t="shared" si="81"/>
        <v>-1.5841273575657788E-2</v>
      </c>
      <c r="G326" s="41">
        <f t="shared" si="82"/>
        <v>-1.8167719065027121E-2</v>
      </c>
      <c r="H326" s="41">
        <f t="shared" si="83"/>
        <v>0.43294955225540654</v>
      </c>
      <c r="I326" s="41">
        <f t="shared" si="84"/>
        <v>0.24108092071105269</v>
      </c>
      <c r="J326" s="41">
        <f t="shared" si="85"/>
        <v>6.4880451760182201E-2</v>
      </c>
      <c r="K326" s="42">
        <f t="shared" si="76"/>
        <v>143.29495522554092</v>
      </c>
      <c r="L326" s="42">
        <f t="shared" si="77"/>
        <v>124.1080920711054</v>
      </c>
      <c r="M326" s="42">
        <f t="shared" si="78"/>
        <v>106.48804517601825</v>
      </c>
      <c r="N326" s="41">
        <f t="shared" si="86"/>
        <v>0.15459800271075519</v>
      </c>
      <c r="O326" s="41">
        <f t="shared" si="87"/>
        <v>0.34564358833597586</v>
      </c>
      <c r="P326" s="39">
        <f t="shared" si="88"/>
        <v>233.09680045677041</v>
      </c>
      <c r="Q326" s="42">
        <f t="shared" si="89"/>
        <v>1.4329495522554065</v>
      </c>
      <c r="R326" s="42">
        <f t="shared" si="90"/>
        <v>1.532843873407862</v>
      </c>
      <c r="S326" s="41">
        <f t="shared" si="91"/>
        <v>-6.5169273195689215E-2</v>
      </c>
      <c r="T326" s="41">
        <f t="shared" si="75"/>
        <v>0.20054465009005765</v>
      </c>
      <c r="U326" s="41">
        <f t="shared" si="92"/>
        <v>-1.4766474112169692E-2</v>
      </c>
      <c r="V326" s="41">
        <f t="shared" si="93"/>
        <v>1.2304493262793592E-3</v>
      </c>
      <c r="W326" s="39">
        <f t="shared" si="79"/>
        <v>257.63</v>
      </c>
      <c r="X326" s="21"/>
    </row>
    <row r="327" spans="1:24" x14ac:dyDescent="0.2">
      <c r="A327" s="38">
        <v>45413</v>
      </c>
      <c r="B327" s="39">
        <v>259.73</v>
      </c>
      <c r="C327" s="39">
        <v>500.35</v>
      </c>
      <c r="D327" s="39">
        <v>44.545000000000002</v>
      </c>
      <c r="E327" s="41">
        <f t="shared" si="80"/>
        <v>8.151224624461495E-3</v>
      </c>
      <c r="F327" s="41">
        <f t="shared" si="81"/>
        <v>-3.247141320371294E-3</v>
      </c>
      <c r="G327" s="41">
        <f t="shared" si="82"/>
        <v>5.1901162134717627E-3</v>
      </c>
      <c r="H327" s="41">
        <f t="shared" si="83"/>
        <v>0.44462984593136179</v>
      </c>
      <c r="I327" s="41">
        <f t="shared" si="84"/>
        <v>0.23705095557148748</v>
      </c>
      <c r="J327" s="41">
        <f t="shared" si="85"/>
        <v>7.0407305058271863E-2</v>
      </c>
      <c r="K327" s="42">
        <f t="shared" si="76"/>
        <v>144.46298459313644</v>
      </c>
      <c r="L327" s="42">
        <f t="shared" si="77"/>
        <v>123.70509555714887</v>
      </c>
      <c r="M327" s="42">
        <f t="shared" si="78"/>
        <v>107.04073050582723</v>
      </c>
      <c r="N327" s="41">
        <f t="shared" si="86"/>
        <v>0.1678014065831086</v>
      </c>
      <c r="O327" s="41">
        <f t="shared" si="87"/>
        <v>0.34960761114454253</v>
      </c>
      <c r="P327" s="39">
        <f t="shared" si="88"/>
        <v>233.36180741739958</v>
      </c>
      <c r="Q327" s="42">
        <f t="shared" si="89"/>
        <v>1.4446298459313618</v>
      </c>
      <c r="R327" s="42">
        <f t="shared" si="90"/>
        <v>1.532843873407862</v>
      </c>
      <c r="S327" s="41">
        <f t="shared" si="91"/>
        <v>-5.7549257955658795E-2</v>
      </c>
      <c r="T327" s="41">
        <f t="shared" si="75"/>
        <v>0.1955955782155428</v>
      </c>
      <c r="U327" s="41">
        <f t="shared" si="92"/>
        <v>0</v>
      </c>
      <c r="V327" s="41">
        <f t="shared" si="93"/>
        <v>1.1398365944832789E-2</v>
      </c>
      <c r="W327" s="39">
        <f t="shared" si="79"/>
        <v>259.73</v>
      </c>
      <c r="X327" s="21"/>
    </row>
    <row r="328" spans="1:24" x14ac:dyDescent="0.2">
      <c r="A328" s="38">
        <v>45414</v>
      </c>
      <c r="B328" s="39">
        <v>264.41000000000003</v>
      </c>
      <c r="C328" s="39">
        <v>505.03</v>
      </c>
      <c r="D328" s="39">
        <v>44.314999999999998</v>
      </c>
      <c r="E328" s="41">
        <f t="shared" si="80"/>
        <v>1.8018711739113735E-2</v>
      </c>
      <c r="F328" s="41">
        <f t="shared" si="81"/>
        <v>9.353452583191757E-3</v>
      </c>
      <c r="G328" s="41">
        <f t="shared" si="82"/>
        <v>-5.1633179930408168E-3</v>
      </c>
      <c r="H328" s="41">
        <f t="shared" si="83"/>
        <v>0.47066021469491925</v>
      </c>
      <c r="I328" s="41">
        <f t="shared" si="84"/>
        <v>0.24862165302741746</v>
      </c>
      <c r="J328" s="41">
        <f t="shared" si="85"/>
        <v>6.4880451760182201E-2</v>
      </c>
      <c r="K328" s="42">
        <f t="shared" si="76"/>
        <v>147.06602146949223</v>
      </c>
      <c r="L328" s="42">
        <f t="shared" si="77"/>
        <v>124.86216530274183</v>
      </c>
      <c r="M328" s="42">
        <f t="shared" si="78"/>
        <v>106.48804517601825</v>
      </c>
      <c r="N328" s="41">
        <f t="shared" si="86"/>
        <v>0.17782693510812142</v>
      </c>
      <c r="O328" s="41">
        <f t="shared" si="87"/>
        <v>0.38105663622992414</v>
      </c>
      <c r="P328" s="39">
        <f t="shared" si="88"/>
        <v>233.67074465702746</v>
      </c>
      <c r="Q328" s="42">
        <f t="shared" si="89"/>
        <v>1.4706602146949193</v>
      </c>
      <c r="R328" s="42">
        <f t="shared" si="90"/>
        <v>1.532843873407862</v>
      </c>
      <c r="S328" s="41">
        <f t="shared" si="91"/>
        <v>-4.0567509706447957E-2</v>
      </c>
      <c r="T328" s="41">
        <f t="shared" si="75"/>
        <v>0.19789237524242406</v>
      </c>
      <c r="U328" s="41">
        <f t="shared" si="92"/>
        <v>0</v>
      </c>
      <c r="V328" s="41">
        <f t="shared" si="93"/>
        <v>8.6652591559219783E-3</v>
      </c>
      <c r="W328" s="39">
        <f t="shared" si="79"/>
        <v>264.41000000000003</v>
      </c>
      <c r="X328" s="21"/>
    </row>
    <row r="329" spans="1:24" x14ac:dyDescent="0.2">
      <c r="A329" s="38">
        <v>45415</v>
      </c>
      <c r="B329" s="39">
        <v>264.44</v>
      </c>
      <c r="C329" s="39">
        <v>511.29</v>
      </c>
      <c r="D329" s="39">
        <v>44.765000000000001</v>
      </c>
      <c r="E329" s="41">
        <f t="shared" si="80"/>
        <v>1.1346015657487385E-4</v>
      </c>
      <c r="F329" s="41">
        <f t="shared" si="81"/>
        <v>1.239530324931204E-2</v>
      </c>
      <c r="G329" s="41">
        <f t="shared" si="82"/>
        <v>1.0154575200270743E-2</v>
      </c>
      <c r="H329" s="41">
        <f t="shared" si="83"/>
        <v>0.470827076033147</v>
      </c>
      <c r="I329" s="41">
        <f t="shared" si="84"/>
        <v>0.26409869706034961</v>
      </c>
      <c r="J329" s="41">
        <f t="shared" si="85"/>
        <v>7.5693860386879308E-2</v>
      </c>
      <c r="K329" s="42">
        <f t="shared" si="76"/>
        <v>147.08270760331499</v>
      </c>
      <c r="L329" s="42">
        <f t="shared" si="77"/>
        <v>126.40986970603505</v>
      </c>
      <c r="M329" s="42">
        <f t="shared" si="78"/>
        <v>107.56938603868798</v>
      </c>
      <c r="N329" s="41">
        <f t="shared" si="86"/>
        <v>0.16353816316205561</v>
      </c>
      <c r="O329" s="41">
        <f t="shared" si="87"/>
        <v>0.36732868913480266</v>
      </c>
      <c r="P329" s="39">
        <f t="shared" si="88"/>
        <v>233.97690640173366</v>
      </c>
      <c r="Q329" s="42">
        <f t="shared" si="89"/>
        <v>1.470827076033147</v>
      </c>
      <c r="R329" s="42">
        <f t="shared" si="90"/>
        <v>1.532843873407862</v>
      </c>
      <c r="S329" s="41">
        <f t="shared" si="91"/>
        <v>-4.04586523458762E-2</v>
      </c>
      <c r="T329" s="41">
        <f t="shared" si="75"/>
        <v>0.19390844129226173</v>
      </c>
      <c r="U329" s="41">
        <f t="shared" si="92"/>
        <v>-4.2189706216388956E-5</v>
      </c>
      <c r="V329" s="41">
        <f t="shared" si="93"/>
        <v>-1.2281843092737166E-2</v>
      </c>
      <c r="W329" s="39">
        <f t="shared" si="79"/>
        <v>264.44</v>
      </c>
      <c r="X329" s="21"/>
    </row>
    <row r="330" spans="1:24" x14ac:dyDescent="0.2">
      <c r="A330" s="38">
        <v>45418</v>
      </c>
      <c r="B330" s="39">
        <v>266.61</v>
      </c>
      <c r="C330" s="39">
        <v>516.57000000000005</v>
      </c>
      <c r="D330" s="39">
        <v>45.034999999999997</v>
      </c>
      <c r="E330" s="41">
        <f t="shared" si="80"/>
        <v>8.2060202692482154E-3</v>
      </c>
      <c r="F330" s="41">
        <f t="shared" si="81"/>
        <v>1.0326820395470282E-2</v>
      </c>
      <c r="G330" s="41">
        <f t="shared" si="82"/>
        <v>6.0314978219591087E-3</v>
      </c>
      <c r="H330" s="41">
        <f t="shared" si="83"/>
        <v>0.48289671283163416</v>
      </c>
      <c r="I330" s="41">
        <f t="shared" si="84"/>
        <v>0.27715281726703989</v>
      </c>
      <c r="J330" s="41">
        <f t="shared" si="85"/>
        <v>8.2181905562897617E-2</v>
      </c>
      <c r="K330" s="42">
        <f t="shared" si="76"/>
        <v>148.2896712831637</v>
      </c>
      <c r="L330" s="42">
        <f t="shared" si="77"/>
        <v>127.71528172670408</v>
      </c>
      <c r="M330" s="42">
        <f t="shared" si="78"/>
        <v>108.21819055628978</v>
      </c>
      <c r="N330" s="41">
        <f t="shared" si="86"/>
        <v>0.16109575360359973</v>
      </c>
      <c r="O330" s="41">
        <f t="shared" si="87"/>
        <v>0.37028415020513994</v>
      </c>
      <c r="P330" s="39">
        <f t="shared" si="88"/>
        <v>234.30161380072138</v>
      </c>
      <c r="Q330" s="42">
        <f t="shared" si="89"/>
        <v>1.4828967128316342</v>
      </c>
      <c r="R330" s="42">
        <f t="shared" si="90"/>
        <v>1.532843873407862</v>
      </c>
      <c r="S330" s="41">
        <f t="shared" si="91"/>
        <v>-3.2584636597844718E-2</v>
      </c>
      <c r="T330" s="41">
        <f t="shared" si="75"/>
        <v>0.19392055420431178</v>
      </c>
      <c r="U330" s="41">
        <f t="shared" si="92"/>
        <v>0</v>
      </c>
      <c r="V330" s="41">
        <f t="shared" si="93"/>
        <v>-2.1208001262220666E-3</v>
      </c>
      <c r="W330" s="39">
        <f t="shared" si="79"/>
        <v>266.61</v>
      </c>
      <c r="X330" s="21"/>
    </row>
    <row r="331" spans="1:24" x14ac:dyDescent="0.2">
      <c r="A331" s="38">
        <v>45419</v>
      </c>
      <c r="B331" s="39">
        <v>268.35000000000002</v>
      </c>
      <c r="C331" s="39">
        <v>517.14</v>
      </c>
      <c r="D331" s="39">
        <v>45.57</v>
      </c>
      <c r="E331" s="41">
        <f t="shared" si="80"/>
        <v>6.5263868572071893E-3</v>
      </c>
      <c r="F331" s="41">
        <f t="shared" si="81"/>
        <v>1.1034322550669273E-3</v>
      </c>
      <c r="G331" s="41">
        <f t="shared" si="82"/>
        <v>1.1879649161763206E-2</v>
      </c>
      <c r="H331" s="41">
        <f t="shared" si="83"/>
        <v>0.49257467044885428</v>
      </c>
      <c r="I331" s="41">
        <f t="shared" si="84"/>
        <v>0.27856206888026191</v>
      </c>
      <c r="J331" s="41">
        <f t="shared" si="85"/>
        <v>9.5037846930193126E-2</v>
      </c>
      <c r="K331" s="42">
        <f t="shared" si="76"/>
        <v>149.25746704488571</v>
      </c>
      <c r="L331" s="42">
        <f t="shared" si="77"/>
        <v>127.85620688802631</v>
      </c>
      <c r="M331" s="42">
        <f t="shared" si="78"/>
        <v>109.50378469301934</v>
      </c>
      <c r="N331" s="41">
        <f t="shared" si="86"/>
        <v>0.16738538298419892</v>
      </c>
      <c r="O331" s="41">
        <f t="shared" si="87"/>
        <v>0.36303477969561304</v>
      </c>
      <c r="P331" s="39">
        <f t="shared" si="88"/>
        <v>234.64040371315204</v>
      </c>
      <c r="Q331" s="42">
        <f t="shared" si="89"/>
        <v>1.4925746704488543</v>
      </c>
      <c r="R331" s="42">
        <f t="shared" si="90"/>
        <v>1.532843873407862</v>
      </c>
      <c r="S331" s="41">
        <f t="shared" si="91"/>
        <v>-2.6270909684676491E-2</v>
      </c>
      <c r="T331" s="41">
        <f t="shared" si="75"/>
        <v>0.19391891932121808</v>
      </c>
      <c r="U331" s="41">
        <f t="shared" si="92"/>
        <v>0</v>
      </c>
      <c r="V331" s="41">
        <f t="shared" si="93"/>
        <v>5.4229546021402619E-3</v>
      </c>
      <c r="W331" s="39">
        <f t="shared" si="79"/>
        <v>268.35000000000002</v>
      </c>
      <c r="X331" s="21"/>
    </row>
    <row r="332" spans="1:24" x14ac:dyDescent="0.2">
      <c r="A332" s="38">
        <v>45420</v>
      </c>
      <c r="B332" s="39">
        <v>267.93</v>
      </c>
      <c r="C332" s="39">
        <v>517.19000000000005</v>
      </c>
      <c r="D332" s="39">
        <v>45.36</v>
      </c>
      <c r="E332" s="41">
        <f t="shared" si="80"/>
        <v>-1.5651201788708935E-3</v>
      </c>
      <c r="F332" s="41">
        <f t="shared" si="81"/>
        <v>9.6685617047675976E-5</v>
      </c>
      <c r="G332" s="41">
        <f t="shared" si="82"/>
        <v>-4.6082949308755561E-3</v>
      </c>
      <c r="H332" s="41">
        <f t="shared" si="83"/>
        <v>0.49023861171366323</v>
      </c>
      <c r="I332" s="41">
        <f t="shared" si="84"/>
        <v>0.2786856874428254</v>
      </c>
      <c r="J332" s="41">
        <f t="shared" si="85"/>
        <v>8.9991589571067898E-2</v>
      </c>
      <c r="K332" s="42">
        <f t="shared" si="76"/>
        <v>149.0238611713666</v>
      </c>
      <c r="L332" s="42">
        <f t="shared" si="77"/>
        <v>127.86856874428265</v>
      </c>
      <c r="M332" s="42">
        <f t="shared" si="78"/>
        <v>108.99915895710681</v>
      </c>
      <c r="N332" s="41">
        <f t="shared" si="86"/>
        <v>0.16544560273753528</v>
      </c>
      <c r="O332" s="41">
        <f t="shared" si="87"/>
        <v>0.36720193620952624</v>
      </c>
      <c r="P332" s="39">
        <f t="shared" si="88"/>
        <v>234.97164347720027</v>
      </c>
      <c r="Q332" s="42">
        <f t="shared" si="89"/>
        <v>1.4902386117136632</v>
      </c>
      <c r="R332" s="42">
        <f t="shared" si="90"/>
        <v>1.532843873407862</v>
      </c>
      <c r="S332" s="41">
        <f t="shared" si="91"/>
        <v>-2.7794912732682642E-2</v>
      </c>
      <c r="T332" s="41">
        <f t="shared" si="75"/>
        <v>0.19403162061433901</v>
      </c>
      <c r="U332" s="41">
        <f t="shared" si="92"/>
        <v>-1.7207700416621563E-3</v>
      </c>
      <c r="V332" s="41">
        <f t="shared" si="93"/>
        <v>-1.6618057959185695E-3</v>
      </c>
      <c r="W332" s="39">
        <f t="shared" si="79"/>
        <v>267.93</v>
      </c>
      <c r="X332" s="21"/>
    </row>
    <row r="333" spans="1:24" x14ac:dyDescent="0.2">
      <c r="A333" s="38">
        <v>45421</v>
      </c>
      <c r="B333" s="39">
        <v>270.69</v>
      </c>
      <c r="C333" s="39">
        <v>520.16999999999996</v>
      </c>
      <c r="D333" s="39">
        <v>45.865000000000002</v>
      </c>
      <c r="E333" s="41">
        <f t="shared" si="80"/>
        <v>1.0301198074123885E-2</v>
      </c>
      <c r="F333" s="41">
        <f t="shared" si="81"/>
        <v>5.7619056826310189E-3</v>
      </c>
      <c r="G333" s="41">
        <f t="shared" si="82"/>
        <v>1.113315696649031E-2</v>
      </c>
      <c r="H333" s="41">
        <f t="shared" si="83"/>
        <v>0.50558985483063301</v>
      </c>
      <c r="I333" s="41">
        <f t="shared" si="84"/>
        <v>0.28605335377160124</v>
      </c>
      <c r="J333" s="41">
        <f t="shared" si="85"/>
        <v>0.10212663702991698</v>
      </c>
      <c r="K333" s="42">
        <f t="shared" si="76"/>
        <v>150.55898548306359</v>
      </c>
      <c r="L333" s="42">
        <f t="shared" si="77"/>
        <v>128.6053353771602</v>
      </c>
      <c r="M333" s="42">
        <f t="shared" si="78"/>
        <v>110.21266370299172</v>
      </c>
      <c r="N333" s="41">
        <f t="shared" si="86"/>
        <v>0.17070559352393766</v>
      </c>
      <c r="O333" s="41">
        <f t="shared" si="87"/>
        <v>0.36607700444296953</v>
      </c>
      <c r="P333" s="39">
        <f t="shared" si="88"/>
        <v>235.32705000976546</v>
      </c>
      <c r="Q333" s="42">
        <f t="shared" si="89"/>
        <v>1.505589854830633</v>
      </c>
      <c r="R333" s="42">
        <f t="shared" si="90"/>
        <v>1.532843873407862</v>
      </c>
      <c r="S333" s="41">
        <f t="shared" si="91"/>
        <v>-1.7780035560071128E-2</v>
      </c>
      <c r="T333" s="41">
        <f t="shared" si="75"/>
        <v>0.19241260036194191</v>
      </c>
      <c r="U333" s="41">
        <f t="shared" si="92"/>
        <v>0</v>
      </c>
      <c r="V333" s="41">
        <f t="shared" si="93"/>
        <v>4.5392923914928662E-3</v>
      </c>
      <c r="W333" s="39">
        <f t="shared" si="79"/>
        <v>270.69</v>
      </c>
      <c r="X333" s="21"/>
    </row>
    <row r="334" spans="1:24" x14ac:dyDescent="0.2">
      <c r="A334" s="38">
        <v>45422</v>
      </c>
      <c r="B334" s="39">
        <v>272.07</v>
      </c>
      <c r="C334" s="39">
        <v>520.84</v>
      </c>
      <c r="D334" s="39">
        <v>45.92</v>
      </c>
      <c r="E334" s="41">
        <f t="shared" si="80"/>
        <v>5.0980826776017008E-3</v>
      </c>
      <c r="F334" s="41">
        <f t="shared" si="81"/>
        <v>1.2880404483150976E-3</v>
      </c>
      <c r="G334" s="41">
        <f t="shared" si="82"/>
        <v>1.1991714815218213E-3</v>
      </c>
      <c r="H334" s="41">
        <f t="shared" si="83"/>
        <v>0.51326547638911801</v>
      </c>
      <c r="I334" s="41">
        <f t="shared" si="84"/>
        <v>0.28770984250995024</v>
      </c>
      <c r="J334" s="41">
        <f t="shared" si="85"/>
        <v>0.10344827586206873</v>
      </c>
      <c r="K334" s="42">
        <f t="shared" si="76"/>
        <v>151.32654763891207</v>
      </c>
      <c r="L334" s="42">
        <f t="shared" si="77"/>
        <v>128.77098425099513</v>
      </c>
      <c r="M334" s="42">
        <f t="shared" si="78"/>
        <v>110.34482758620689</v>
      </c>
      <c r="N334" s="41">
        <f t="shared" si="86"/>
        <v>0.17516029343964945</v>
      </c>
      <c r="O334" s="41">
        <f t="shared" si="87"/>
        <v>0.37139683797763845</v>
      </c>
      <c r="P334" s="39">
        <f t="shared" si="88"/>
        <v>235.69265150220559</v>
      </c>
      <c r="Q334" s="42">
        <f t="shared" si="89"/>
        <v>1.513265476389118</v>
      </c>
      <c r="R334" s="42">
        <f t="shared" si="90"/>
        <v>1.532843873407862</v>
      </c>
      <c r="S334" s="41">
        <f t="shared" si="91"/>
        <v>-1.2772596973765316E-2</v>
      </c>
      <c r="T334" s="41">
        <f t="shared" si="75"/>
        <v>0.19012700090651688</v>
      </c>
      <c r="U334" s="41">
        <f t="shared" si="92"/>
        <v>0</v>
      </c>
      <c r="V334" s="41">
        <f t="shared" si="93"/>
        <v>3.8100422292866032E-3</v>
      </c>
      <c r="W334" s="39">
        <f t="shared" si="79"/>
        <v>272.07</v>
      </c>
      <c r="X334" s="21"/>
    </row>
    <row r="335" spans="1:24" x14ac:dyDescent="0.2">
      <c r="A335" s="38">
        <v>45425</v>
      </c>
      <c r="B335" s="39">
        <v>270.08999999999997</v>
      </c>
      <c r="C335" s="39">
        <v>520.91</v>
      </c>
      <c r="D335" s="39">
        <v>45.89</v>
      </c>
      <c r="E335" s="41">
        <f t="shared" si="80"/>
        <v>-7.2775388686735498E-3</v>
      </c>
      <c r="F335" s="41">
        <f t="shared" si="81"/>
        <v>1.3439827970196383E-4</v>
      </c>
      <c r="G335" s="41">
        <f t="shared" si="82"/>
        <v>-6.5331010452962524E-4</v>
      </c>
      <c r="H335" s="41">
        <f t="shared" si="83"/>
        <v>0.5022526280660744</v>
      </c>
      <c r="I335" s="41">
        <f t="shared" si="84"/>
        <v>0.28788290849753895</v>
      </c>
      <c r="J335" s="41">
        <f t="shared" si="85"/>
        <v>0.1027273819536223</v>
      </c>
      <c r="K335" s="42">
        <f t="shared" si="76"/>
        <v>150.2252628066077</v>
      </c>
      <c r="L335" s="42">
        <f t="shared" si="77"/>
        <v>128.78829084975399</v>
      </c>
      <c r="M335" s="42">
        <f t="shared" si="78"/>
        <v>110.27273819536225</v>
      </c>
      <c r="N335" s="41">
        <f t="shared" si="86"/>
        <v>0.16645124968590652</v>
      </c>
      <c r="O335" s="41">
        <f t="shared" si="87"/>
        <v>0.36230645275593143</v>
      </c>
      <c r="P335" s="39">
        <f t="shared" si="88"/>
        <v>236.03491367631301</v>
      </c>
      <c r="Q335" s="42">
        <f t="shared" si="89"/>
        <v>1.5022526280660744</v>
      </c>
      <c r="R335" s="42">
        <f t="shared" si="90"/>
        <v>1.532843873407862</v>
      </c>
      <c r="S335" s="41">
        <f t="shared" si="91"/>
        <v>-1.9957182771508375E-2</v>
      </c>
      <c r="T335" s="41">
        <f t="shared" si="75"/>
        <v>0.19093690229240279</v>
      </c>
      <c r="U335" s="41">
        <f t="shared" si="92"/>
        <v>-7.4331887314648126E-3</v>
      </c>
      <c r="V335" s="41">
        <f t="shared" si="93"/>
        <v>-7.4119371483755137E-3</v>
      </c>
      <c r="W335" s="39">
        <f t="shared" si="79"/>
        <v>270.08999999999997</v>
      </c>
      <c r="X335" s="21"/>
    </row>
    <row r="336" spans="1:24" x14ac:dyDescent="0.2">
      <c r="A336" s="38">
        <v>45426</v>
      </c>
      <c r="B336" s="39">
        <v>267.75</v>
      </c>
      <c r="C336" s="39">
        <v>523.29999999999995</v>
      </c>
      <c r="D336" s="39">
        <v>45.935000000000002</v>
      </c>
      <c r="E336" s="41">
        <f t="shared" si="80"/>
        <v>-8.6637787404197919E-3</v>
      </c>
      <c r="F336" s="41">
        <f t="shared" si="81"/>
        <v>4.5881246280548016E-3</v>
      </c>
      <c r="G336" s="41">
        <f t="shared" si="82"/>
        <v>9.8060579646985779E-4</v>
      </c>
      <c r="H336" s="41">
        <f t="shared" si="83"/>
        <v>0.48923744368429589</v>
      </c>
      <c r="I336" s="41">
        <f t="shared" si="84"/>
        <v>0.29379187578806731</v>
      </c>
      <c r="J336" s="41">
        <f t="shared" si="85"/>
        <v>0.10380872281629205</v>
      </c>
      <c r="K336" s="42">
        <f t="shared" si="76"/>
        <v>148.92374436842982</v>
      </c>
      <c r="L336" s="42">
        <f t="shared" si="77"/>
        <v>129.37918757880681</v>
      </c>
      <c r="M336" s="42">
        <f t="shared" si="78"/>
        <v>110.38087228162922</v>
      </c>
      <c r="N336" s="41">
        <f t="shared" si="86"/>
        <v>0.151064148379491</v>
      </c>
      <c r="O336" s="41">
        <f t="shared" si="87"/>
        <v>0.34918071664138428</v>
      </c>
      <c r="P336" s="39">
        <f t="shared" si="88"/>
        <v>236.35048667455865</v>
      </c>
      <c r="Q336" s="42">
        <f t="shared" si="89"/>
        <v>1.4892374436842959</v>
      </c>
      <c r="R336" s="42">
        <f t="shared" si="90"/>
        <v>1.532843873407862</v>
      </c>
      <c r="S336" s="41">
        <f t="shared" si="91"/>
        <v>-2.8448056896113627E-2</v>
      </c>
      <c r="T336" s="41">
        <f t="shared" si="75"/>
        <v>0.16058411636600689</v>
      </c>
      <c r="U336" s="41">
        <f t="shared" si="92"/>
        <v>-8.8194286032110547E-3</v>
      </c>
      <c r="V336" s="41">
        <f t="shared" si="93"/>
        <v>-1.3251903368474593E-2</v>
      </c>
      <c r="W336" s="39">
        <f t="shared" si="79"/>
        <v>267.75</v>
      </c>
      <c r="X336" s="21"/>
    </row>
    <row r="337" spans="1:24" x14ac:dyDescent="0.2">
      <c r="A337" s="38">
        <v>45427</v>
      </c>
      <c r="B337" s="39">
        <v>270.5</v>
      </c>
      <c r="C337" s="39">
        <v>529.78</v>
      </c>
      <c r="D337" s="39">
        <v>46.015000000000001</v>
      </c>
      <c r="E337" s="41">
        <f t="shared" si="80"/>
        <v>1.0270774976657293E-2</v>
      </c>
      <c r="F337" s="41">
        <f t="shared" si="81"/>
        <v>1.2382954328301166E-2</v>
      </c>
      <c r="G337" s="41">
        <f t="shared" si="82"/>
        <v>1.7415913791225535E-3</v>
      </c>
      <c r="H337" s="41">
        <f t="shared" si="83"/>
        <v>0.50453306635518969</v>
      </c>
      <c r="I337" s="41">
        <f t="shared" si="84"/>
        <v>0.30981284149627797</v>
      </c>
      <c r="J337" s="41">
        <f t="shared" si="85"/>
        <v>0.10573110657214913</v>
      </c>
      <c r="K337" s="42">
        <f t="shared" si="76"/>
        <v>150.45330663551923</v>
      </c>
      <c r="L337" s="42">
        <f t="shared" si="77"/>
        <v>130.9812841496279</v>
      </c>
      <c r="M337" s="42">
        <f t="shared" si="78"/>
        <v>110.57311065721494</v>
      </c>
      <c r="N337" s="41">
        <f t="shared" si="86"/>
        <v>0.14866263231659205</v>
      </c>
      <c r="O337" s="41">
        <f t="shared" si="87"/>
        <v>0.36066812031666284</v>
      </c>
      <c r="P337" s="39">
        <f t="shared" si="88"/>
        <v>236.69028282705059</v>
      </c>
      <c r="Q337" s="42">
        <f t="shared" si="89"/>
        <v>1.5045330663551897</v>
      </c>
      <c r="R337" s="42">
        <f t="shared" si="90"/>
        <v>1.532843873407862</v>
      </c>
      <c r="S337" s="41">
        <f t="shared" si="91"/>
        <v>-1.846946551035944E-2</v>
      </c>
      <c r="T337" s="41">
        <f t="shared" si="75"/>
        <v>0.15836025807247647</v>
      </c>
      <c r="U337" s="41">
        <f t="shared" si="92"/>
        <v>0</v>
      </c>
      <c r="V337" s="41">
        <f t="shared" si="93"/>
        <v>-2.1121793516438725E-3</v>
      </c>
      <c r="W337" s="39">
        <f t="shared" si="79"/>
        <v>270.5</v>
      </c>
      <c r="X337" s="21"/>
    </row>
    <row r="338" spans="1:24" x14ac:dyDescent="0.2">
      <c r="A338" s="38">
        <v>45428</v>
      </c>
      <c r="B338" s="39">
        <v>260</v>
      </c>
      <c r="C338" s="39">
        <v>528.69000000000005</v>
      </c>
      <c r="D338" s="39">
        <v>45.685000000000002</v>
      </c>
      <c r="E338" s="41">
        <f t="shared" si="80"/>
        <v>-3.8817005545286554E-2</v>
      </c>
      <c r="F338" s="41">
        <f t="shared" si="81"/>
        <v>-2.057457812676855E-3</v>
      </c>
      <c r="G338" s="41">
        <f t="shared" si="82"/>
        <v>-7.1715744865804565E-3</v>
      </c>
      <c r="H338" s="41">
        <f t="shared" si="83"/>
        <v>0.44613159797541324</v>
      </c>
      <c r="I338" s="41">
        <f t="shared" si="84"/>
        <v>0.30711795683239695</v>
      </c>
      <c r="J338" s="41">
        <f t="shared" si="85"/>
        <v>9.7801273579237957E-2</v>
      </c>
      <c r="K338" s="42">
        <f t="shared" si="76"/>
        <v>144.61315979754158</v>
      </c>
      <c r="L338" s="42">
        <f t="shared" si="77"/>
        <v>130.71179568323981</v>
      </c>
      <c r="M338" s="42">
        <f t="shared" si="78"/>
        <v>109.78012735792382</v>
      </c>
      <c r="N338" s="41">
        <f t="shared" si="86"/>
        <v>0.10635125959090552</v>
      </c>
      <c r="O338" s="41">
        <f t="shared" si="87"/>
        <v>0.31729816022210433</v>
      </c>
      <c r="P338" s="39">
        <f t="shared" si="88"/>
        <v>236.92222031135856</v>
      </c>
      <c r="Q338" s="42">
        <f t="shared" si="89"/>
        <v>1.4461315979754132</v>
      </c>
      <c r="R338" s="42">
        <f t="shared" si="90"/>
        <v>1.532843873407862</v>
      </c>
      <c r="S338" s="41">
        <f t="shared" si="91"/>
        <v>-5.6569541710511984E-2</v>
      </c>
      <c r="T338" s="41">
        <f t="shared" si="75"/>
        <v>0.17771512614499604</v>
      </c>
      <c r="U338" s="41">
        <f t="shared" si="92"/>
        <v>-3.8972655408077816E-2</v>
      </c>
      <c r="V338" s="41">
        <f t="shared" si="93"/>
        <v>-3.6759547732609699E-2</v>
      </c>
      <c r="W338" s="39">
        <f t="shared" si="79"/>
        <v>260</v>
      </c>
      <c r="X338" s="21"/>
    </row>
    <row r="339" spans="1:24" x14ac:dyDescent="0.2">
      <c r="A339" s="38">
        <v>45429</v>
      </c>
      <c r="B339" s="39">
        <v>259.10000000000002</v>
      </c>
      <c r="C339" s="39">
        <v>529.45000000000005</v>
      </c>
      <c r="D339" s="39">
        <v>46.075000000000003</v>
      </c>
      <c r="E339" s="41">
        <f t="shared" si="80"/>
        <v>-3.4615384615384048E-3</v>
      </c>
      <c r="F339" s="41">
        <f t="shared" si="81"/>
        <v>1.4375153681740471E-3</v>
      </c>
      <c r="G339" s="41">
        <f t="shared" si="82"/>
        <v>8.536718835504109E-3</v>
      </c>
      <c r="H339" s="41">
        <f t="shared" si="83"/>
        <v>0.44112575782857544</v>
      </c>
      <c r="I339" s="41">
        <f t="shared" si="84"/>
        <v>0.30899695898335988</v>
      </c>
      <c r="J339" s="41">
        <f t="shared" si="85"/>
        <v>0.10717289438904221</v>
      </c>
      <c r="K339" s="42">
        <f t="shared" si="76"/>
        <v>144.11257578285779</v>
      </c>
      <c r="L339" s="42">
        <f t="shared" si="77"/>
        <v>130.89969589833609</v>
      </c>
      <c r="M339" s="42">
        <f t="shared" si="78"/>
        <v>110.71728943890425</v>
      </c>
      <c r="N339" s="41">
        <f t="shared" si="86"/>
        <v>0.10093896547157311</v>
      </c>
      <c r="O339" s="41">
        <f t="shared" si="87"/>
        <v>0.30162666114023184</v>
      </c>
      <c r="P339" s="39">
        <f t="shared" si="88"/>
        <v>237.14289473612118</v>
      </c>
      <c r="Q339" s="42">
        <f t="shared" si="89"/>
        <v>1.4411257578285754</v>
      </c>
      <c r="R339" s="42">
        <f t="shared" si="90"/>
        <v>1.532843873407862</v>
      </c>
      <c r="S339" s="41">
        <f t="shared" si="91"/>
        <v>-5.9835262527667799E-2</v>
      </c>
      <c r="T339" s="41">
        <f t="shared" si="75"/>
        <v>0.17568565667700392</v>
      </c>
      <c r="U339" s="41">
        <f t="shared" si="92"/>
        <v>-3.6171883243296676E-3</v>
      </c>
      <c r="V339" s="41">
        <f t="shared" si="93"/>
        <v>-4.899053829712452E-3</v>
      </c>
      <c r="W339" s="39">
        <f t="shared" si="79"/>
        <v>259.10000000000002</v>
      </c>
      <c r="X339" s="21"/>
    </row>
    <row r="340" spans="1:24" x14ac:dyDescent="0.2">
      <c r="A340" s="38">
        <v>45432</v>
      </c>
      <c r="B340" s="39">
        <v>260.20999999999998</v>
      </c>
      <c r="C340" s="39">
        <v>530.05999999999995</v>
      </c>
      <c r="D340" s="39">
        <v>46.14</v>
      </c>
      <c r="E340" s="41">
        <f t="shared" si="80"/>
        <v>4.2840602084135426E-3</v>
      </c>
      <c r="F340" s="41">
        <f t="shared" si="81"/>
        <v>1.1521390121822517E-3</v>
      </c>
      <c r="G340" s="41">
        <f t="shared" si="82"/>
        <v>1.4107433532284386E-3</v>
      </c>
      <c r="H340" s="41">
        <f t="shared" si="83"/>
        <v>0.44729962734300854</v>
      </c>
      <c r="I340" s="41">
        <f t="shared" si="84"/>
        <v>0.31050510544663257</v>
      </c>
      <c r="J340" s="41">
        <f t="shared" si="85"/>
        <v>0.10873483119067617</v>
      </c>
      <c r="K340" s="42">
        <f t="shared" si="76"/>
        <v>144.72996273430113</v>
      </c>
      <c r="L340" s="42">
        <f t="shared" si="77"/>
        <v>131.05051054466338</v>
      </c>
      <c r="M340" s="42">
        <f t="shared" si="78"/>
        <v>110.87348311906764</v>
      </c>
      <c r="N340" s="41">
        <f t="shared" si="86"/>
        <v>0.10438305148743021</v>
      </c>
      <c r="O340" s="41">
        <f t="shared" si="87"/>
        <v>0.30536137823752307</v>
      </c>
      <c r="P340" s="39">
        <f t="shared" si="88"/>
        <v>237.37241817158269</v>
      </c>
      <c r="Q340" s="42">
        <f t="shared" si="89"/>
        <v>1.4472996273430085</v>
      </c>
      <c r="R340" s="42">
        <f t="shared" si="90"/>
        <v>1.532843873407862</v>
      </c>
      <c r="S340" s="41">
        <f t="shared" si="91"/>
        <v>-5.5807540186509019E-2</v>
      </c>
      <c r="T340" s="41">
        <f t="shared" si="75"/>
        <v>0.17587580452184387</v>
      </c>
      <c r="U340" s="41">
        <f t="shared" si="92"/>
        <v>0</v>
      </c>
      <c r="V340" s="41">
        <f t="shared" si="93"/>
        <v>3.1319211962312909E-3</v>
      </c>
      <c r="W340" s="39">
        <f t="shared" si="79"/>
        <v>260.20999999999998</v>
      </c>
      <c r="X340" s="21"/>
    </row>
    <row r="341" spans="1:24" x14ac:dyDescent="0.2">
      <c r="A341" s="38">
        <v>45433</v>
      </c>
      <c r="B341" s="39">
        <v>262.18</v>
      </c>
      <c r="C341" s="39">
        <v>531.36</v>
      </c>
      <c r="D341" s="39">
        <v>46.14</v>
      </c>
      <c r="E341" s="41">
        <f t="shared" si="80"/>
        <v>7.5708081933822946E-3</v>
      </c>
      <c r="F341" s="41">
        <f t="shared" si="81"/>
        <v>2.4525525412217863E-3</v>
      </c>
      <c r="G341" s="41">
        <f t="shared" si="82"/>
        <v>0</v>
      </c>
      <c r="H341" s="41">
        <f t="shared" si="83"/>
        <v>0.45825685521997617</v>
      </c>
      <c r="I341" s="41">
        <f t="shared" si="84"/>
        <v>0.31371918807327992</v>
      </c>
      <c r="J341" s="41">
        <f t="shared" si="85"/>
        <v>0.10873483119067617</v>
      </c>
      <c r="K341" s="42">
        <f t="shared" si="76"/>
        <v>145.82568552199791</v>
      </c>
      <c r="L341" s="42">
        <f t="shared" si="77"/>
        <v>131.37191880732811</v>
      </c>
      <c r="M341" s="42">
        <f t="shared" si="78"/>
        <v>110.87348311906764</v>
      </c>
      <c r="N341" s="41">
        <f t="shared" si="86"/>
        <v>0.11002173711010288</v>
      </c>
      <c r="O341" s="41">
        <f t="shared" si="87"/>
        <v>0.31524401885520859</v>
      </c>
      <c r="P341" s="39">
        <f t="shared" si="88"/>
        <v>237.61925978181571</v>
      </c>
      <c r="Q341" s="42">
        <f t="shared" si="89"/>
        <v>1.4582568552199762</v>
      </c>
      <c r="R341" s="42">
        <f t="shared" si="90"/>
        <v>1.532843873407862</v>
      </c>
      <c r="S341" s="41">
        <f t="shared" si="91"/>
        <v>-4.8659240175623286E-2</v>
      </c>
      <c r="T341" s="41">
        <f t="shared" si="75"/>
        <v>0.17387456530615247</v>
      </c>
      <c r="U341" s="41">
        <f t="shared" si="92"/>
        <v>0</v>
      </c>
      <c r="V341" s="41">
        <f t="shared" si="93"/>
        <v>5.1182556521605083E-3</v>
      </c>
      <c r="W341" s="39">
        <f t="shared" si="79"/>
        <v>262.18</v>
      </c>
      <c r="X341" s="21"/>
    </row>
    <row r="342" spans="1:24" x14ac:dyDescent="0.2">
      <c r="A342" s="38">
        <v>45434</v>
      </c>
      <c r="B342" s="39">
        <v>260.87</v>
      </c>
      <c r="C342" s="39">
        <v>529.83000000000004</v>
      </c>
      <c r="D342" s="39">
        <v>45.69</v>
      </c>
      <c r="E342" s="41">
        <f t="shared" si="80"/>
        <v>-4.9965672438783137E-3</v>
      </c>
      <c r="F342" s="41">
        <f t="shared" si="81"/>
        <v>-2.8794037940378381E-3</v>
      </c>
      <c r="G342" s="41">
        <f t="shared" si="82"/>
        <v>-9.7529258777634409E-3</v>
      </c>
      <c r="H342" s="41">
        <f t="shared" si="83"/>
        <v>0.45097057678402308</v>
      </c>
      <c r="I342" s="41">
        <f t="shared" si="84"/>
        <v>0.30993646005884146</v>
      </c>
      <c r="J342" s="41">
        <f t="shared" si="85"/>
        <v>9.7921422563978844E-2</v>
      </c>
      <c r="K342" s="42">
        <f t="shared" si="76"/>
        <v>145.09705767840259</v>
      </c>
      <c r="L342" s="42">
        <f t="shared" si="77"/>
        <v>130.99364600588424</v>
      </c>
      <c r="M342" s="42">
        <f t="shared" si="78"/>
        <v>109.79214225639792</v>
      </c>
      <c r="N342" s="41">
        <f t="shared" si="86"/>
        <v>0.10766485323940556</v>
      </c>
      <c r="O342" s="41">
        <f t="shared" si="87"/>
        <v>0.32156140408989153</v>
      </c>
      <c r="P342" s="39">
        <f t="shared" si="88"/>
        <v>237.85061043075288</v>
      </c>
      <c r="Q342" s="42">
        <f t="shared" si="89"/>
        <v>1.4509705767840231</v>
      </c>
      <c r="R342" s="42">
        <f t="shared" si="90"/>
        <v>1.532843873407862</v>
      </c>
      <c r="S342" s="41">
        <f t="shared" si="91"/>
        <v>-5.3412678253928036E-2</v>
      </c>
      <c r="T342" s="41">
        <f t="shared" si="75"/>
        <v>0.17307414896177262</v>
      </c>
      <c r="U342" s="41">
        <f t="shared" si="92"/>
        <v>-5.1522171066695766E-3</v>
      </c>
      <c r="V342" s="41">
        <f t="shared" si="93"/>
        <v>-2.1171634498404757E-3</v>
      </c>
      <c r="W342" s="39">
        <f t="shared" si="79"/>
        <v>260.87</v>
      </c>
      <c r="X342" s="21"/>
    </row>
    <row r="343" spans="1:24" x14ac:dyDescent="0.2">
      <c r="A343" s="38">
        <v>45435</v>
      </c>
      <c r="B343" s="39">
        <v>257.20999999999998</v>
      </c>
      <c r="C343" s="39">
        <v>525.96</v>
      </c>
      <c r="D343" s="39">
        <v>45.284999999999997</v>
      </c>
      <c r="E343" s="41">
        <f t="shared" si="80"/>
        <v>-1.4029976616705686E-2</v>
      </c>
      <c r="F343" s="41">
        <f t="shared" si="81"/>
        <v>-7.3042296585696942E-3</v>
      </c>
      <c r="G343" s="41">
        <f t="shared" si="82"/>
        <v>-8.864084044648779E-3</v>
      </c>
      <c r="H343" s="41">
        <f t="shared" si="83"/>
        <v>0.43061349352021527</v>
      </c>
      <c r="I343" s="41">
        <f t="shared" si="84"/>
        <v>0.30036838331643789</v>
      </c>
      <c r="J343" s="41">
        <f t="shared" si="85"/>
        <v>8.8189354799951492E-2</v>
      </c>
      <c r="K343" s="42">
        <f t="shared" si="76"/>
        <v>143.06134935202181</v>
      </c>
      <c r="L343" s="42">
        <f t="shared" si="77"/>
        <v>130.03683833164388</v>
      </c>
      <c r="M343" s="42">
        <f t="shared" si="78"/>
        <v>108.81893547999518</v>
      </c>
      <c r="N343" s="41">
        <f t="shared" si="86"/>
        <v>0.10016016374652414</v>
      </c>
      <c r="O343" s="41">
        <f t="shared" si="87"/>
        <v>0.31467330314328779</v>
      </c>
      <c r="P343" s="39">
        <f t="shared" si="88"/>
        <v>238.04324117273546</v>
      </c>
      <c r="Q343" s="42">
        <f t="shared" si="89"/>
        <v>1.4306134935202153</v>
      </c>
      <c r="R343" s="42">
        <f t="shared" si="90"/>
        <v>1.532843873407862</v>
      </c>
      <c r="S343" s="41">
        <f t="shared" si="91"/>
        <v>-6.6693276243695476E-2</v>
      </c>
      <c r="T343" s="41">
        <f t="shared" si="75"/>
        <v>0.17516513550739152</v>
      </c>
      <c r="U343" s="41">
        <f t="shared" si="92"/>
        <v>-1.4185626479496949E-2</v>
      </c>
      <c r="V343" s="41">
        <f t="shared" si="93"/>
        <v>-6.7257469581359919E-3</v>
      </c>
      <c r="W343" s="39">
        <f t="shared" si="79"/>
        <v>257.20999999999998</v>
      </c>
      <c r="X343" s="21"/>
    </row>
    <row r="344" spans="1:24" x14ac:dyDescent="0.2">
      <c r="A344" s="38">
        <v>45436</v>
      </c>
      <c r="B344" s="39">
        <v>259.25</v>
      </c>
      <c r="C344" s="39">
        <v>529.44000000000005</v>
      </c>
      <c r="D344" s="39">
        <v>45.68</v>
      </c>
      <c r="E344" s="41">
        <f t="shared" si="80"/>
        <v>7.9312623925975601E-3</v>
      </c>
      <c r="F344" s="41">
        <f t="shared" si="81"/>
        <v>6.616472735569312E-3</v>
      </c>
      <c r="G344" s="41">
        <f t="shared" si="82"/>
        <v>8.7225350557580406E-3</v>
      </c>
      <c r="H344" s="41">
        <f t="shared" si="83"/>
        <v>0.44196006451971481</v>
      </c>
      <c r="I344" s="41">
        <f t="shared" si="84"/>
        <v>0.3089722352708475</v>
      </c>
      <c r="J344" s="41">
        <f t="shared" si="85"/>
        <v>9.7681124594496849E-2</v>
      </c>
      <c r="K344" s="42">
        <f t="shared" si="76"/>
        <v>144.19600645197175</v>
      </c>
      <c r="L344" s="42">
        <f t="shared" si="77"/>
        <v>130.89722352708483</v>
      </c>
      <c r="M344" s="42">
        <f t="shared" si="78"/>
        <v>109.76811245944971</v>
      </c>
      <c r="N344" s="41">
        <f t="shared" si="86"/>
        <v>0.10159713526799896</v>
      </c>
      <c r="O344" s="41">
        <f t="shared" si="87"/>
        <v>0.31364203338414942</v>
      </c>
      <c r="P344" s="39">
        <f t="shared" si="88"/>
        <v>238.2542536983799</v>
      </c>
      <c r="Q344" s="42">
        <f t="shared" si="89"/>
        <v>1.4419600645197148</v>
      </c>
      <c r="R344" s="42">
        <f t="shared" si="90"/>
        <v>1.532843873407862</v>
      </c>
      <c r="S344" s="41">
        <f t="shared" si="91"/>
        <v>-5.9290975724808681E-2</v>
      </c>
      <c r="T344" s="41">
        <f t="shared" si="75"/>
        <v>0.17364951498212985</v>
      </c>
      <c r="U344" s="41">
        <f t="shared" si="92"/>
        <v>0</v>
      </c>
      <c r="V344" s="41">
        <f t="shared" si="93"/>
        <v>1.314789657028248E-3</v>
      </c>
      <c r="W344" s="39">
        <f t="shared" si="79"/>
        <v>259.25</v>
      </c>
      <c r="X344" s="21"/>
    </row>
    <row r="345" spans="1:24" x14ac:dyDescent="0.2">
      <c r="A345" s="38">
        <v>45440</v>
      </c>
      <c r="B345" s="39">
        <v>253.98</v>
      </c>
      <c r="C345" s="39">
        <v>529.80999999999995</v>
      </c>
      <c r="D345" s="39">
        <v>45.505000000000003</v>
      </c>
      <c r="E345" s="41">
        <f t="shared" si="80"/>
        <v>-2.0327868852459074E-2</v>
      </c>
      <c r="F345" s="41">
        <f t="shared" si="81"/>
        <v>6.988516168024983E-4</v>
      </c>
      <c r="G345" s="41">
        <f t="shared" si="82"/>
        <v>-3.8309982486864902E-3</v>
      </c>
      <c r="H345" s="41">
        <f t="shared" si="83"/>
        <v>0.41264808943767473</v>
      </c>
      <c r="I345" s="41">
        <f t="shared" si="84"/>
        <v>0.30988701263381602</v>
      </c>
      <c r="J345" s="41">
        <f t="shared" si="85"/>
        <v>9.3475910128559159E-2</v>
      </c>
      <c r="K345" s="42">
        <f t="shared" si="76"/>
        <v>141.26480894376775</v>
      </c>
      <c r="L345" s="42">
        <f t="shared" si="77"/>
        <v>130.9887012633817</v>
      </c>
      <c r="M345" s="42">
        <f t="shared" si="78"/>
        <v>109.34759101285594</v>
      </c>
      <c r="N345" s="41">
        <f t="shared" si="86"/>
        <v>7.8450336412783317E-2</v>
      </c>
      <c r="O345" s="41">
        <f t="shared" si="87"/>
        <v>0.29188770996481361</v>
      </c>
      <c r="P345" s="39">
        <f t="shared" si="88"/>
        <v>238.41072878595824</v>
      </c>
      <c r="Q345" s="42">
        <f t="shared" si="89"/>
        <v>1.4126480894376747</v>
      </c>
      <c r="R345" s="42">
        <f t="shared" si="90"/>
        <v>1.532843873407862</v>
      </c>
      <c r="S345" s="41">
        <f t="shared" si="91"/>
        <v>-7.8413585398599439E-2</v>
      </c>
      <c r="T345" s="41">
        <f t="shared" si="75"/>
        <v>0.17787176102141367</v>
      </c>
      <c r="U345" s="41">
        <f t="shared" si="92"/>
        <v>-2.0483518715250337E-2</v>
      </c>
      <c r="V345" s="41">
        <f t="shared" si="93"/>
        <v>-2.1026720469261573E-2</v>
      </c>
      <c r="W345" s="39">
        <f t="shared" si="79"/>
        <v>253.98</v>
      </c>
      <c r="X345" s="21"/>
    </row>
    <row r="346" spans="1:24" x14ac:dyDescent="0.2">
      <c r="A346" s="38">
        <v>45441</v>
      </c>
      <c r="B346" s="39">
        <v>251.91</v>
      </c>
      <c r="C346" s="39">
        <v>526.1</v>
      </c>
      <c r="D346" s="39">
        <v>44.854999999999997</v>
      </c>
      <c r="E346" s="41">
        <f t="shared" si="80"/>
        <v>-8.1502480510275976E-3</v>
      </c>
      <c r="F346" s="41">
        <f t="shared" si="81"/>
        <v>-7.0025103338930972E-3</v>
      </c>
      <c r="G346" s="41">
        <f t="shared" si="82"/>
        <v>-1.4284144599494675E-2</v>
      </c>
      <c r="H346" s="41">
        <f t="shared" si="83"/>
        <v>0.40113465709994744</v>
      </c>
      <c r="I346" s="41">
        <f t="shared" si="84"/>
        <v>0.3007145152916153</v>
      </c>
      <c r="J346" s="41">
        <f t="shared" si="85"/>
        <v>7.7856542112218818E-2</v>
      </c>
      <c r="K346" s="42">
        <f t="shared" si="76"/>
        <v>140.11346570999498</v>
      </c>
      <c r="L346" s="42">
        <f t="shared" si="77"/>
        <v>130.07145152916161</v>
      </c>
      <c r="M346" s="42">
        <f t="shared" si="78"/>
        <v>107.78565421122191</v>
      </c>
      <c r="N346" s="41">
        <f t="shared" si="86"/>
        <v>7.7203829608850194E-2</v>
      </c>
      <c r="O346" s="41">
        <f t="shared" si="87"/>
        <v>0.29992684773635792</v>
      </c>
      <c r="P346" s="39">
        <f t="shared" si="88"/>
        <v>238.54504989256563</v>
      </c>
      <c r="Q346" s="42">
        <f t="shared" si="89"/>
        <v>1.4011346570999474</v>
      </c>
      <c r="R346" s="42">
        <f t="shared" si="90"/>
        <v>1.532843873407862</v>
      </c>
      <c r="S346" s="41">
        <f t="shared" si="91"/>
        <v>-8.5924743278057991E-2</v>
      </c>
      <c r="T346" s="41">
        <f t="shared" si="75"/>
        <v>0.17843370476337392</v>
      </c>
      <c r="U346" s="41">
        <f t="shared" si="92"/>
        <v>-8.3058979138188604E-3</v>
      </c>
      <c r="V346" s="41">
        <f t="shared" si="93"/>
        <v>-1.1477377171345005E-3</v>
      </c>
      <c r="W346" s="39">
        <f t="shared" si="79"/>
        <v>251.91</v>
      </c>
      <c r="X346" s="21"/>
    </row>
    <row r="347" spans="1:24" x14ac:dyDescent="0.2">
      <c r="A347" s="38">
        <v>45442</v>
      </c>
      <c r="B347" s="39">
        <v>254.08</v>
      </c>
      <c r="C347" s="39">
        <v>522.61</v>
      </c>
      <c r="D347" s="39">
        <v>45.22</v>
      </c>
      <c r="E347" s="41">
        <f t="shared" si="80"/>
        <v>8.6141876066849754E-3</v>
      </c>
      <c r="F347" s="41">
        <f t="shared" si="81"/>
        <v>-6.6337198251282814E-3</v>
      </c>
      <c r="G347" s="41">
        <f t="shared" si="82"/>
        <v>8.1373314011816689E-3</v>
      </c>
      <c r="H347" s="41">
        <f t="shared" si="83"/>
        <v>0.4132042938984346</v>
      </c>
      <c r="I347" s="41">
        <f t="shared" si="84"/>
        <v>0.29208593962469309</v>
      </c>
      <c r="J347" s="41">
        <f t="shared" si="85"/>
        <v>8.6627417998317746E-2</v>
      </c>
      <c r="K347" s="42">
        <f t="shared" si="76"/>
        <v>141.32042938984372</v>
      </c>
      <c r="L347" s="42">
        <f t="shared" si="77"/>
        <v>129.20859396246939</v>
      </c>
      <c r="M347" s="42">
        <f t="shared" si="78"/>
        <v>108.66274179983178</v>
      </c>
      <c r="N347" s="41">
        <f t="shared" si="86"/>
        <v>9.3738621061786542E-2</v>
      </c>
      <c r="O347" s="41">
        <f t="shared" si="87"/>
        <v>0.30054172248083511</v>
      </c>
      <c r="P347" s="39">
        <f t="shared" si="88"/>
        <v>238.69962651055005</v>
      </c>
      <c r="Q347" s="42">
        <f t="shared" si="89"/>
        <v>1.4132042938984346</v>
      </c>
      <c r="R347" s="42">
        <f t="shared" si="90"/>
        <v>1.532843873407862</v>
      </c>
      <c r="S347" s="41">
        <f t="shared" si="91"/>
        <v>-7.8050727530026398E-2</v>
      </c>
      <c r="T347" s="41">
        <f t="shared" si="75"/>
        <v>0.17831716253700045</v>
      </c>
      <c r="U347" s="41">
        <f t="shared" si="92"/>
        <v>0</v>
      </c>
      <c r="V347" s="41">
        <f t="shared" si="93"/>
        <v>1.5247907431813257E-2</v>
      </c>
      <c r="W347" s="39">
        <f t="shared" si="79"/>
        <v>254.08</v>
      </c>
      <c r="X347" s="21"/>
    </row>
    <row r="348" spans="1:24" x14ac:dyDescent="0.2">
      <c r="A348" s="38">
        <v>45443</v>
      </c>
      <c r="B348" s="39">
        <v>255.77</v>
      </c>
      <c r="C348" s="39">
        <v>527.37</v>
      </c>
      <c r="D348" s="39">
        <v>45.765000000000001</v>
      </c>
      <c r="E348" s="41">
        <f t="shared" si="80"/>
        <v>6.651448362720469E-3</v>
      </c>
      <c r="F348" s="41">
        <f t="shared" si="81"/>
        <v>9.1081303457645202E-3</v>
      </c>
      <c r="G348" s="41">
        <f t="shared" si="82"/>
        <v>1.2052189296771321E-2</v>
      </c>
      <c r="H348" s="41">
        <f t="shared" si="83"/>
        <v>0.42260414928527479</v>
      </c>
      <c r="I348" s="41">
        <f t="shared" si="84"/>
        <v>0.30385442678072438</v>
      </c>
      <c r="J348" s="41">
        <f t="shared" si="85"/>
        <v>9.972365733509525E-2</v>
      </c>
      <c r="K348" s="42">
        <f t="shared" si="76"/>
        <v>142.26041492852775</v>
      </c>
      <c r="L348" s="42">
        <f t="shared" si="77"/>
        <v>130.38544267807254</v>
      </c>
      <c r="M348" s="42">
        <f t="shared" si="78"/>
        <v>109.97236573350955</v>
      </c>
      <c r="N348" s="41">
        <f t="shared" si="86"/>
        <v>9.1075905458056994E-2</v>
      </c>
      <c r="O348" s="41">
        <f t="shared" si="87"/>
        <v>0.29360147869565667</v>
      </c>
      <c r="P348" s="39">
        <f t="shared" si="88"/>
        <v>238.86948097313166</v>
      </c>
      <c r="Q348" s="42">
        <f t="shared" si="89"/>
        <v>1.4226041492852748</v>
      </c>
      <c r="R348" s="42">
        <f t="shared" si="90"/>
        <v>1.532843873407862</v>
      </c>
      <c r="S348" s="41">
        <f t="shared" si="91"/>
        <v>-7.1918429551144802E-2</v>
      </c>
      <c r="T348" s="41">
        <f t="shared" ref="T348:T411" si="94">IFERROR(_xlfn.STDEV.S(E289:E348)*SQRT($D$7),"")</f>
        <v>0.17786098890416413</v>
      </c>
      <c r="U348" s="41">
        <f t="shared" si="92"/>
        <v>0</v>
      </c>
      <c r="V348" s="41">
        <f t="shared" si="93"/>
        <v>-2.4566819830440512E-3</v>
      </c>
      <c r="W348" s="39">
        <f t="shared" si="79"/>
        <v>255.77</v>
      </c>
      <c r="X348" s="21"/>
    </row>
    <row r="349" spans="1:24" x14ac:dyDescent="0.2">
      <c r="A349" s="38">
        <v>45446</v>
      </c>
      <c r="B349" s="39">
        <v>252.19</v>
      </c>
      <c r="C349" s="39">
        <v>527.79999999999995</v>
      </c>
      <c r="D349" s="39">
        <v>45.494999999999997</v>
      </c>
      <c r="E349" s="41">
        <f t="shared" si="80"/>
        <v>-1.3996950385111617E-2</v>
      </c>
      <c r="F349" s="41">
        <f t="shared" si="81"/>
        <v>8.1536682025884488E-4</v>
      </c>
      <c r="G349" s="41">
        <f t="shared" si="82"/>
        <v>-5.8997050147493457E-3</v>
      </c>
      <c r="H349" s="41">
        <f t="shared" si="83"/>
        <v>0.40269202959007488</v>
      </c>
      <c r="I349" s="41">
        <f t="shared" si="84"/>
        <v>0.304917546418769</v>
      </c>
      <c r="J349" s="41">
        <f t="shared" si="85"/>
        <v>9.3235612159076942E-2</v>
      </c>
      <c r="K349" s="42">
        <f t="shared" si="76"/>
        <v>140.26920295900774</v>
      </c>
      <c r="L349" s="42">
        <f t="shared" si="77"/>
        <v>130.49175464187701</v>
      </c>
      <c r="M349" s="42">
        <f t="shared" si="78"/>
        <v>109.32356121590772</v>
      </c>
      <c r="N349" s="41">
        <f t="shared" si="86"/>
        <v>7.4927709754259331E-2</v>
      </c>
      <c r="O349" s="41">
        <f t="shared" si="87"/>
        <v>0.2830647062620284</v>
      </c>
      <c r="P349" s="39">
        <f t="shared" si="88"/>
        <v>239.00202345101096</v>
      </c>
      <c r="Q349" s="42">
        <f t="shared" si="89"/>
        <v>1.4026920295900749</v>
      </c>
      <c r="R349" s="42">
        <f t="shared" si="90"/>
        <v>1.532843873407862</v>
      </c>
      <c r="S349" s="41">
        <f t="shared" si="91"/>
        <v>-8.4908741246053854E-2</v>
      </c>
      <c r="T349" s="41">
        <f t="shared" si="94"/>
        <v>0.17712775976892794</v>
      </c>
      <c r="U349" s="41">
        <f t="shared" si="92"/>
        <v>-1.415260024790288E-2</v>
      </c>
      <c r="V349" s="41">
        <f t="shared" si="93"/>
        <v>-1.4812317205370462E-2</v>
      </c>
      <c r="W349" s="39">
        <f t="shared" si="79"/>
        <v>252.19</v>
      </c>
      <c r="X349" s="21"/>
    </row>
    <row r="350" spans="1:24" x14ac:dyDescent="0.2">
      <c r="A350" s="38">
        <v>45447</v>
      </c>
      <c r="B350" s="39">
        <v>250.46</v>
      </c>
      <c r="C350" s="39">
        <v>528.39</v>
      </c>
      <c r="D350" s="39">
        <v>44.99</v>
      </c>
      <c r="E350" s="41">
        <f t="shared" si="80"/>
        <v>-6.8599072128157079E-3</v>
      </c>
      <c r="F350" s="41">
        <f t="shared" si="81"/>
        <v>1.1178476695719031E-3</v>
      </c>
      <c r="G350" s="41">
        <f t="shared" si="82"/>
        <v>-1.110012089240564E-2</v>
      </c>
      <c r="H350" s="41">
        <f t="shared" si="83"/>
        <v>0.39306969241893075</v>
      </c>
      <c r="I350" s="41">
        <f t="shared" si="84"/>
        <v>0.30637624545701669</v>
      </c>
      <c r="J350" s="41">
        <f t="shared" si="85"/>
        <v>8.1100564700228084E-2</v>
      </c>
      <c r="K350" s="42">
        <f t="shared" si="76"/>
        <v>139.30696924189334</v>
      </c>
      <c r="L350" s="42">
        <f t="shared" si="77"/>
        <v>130.63762454570178</v>
      </c>
      <c r="M350" s="42">
        <f t="shared" si="78"/>
        <v>108.11005647002283</v>
      </c>
      <c r="N350" s="41">
        <f t="shared" si="86"/>
        <v>6.6361775379332411E-2</v>
      </c>
      <c r="O350" s="41">
        <f t="shared" si="87"/>
        <v>0.28856624249863994</v>
      </c>
      <c r="P350" s="39">
        <f t="shared" si="88"/>
        <v>239.11603316791633</v>
      </c>
      <c r="Q350" s="42">
        <f t="shared" si="89"/>
        <v>1.3930696924189307</v>
      </c>
      <c r="R350" s="42">
        <f t="shared" si="90"/>
        <v>1.532843873407862</v>
      </c>
      <c r="S350" s="41">
        <f t="shared" si="91"/>
        <v>-9.1186182372364755E-2</v>
      </c>
      <c r="T350" s="41">
        <f t="shared" si="94"/>
        <v>0.17464925203757889</v>
      </c>
      <c r="U350" s="41">
        <f t="shared" si="92"/>
        <v>-7.0155570756069707E-3</v>
      </c>
      <c r="V350" s="41">
        <f t="shared" si="93"/>
        <v>-7.977754882387611E-3</v>
      </c>
      <c r="W350" s="39">
        <f t="shared" si="79"/>
        <v>250.46</v>
      </c>
      <c r="X350" s="21"/>
    </row>
    <row r="351" spans="1:24" x14ac:dyDescent="0.2">
      <c r="A351" s="38">
        <v>45448</v>
      </c>
      <c r="B351" s="39">
        <v>251.18</v>
      </c>
      <c r="C351" s="39">
        <v>534.66999999999996</v>
      </c>
      <c r="D351" s="39">
        <v>45.3</v>
      </c>
      <c r="E351" s="41">
        <f t="shared" si="80"/>
        <v>2.8747105326198952E-3</v>
      </c>
      <c r="F351" s="41">
        <f t="shared" si="81"/>
        <v>1.1885160582145726E-2</v>
      </c>
      <c r="G351" s="41">
        <f t="shared" si="82"/>
        <v>6.8904200933539439E-3</v>
      </c>
      <c r="H351" s="41">
        <f t="shared" si="83"/>
        <v>0.39707436453640099</v>
      </c>
      <c r="I351" s="41">
        <f t="shared" si="84"/>
        <v>0.32190273691497406</v>
      </c>
      <c r="J351" s="41">
        <f t="shared" si="85"/>
        <v>8.8549801754174817E-2</v>
      </c>
      <c r="K351" s="42">
        <f t="shared" si="76"/>
        <v>139.70743645364036</v>
      </c>
      <c r="L351" s="42">
        <f t="shared" si="77"/>
        <v>132.19027369149751</v>
      </c>
      <c r="M351" s="42">
        <f t="shared" si="78"/>
        <v>108.85498017541751</v>
      </c>
      <c r="N351" s="41">
        <f t="shared" si="86"/>
        <v>5.6866231926307131E-2</v>
      </c>
      <c r="O351" s="41">
        <f t="shared" si="87"/>
        <v>0.28342714525788848</v>
      </c>
      <c r="P351" s="39">
        <f t="shared" si="88"/>
        <v>239.23607263888235</v>
      </c>
      <c r="Q351" s="42">
        <f t="shared" si="89"/>
        <v>1.397074364536401</v>
      </c>
      <c r="R351" s="42">
        <f t="shared" si="90"/>
        <v>1.532843873407862</v>
      </c>
      <c r="S351" s="41">
        <f t="shared" si="91"/>
        <v>-8.8573605718640036E-2</v>
      </c>
      <c r="T351" s="41">
        <f t="shared" si="94"/>
        <v>0.17443325587290995</v>
      </c>
      <c r="U351" s="41">
        <f t="shared" si="92"/>
        <v>0</v>
      </c>
      <c r="V351" s="41">
        <f t="shared" si="93"/>
        <v>-9.0104500495258311E-3</v>
      </c>
      <c r="W351" s="39">
        <f t="shared" si="79"/>
        <v>251.18</v>
      </c>
      <c r="X351" s="21"/>
    </row>
    <row r="352" spans="1:24" x14ac:dyDescent="0.2">
      <c r="A352" s="38">
        <v>45449</v>
      </c>
      <c r="B352" s="39">
        <v>248.58</v>
      </c>
      <c r="C352" s="39">
        <v>534.66</v>
      </c>
      <c r="D352" s="39">
        <v>45.35</v>
      </c>
      <c r="E352" s="41">
        <f t="shared" si="80"/>
        <v>-1.0351142606895403E-2</v>
      </c>
      <c r="F352" s="41">
        <f t="shared" si="81"/>
        <v>-1.8703125292174327E-5</v>
      </c>
      <c r="G352" s="41">
        <f t="shared" si="82"/>
        <v>1.1037527593820151E-3</v>
      </c>
      <c r="H352" s="41">
        <f t="shared" si="83"/>
        <v>0.38261304855664702</v>
      </c>
      <c r="I352" s="41">
        <f t="shared" si="84"/>
        <v>0.32187801320246145</v>
      </c>
      <c r="J352" s="41">
        <f t="shared" si="85"/>
        <v>8.9751291601585681E-2</v>
      </c>
      <c r="K352" s="42">
        <f t="shared" si="76"/>
        <v>138.26130485566495</v>
      </c>
      <c r="L352" s="42">
        <f t="shared" si="77"/>
        <v>132.18780132024622</v>
      </c>
      <c r="M352" s="42">
        <f t="shared" si="78"/>
        <v>108.97512916015859</v>
      </c>
      <c r="N352" s="41">
        <f t="shared" si="86"/>
        <v>4.5946021302710971E-2</v>
      </c>
      <c r="O352" s="41">
        <f t="shared" si="87"/>
        <v>0.26874183055534462</v>
      </c>
      <c r="P352" s="39">
        <f t="shared" si="88"/>
        <v>239.32904704048551</v>
      </c>
      <c r="Q352" s="42">
        <f t="shared" si="89"/>
        <v>1.382613048556647</v>
      </c>
      <c r="R352" s="42">
        <f t="shared" si="90"/>
        <v>1.532843873407862</v>
      </c>
      <c r="S352" s="41">
        <f t="shared" si="91"/>
        <v>-9.8007910301534884E-2</v>
      </c>
      <c r="T352" s="41">
        <f t="shared" si="94"/>
        <v>0.17125420415863973</v>
      </c>
      <c r="U352" s="41">
        <f t="shared" si="92"/>
        <v>-1.0506792469686665E-2</v>
      </c>
      <c r="V352" s="41">
        <f t="shared" si="93"/>
        <v>-1.0332439481603228E-2</v>
      </c>
      <c r="W352" s="39">
        <f t="shared" si="79"/>
        <v>248.58</v>
      </c>
      <c r="X352" s="21"/>
    </row>
    <row r="353" spans="1:24" x14ac:dyDescent="0.2">
      <c r="A353" s="38">
        <v>45450</v>
      </c>
      <c r="B353" s="39">
        <v>247.59</v>
      </c>
      <c r="C353" s="39">
        <v>534.01</v>
      </c>
      <c r="D353" s="39">
        <v>44.895000000000003</v>
      </c>
      <c r="E353" s="41">
        <f t="shared" si="80"/>
        <v>-3.9826212889211288E-3</v>
      </c>
      <c r="F353" s="41">
        <f t="shared" si="81"/>
        <v>-1.215725881868801E-3</v>
      </c>
      <c r="G353" s="41">
        <f t="shared" si="82"/>
        <v>-1.0033076074972391E-2</v>
      </c>
      <c r="H353" s="41">
        <f t="shared" si="83"/>
        <v>0.3771066243951251</v>
      </c>
      <c r="I353" s="41">
        <f t="shared" si="84"/>
        <v>0.32027097188913789</v>
      </c>
      <c r="J353" s="41">
        <f t="shared" si="85"/>
        <v>7.8817733990147465E-2</v>
      </c>
      <c r="K353" s="42">
        <f t="shared" si="76"/>
        <v>137.71066243951279</v>
      </c>
      <c r="L353" s="42">
        <f t="shared" si="77"/>
        <v>132.02709718891387</v>
      </c>
      <c r="M353" s="42">
        <f t="shared" si="78"/>
        <v>107.88177339901479</v>
      </c>
      <c r="N353" s="41">
        <f t="shared" si="86"/>
        <v>4.3048475438843159E-2</v>
      </c>
      <c r="O353" s="41">
        <f t="shared" si="87"/>
        <v>0.27649609475895187</v>
      </c>
      <c r="P353" s="39">
        <f t="shared" si="88"/>
        <v>239.4112455773961</v>
      </c>
      <c r="Q353" s="42">
        <f t="shared" si="89"/>
        <v>1.3771066243951251</v>
      </c>
      <c r="R353" s="42">
        <f t="shared" si="90"/>
        <v>1.532843873407862</v>
      </c>
      <c r="S353" s="41">
        <f t="shared" si="91"/>
        <v>-0.10160020320040641</v>
      </c>
      <c r="T353" s="41">
        <f t="shared" si="94"/>
        <v>0.17134113627076844</v>
      </c>
      <c r="U353" s="41">
        <f t="shared" si="92"/>
        <v>-4.1382711517123916E-3</v>
      </c>
      <c r="V353" s="41">
        <f t="shared" si="93"/>
        <v>-2.7668954070523277E-3</v>
      </c>
      <c r="W353" s="39">
        <f t="shared" si="79"/>
        <v>247.59</v>
      </c>
      <c r="X353" s="21"/>
    </row>
    <row r="354" spans="1:24" x14ac:dyDescent="0.2">
      <c r="A354" s="38">
        <v>45453</v>
      </c>
      <c r="B354" s="39">
        <v>247.81</v>
      </c>
      <c r="C354" s="39">
        <v>535.66</v>
      </c>
      <c r="D354" s="39">
        <v>44.85</v>
      </c>
      <c r="E354" s="41">
        <f t="shared" si="80"/>
        <v>8.8856577406204451E-4</v>
      </c>
      <c r="F354" s="41">
        <f t="shared" si="81"/>
        <v>3.0898297784685003E-3</v>
      </c>
      <c r="G354" s="41">
        <f t="shared" si="82"/>
        <v>-1.0023387905112591E-3</v>
      </c>
      <c r="H354" s="41">
        <f t="shared" si="83"/>
        <v>0.37833027420879684</v>
      </c>
      <c r="I354" s="41">
        <f t="shared" si="84"/>
        <v>0.32435038445372855</v>
      </c>
      <c r="J354" s="41">
        <f t="shared" si="85"/>
        <v>7.773639312747771E-2</v>
      </c>
      <c r="K354" s="42">
        <f t="shared" si="76"/>
        <v>137.83302742087992</v>
      </c>
      <c r="L354" s="42">
        <f t="shared" si="77"/>
        <v>132.43503844537295</v>
      </c>
      <c r="M354" s="42">
        <f t="shared" si="78"/>
        <v>107.77363931274782</v>
      </c>
      <c r="N354" s="41">
        <f t="shared" si="86"/>
        <v>4.0759522848882623E-2</v>
      </c>
      <c r="O354" s="41">
        <f t="shared" si="87"/>
        <v>0.27891224885616728</v>
      </c>
      <c r="P354" s="39">
        <f t="shared" si="88"/>
        <v>239.49481527314342</v>
      </c>
      <c r="Q354" s="42">
        <f t="shared" si="89"/>
        <v>1.3783302742087968</v>
      </c>
      <c r="R354" s="42">
        <f t="shared" si="90"/>
        <v>1.532843873407862</v>
      </c>
      <c r="S354" s="41">
        <f t="shared" si="91"/>
        <v>-0.10080191588954601</v>
      </c>
      <c r="T354" s="41">
        <f t="shared" si="94"/>
        <v>0.17085915988064077</v>
      </c>
      <c r="U354" s="41">
        <f t="shared" si="92"/>
        <v>0</v>
      </c>
      <c r="V354" s="41">
        <f t="shared" si="93"/>
        <v>-2.2012640044064558E-3</v>
      </c>
      <c r="W354" s="39">
        <f t="shared" si="79"/>
        <v>247.81</v>
      </c>
      <c r="X354" s="21"/>
    </row>
    <row r="355" spans="1:24" x14ac:dyDescent="0.2">
      <c r="A355" s="38">
        <v>45454</v>
      </c>
      <c r="B355" s="39">
        <v>244.64</v>
      </c>
      <c r="C355" s="39">
        <v>536.95000000000005</v>
      </c>
      <c r="D355" s="39">
        <v>44.835000000000001</v>
      </c>
      <c r="E355" s="41">
        <f t="shared" si="80"/>
        <v>-1.2792058431863151E-2</v>
      </c>
      <c r="F355" s="41">
        <f t="shared" si="81"/>
        <v>2.4082440353956347E-3</v>
      </c>
      <c r="G355" s="41">
        <f t="shared" si="82"/>
        <v>-3.3444816053518345E-4</v>
      </c>
      <c r="H355" s="41">
        <f t="shared" si="83"/>
        <v>0.36069859280271199</v>
      </c>
      <c r="I355" s="41">
        <f t="shared" si="84"/>
        <v>0.32753974336786307</v>
      </c>
      <c r="J355" s="41">
        <f t="shared" si="85"/>
        <v>7.7375946173254384E-2</v>
      </c>
      <c r="K355" s="42">
        <f t="shared" si="76"/>
        <v>136.06985928027143</v>
      </c>
      <c r="L355" s="42">
        <f t="shared" si="77"/>
        <v>132.75397433678643</v>
      </c>
      <c r="M355" s="42">
        <f t="shared" si="78"/>
        <v>107.73759461732548</v>
      </c>
      <c r="N355" s="41">
        <f t="shared" si="86"/>
        <v>2.4977669859229668E-2</v>
      </c>
      <c r="O355" s="41">
        <f t="shared" si="87"/>
        <v>0.2629747282142274</v>
      </c>
      <c r="P355" s="39">
        <f t="shared" si="88"/>
        <v>239.54601114107234</v>
      </c>
      <c r="Q355" s="42">
        <f t="shared" si="89"/>
        <v>1.360698592802712</v>
      </c>
      <c r="R355" s="42">
        <f t="shared" si="90"/>
        <v>1.532843873407862</v>
      </c>
      <c r="S355" s="41">
        <f t="shared" si="91"/>
        <v>-0.11230451032330624</v>
      </c>
      <c r="T355" s="41">
        <f t="shared" si="94"/>
        <v>0.17040253724856055</v>
      </c>
      <c r="U355" s="41">
        <f t="shared" si="92"/>
        <v>-1.2947708294654414E-2</v>
      </c>
      <c r="V355" s="41">
        <f t="shared" si="93"/>
        <v>-1.5200302467258786E-2</v>
      </c>
      <c r="W355" s="39">
        <f t="shared" si="79"/>
        <v>244.64</v>
      </c>
      <c r="X355" s="21"/>
    </row>
    <row r="356" spans="1:24" x14ac:dyDescent="0.2">
      <c r="A356" s="38">
        <v>45455</v>
      </c>
      <c r="B356" s="39">
        <v>249.12</v>
      </c>
      <c r="C356" s="39">
        <v>541.36</v>
      </c>
      <c r="D356" s="39">
        <v>44.92</v>
      </c>
      <c r="E356" s="41">
        <f t="shared" si="80"/>
        <v>1.8312622629169439E-2</v>
      </c>
      <c r="F356" s="41">
        <f t="shared" si="81"/>
        <v>8.213055219294052E-3</v>
      </c>
      <c r="G356" s="41">
        <f t="shared" si="82"/>
        <v>1.8958403033344506E-3</v>
      </c>
      <c r="H356" s="41">
        <f t="shared" si="83"/>
        <v>0.38561655264474992</v>
      </c>
      <c r="I356" s="41">
        <f t="shared" si="84"/>
        <v>0.33844290058595083</v>
      </c>
      <c r="J356" s="41">
        <f t="shared" si="85"/>
        <v>7.9418478913852786E-2</v>
      </c>
      <c r="K356" s="42">
        <f t="shared" ref="K356:K419" si="95">IFERROR(B356/$B$36*100,"")</f>
        <v>138.56165526447523</v>
      </c>
      <c r="L356" s="42">
        <f t="shared" ref="L356:L419" si="96">IFERROR(C356/$C$36*100,"")</f>
        <v>133.84429005859519</v>
      </c>
      <c r="M356" s="42">
        <f t="shared" ref="M356:M419" si="97">IFERROR(D356/$D$36*100,"")</f>
        <v>107.94184789138532</v>
      </c>
      <c r="N356" s="41">
        <f t="shared" si="86"/>
        <v>3.5245173356403203E-2</v>
      </c>
      <c r="O356" s="41">
        <f t="shared" si="87"/>
        <v>0.28366947547442756</v>
      </c>
      <c r="P356" s="39">
        <f t="shared" si="88"/>
        <v>239.64127471180794</v>
      </c>
      <c r="Q356" s="42">
        <f t="shared" si="89"/>
        <v>1.3856165526447499</v>
      </c>
      <c r="R356" s="42">
        <f t="shared" si="90"/>
        <v>1.532843873407862</v>
      </c>
      <c r="S356" s="41">
        <f t="shared" si="91"/>
        <v>-9.6048477811241262E-2</v>
      </c>
      <c r="T356" s="41">
        <f t="shared" si="94"/>
        <v>0.17370810817774257</v>
      </c>
      <c r="U356" s="41">
        <f t="shared" si="92"/>
        <v>0</v>
      </c>
      <c r="V356" s="41">
        <f t="shared" si="93"/>
        <v>1.0099567409875387E-2</v>
      </c>
      <c r="W356" s="39">
        <f t="shared" ref="W356:W419" si="98">B356</f>
        <v>249.12</v>
      </c>
      <c r="X356" s="21"/>
    </row>
    <row r="357" spans="1:24" x14ac:dyDescent="0.2">
      <c r="A357" s="38">
        <v>45456</v>
      </c>
      <c r="B357" s="39">
        <v>253.95</v>
      </c>
      <c r="C357" s="39">
        <v>542.45000000000005</v>
      </c>
      <c r="D357" s="39">
        <v>44.905000000000001</v>
      </c>
      <c r="E357" s="41">
        <f t="shared" ref="E357:E420" si="99">IFERROR(B357/B356-1,"")</f>
        <v>1.938824662813099E-2</v>
      </c>
      <c r="F357" s="41">
        <f t="shared" ref="F357:F420" si="100">IFERROR(C357/C356-1,"")</f>
        <v>2.0134476134181511E-3</v>
      </c>
      <c r="G357" s="41">
        <f t="shared" ref="G357:G420" si="101">IFERROR(D357/D356-1,"")</f>
        <v>-3.3392698130008114E-4</v>
      </c>
      <c r="H357" s="41">
        <f t="shared" ref="H357:H420" si="102">IFERROR((1+E357)*(1+H356)-1,"")</f>
        <v>0.41248122809944698</v>
      </c>
      <c r="I357" s="41">
        <f t="shared" ref="I357:I420" si="103">IFERROR((1+F357)*(1+I356)-1,"")</f>
        <v>0.34113778524983207</v>
      </c>
      <c r="J357" s="41">
        <f t="shared" ref="J357:J420" si="104">IFERROR((1+G357)*(1+J356)-1,"")</f>
        <v>7.905803195962946E-2</v>
      </c>
      <c r="K357" s="42">
        <f t="shared" si="95"/>
        <v>141.24812280994493</v>
      </c>
      <c r="L357" s="42">
        <f t="shared" si="96"/>
        <v>134.11377852498333</v>
      </c>
      <c r="M357" s="42">
        <f t="shared" si="97"/>
        <v>107.90580319596299</v>
      </c>
      <c r="N357" s="41">
        <f t="shared" ref="N357:N420" si="105">IFERROR((1+H357)/(1+I357)-1,"")</f>
        <v>5.319620670915981E-2</v>
      </c>
      <c r="O357" s="41">
        <f t="shared" ref="O357:O420" si="106">IFERROR((1+H357)/(1+J357)-1,"")</f>
        <v>0.30899468449746159</v>
      </c>
      <c r="P357" s="39">
        <f t="shared" ref="P357:P420" si="107">IFERROR(B357*0.0099502487562189+P356*(1-0.0099502487562189),"")</f>
        <v>239.78365008780986</v>
      </c>
      <c r="Q357" s="42">
        <f t="shared" ref="Q357:Q420" si="108">Q356*(1+E357)</f>
        <v>1.412481228099447</v>
      </c>
      <c r="R357" s="42">
        <f t="shared" ref="R357:R420" si="109">MAX(R356,Q357)</f>
        <v>1.532843873407862</v>
      </c>
      <c r="S357" s="41">
        <f t="shared" ref="S357:S420" si="110">IFERROR(Q357/R357-1,"")</f>
        <v>-7.8522442759171085E-2</v>
      </c>
      <c r="T357" s="41">
        <f t="shared" si="94"/>
        <v>0.17877790772041771</v>
      </c>
      <c r="U357" s="41">
        <f t="shared" ref="U357:U420" si="111">IFERROR(MIN(E357-$D$6,0),"")</f>
        <v>0</v>
      </c>
      <c r="V357" s="41">
        <f t="shared" ref="V357:V420" si="112">IFERROR(E357-F357,"")</f>
        <v>1.7374799014712838E-2</v>
      </c>
      <c r="W357" s="39">
        <f t="shared" si="98"/>
        <v>253.95</v>
      </c>
      <c r="X357" s="21"/>
    </row>
    <row r="358" spans="1:24" x14ac:dyDescent="0.2">
      <c r="A358" s="38">
        <v>45457</v>
      </c>
      <c r="B358" s="39">
        <v>252.64</v>
      </c>
      <c r="C358" s="39">
        <v>542.78</v>
      </c>
      <c r="D358" s="39">
        <v>44.49</v>
      </c>
      <c r="E358" s="41">
        <f t="shared" si="99"/>
        <v>-5.1584957668832088E-3</v>
      </c>
      <c r="F358" s="41">
        <f t="shared" si="100"/>
        <v>6.0835100009204446E-4</v>
      </c>
      <c r="G358" s="41">
        <f t="shared" si="101"/>
        <v>-9.2417325464869693E-3</v>
      </c>
      <c r="H358" s="41">
        <f t="shared" si="102"/>
        <v>0.4051949496634939</v>
      </c>
      <c r="I358" s="41">
        <f t="shared" si="103"/>
        <v>0.34195366776274994</v>
      </c>
      <c r="J358" s="41">
        <f t="shared" si="104"/>
        <v>6.9085666226119891E-2</v>
      </c>
      <c r="K358" s="42">
        <f t="shared" si="95"/>
        <v>140.51949496634964</v>
      </c>
      <c r="L358" s="42">
        <f t="shared" si="96"/>
        <v>134.19536677627511</v>
      </c>
      <c r="M358" s="42">
        <f t="shared" si="97"/>
        <v>106.90856662261203</v>
      </c>
      <c r="N358" s="41">
        <f t="shared" si="105"/>
        <v>4.7126278216577555E-2</v>
      </c>
      <c r="O358" s="41">
        <f t="shared" si="106"/>
        <v>0.31438947696665154</v>
      </c>
      <c r="P358" s="39">
        <f t="shared" si="107"/>
        <v>239.91157396753314</v>
      </c>
      <c r="Q358" s="42">
        <f t="shared" si="108"/>
        <v>1.4051949496634939</v>
      </c>
      <c r="R358" s="42">
        <f t="shared" si="109"/>
        <v>1.532843873407862</v>
      </c>
      <c r="S358" s="41">
        <f t="shared" si="110"/>
        <v>-8.3275880837475835E-2</v>
      </c>
      <c r="T358" s="41">
        <f t="shared" si="94"/>
        <v>0.17748614548253755</v>
      </c>
      <c r="U358" s="41">
        <f t="shared" si="111"/>
        <v>-5.3141456296744716E-3</v>
      </c>
      <c r="V358" s="41">
        <f t="shared" si="112"/>
        <v>-5.7668467669752532E-3</v>
      </c>
      <c r="W358" s="39">
        <f t="shared" si="98"/>
        <v>252.64</v>
      </c>
      <c r="X358" s="21"/>
    </row>
    <row r="359" spans="1:24" x14ac:dyDescent="0.2">
      <c r="A359" s="38">
        <v>45460</v>
      </c>
      <c r="B359" s="39">
        <v>256.35000000000002</v>
      </c>
      <c r="C359" s="39">
        <v>547.1</v>
      </c>
      <c r="D359" s="39">
        <v>44.82</v>
      </c>
      <c r="E359" s="41">
        <f t="shared" si="99"/>
        <v>1.468492716909453E-2</v>
      </c>
      <c r="F359" s="41">
        <f t="shared" si="100"/>
        <v>7.9590257562918154E-3</v>
      </c>
      <c r="G359" s="41">
        <f t="shared" si="101"/>
        <v>7.417397167902795E-3</v>
      </c>
      <c r="H359" s="41">
        <f t="shared" si="102"/>
        <v>0.42583013515768187</v>
      </c>
      <c r="I359" s="41">
        <f t="shared" si="103"/>
        <v>0.352634311568224</v>
      </c>
      <c r="J359" s="41">
        <f t="shared" si="104"/>
        <v>7.7015499219031058E-2</v>
      </c>
      <c r="K359" s="42">
        <f t="shared" si="95"/>
        <v>142.58301351576841</v>
      </c>
      <c r="L359" s="42">
        <f t="shared" si="96"/>
        <v>135.26343115682252</v>
      </c>
      <c r="M359" s="42">
        <f t="shared" si="97"/>
        <v>107.70154992190315</v>
      </c>
      <c r="N359" s="41">
        <f t="shared" si="105"/>
        <v>5.4113534577276523E-2</v>
      </c>
      <c r="O359" s="41">
        <f t="shared" si="106"/>
        <v>0.32387150991938785</v>
      </c>
      <c r="P359" s="39">
        <f t="shared" si="107"/>
        <v>240.07514039571691</v>
      </c>
      <c r="Q359" s="42">
        <f t="shared" si="108"/>
        <v>1.4258301351576819</v>
      </c>
      <c r="R359" s="42">
        <f t="shared" si="109"/>
        <v>1.532843873407862</v>
      </c>
      <c r="S359" s="41">
        <f t="shared" si="110"/>
        <v>-6.9813853913421764E-2</v>
      </c>
      <c r="T359" s="41">
        <f t="shared" si="94"/>
        <v>0.17767979875745485</v>
      </c>
      <c r="U359" s="41">
        <f t="shared" si="111"/>
        <v>0</v>
      </c>
      <c r="V359" s="41">
        <f t="shared" si="112"/>
        <v>6.725901412802715E-3</v>
      </c>
      <c r="W359" s="39">
        <f t="shared" si="98"/>
        <v>256.35000000000002</v>
      </c>
      <c r="X359" s="21"/>
    </row>
    <row r="360" spans="1:24" x14ac:dyDescent="0.2">
      <c r="A360" s="38">
        <v>45461</v>
      </c>
      <c r="B360" s="39">
        <v>255.61</v>
      </c>
      <c r="C360" s="39">
        <v>548.49</v>
      </c>
      <c r="D360" s="39">
        <v>44.77</v>
      </c>
      <c r="E360" s="41">
        <f t="shared" si="99"/>
        <v>-2.8866783694168063E-3</v>
      </c>
      <c r="F360" s="41">
        <f t="shared" si="100"/>
        <v>2.5406689819045258E-3</v>
      </c>
      <c r="G360" s="41">
        <f t="shared" si="101"/>
        <v>-1.1155734047300081E-3</v>
      </c>
      <c r="H360" s="41">
        <f t="shared" si="102"/>
        <v>0.42171422214805965</v>
      </c>
      <c r="I360" s="41">
        <f t="shared" si="103"/>
        <v>0.35607090760748528</v>
      </c>
      <c r="J360" s="41">
        <f t="shared" si="104"/>
        <v>7.5814009371620195E-2</v>
      </c>
      <c r="K360" s="42">
        <f t="shared" si="95"/>
        <v>142.1714222148062</v>
      </c>
      <c r="L360" s="42">
        <f t="shared" si="96"/>
        <v>135.6070907607486</v>
      </c>
      <c r="M360" s="42">
        <f t="shared" si="97"/>
        <v>107.58140093716209</v>
      </c>
      <c r="N360" s="41">
        <f t="shared" si="105"/>
        <v>4.8406992711309549E-2</v>
      </c>
      <c r="O360" s="41">
        <f t="shared" si="106"/>
        <v>0.32152417589214966</v>
      </c>
      <c r="P360" s="39">
        <f t="shared" si="107"/>
        <v>240.22971611317246</v>
      </c>
      <c r="Q360" s="42">
        <f t="shared" si="108"/>
        <v>1.4217142221480596</v>
      </c>
      <c r="R360" s="42">
        <f t="shared" si="109"/>
        <v>1.532843873407862</v>
      </c>
      <c r="S360" s="41">
        <f t="shared" si="110"/>
        <v>-7.2499002140861024E-2</v>
      </c>
      <c r="T360" s="41">
        <f t="shared" si="94"/>
        <v>0.17758334756845781</v>
      </c>
      <c r="U360" s="41">
        <f t="shared" si="111"/>
        <v>-3.0423282322080691E-3</v>
      </c>
      <c r="V360" s="41">
        <f t="shared" si="112"/>
        <v>-5.4273473513213322E-3</v>
      </c>
      <c r="W360" s="39">
        <f t="shared" si="98"/>
        <v>255.61</v>
      </c>
      <c r="X360" s="21"/>
    </row>
    <row r="361" spans="1:24" x14ac:dyDescent="0.2">
      <c r="A361" s="38">
        <v>45463</v>
      </c>
      <c r="B361" s="39">
        <v>246.46</v>
      </c>
      <c r="C361" s="39">
        <v>547</v>
      </c>
      <c r="D361" s="39">
        <v>44.814999999999998</v>
      </c>
      <c r="E361" s="41">
        <f t="shared" si="99"/>
        <v>-3.5796721568013834E-2</v>
      </c>
      <c r="F361" s="41">
        <f t="shared" si="100"/>
        <v>-2.716549071086094E-3</v>
      </c>
      <c r="G361" s="41">
        <f t="shared" si="101"/>
        <v>1.005137368773612E-3</v>
      </c>
      <c r="H361" s="41">
        <f t="shared" si="102"/>
        <v>0.37082151398854024</v>
      </c>
      <c r="I361" s="41">
        <f t="shared" si="103"/>
        <v>0.35238707444309725</v>
      </c>
      <c r="J361" s="41">
        <f t="shared" si="104"/>
        <v>7.6895350234289728E-2</v>
      </c>
      <c r="K361" s="42">
        <f t="shared" si="95"/>
        <v>137.08215139885422</v>
      </c>
      <c r="L361" s="42">
        <f t="shared" si="96"/>
        <v>135.23870744430982</v>
      </c>
      <c r="M361" s="42">
        <f t="shared" si="97"/>
        <v>107.68953502342904</v>
      </c>
      <c r="N361" s="41">
        <f t="shared" si="105"/>
        <v>1.3631037957852588E-2</v>
      </c>
      <c r="O361" s="41">
        <f t="shared" si="106"/>
        <v>0.27293846490311591</v>
      </c>
      <c r="P361" s="39">
        <f t="shared" si="107"/>
        <v>240.29170898766827</v>
      </c>
      <c r="Q361" s="42">
        <f t="shared" si="108"/>
        <v>1.3708215139885402</v>
      </c>
      <c r="R361" s="42">
        <f t="shared" si="109"/>
        <v>1.532843873407862</v>
      </c>
      <c r="S361" s="41">
        <f t="shared" si="110"/>
        <v>-0.10570049711527962</v>
      </c>
      <c r="T361" s="41">
        <f t="shared" si="94"/>
        <v>0.19103475394109903</v>
      </c>
      <c r="U361" s="41">
        <f t="shared" si="111"/>
        <v>-3.5952371430805097E-2</v>
      </c>
      <c r="V361" s="41">
        <f t="shared" si="112"/>
        <v>-3.308017249692774E-2</v>
      </c>
      <c r="W361" s="39">
        <f t="shared" si="98"/>
        <v>246.46</v>
      </c>
      <c r="X361" s="21"/>
    </row>
    <row r="362" spans="1:24" x14ac:dyDescent="0.2">
      <c r="A362" s="38">
        <v>45464</v>
      </c>
      <c r="B362" s="39">
        <v>247.81</v>
      </c>
      <c r="C362" s="39">
        <v>544.51</v>
      </c>
      <c r="D362" s="39">
        <v>44.82</v>
      </c>
      <c r="E362" s="41">
        <f t="shared" si="99"/>
        <v>5.4775622819118741E-3</v>
      </c>
      <c r="F362" s="41">
        <f t="shared" si="100"/>
        <v>-4.5521023765996427E-3</v>
      </c>
      <c r="G362" s="41">
        <f t="shared" si="101"/>
        <v>1.1156978690185504E-4</v>
      </c>
      <c r="H362" s="41">
        <f t="shared" si="102"/>
        <v>0.37833027420879728</v>
      </c>
      <c r="I362" s="41">
        <f t="shared" si="103"/>
        <v>0.34623087002744213</v>
      </c>
      <c r="J362" s="41">
        <f t="shared" si="104"/>
        <v>7.7015499219031058E-2</v>
      </c>
      <c r="K362" s="42">
        <f t="shared" si="95"/>
        <v>137.83302742087992</v>
      </c>
      <c r="L362" s="42">
        <f t="shared" si="96"/>
        <v>134.62308700274431</v>
      </c>
      <c r="M362" s="42">
        <f t="shared" si="97"/>
        <v>107.70154992190315</v>
      </c>
      <c r="N362" s="41">
        <f t="shared" si="105"/>
        <v>2.384390738321196E-2</v>
      </c>
      <c r="O362" s="41">
        <f t="shared" si="106"/>
        <v>0.2797682811512523</v>
      </c>
      <c r="P362" s="39">
        <f t="shared" si="107"/>
        <v>240.36651785346265</v>
      </c>
      <c r="Q362" s="42">
        <f t="shared" si="108"/>
        <v>1.3783302742087973</v>
      </c>
      <c r="R362" s="42">
        <f t="shared" si="109"/>
        <v>1.532843873407862</v>
      </c>
      <c r="S362" s="41">
        <f t="shared" si="110"/>
        <v>-0.10080191588954568</v>
      </c>
      <c r="T362" s="41">
        <f t="shared" si="94"/>
        <v>0.19116703959369763</v>
      </c>
      <c r="U362" s="41">
        <f t="shared" si="111"/>
        <v>0</v>
      </c>
      <c r="V362" s="41">
        <f t="shared" si="112"/>
        <v>1.0029664658511517E-2</v>
      </c>
      <c r="W362" s="39">
        <f t="shared" si="98"/>
        <v>247.81</v>
      </c>
      <c r="X362" s="21"/>
    </row>
    <row r="363" spans="1:24" x14ac:dyDescent="0.2">
      <c r="A363" s="38">
        <v>45467</v>
      </c>
      <c r="B363" s="39">
        <v>247.58</v>
      </c>
      <c r="C363" s="39">
        <v>542.74</v>
      </c>
      <c r="D363" s="39">
        <v>44.895000000000003</v>
      </c>
      <c r="E363" s="41">
        <f t="shared" si="99"/>
        <v>-9.2813042250106115E-4</v>
      </c>
      <c r="F363" s="41">
        <f t="shared" si="100"/>
        <v>-3.2506290058951226E-3</v>
      </c>
      <c r="G363" s="41">
        <f t="shared" si="101"/>
        <v>1.6733601070950677E-3</v>
      </c>
      <c r="H363" s="41">
        <f t="shared" si="102"/>
        <v>0.37705100394904978</v>
      </c>
      <c r="I363" s="41">
        <f t="shared" si="103"/>
        <v>0.3418547729126995</v>
      </c>
      <c r="J363" s="41">
        <f t="shared" si="104"/>
        <v>7.8817733990147243E-2</v>
      </c>
      <c r="K363" s="42">
        <f t="shared" si="95"/>
        <v>137.70510039490517</v>
      </c>
      <c r="L363" s="42">
        <f t="shared" si="96"/>
        <v>134.18547729127005</v>
      </c>
      <c r="M363" s="42">
        <f t="shared" si="97"/>
        <v>107.88177339901479</v>
      </c>
      <c r="N363" s="41">
        <f t="shared" si="105"/>
        <v>2.622953820848406E-2</v>
      </c>
      <c r="O363" s="41">
        <f t="shared" si="106"/>
        <v>0.27644453790711077</v>
      </c>
      <c r="P363" s="39">
        <f t="shared" si="107"/>
        <v>240.43829379521927</v>
      </c>
      <c r="Q363" s="42">
        <f t="shared" si="108"/>
        <v>1.3770510039490498</v>
      </c>
      <c r="R363" s="42">
        <f t="shared" si="109"/>
        <v>1.532843873407862</v>
      </c>
      <c r="S363" s="41">
        <f t="shared" si="110"/>
        <v>-0.1016364889872633</v>
      </c>
      <c r="T363" s="41">
        <f t="shared" si="94"/>
        <v>0.19110858243798984</v>
      </c>
      <c r="U363" s="41">
        <f t="shared" si="111"/>
        <v>-1.083780285292324E-3</v>
      </c>
      <c r="V363" s="41">
        <f t="shared" si="112"/>
        <v>2.3224985833940615E-3</v>
      </c>
      <c r="W363" s="39">
        <f t="shared" si="98"/>
        <v>247.58</v>
      </c>
      <c r="X363" s="21"/>
    </row>
    <row r="364" spans="1:24" x14ac:dyDescent="0.2">
      <c r="A364" s="38">
        <v>45468</v>
      </c>
      <c r="B364" s="39">
        <v>246.15</v>
      </c>
      <c r="C364" s="39">
        <v>544.83000000000004</v>
      </c>
      <c r="D364" s="39">
        <v>44.325000000000003</v>
      </c>
      <c r="E364" s="41">
        <f t="shared" si="99"/>
        <v>-5.7759108167056983E-3</v>
      </c>
      <c r="F364" s="41">
        <f t="shared" si="100"/>
        <v>3.8508309687881326E-3</v>
      </c>
      <c r="G364" s="41">
        <f t="shared" si="101"/>
        <v>-1.2696291346475097E-2</v>
      </c>
      <c r="H364" s="41">
        <f t="shared" si="102"/>
        <v>0.36909728016018506</v>
      </c>
      <c r="I364" s="41">
        <f t="shared" si="103"/>
        <v>0.34702202882784783</v>
      </c>
      <c r="J364" s="41">
        <f t="shared" si="104"/>
        <v>6.5120749729664196E-2</v>
      </c>
      <c r="K364" s="42">
        <f t="shared" si="95"/>
        <v>136.9097280160187</v>
      </c>
      <c r="L364" s="42">
        <f t="shared" si="96"/>
        <v>134.70220288278486</v>
      </c>
      <c r="M364" s="42">
        <f t="shared" si="97"/>
        <v>106.51207497296649</v>
      </c>
      <c r="N364" s="41">
        <f t="shared" si="105"/>
        <v>1.6388188804563608E-2</v>
      </c>
      <c r="O364" s="41">
        <f t="shared" si="106"/>
        <v>0.28539161452602668</v>
      </c>
      <c r="P364" s="39">
        <f t="shared" si="107"/>
        <v>240.49512669277928</v>
      </c>
      <c r="Q364" s="42">
        <f t="shared" si="108"/>
        <v>1.3690972801601851</v>
      </c>
      <c r="R364" s="42">
        <f t="shared" si="109"/>
        <v>1.532843873407862</v>
      </c>
      <c r="S364" s="41">
        <f t="shared" si="110"/>
        <v>-0.10682535650785552</v>
      </c>
      <c r="T364" s="41">
        <f t="shared" si="94"/>
        <v>0.19125587494380134</v>
      </c>
      <c r="U364" s="41">
        <f t="shared" si="111"/>
        <v>-5.9315606794969611E-3</v>
      </c>
      <c r="V364" s="41">
        <f t="shared" si="112"/>
        <v>-9.6267417854938309E-3</v>
      </c>
      <c r="W364" s="39">
        <f t="shared" si="98"/>
        <v>246.15</v>
      </c>
      <c r="X364" s="21"/>
    </row>
    <row r="365" spans="1:24" x14ac:dyDescent="0.2">
      <c r="A365" s="38">
        <v>45469</v>
      </c>
      <c r="B365" s="39">
        <v>245.88</v>
      </c>
      <c r="C365" s="39">
        <v>545.51</v>
      </c>
      <c r="D365" s="39">
        <v>44.295000000000002</v>
      </c>
      <c r="E365" s="41">
        <f t="shared" si="99"/>
        <v>-1.096892138939709E-3</v>
      </c>
      <c r="F365" s="41">
        <f t="shared" si="100"/>
        <v>1.2480957362845935E-3</v>
      </c>
      <c r="G365" s="41">
        <f t="shared" si="101"/>
        <v>-6.7681895093063549E-4</v>
      </c>
      <c r="H365" s="41">
        <f t="shared" si="102"/>
        <v>0.36759552811613361</v>
      </c>
      <c r="I365" s="41">
        <f t="shared" si="103"/>
        <v>0.34870324127870922</v>
      </c>
      <c r="J365" s="41">
        <f t="shared" si="104"/>
        <v>6.4399855821217766E-2</v>
      </c>
      <c r="K365" s="42">
        <f t="shared" si="95"/>
        <v>136.75955281161356</v>
      </c>
      <c r="L365" s="42">
        <f t="shared" si="96"/>
        <v>134.87032412787104</v>
      </c>
      <c r="M365" s="42">
        <f t="shared" si="97"/>
        <v>106.43998558212182</v>
      </c>
      <c r="N365" s="41">
        <f t="shared" si="105"/>
        <v>1.4007741850988964E-2</v>
      </c>
      <c r="O365" s="41">
        <f t="shared" si="106"/>
        <v>0.284851290270977</v>
      </c>
      <c r="P365" s="39">
        <f t="shared" si="107"/>
        <v>240.54870752170686</v>
      </c>
      <c r="Q365" s="42">
        <f t="shared" si="108"/>
        <v>1.3675955281161336</v>
      </c>
      <c r="R365" s="42">
        <f t="shared" si="109"/>
        <v>1.532843873407862</v>
      </c>
      <c r="S365" s="41">
        <f t="shared" si="110"/>
        <v>-0.10780507275300233</v>
      </c>
      <c r="T365" s="41">
        <f t="shared" si="94"/>
        <v>0.19007524089162861</v>
      </c>
      <c r="U365" s="41">
        <f t="shared" si="111"/>
        <v>-1.2525420017309719E-3</v>
      </c>
      <c r="V365" s="41">
        <f t="shared" si="112"/>
        <v>-2.3449878752243025E-3</v>
      </c>
      <c r="W365" s="39">
        <f t="shared" si="98"/>
        <v>245.88</v>
      </c>
      <c r="X365" s="21"/>
    </row>
    <row r="366" spans="1:24" x14ac:dyDescent="0.2">
      <c r="A366" s="38">
        <v>45470</v>
      </c>
      <c r="B366" s="39">
        <v>247.76</v>
      </c>
      <c r="C366" s="39">
        <v>546.37</v>
      </c>
      <c r="D366" s="39">
        <v>44.17</v>
      </c>
      <c r="E366" s="41">
        <f t="shared" si="99"/>
        <v>7.646006181877274E-3</v>
      </c>
      <c r="F366" s="41">
        <f t="shared" si="100"/>
        <v>1.5765063885171404E-3</v>
      </c>
      <c r="G366" s="41">
        <f t="shared" si="101"/>
        <v>-2.821988937803388E-3</v>
      </c>
      <c r="H366" s="41">
        <f t="shared" si="102"/>
        <v>0.37805217197841734</v>
      </c>
      <c r="I366" s="41">
        <f t="shared" si="103"/>
        <v>0.3508294805547989</v>
      </c>
      <c r="J366" s="41">
        <f t="shared" si="104"/>
        <v>6.1396131202690718E-2</v>
      </c>
      <c r="K366" s="42">
        <f t="shared" si="95"/>
        <v>137.80521719784193</v>
      </c>
      <c r="L366" s="42">
        <f t="shared" si="96"/>
        <v>135.08294805547999</v>
      </c>
      <c r="M366" s="42">
        <f t="shared" si="97"/>
        <v>106.13961312026913</v>
      </c>
      <c r="N366" s="41">
        <f t="shared" si="105"/>
        <v>2.015257426306527E-2</v>
      </c>
      <c r="O366" s="41">
        <f t="shared" si="106"/>
        <v>0.29833916995430987</v>
      </c>
      <c r="P366" s="39">
        <f t="shared" si="107"/>
        <v>240.62046167571975</v>
      </c>
      <c r="Q366" s="42">
        <f t="shared" si="108"/>
        <v>1.3780521719784173</v>
      </c>
      <c r="R366" s="42">
        <f t="shared" si="109"/>
        <v>1.532843873407862</v>
      </c>
      <c r="S366" s="41">
        <f t="shared" si="110"/>
        <v>-0.1009833448238322</v>
      </c>
      <c r="T366" s="41">
        <f t="shared" si="94"/>
        <v>0.18949840695075443</v>
      </c>
      <c r="U366" s="41">
        <f t="shared" si="111"/>
        <v>0</v>
      </c>
      <c r="V366" s="41">
        <f t="shared" si="112"/>
        <v>6.0694997933601336E-3</v>
      </c>
      <c r="W366" s="39">
        <f t="shared" si="98"/>
        <v>247.76</v>
      </c>
      <c r="X366" s="21"/>
    </row>
    <row r="367" spans="1:24" x14ac:dyDescent="0.2">
      <c r="A367" s="38">
        <v>45471</v>
      </c>
      <c r="B367" s="39">
        <v>248.68</v>
      </c>
      <c r="C367" s="39">
        <v>544.22</v>
      </c>
      <c r="D367" s="39">
        <v>44.155000000000001</v>
      </c>
      <c r="E367" s="41">
        <f t="shared" si="99"/>
        <v>3.7132709073297576E-3</v>
      </c>
      <c r="F367" s="41">
        <f t="shared" si="100"/>
        <v>-3.9350623204055246E-3</v>
      </c>
      <c r="G367" s="41">
        <f t="shared" si="101"/>
        <v>-3.3959701154628874E-4</v>
      </c>
      <c r="H367" s="41">
        <f t="shared" si="102"/>
        <v>0.38316925301740734</v>
      </c>
      <c r="I367" s="41">
        <f t="shared" si="103"/>
        <v>0.3455138823645747</v>
      </c>
      <c r="J367" s="41">
        <f t="shared" si="104"/>
        <v>6.1035684248467392E-2</v>
      </c>
      <c r="K367" s="42">
        <f t="shared" si="95"/>
        <v>138.31692530174092</v>
      </c>
      <c r="L367" s="42">
        <f t="shared" si="96"/>
        <v>134.55138823645757</v>
      </c>
      <c r="M367" s="42">
        <f t="shared" si="97"/>
        <v>106.1035684248468</v>
      </c>
      <c r="N367" s="41">
        <f t="shared" si="105"/>
        <v>2.7985865583681768E-2</v>
      </c>
      <c r="O367" s="41">
        <f t="shared" si="106"/>
        <v>0.30360295468960352</v>
      </c>
      <c r="P367" s="39">
        <f t="shared" si="107"/>
        <v>240.70065608690663</v>
      </c>
      <c r="Q367" s="42">
        <f t="shared" si="108"/>
        <v>1.3831692530174073</v>
      </c>
      <c r="R367" s="42">
        <f t="shared" si="109"/>
        <v>1.532843873407862</v>
      </c>
      <c r="S367" s="41">
        <f t="shared" si="110"/>
        <v>-9.7645052432961621E-2</v>
      </c>
      <c r="T367" s="41">
        <f t="shared" si="94"/>
        <v>0.18848905768825033</v>
      </c>
      <c r="U367" s="41">
        <f t="shared" si="111"/>
        <v>0</v>
      </c>
      <c r="V367" s="41">
        <f t="shared" si="112"/>
        <v>7.6483332277352822E-3</v>
      </c>
      <c r="W367" s="39">
        <f t="shared" si="98"/>
        <v>248.68</v>
      </c>
      <c r="X367" s="21"/>
    </row>
    <row r="368" spans="1:24" x14ac:dyDescent="0.2">
      <c r="A368" s="38">
        <v>45474</v>
      </c>
      <c r="B368" s="39">
        <v>243.72</v>
      </c>
      <c r="C368" s="39">
        <v>545.34</v>
      </c>
      <c r="D368" s="39">
        <v>43.475000000000001</v>
      </c>
      <c r="E368" s="41">
        <f t="shared" si="99"/>
        <v>-1.994531124336496E-2</v>
      </c>
      <c r="F368" s="41">
        <f t="shared" si="100"/>
        <v>2.057991253537228E-3</v>
      </c>
      <c r="G368" s="41">
        <f t="shared" si="101"/>
        <v>-1.5400294417393212E-2</v>
      </c>
      <c r="H368" s="41">
        <f t="shared" si="102"/>
        <v>0.35558151176372244</v>
      </c>
      <c r="I368" s="41">
        <f t="shared" si="103"/>
        <v>0.34828293816599398</v>
      </c>
      <c r="J368" s="41">
        <f t="shared" si="104"/>
        <v>4.4695422323680623E-2</v>
      </c>
      <c r="K368" s="42">
        <f t="shared" si="95"/>
        <v>135.55815117637243</v>
      </c>
      <c r="L368" s="42">
        <f t="shared" si="96"/>
        <v>134.82829381659951</v>
      </c>
      <c r="M368" s="42">
        <f t="shared" si="97"/>
        <v>104.46954223236813</v>
      </c>
      <c r="N368" s="41">
        <f t="shared" si="105"/>
        <v>5.4132358951721748E-3</v>
      </c>
      <c r="O368" s="41">
        <f t="shared" si="106"/>
        <v>0.29758538498096265</v>
      </c>
      <c r="P368" s="39">
        <f t="shared" si="107"/>
        <v>240.7306993099225</v>
      </c>
      <c r="Q368" s="42">
        <f t="shared" si="108"/>
        <v>1.3555815117637224</v>
      </c>
      <c r="R368" s="42">
        <f t="shared" si="109"/>
        <v>1.532843873407862</v>
      </c>
      <c r="S368" s="41">
        <f t="shared" si="110"/>
        <v>-0.11564280271417648</v>
      </c>
      <c r="T368" s="41">
        <f t="shared" si="94"/>
        <v>0.19140078143828435</v>
      </c>
      <c r="U368" s="41">
        <f t="shared" si="111"/>
        <v>-2.0100961106156223E-2</v>
      </c>
      <c r="V368" s="41">
        <f t="shared" si="112"/>
        <v>-2.2003302496902188E-2</v>
      </c>
      <c r="W368" s="39">
        <f t="shared" si="98"/>
        <v>243.72</v>
      </c>
      <c r="X368" s="21"/>
    </row>
    <row r="369" spans="1:24" x14ac:dyDescent="0.2">
      <c r="A369" s="38">
        <v>45475</v>
      </c>
      <c r="B369" s="39">
        <v>245.07</v>
      </c>
      <c r="C369" s="39">
        <v>549.01</v>
      </c>
      <c r="D369" s="39">
        <v>43.555</v>
      </c>
      <c r="E369" s="41">
        <f t="shared" si="99"/>
        <v>5.5391432791727091E-3</v>
      </c>
      <c r="F369" s="41">
        <f t="shared" si="100"/>
        <v>6.729746580115048E-3</v>
      </c>
      <c r="G369" s="41">
        <f t="shared" si="101"/>
        <v>1.840138010350767E-3</v>
      </c>
      <c r="H369" s="41">
        <f t="shared" si="102"/>
        <v>0.36309027198397925</v>
      </c>
      <c r="I369" s="41">
        <f t="shared" si="103"/>
        <v>0.35735654065814404</v>
      </c>
      <c r="J369" s="41">
        <f t="shared" si="104"/>
        <v>4.6617806079537916E-2</v>
      </c>
      <c r="K369" s="42">
        <f t="shared" si="95"/>
        <v>136.30902719839813</v>
      </c>
      <c r="L369" s="42">
        <f t="shared" si="96"/>
        <v>135.73565406581451</v>
      </c>
      <c r="M369" s="42">
        <f t="shared" si="97"/>
        <v>104.66178060795386</v>
      </c>
      <c r="N369" s="41">
        <f t="shared" si="105"/>
        <v>4.2241895582240119E-3</v>
      </c>
      <c r="O369" s="41">
        <f t="shared" si="106"/>
        <v>0.3023763441307159</v>
      </c>
      <c r="P369" s="39">
        <f t="shared" si="107"/>
        <v>240.77387643121682</v>
      </c>
      <c r="Q369" s="42">
        <f t="shared" si="108"/>
        <v>1.3630902719839793</v>
      </c>
      <c r="R369" s="42">
        <f t="shared" si="109"/>
        <v>1.532843873407862</v>
      </c>
      <c r="S369" s="41">
        <f t="shared" si="110"/>
        <v>-0.11074422148844276</v>
      </c>
      <c r="T369" s="41">
        <f t="shared" si="94"/>
        <v>0.18851446474327446</v>
      </c>
      <c r="U369" s="41">
        <f t="shared" si="111"/>
        <v>0</v>
      </c>
      <c r="V369" s="41">
        <f t="shared" si="112"/>
        <v>-1.1906033009423389E-3</v>
      </c>
      <c r="W369" s="39">
        <f t="shared" si="98"/>
        <v>245.07</v>
      </c>
      <c r="X369" s="21"/>
    </row>
    <row r="370" spans="1:24" x14ac:dyDescent="0.2">
      <c r="A370" s="38">
        <v>45476</v>
      </c>
      <c r="B370" s="39">
        <v>243.92</v>
      </c>
      <c r="C370" s="39">
        <v>551.46</v>
      </c>
      <c r="D370" s="39">
        <v>43.88</v>
      </c>
      <c r="E370" s="41">
        <f t="shared" si="99"/>
        <v>-4.6925368262129563E-3</v>
      </c>
      <c r="F370" s="41">
        <f t="shared" si="100"/>
        <v>4.4625780951168537E-3</v>
      </c>
      <c r="G370" s="41">
        <f t="shared" si="101"/>
        <v>7.4618298702791019E-3</v>
      </c>
      <c r="H370" s="41">
        <f t="shared" si="102"/>
        <v>0.35669392068524175</v>
      </c>
      <c r="I370" s="41">
        <f t="shared" si="103"/>
        <v>0.36341385022374872</v>
      </c>
      <c r="J370" s="41">
        <f t="shared" si="104"/>
        <v>5.4427490087708197E-2</v>
      </c>
      <c r="K370" s="42">
        <f t="shared" si="95"/>
        <v>135.66939206852439</v>
      </c>
      <c r="L370" s="42">
        <f t="shared" si="96"/>
        <v>136.34138502237496</v>
      </c>
      <c r="M370" s="42">
        <f t="shared" si="97"/>
        <v>105.44274900877089</v>
      </c>
      <c r="N370" s="41">
        <f t="shared" si="105"/>
        <v>-4.9287525848473734E-3</v>
      </c>
      <c r="O370" s="41">
        <f t="shared" si="106"/>
        <v>0.28666402710383698</v>
      </c>
      <c r="P370" s="39">
        <f t="shared" si="107"/>
        <v>240.80518114334402</v>
      </c>
      <c r="Q370" s="42">
        <f t="shared" si="108"/>
        <v>1.3566939206852417</v>
      </c>
      <c r="R370" s="42">
        <f t="shared" si="109"/>
        <v>1.532843873407862</v>
      </c>
      <c r="S370" s="41">
        <f t="shared" si="110"/>
        <v>-0.11491708697703096</v>
      </c>
      <c r="T370" s="41">
        <f t="shared" si="94"/>
        <v>0.18862428108142443</v>
      </c>
      <c r="U370" s="41">
        <f t="shared" si="111"/>
        <v>-4.8481866890042191E-3</v>
      </c>
      <c r="V370" s="41">
        <f t="shared" si="112"/>
        <v>-9.15511492132981E-3</v>
      </c>
      <c r="W370" s="39">
        <f t="shared" si="98"/>
        <v>243.92</v>
      </c>
      <c r="X370" s="21"/>
    </row>
    <row r="371" spans="1:24" x14ac:dyDescent="0.2">
      <c r="A371" s="38">
        <v>45478</v>
      </c>
      <c r="B371" s="39">
        <v>244.21</v>
      </c>
      <c r="C371" s="39">
        <v>554.64</v>
      </c>
      <c r="D371" s="39">
        <v>43.95</v>
      </c>
      <c r="E371" s="41">
        <f t="shared" si="99"/>
        <v>1.1889143981633765E-3</v>
      </c>
      <c r="F371" s="41">
        <f t="shared" si="100"/>
        <v>5.766510717005735E-3</v>
      </c>
      <c r="G371" s="41">
        <f t="shared" si="101"/>
        <v>1.5952597994530748E-3</v>
      </c>
      <c r="H371" s="41">
        <f t="shared" si="102"/>
        <v>0.35830691362144518</v>
      </c>
      <c r="I371" s="41">
        <f t="shared" si="103"/>
        <v>0.37127599080277807</v>
      </c>
      <c r="J371" s="41">
        <f t="shared" si="104"/>
        <v>5.6109575874083273E-2</v>
      </c>
      <c r="K371" s="42">
        <f t="shared" si="95"/>
        <v>135.83069136214473</v>
      </c>
      <c r="L371" s="42">
        <f t="shared" si="96"/>
        <v>137.12759908027786</v>
      </c>
      <c r="M371" s="42">
        <f t="shared" si="97"/>
        <v>105.61095758740839</v>
      </c>
      <c r="N371" s="41">
        <f t="shared" si="105"/>
        <v>-9.457671007380819E-3</v>
      </c>
      <c r="O371" s="41">
        <f t="shared" si="106"/>
        <v>0.28614202981470926</v>
      </c>
      <c r="P371" s="39">
        <f t="shared" si="107"/>
        <v>240.83905993793763</v>
      </c>
      <c r="Q371" s="42">
        <f t="shared" si="108"/>
        <v>1.3583069136214452</v>
      </c>
      <c r="R371" s="42">
        <f t="shared" si="109"/>
        <v>1.532843873407862</v>
      </c>
      <c r="S371" s="41">
        <f t="shared" si="110"/>
        <v>-0.11386479915816949</v>
      </c>
      <c r="T371" s="41">
        <f t="shared" si="94"/>
        <v>0.18655757054158079</v>
      </c>
      <c r="U371" s="41">
        <f t="shared" si="111"/>
        <v>0</v>
      </c>
      <c r="V371" s="41">
        <f t="shared" si="112"/>
        <v>-4.5775963188423585E-3</v>
      </c>
      <c r="W371" s="39">
        <f t="shared" si="98"/>
        <v>244.21</v>
      </c>
      <c r="X371" s="21"/>
    </row>
    <row r="372" spans="1:24" x14ac:dyDescent="0.2">
      <c r="A372" s="38">
        <v>45481</v>
      </c>
      <c r="B372" s="39">
        <v>241.97</v>
      </c>
      <c r="C372" s="39">
        <v>555.28</v>
      </c>
      <c r="D372" s="39">
        <v>44.08</v>
      </c>
      <c r="E372" s="41">
        <f t="shared" si="99"/>
        <v>-9.1724335612792807E-3</v>
      </c>
      <c r="F372" s="41">
        <f t="shared" si="100"/>
        <v>1.1539016298860449E-3</v>
      </c>
      <c r="G372" s="41">
        <f t="shared" si="101"/>
        <v>2.9579067121727753E-3</v>
      </c>
      <c r="H372" s="41">
        <f t="shared" si="102"/>
        <v>0.3458479337004261</v>
      </c>
      <c r="I372" s="41">
        <f t="shared" si="103"/>
        <v>0.37285830840358902</v>
      </c>
      <c r="J372" s="41">
        <f t="shared" si="104"/>
        <v>5.9233449477351208E-2</v>
      </c>
      <c r="K372" s="42">
        <f t="shared" si="95"/>
        <v>134.58479337004283</v>
      </c>
      <c r="L372" s="42">
        <f t="shared" si="96"/>
        <v>137.28583084035898</v>
      </c>
      <c r="M372" s="42">
        <f t="shared" si="97"/>
        <v>105.92334494773519</v>
      </c>
      <c r="N372" s="41">
        <f t="shared" si="105"/>
        <v>-1.9674553839843512E-2</v>
      </c>
      <c r="O372" s="41">
        <f t="shared" si="106"/>
        <v>0.27058670056586376</v>
      </c>
      <c r="P372" s="39">
        <f t="shared" si="107"/>
        <v>240.85031307288352</v>
      </c>
      <c r="Q372" s="42">
        <f t="shared" si="108"/>
        <v>1.3458479337004261</v>
      </c>
      <c r="R372" s="42">
        <f t="shared" si="109"/>
        <v>1.532843873407862</v>
      </c>
      <c r="S372" s="41">
        <f t="shared" si="110"/>
        <v>-0.12199281541420215</v>
      </c>
      <c r="T372" s="41">
        <f t="shared" si="94"/>
        <v>0.18717429906023741</v>
      </c>
      <c r="U372" s="41">
        <f t="shared" si="111"/>
        <v>-9.3280834240705435E-3</v>
      </c>
      <c r="V372" s="41">
        <f t="shared" si="112"/>
        <v>-1.0326335191165326E-2</v>
      </c>
      <c r="W372" s="39">
        <f t="shared" si="98"/>
        <v>241.97</v>
      </c>
      <c r="X372" s="21"/>
    </row>
    <row r="373" spans="1:24" x14ac:dyDescent="0.2">
      <c r="A373" s="38">
        <v>45482</v>
      </c>
      <c r="B373" s="39">
        <v>242.25</v>
      </c>
      <c r="C373" s="39">
        <v>555.82000000000005</v>
      </c>
      <c r="D373" s="39">
        <v>43.63</v>
      </c>
      <c r="E373" s="41">
        <f t="shared" si="99"/>
        <v>1.157168243997253E-3</v>
      </c>
      <c r="F373" s="41">
        <f t="shared" si="100"/>
        <v>9.7248235124625104E-4</v>
      </c>
      <c r="G373" s="41">
        <f t="shared" si="101"/>
        <v>-1.0208711433756679E-2</v>
      </c>
      <c r="H373" s="41">
        <f t="shared" si="102"/>
        <v>0.34740530619055354</v>
      </c>
      <c r="I373" s="41">
        <f t="shared" si="103"/>
        <v>0.37419338887927323</v>
      </c>
      <c r="J373" s="41">
        <f t="shared" si="104"/>
        <v>4.8420040850654322E-2</v>
      </c>
      <c r="K373" s="42">
        <f t="shared" si="95"/>
        <v>134.74053061905556</v>
      </c>
      <c r="L373" s="42">
        <f t="shared" si="96"/>
        <v>137.41933888792741</v>
      </c>
      <c r="M373" s="42">
        <f t="shared" si="97"/>
        <v>104.84200408506548</v>
      </c>
      <c r="N373" s="41">
        <f t="shared" si="105"/>
        <v>-1.9493677458721326E-2</v>
      </c>
      <c r="O373" s="41">
        <f t="shared" si="106"/>
        <v>0.28517698411918202</v>
      </c>
      <c r="P373" s="39">
        <f t="shared" si="107"/>
        <v>240.86424030598917</v>
      </c>
      <c r="Q373" s="42">
        <f t="shared" si="108"/>
        <v>1.3474053061905535</v>
      </c>
      <c r="R373" s="42">
        <f t="shared" si="109"/>
        <v>1.532843873407862</v>
      </c>
      <c r="S373" s="41">
        <f t="shared" si="110"/>
        <v>-0.12097681338219801</v>
      </c>
      <c r="T373" s="41">
        <f t="shared" si="94"/>
        <v>0.18696682684951996</v>
      </c>
      <c r="U373" s="41">
        <f t="shared" si="111"/>
        <v>0</v>
      </c>
      <c r="V373" s="41">
        <f t="shared" si="112"/>
        <v>1.84685892751002E-4</v>
      </c>
      <c r="W373" s="39">
        <f t="shared" si="98"/>
        <v>242.25</v>
      </c>
      <c r="X373" s="21"/>
    </row>
    <row r="374" spans="1:24" x14ac:dyDescent="0.2">
      <c r="A374" s="38">
        <v>45483</v>
      </c>
      <c r="B374" s="39">
        <v>247.72</v>
      </c>
      <c r="C374" s="39">
        <v>561.32000000000005</v>
      </c>
      <c r="D374" s="39">
        <v>44.215000000000003</v>
      </c>
      <c r="E374" s="41">
        <f t="shared" si="99"/>
        <v>2.2579979360165092E-2</v>
      </c>
      <c r="F374" s="41">
        <f t="shared" si="100"/>
        <v>9.8952898420352486E-3</v>
      </c>
      <c r="G374" s="41">
        <f t="shared" si="101"/>
        <v>1.3408205363282244E-2</v>
      </c>
      <c r="H374" s="41">
        <f t="shared" si="102"/>
        <v>0.37782969019411317</v>
      </c>
      <c r="I374" s="41">
        <f t="shared" si="103"/>
        <v>0.38779143076124223</v>
      </c>
      <c r="J374" s="41">
        <f t="shared" si="104"/>
        <v>6.2477472065360695E-2</v>
      </c>
      <c r="K374" s="42">
        <f t="shared" si="95"/>
        <v>137.78296901941155</v>
      </c>
      <c r="L374" s="42">
        <f t="shared" si="96"/>
        <v>138.77914307612431</v>
      </c>
      <c r="M374" s="42">
        <f t="shared" si="97"/>
        <v>106.24774720653612</v>
      </c>
      <c r="N374" s="41">
        <f t="shared" si="105"/>
        <v>-7.1781251464168028E-3</v>
      </c>
      <c r="O374" s="41">
        <f t="shared" si="106"/>
        <v>0.29680838080805239</v>
      </c>
      <c r="P374" s="39">
        <f t="shared" si="107"/>
        <v>240.93245682035743</v>
      </c>
      <c r="Q374" s="42">
        <f t="shared" si="108"/>
        <v>1.3778296901941132</v>
      </c>
      <c r="R374" s="42">
        <f t="shared" si="109"/>
        <v>1.532843873407862</v>
      </c>
      <c r="S374" s="41">
        <f t="shared" si="110"/>
        <v>-0.1011284879712615</v>
      </c>
      <c r="T374" s="41">
        <f t="shared" si="94"/>
        <v>0.19240059843691351</v>
      </c>
      <c r="U374" s="41">
        <f t="shared" si="111"/>
        <v>0</v>
      </c>
      <c r="V374" s="41">
        <f t="shared" si="112"/>
        <v>1.2684689518129844E-2</v>
      </c>
      <c r="W374" s="39">
        <f t="shared" si="98"/>
        <v>247.72</v>
      </c>
      <c r="X374" s="21"/>
    </row>
    <row r="375" spans="1:24" x14ac:dyDescent="0.2">
      <c r="A375" s="38">
        <v>45484</v>
      </c>
      <c r="B375" s="39">
        <v>254.69</v>
      </c>
      <c r="C375" s="39">
        <v>556.48</v>
      </c>
      <c r="D375" s="39">
        <v>44.82</v>
      </c>
      <c r="E375" s="41">
        <f t="shared" si="99"/>
        <v>2.8136605845309193E-2</v>
      </c>
      <c r="F375" s="41">
        <f t="shared" si="100"/>
        <v>-8.6225326017245196E-3</v>
      </c>
      <c r="G375" s="41">
        <f t="shared" si="101"/>
        <v>1.3683139206151607E-2</v>
      </c>
      <c r="H375" s="41">
        <f t="shared" si="102"/>
        <v>0.41659714110906942</v>
      </c>
      <c r="I375" s="41">
        <f t="shared" si="103"/>
        <v>0.3758251539051094</v>
      </c>
      <c r="J375" s="41">
        <f t="shared" si="104"/>
        <v>7.7015499219031058E-2</v>
      </c>
      <c r="K375" s="42">
        <f t="shared" si="95"/>
        <v>141.65971411090717</v>
      </c>
      <c r="L375" s="42">
        <f t="shared" si="96"/>
        <v>137.58251539051102</v>
      </c>
      <c r="M375" s="42">
        <f t="shared" si="97"/>
        <v>107.70154992190315</v>
      </c>
      <c r="N375" s="41">
        <f t="shared" si="105"/>
        <v>2.9634570270963501E-2</v>
      </c>
      <c r="O375" s="41">
        <f t="shared" si="106"/>
        <v>0.31529875116586248</v>
      </c>
      <c r="P375" s="39">
        <f t="shared" si="107"/>
        <v>241.0693477972693</v>
      </c>
      <c r="Q375" s="42">
        <f t="shared" si="108"/>
        <v>1.4165971411090694</v>
      </c>
      <c r="R375" s="42">
        <f t="shared" si="109"/>
        <v>1.532843873407862</v>
      </c>
      <c r="S375" s="41">
        <f t="shared" si="110"/>
        <v>-7.5837294531731714E-2</v>
      </c>
      <c r="T375" s="41">
        <f t="shared" si="94"/>
        <v>0.200647524102821</v>
      </c>
      <c r="U375" s="41">
        <f t="shared" si="111"/>
        <v>0</v>
      </c>
      <c r="V375" s="41">
        <f t="shared" si="112"/>
        <v>3.6759138447033712E-2</v>
      </c>
      <c r="W375" s="39">
        <f t="shared" si="98"/>
        <v>254.69</v>
      </c>
      <c r="X375" s="21"/>
    </row>
    <row r="376" spans="1:24" x14ac:dyDescent="0.2">
      <c r="A376" s="38">
        <v>45485</v>
      </c>
      <c r="B376" s="39">
        <v>252.51</v>
      </c>
      <c r="C376" s="39">
        <v>559.99</v>
      </c>
      <c r="D376" s="39">
        <v>45.25</v>
      </c>
      <c r="E376" s="41">
        <f t="shared" si="99"/>
        <v>-8.5594251835564572E-3</v>
      </c>
      <c r="F376" s="41">
        <f t="shared" si="100"/>
        <v>6.3075043128233421E-3</v>
      </c>
      <c r="G376" s="41">
        <f t="shared" si="101"/>
        <v>9.5939312806783139E-3</v>
      </c>
      <c r="H376" s="41">
        <f t="shared" si="102"/>
        <v>0.40447188386450628</v>
      </c>
      <c r="I376" s="41">
        <f t="shared" si="103"/>
        <v>0.38450317699705661</v>
      </c>
      <c r="J376" s="41">
        <f t="shared" si="104"/>
        <v>8.7348311906763954E-2</v>
      </c>
      <c r="K376" s="42">
        <f t="shared" si="95"/>
        <v>140.44718838645085</v>
      </c>
      <c r="L376" s="42">
        <f t="shared" si="96"/>
        <v>138.45031769970578</v>
      </c>
      <c r="M376" s="42">
        <f t="shared" si="97"/>
        <v>108.73483119067645</v>
      </c>
      <c r="N376" s="41">
        <f t="shared" si="105"/>
        <v>1.4423012672864388E-2</v>
      </c>
      <c r="O376" s="41">
        <f t="shared" si="106"/>
        <v>0.29164856236511505</v>
      </c>
      <c r="P376" s="39">
        <f t="shared" si="107"/>
        <v>241.18318513261985</v>
      </c>
      <c r="Q376" s="42">
        <f t="shared" si="108"/>
        <v>1.4044718838645063</v>
      </c>
      <c r="R376" s="42">
        <f t="shared" si="109"/>
        <v>1.532843873407862</v>
      </c>
      <c r="S376" s="41">
        <f t="shared" si="110"/>
        <v>-8.3747596066620522E-2</v>
      </c>
      <c r="T376" s="41">
        <f t="shared" si="94"/>
        <v>0.20083540008893619</v>
      </c>
      <c r="U376" s="41">
        <f t="shared" si="111"/>
        <v>-8.71507504634772E-3</v>
      </c>
      <c r="V376" s="41">
        <f t="shared" si="112"/>
        <v>-1.4866929496379799E-2</v>
      </c>
      <c r="W376" s="39">
        <f t="shared" si="98"/>
        <v>252.51</v>
      </c>
      <c r="X376" s="21"/>
    </row>
    <row r="377" spans="1:24" x14ac:dyDescent="0.2">
      <c r="A377" s="38">
        <v>45488</v>
      </c>
      <c r="B377" s="39">
        <v>253.9</v>
      </c>
      <c r="C377" s="39">
        <v>561.53</v>
      </c>
      <c r="D377" s="39">
        <v>45.134999999999998</v>
      </c>
      <c r="E377" s="41">
        <f t="shared" si="99"/>
        <v>5.5047324858421565E-3</v>
      </c>
      <c r="F377" s="41">
        <f t="shared" si="100"/>
        <v>2.7500491080196809E-3</v>
      </c>
      <c r="G377" s="41">
        <f t="shared" si="101"/>
        <v>-2.5414364640884424E-3</v>
      </c>
      <c r="H377" s="41">
        <f t="shared" si="102"/>
        <v>0.41220312586906727</v>
      </c>
      <c r="I377" s="41">
        <f t="shared" si="103"/>
        <v>0.38831062872400768</v>
      </c>
      <c r="J377" s="41">
        <f t="shared" si="104"/>
        <v>8.4584885257719122E-2</v>
      </c>
      <c r="K377" s="42">
        <f t="shared" si="95"/>
        <v>141.22031258690694</v>
      </c>
      <c r="L377" s="42">
        <f t="shared" si="96"/>
        <v>138.83106287240091</v>
      </c>
      <c r="M377" s="42">
        <f t="shared" si="97"/>
        <v>108.45848852577195</v>
      </c>
      <c r="N377" s="41">
        <f t="shared" si="105"/>
        <v>1.72097631832E-2</v>
      </c>
      <c r="O377" s="41">
        <f t="shared" si="106"/>
        <v>0.30206786491727611</v>
      </c>
      <c r="P377" s="39">
        <f t="shared" si="107"/>
        <v>241.30972060393708</v>
      </c>
      <c r="Q377" s="42">
        <f t="shared" si="108"/>
        <v>1.4122031258690673</v>
      </c>
      <c r="R377" s="42">
        <f t="shared" si="109"/>
        <v>1.532843873407862</v>
      </c>
      <c r="S377" s="41">
        <f t="shared" si="110"/>
        <v>-7.8703871693457494E-2</v>
      </c>
      <c r="T377" s="41">
        <f t="shared" si="94"/>
        <v>0.20118117377216535</v>
      </c>
      <c r="U377" s="41">
        <f t="shared" si="111"/>
        <v>0</v>
      </c>
      <c r="V377" s="41">
        <f t="shared" si="112"/>
        <v>2.7546833778224755E-3</v>
      </c>
      <c r="W377" s="39">
        <f t="shared" si="98"/>
        <v>253.9</v>
      </c>
      <c r="X377" s="21"/>
    </row>
    <row r="378" spans="1:24" x14ac:dyDescent="0.2">
      <c r="A378" s="38">
        <v>45489</v>
      </c>
      <c r="B378" s="39">
        <v>262.81</v>
      </c>
      <c r="C378" s="39">
        <v>564.86</v>
      </c>
      <c r="D378" s="39">
        <v>46.01</v>
      </c>
      <c r="E378" s="41">
        <f t="shared" si="99"/>
        <v>3.5092556124458385E-2</v>
      </c>
      <c r="F378" s="41">
        <f t="shared" si="100"/>
        <v>5.930226345876477E-3</v>
      </c>
      <c r="G378" s="41">
        <f t="shared" si="101"/>
        <v>1.9386285587681407E-2</v>
      </c>
      <c r="H378" s="41">
        <f t="shared" si="102"/>
        <v>0.46176094332276318</v>
      </c>
      <c r="I378" s="41">
        <f t="shared" si="103"/>
        <v>0.39654362499072704</v>
      </c>
      <c r="J378" s="41">
        <f t="shared" si="104"/>
        <v>0.10561095758740802</v>
      </c>
      <c r="K378" s="42">
        <f t="shared" si="95"/>
        <v>146.17609433227656</v>
      </c>
      <c r="L378" s="42">
        <f t="shared" si="96"/>
        <v>139.65436249907285</v>
      </c>
      <c r="M378" s="42">
        <f t="shared" si="97"/>
        <v>110.56109575874082</v>
      </c>
      <c r="N378" s="41">
        <f t="shared" si="105"/>
        <v>4.6699091360263845E-2</v>
      </c>
      <c r="O378" s="41">
        <f t="shared" si="106"/>
        <v>0.32212957305752687</v>
      </c>
      <c r="P378" s="39">
        <f t="shared" si="107"/>
        <v>241.52365373225612</v>
      </c>
      <c r="Q378" s="42">
        <f t="shared" si="108"/>
        <v>1.4617609433227632</v>
      </c>
      <c r="R378" s="42">
        <f t="shared" si="109"/>
        <v>1.532843873407862</v>
      </c>
      <c r="S378" s="41">
        <f t="shared" si="110"/>
        <v>-4.6373235603613838E-2</v>
      </c>
      <c r="T378" s="41">
        <f t="shared" si="94"/>
        <v>0.21214315366145903</v>
      </c>
      <c r="U378" s="41">
        <f t="shared" si="111"/>
        <v>0</v>
      </c>
      <c r="V378" s="41">
        <f t="shared" si="112"/>
        <v>2.9162329778581908E-2</v>
      </c>
      <c r="W378" s="39">
        <f t="shared" si="98"/>
        <v>262.81</v>
      </c>
      <c r="X378" s="21"/>
    </row>
    <row r="379" spans="1:24" x14ac:dyDescent="0.2">
      <c r="A379" s="38">
        <v>45490</v>
      </c>
      <c r="B379" s="39">
        <v>255.8</v>
      </c>
      <c r="C379" s="39">
        <v>556.94000000000005</v>
      </c>
      <c r="D379" s="39">
        <v>45.914999999999999</v>
      </c>
      <c r="E379" s="41">
        <f t="shared" si="99"/>
        <v>-2.6673262052433255E-2</v>
      </c>
      <c r="F379" s="41">
        <f t="shared" si="100"/>
        <v>-1.4021173388096053E-2</v>
      </c>
      <c r="G379" s="41">
        <f t="shared" si="101"/>
        <v>-2.0647685285807293E-3</v>
      </c>
      <c r="H379" s="41">
        <f t="shared" si="102"/>
        <v>0.4227710106235032</v>
      </c>
      <c r="I379" s="41">
        <f t="shared" si="103"/>
        <v>0.37696244468069184</v>
      </c>
      <c r="J379" s="41">
        <f t="shared" si="104"/>
        <v>0.10332812687732762</v>
      </c>
      <c r="K379" s="42">
        <f t="shared" si="95"/>
        <v>142.27710106235054</v>
      </c>
      <c r="L379" s="42">
        <f t="shared" si="96"/>
        <v>137.69624446806935</v>
      </c>
      <c r="M379" s="42">
        <f t="shared" si="97"/>
        <v>110.33281268773278</v>
      </c>
      <c r="N379" s="41">
        <f t="shared" si="105"/>
        <v>3.3267839743758687E-2</v>
      </c>
      <c r="O379" s="41">
        <f t="shared" si="106"/>
        <v>0.28952663850804972</v>
      </c>
      <c r="P379" s="39">
        <f t="shared" si="107"/>
        <v>241.6657069289501</v>
      </c>
      <c r="Q379" s="42">
        <f t="shared" si="108"/>
        <v>1.4227710106235032</v>
      </c>
      <c r="R379" s="42">
        <f t="shared" si="109"/>
        <v>1.532843873407862</v>
      </c>
      <c r="S379" s="41">
        <f t="shared" si="110"/>
        <v>-7.1809572190572601E-2</v>
      </c>
      <c r="T379" s="41">
        <f t="shared" si="94"/>
        <v>0.21796208301294553</v>
      </c>
      <c r="U379" s="41">
        <f t="shared" si="111"/>
        <v>-2.6828911915224518E-2</v>
      </c>
      <c r="V379" s="41">
        <f t="shared" si="112"/>
        <v>-1.2652088664337202E-2</v>
      </c>
      <c r="W379" s="39">
        <f t="shared" si="98"/>
        <v>255.8</v>
      </c>
      <c r="X379" s="21"/>
    </row>
    <row r="380" spans="1:24" x14ac:dyDescent="0.2">
      <c r="A380" s="38">
        <v>45491</v>
      </c>
      <c r="B380" s="39">
        <v>256.08999999999997</v>
      </c>
      <c r="C380" s="39">
        <v>552.66</v>
      </c>
      <c r="D380" s="39">
        <v>45.46</v>
      </c>
      <c r="E380" s="41">
        <f t="shared" si="99"/>
        <v>1.1336982017200459E-3</v>
      </c>
      <c r="F380" s="41">
        <f t="shared" si="100"/>
        <v>-7.6848493554064756E-3</v>
      </c>
      <c r="G380" s="41">
        <f t="shared" si="101"/>
        <v>-9.9096155940323616E-3</v>
      </c>
      <c r="H380" s="41">
        <f t="shared" si="102"/>
        <v>0.4243840035597064</v>
      </c>
      <c r="I380" s="41">
        <f t="shared" si="103"/>
        <v>0.36638069572526843</v>
      </c>
      <c r="J380" s="41">
        <f t="shared" si="104"/>
        <v>9.2394569265889626E-2</v>
      </c>
      <c r="K380" s="42">
        <f t="shared" si="95"/>
        <v>142.43840035597083</v>
      </c>
      <c r="L380" s="42">
        <f t="shared" si="96"/>
        <v>136.638069572527</v>
      </c>
      <c r="M380" s="42">
        <f t="shared" si="97"/>
        <v>109.23945692658896</v>
      </c>
      <c r="N380" s="41">
        <f t="shared" si="105"/>
        <v>4.2450327361841289E-2</v>
      </c>
      <c r="O380" s="41">
        <f t="shared" si="106"/>
        <v>0.30390981760090607</v>
      </c>
      <c r="P380" s="39">
        <f t="shared" si="107"/>
        <v>241.80923223313968</v>
      </c>
      <c r="Q380" s="42">
        <f t="shared" si="108"/>
        <v>1.4243840035597064</v>
      </c>
      <c r="R380" s="42">
        <f t="shared" si="109"/>
        <v>1.532843873407862</v>
      </c>
      <c r="S380" s="41">
        <f t="shared" si="110"/>
        <v>-7.075728437171136E-2</v>
      </c>
      <c r="T380" s="41">
        <f t="shared" si="94"/>
        <v>0.21711433189704987</v>
      </c>
      <c r="U380" s="41">
        <f t="shared" si="111"/>
        <v>0</v>
      </c>
      <c r="V380" s="41">
        <f t="shared" si="112"/>
        <v>8.8185475571265215E-3</v>
      </c>
      <c r="W380" s="39">
        <f t="shared" si="98"/>
        <v>256.08999999999997</v>
      </c>
      <c r="X380" s="21"/>
    </row>
    <row r="381" spans="1:24" x14ac:dyDescent="0.2">
      <c r="A381" s="38">
        <v>45492</v>
      </c>
      <c r="B381" s="39">
        <v>256.14</v>
      </c>
      <c r="C381" s="39">
        <v>548.99</v>
      </c>
      <c r="D381" s="39">
        <v>45.055</v>
      </c>
      <c r="E381" s="41">
        <f t="shared" si="99"/>
        <v>1.9524385958069601E-4</v>
      </c>
      <c r="F381" s="41">
        <f t="shared" si="100"/>
        <v>-6.6406108638221717E-3</v>
      </c>
      <c r="G381" s="41">
        <f t="shared" si="101"/>
        <v>-8.9089309282885942E-3</v>
      </c>
      <c r="H381" s="41">
        <f t="shared" si="102"/>
        <v>0.42466210579008634</v>
      </c>
      <c r="I381" s="41">
        <f t="shared" si="103"/>
        <v>0.35730709323311838</v>
      </c>
      <c r="J381" s="41">
        <f t="shared" si="104"/>
        <v>8.2662501501862273E-2</v>
      </c>
      <c r="K381" s="42">
        <f t="shared" si="95"/>
        <v>142.46621057900884</v>
      </c>
      <c r="L381" s="42">
        <f t="shared" si="96"/>
        <v>135.73070932331197</v>
      </c>
      <c r="M381" s="42">
        <f t="shared" si="97"/>
        <v>108.26625015018622</v>
      </c>
      <c r="N381" s="41">
        <f t="shared" si="105"/>
        <v>4.9624003950740292E-2</v>
      </c>
      <c r="O381" s="41">
        <f t="shared" si="106"/>
        <v>0.31588754927209961</v>
      </c>
      <c r="P381" s="39">
        <f t="shared" si="107"/>
        <v>241.95182693728754</v>
      </c>
      <c r="Q381" s="42">
        <f t="shared" si="108"/>
        <v>1.4246621057900863</v>
      </c>
      <c r="R381" s="42">
        <f t="shared" si="109"/>
        <v>1.532843873407862</v>
      </c>
      <c r="S381" s="41">
        <f t="shared" si="110"/>
        <v>-7.0575855437424839E-2</v>
      </c>
      <c r="T381" s="41">
        <f t="shared" si="94"/>
        <v>0.21351211419391047</v>
      </c>
      <c r="U381" s="41">
        <f t="shared" si="111"/>
        <v>0</v>
      </c>
      <c r="V381" s="41">
        <f t="shared" si="112"/>
        <v>6.8358547234028677E-3</v>
      </c>
      <c r="W381" s="39">
        <f t="shared" si="98"/>
        <v>256.14</v>
      </c>
      <c r="X381" s="21"/>
    </row>
    <row r="382" spans="1:24" x14ac:dyDescent="0.2">
      <c r="A382" s="38">
        <v>45495</v>
      </c>
      <c r="B382" s="39">
        <v>260.61</v>
      </c>
      <c r="C382" s="39">
        <v>554.65</v>
      </c>
      <c r="D382" s="39">
        <v>45.204999999999998</v>
      </c>
      <c r="E382" s="41">
        <f t="shared" si="99"/>
        <v>1.7451393769032597E-2</v>
      </c>
      <c r="F382" s="41">
        <f t="shared" si="100"/>
        <v>1.0309841709320589E-2</v>
      </c>
      <c r="G382" s="41">
        <f t="shared" si="101"/>
        <v>3.3292642326046007E-3</v>
      </c>
      <c r="H382" s="41">
        <f t="shared" si="102"/>
        <v>0.44952444518604828</v>
      </c>
      <c r="I382" s="41">
        <f t="shared" si="103"/>
        <v>0.37130071451528979</v>
      </c>
      <c r="J382" s="41">
        <f t="shared" si="104"/>
        <v>8.6266971044094642E-2</v>
      </c>
      <c r="K382" s="42">
        <f t="shared" si="95"/>
        <v>144.95244451860506</v>
      </c>
      <c r="L382" s="42">
        <f t="shared" si="96"/>
        <v>137.13007145152915</v>
      </c>
      <c r="M382" s="42">
        <f t="shared" si="97"/>
        <v>108.62669710440946</v>
      </c>
      <c r="N382" s="41">
        <f t="shared" si="105"/>
        <v>5.7043455051657421E-2</v>
      </c>
      <c r="O382" s="41">
        <f t="shared" si="106"/>
        <v>0.33440902082551482</v>
      </c>
      <c r="P382" s="39">
        <f t="shared" si="107"/>
        <v>242.13748040059812</v>
      </c>
      <c r="Q382" s="42">
        <f t="shared" si="108"/>
        <v>1.4495244451860483</v>
      </c>
      <c r="R382" s="42">
        <f t="shared" si="109"/>
        <v>1.532843873407862</v>
      </c>
      <c r="S382" s="41">
        <f t="shared" si="110"/>
        <v>-5.4356108712217077E-2</v>
      </c>
      <c r="T382" s="41">
        <f t="shared" si="94"/>
        <v>0.21519583274303561</v>
      </c>
      <c r="U382" s="41">
        <f t="shared" si="111"/>
        <v>0</v>
      </c>
      <c r="V382" s="41">
        <f t="shared" si="112"/>
        <v>7.1415520597120086E-3</v>
      </c>
      <c r="W382" s="39">
        <f t="shared" si="98"/>
        <v>260.61</v>
      </c>
      <c r="X382" s="21"/>
    </row>
    <row r="383" spans="1:24" x14ac:dyDescent="0.2">
      <c r="A383" s="38">
        <v>45496</v>
      </c>
      <c r="B383" s="39">
        <v>260.14999999999998</v>
      </c>
      <c r="C383" s="39">
        <v>553.78</v>
      </c>
      <c r="D383" s="39">
        <v>45.384999999999998</v>
      </c>
      <c r="E383" s="41">
        <f t="shared" si="99"/>
        <v>-1.765089597483005E-3</v>
      </c>
      <c r="F383" s="41">
        <f t="shared" si="100"/>
        <v>-1.5685567474984508E-3</v>
      </c>
      <c r="G383" s="41">
        <f t="shared" si="101"/>
        <v>3.9818604136709901E-3</v>
      </c>
      <c r="H383" s="41">
        <f t="shared" si="102"/>
        <v>0.44696590466655306</v>
      </c>
      <c r="I383" s="41">
        <f t="shared" si="103"/>
        <v>0.36914975152668728</v>
      </c>
      <c r="J383" s="41">
        <f t="shared" si="104"/>
        <v>9.0592334494773441E-2</v>
      </c>
      <c r="K383" s="42">
        <f t="shared" si="95"/>
        <v>144.69659046665552</v>
      </c>
      <c r="L383" s="42">
        <f t="shared" si="96"/>
        <v>136.91497515266892</v>
      </c>
      <c r="M383" s="42">
        <f t="shared" si="97"/>
        <v>109.05923344947735</v>
      </c>
      <c r="N383" s="41">
        <f t="shared" si="105"/>
        <v>5.6835384919068144E-2</v>
      </c>
      <c r="O383" s="41">
        <f t="shared" si="106"/>
        <v>0.32677065379968284</v>
      </c>
      <c r="P383" s="39">
        <f t="shared" si="107"/>
        <v>242.31670945133845</v>
      </c>
      <c r="Q383" s="42">
        <f t="shared" si="108"/>
        <v>1.4469659046665531</v>
      </c>
      <c r="R383" s="42">
        <f t="shared" si="109"/>
        <v>1.532843873407862</v>
      </c>
      <c r="S383" s="41">
        <f t="shared" si="110"/>
        <v>-5.6025254907652533E-2</v>
      </c>
      <c r="T383" s="41">
        <f t="shared" si="94"/>
        <v>0.21459034854269846</v>
      </c>
      <c r="U383" s="41">
        <f t="shared" si="111"/>
        <v>-1.9207394602742678E-3</v>
      </c>
      <c r="V383" s="41">
        <f t="shared" si="112"/>
        <v>-1.9653284998455423E-4</v>
      </c>
      <c r="W383" s="39">
        <f t="shared" si="98"/>
        <v>260.14999999999998</v>
      </c>
      <c r="X383" s="21"/>
    </row>
    <row r="384" spans="1:24" x14ac:dyDescent="0.2">
      <c r="A384" s="38">
        <v>45497</v>
      </c>
      <c r="B384" s="39">
        <v>250.51</v>
      </c>
      <c r="C384" s="39">
        <v>541.23</v>
      </c>
      <c r="D384" s="39">
        <v>44.805</v>
      </c>
      <c r="E384" s="41">
        <f t="shared" si="99"/>
        <v>-3.7055544877954927E-2</v>
      </c>
      <c r="F384" s="41">
        <f t="shared" si="100"/>
        <v>-2.26624291234786E-2</v>
      </c>
      <c r="G384" s="41">
        <f t="shared" si="101"/>
        <v>-1.2779552715654896E-2</v>
      </c>
      <c r="H384" s="41">
        <f t="shared" si="102"/>
        <v>0.39334779464931091</v>
      </c>
      <c r="I384" s="41">
        <f t="shared" si="103"/>
        <v>0.33812149232328537</v>
      </c>
      <c r="J384" s="41">
        <f t="shared" si="104"/>
        <v>7.6655052264808399E-2</v>
      </c>
      <c r="K384" s="42">
        <f t="shared" si="95"/>
        <v>139.3347794649313</v>
      </c>
      <c r="L384" s="42">
        <f t="shared" si="96"/>
        <v>133.81214923232872</v>
      </c>
      <c r="M384" s="42">
        <f t="shared" si="97"/>
        <v>107.66550522648085</v>
      </c>
      <c r="N384" s="41">
        <f t="shared" si="105"/>
        <v>4.1271515809928383E-2</v>
      </c>
      <c r="O384" s="41">
        <f t="shared" si="106"/>
        <v>0.29414503904321099</v>
      </c>
      <c r="P384" s="39">
        <f t="shared" si="107"/>
        <v>242.39823473042964</v>
      </c>
      <c r="Q384" s="42">
        <f t="shared" si="108"/>
        <v>1.3933477946493109</v>
      </c>
      <c r="R384" s="42">
        <f t="shared" si="109"/>
        <v>1.532843873407862</v>
      </c>
      <c r="S384" s="41">
        <f t="shared" si="110"/>
        <v>-9.1004753438078123E-2</v>
      </c>
      <c r="T384" s="41">
        <f t="shared" si="94"/>
        <v>0.22664061018496068</v>
      </c>
      <c r="U384" s="41">
        <f t="shared" si="111"/>
        <v>-3.721119474074619E-2</v>
      </c>
      <c r="V384" s="41">
        <f t="shared" si="112"/>
        <v>-1.4393115754476327E-2</v>
      </c>
      <c r="W384" s="39">
        <f t="shared" si="98"/>
        <v>250.51</v>
      </c>
      <c r="X384" s="21"/>
    </row>
    <row r="385" spans="1:24" x14ac:dyDescent="0.2">
      <c r="A385" s="38">
        <v>45498</v>
      </c>
      <c r="B385" s="39">
        <v>253.77</v>
      </c>
      <c r="C385" s="39">
        <v>538.41</v>
      </c>
      <c r="D385" s="39">
        <v>44.93</v>
      </c>
      <c r="E385" s="41">
        <f t="shared" si="99"/>
        <v>1.3013452556784211E-2</v>
      </c>
      <c r="F385" s="41">
        <f t="shared" si="100"/>
        <v>-5.210354193226685E-3</v>
      </c>
      <c r="G385" s="41">
        <f t="shared" si="101"/>
        <v>2.7898672023212168E-3</v>
      </c>
      <c r="H385" s="41">
        <f t="shared" si="102"/>
        <v>0.41148006007007965</v>
      </c>
      <c r="I385" s="41">
        <f t="shared" si="103"/>
        <v>0.33114940539471194</v>
      </c>
      <c r="J385" s="41">
        <f t="shared" si="104"/>
        <v>7.9658776883335447E-2</v>
      </c>
      <c r="K385" s="42">
        <f t="shared" si="95"/>
        <v>141.14800600700818</v>
      </c>
      <c r="L385" s="42">
        <f t="shared" si="96"/>
        <v>133.11494053947141</v>
      </c>
      <c r="M385" s="42">
        <f t="shared" si="97"/>
        <v>107.96587768833352</v>
      </c>
      <c r="N385" s="41">
        <f t="shared" si="105"/>
        <v>6.034683586216083E-2</v>
      </c>
      <c r="O385" s="41">
        <f t="shared" si="106"/>
        <v>0.30733903182319966</v>
      </c>
      <c r="P385" s="39">
        <f t="shared" si="107"/>
        <v>242.51138662365918</v>
      </c>
      <c r="Q385" s="42">
        <f t="shared" si="108"/>
        <v>1.4114800600700796</v>
      </c>
      <c r="R385" s="42">
        <f t="shared" si="109"/>
        <v>1.532843873407862</v>
      </c>
      <c r="S385" s="41">
        <f t="shared" si="110"/>
        <v>-7.9175586922602181E-2</v>
      </c>
      <c r="T385" s="41">
        <f t="shared" si="94"/>
        <v>0.22833811519745062</v>
      </c>
      <c r="U385" s="41">
        <f t="shared" si="111"/>
        <v>0</v>
      </c>
      <c r="V385" s="41">
        <f t="shared" si="112"/>
        <v>1.8223806750010896E-2</v>
      </c>
      <c r="W385" s="39">
        <f t="shared" si="98"/>
        <v>253.77</v>
      </c>
      <c r="X385" s="21"/>
    </row>
    <row r="386" spans="1:24" x14ac:dyDescent="0.2">
      <c r="A386" s="38">
        <v>45499</v>
      </c>
      <c r="B386" s="39">
        <v>261.70999999999998</v>
      </c>
      <c r="C386" s="39">
        <v>544.44000000000005</v>
      </c>
      <c r="D386" s="39">
        <v>45.664999999999999</v>
      </c>
      <c r="E386" s="41">
        <f t="shared" si="99"/>
        <v>3.1288174331087104E-2</v>
      </c>
      <c r="F386" s="41">
        <f t="shared" si="100"/>
        <v>1.119964339443924E-2</v>
      </c>
      <c r="G386" s="41">
        <f t="shared" si="101"/>
        <v>1.6358780324949862E-2</v>
      </c>
      <c r="H386" s="41">
        <f t="shared" si="102"/>
        <v>0.45564269425440562</v>
      </c>
      <c r="I386" s="41">
        <f t="shared" si="103"/>
        <v>0.34605780403985253</v>
      </c>
      <c r="J386" s="41">
        <f t="shared" si="104"/>
        <v>9.7320677640273967E-2</v>
      </c>
      <c r="K386" s="42">
        <f t="shared" si="95"/>
        <v>145.56426942544078</v>
      </c>
      <c r="L386" s="42">
        <f t="shared" si="96"/>
        <v>134.60578040398548</v>
      </c>
      <c r="M386" s="42">
        <f t="shared" si="97"/>
        <v>109.73206776402739</v>
      </c>
      <c r="N386" s="41">
        <f t="shared" si="105"/>
        <v>8.1411726811182694E-2</v>
      </c>
      <c r="O386" s="41">
        <f t="shared" si="106"/>
        <v>0.32654266333947413</v>
      </c>
      <c r="P386" s="39">
        <f t="shared" si="107"/>
        <v>242.70241760252824</v>
      </c>
      <c r="Q386" s="42">
        <f t="shared" si="108"/>
        <v>1.4556426942544056</v>
      </c>
      <c r="R386" s="42">
        <f t="shared" si="109"/>
        <v>1.532843873407862</v>
      </c>
      <c r="S386" s="41">
        <f t="shared" si="110"/>
        <v>-5.0364672157915513E-2</v>
      </c>
      <c r="T386" s="41">
        <f t="shared" si="94"/>
        <v>0.23539860771326002</v>
      </c>
      <c r="U386" s="41">
        <f t="shared" si="111"/>
        <v>0</v>
      </c>
      <c r="V386" s="41">
        <f t="shared" si="112"/>
        <v>2.0088530936647864E-2</v>
      </c>
      <c r="W386" s="39">
        <f t="shared" si="98"/>
        <v>261.70999999999998</v>
      </c>
      <c r="X386" s="21"/>
    </row>
    <row r="387" spans="1:24" x14ac:dyDescent="0.2">
      <c r="A387" s="38">
        <v>45502</v>
      </c>
      <c r="B387" s="39">
        <v>264.52999999999997</v>
      </c>
      <c r="C387" s="39">
        <v>544.76</v>
      </c>
      <c r="D387" s="39">
        <v>45.744999999999997</v>
      </c>
      <c r="E387" s="41">
        <f t="shared" si="99"/>
        <v>1.0775285621489328E-2</v>
      </c>
      <c r="F387" s="41">
        <f t="shared" si="100"/>
        <v>5.8775990008075318E-4</v>
      </c>
      <c r="G387" s="41">
        <f t="shared" si="101"/>
        <v>1.7518887550640461E-3</v>
      </c>
      <c r="H387" s="41">
        <f t="shared" si="102"/>
        <v>0.47132766004783111</v>
      </c>
      <c r="I387" s="41">
        <f t="shared" si="103"/>
        <v>0.34684896284025801</v>
      </c>
      <c r="J387" s="41">
        <f t="shared" si="104"/>
        <v>9.924306139613126E-2</v>
      </c>
      <c r="K387" s="42">
        <f t="shared" si="95"/>
        <v>147.13276600478335</v>
      </c>
      <c r="L387" s="42">
        <f t="shared" si="96"/>
        <v>134.684896284026</v>
      </c>
      <c r="M387" s="42">
        <f t="shared" si="97"/>
        <v>109.92430613961311</v>
      </c>
      <c r="N387" s="41">
        <f t="shared" si="105"/>
        <v>9.2422165099396381E-2</v>
      </c>
      <c r="O387" s="41">
        <f t="shared" si="106"/>
        <v>0.3384916509539948</v>
      </c>
      <c r="P387" s="39">
        <f t="shared" si="107"/>
        <v>242.91960747712994</v>
      </c>
      <c r="Q387" s="42">
        <f t="shared" si="108"/>
        <v>1.4713276600478311</v>
      </c>
      <c r="R387" s="42">
        <f t="shared" si="109"/>
        <v>1.532843873407862</v>
      </c>
      <c r="S387" s="41">
        <f t="shared" si="110"/>
        <v>-4.0132080264160375E-2</v>
      </c>
      <c r="T387" s="41">
        <f t="shared" si="94"/>
        <v>0.23583010078516733</v>
      </c>
      <c r="U387" s="41">
        <f t="shared" si="111"/>
        <v>0</v>
      </c>
      <c r="V387" s="41">
        <f t="shared" si="112"/>
        <v>1.0187525721408575E-2</v>
      </c>
      <c r="W387" s="39">
        <f t="shared" si="98"/>
        <v>264.52999999999997</v>
      </c>
      <c r="X387" s="21"/>
    </row>
    <row r="388" spans="1:24" x14ac:dyDescent="0.2">
      <c r="A388" s="38">
        <v>45503</v>
      </c>
      <c r="B388" s="39">
        <v>270</v>
      </c>
      <c r="C388" s="39">
        <v>542</v>
      </c>
      <c r="D388" s="39">
        <v>45.594999999999999</v>
      </c>
      <c r="E388" s="41">
        <f t="shared" si="99"/>
        <v>2.0678183948890538E-2</v>
      </c>
      <c r="F388" s="41">
        <f t="shared" si="100"/>
        <v>-5.0664512812981233E-3</v>
      </c>
      <c r="G388" s="41">
        <f t="shared" si="101"/>
        <v>-3.2790468903705072E-3</v>
      </c>
      <c r="H388" s="41">
        <f t="shared" si="102"/>
        <v>0.50175204405139096</v>
      </c>
      <c r="I388" s="41">
        <f t="shared" si="103"/>
        <v>0.3400252181867609</v>
      </c>
      <c r="J388" s="41">
        <f t="shared" si="104"/>
        <v>9.5638591853898891E-2</v>
      </c>
      <c r="K388" s="42">
        <f t="shared" si="95"/>
        <v>150.17520440513934</v>
      </c>
      <c r="L388" s="42">
        <f t="shared" si="96"/>
        <v>134.00252181867629</v>
      </c>
      <c r="M388" s="42">
        <f t="shared" si="97"/>
        <v>109.56385918538987</v>
      </c>
      <c r="N388" s="41">
        <f t="shared" si="105"/>
        <v>0.12068938977392429</v>
      </c>
      <c r="O388" s="41">
        <f t="shared" si="106"/>
        <v>0.3706636980633542</v>
      </c>
      <c r="P388" s="39">
        <f t="shared" si="107"/>
        <v>243.18906411914855</v>
      </c>
      <c r="Q388" s="42">
        <f t="shared" si="108"/>
        <v>1.501752044051391</v>
      </c>
      <c r="R388" s="42">
        <f t="shared" si="109"/>
        <v>1.532843873407862</v>
      </c>
      <c r="S388" s="41">
        <f t="shared" si="110"/>
        <v>-2.0283754853223757E-2</v>
      </c>
      <c r="T388" s="41">
        <f t="shared" si="94"/>
        <v>0.23673927818072626</v>
      </c>
      <c r="U388" s="41">
        <f t="shared" si="111"/>
        <v>0</v>
      </c>
      <c r="V388" s="41">
        <f t="shared" si="112"/>
        <v>2.5744635230188662E-2</v>
      </c>
      <c r="W388" s="39">
        <f t="shared" si="98"/>
        <v>270</v>
      </c>
      <c r="X388" s="21"/>
    </row>
    <row r="389" spans="1:24" x14ac:dyDescent="0.2">
      <c r="A389" s="38">
        <v>45504</v>
      </c>
      <c r="B389" s="39">
        <v>274.51</v>
      </c>
      <c r="C389" s="39">
        <v>550.80999999999995</v>
      </c>
      <c r="D389" s="39">
        <v>46.07</v>
      </c>
      <c r="E389" s="41">
        <f t="shared" si="99"/>
        <v>1.6703703703703665E-2</v>
      </c>
      <c r="F389" s="41">
        <f t="shared" si="100"/>
        <v>1.6254612546125369E-2</v>
      </c>
      <c r="G389" s="41">
        <f t="shared" si="101"/>
        <v>1.0417808970281772E-2</v>
      </c>
      <c r="H389" s="41">
        <f t="shared" si="102"/>
        <v>0.52683686523165663</v>
      </c>
      <c r="I389" s="41">
        <f t="shared" si="103"/>
        <v>0.36180680891042383</v>
      </c>
      <c r="J389" s="41">
        <f t="shared" si="104"/>
        <v>0.10705274540430132</v>
      </c>
      <c r="K389" s="42">
        <f t="shared" si="95"/>
        <v>152.6836865231659</v>
      </c>
      <c r="L389" s="42">
        <f t="shared" si="96"/>
        <v>136.18068089104258</v>
      </c>
      <c r="M389" s="42">
        <f t="shared" si="97"/>
        <v>110.70527454043014</v>
      </c>
      <c r="N389" s="41">
        <f t="shared" si="105"/>
        <v>0.12118463150677927</v>
      </c>
      <c r="O389" s="41">
        <f t="shared" si="106"/>
        <v>0.37919071297189899</v>
      </c>
      <c r="P389" s="39">
        <f t="shared" si="107"/>
        <v>243.50071522244062</v>
      </c>
      <c r="Q389" s="42">
        <f t="shared" si="108"/>
        <v>1.5268368652316566</v>
      </c>
      <c r="R389" s="42">
        <f t="shared" si="109"/>
        <v>1.532843873407862</v>
      </c>
      <c r="S389" s="41">
        <f t="shared" si="110"/>
        <v>-3.9188649805870224E-3</v>
      </c>
      <c r="T389" s="41">
        <f t="shared" si="94"/>
        <v>0.23906605823007759</v>
      </c>
      <c r="U389" s="41">
        <f t="shared" si="111"/>
        <v>0</v>
      </c>
      <c r="V389" s="41">
        <f t="shared" si="112"/>
        <v>4.4909115757829632E-4</v>
      </c>
      <c r="W389" s="39">
        <f t="shared" si="98"/>
        <v>274.51</v>
      </c>
      <c r="X389" s="21"/>
    </row>
    <row r="390" spans="1:24" x14ac:dyDescent="0.2">
      <c r="A390" s="38">
        <v>45505</v>
      </c>
      <c r="B390" s="39">
        <v>271.13</v>
      </c>
      <c r="C390" s="39">
        <v>543.01</v>
      </c>
      <c r="D390" s="39">
        <v>45.884999999999998</v>
      </c>
      <c r="E390" s="41">
        <f t="shared" si="99"/>
        <v>-1.2312848347965422E-2</v>
      </c>
      <c r="F390" s="41">
        <f t="shared" si="100"/>
        <v>-1.4160962945480193E-2</v>
      </c>
      <c r="G390" s="41">
        <f t="shared" si="101"/>
        <v>-4.0156283915780966E-3</v>
      </c>
      <c r="H390" s="41">
        <f t="shared" si="102"/>
        <v>0.50803715445797626</v>
      </c>
      <c r="I390" s="41">
        <f t="shared" si="103"/>
        <v>0.3425223131505406</v>
      </c>
      <c r="J390" s="41">
        <f t="shared" si="104"/>
        <v>0.10260723296888141</v>
      </c>
      <c r="K390" s="42">
        <f t="shared" si="95"/>
        <v>150.80371544579788</v>
      </c>
      <c r="L390" s="42">
        <f t="shared" si="96"/>
        <v>134.25223131505425</v>
      </c>
      <c r="M390" s="42">
        <f t="shared" si="97"/>
        <v>110.26072329688814</v>
      </c>
      <c r="N390" s="41">
        <f t="shared" si="105"/>
        <v>0.12328647329444875</v>
      </c>
      <c r="O390" s="41">
        <f t="shared" si="106"/>
        <v>0.36770112635433549</v>
      </c>
      <c r="P390" s="39">
        <f t="shared" si="107"/>
        <v>243.77563347893377</v>
      </c>
      <c r="Q390" s="42">
        <f t="shared" si="108"/>
        <v>1.5080371544579763</v>
      </c>
      <c r="R390" s="42">
        <f t="shared" si="109"/>
        <v>1.532843873407862</v>
      </c>
      <c r="S390" s="41">
        <f t="shared" si="110"/>
        <v>-1.6183460938350325E-2</v>
      </c>
      <c r="T390" s="41">
        <f t="shared" si="94"/>
        <v>0.24002366680627069</v>
      </c>
      <c r="U390" s="41">
        <f t="shared" si="111"/>
        <v>-1.2468498210756684E-2</v>
      </c>
      <c r="V390" s="41">
        <f t="shared" si="112"/>
        <v>1.8481145975147717E-3</v>
      </c>
      <c r="W390" s="39">
        <f t="shared" si="98"/>
        <v>271.13</v>
      </c>
      <c r="X390" s="21"/>
    </row>
    <row r="391" spans="1:24" x14ac:dyDescent="0.2">
      <c r="A391" s="38">
        <v>45506</v>
      </c>
      <c r="B391" s="39">
        <v>266.33999999999997</v>
      </c>
      <c r="C391" s="39">
        <v>532.9</v>
      </c>
      <c r="D391" s="39">
        <v>45.02</v>
      </c>
      <c r="E391" s="41">
        <f t="shared" si="99"/>
        <v>-1.7666801903146179E-2</v>
      </c>
      <c r="F391" s="41">
        <f t="shared" si="100"/>
        <v>-1.8618441649325135E-2</v>
      </c>
      <c r="G391" s="41">
        <f t="shared" si="101"/>
        <v>-1.8851476517380283E-2</v>
      </c>
      <c r="H391" s="41">
        <f t="shared" si="102"/>
        <v>0.48139496078758293</v>
      </c>
      <c r="I391" s="41">
        <f t="shared" si="103"/>
        <v>0.31752663980023033</v>
      </c>
      <c r="J391" s="41">
        <f t="shared" si="104"/>
        <v>8.1821458608674957E-2</v>
      </c>
      <c r="K391" s="42">
        <f t="shared" si="95"/>
        <v>148.13949607875853</v>
      </c>
      <c r="L391" s="42">
        <f t="shared" si="96"/>
        <v>131.75266398002324</v>
      </c>
      <c r="M391" s="42">
        <f t="shared" si="97"/>
        <v>108.18214586086748</v>
      </c>
      <c r="N391" s="41">
        <f t="shared" si="105"/>
        <v>0.12437571737615793</v>
      </c>
      <c r="O391" s="41">
        <f t="shared" si="106"/>
        <v>0.36935253872001894</v>
      </c>
      <c r="P391" s="39">
        <f t="shared" si="107"/>
        <v>244.0001545388449</v>
      </c>
      <c r="Q391" s="42">
        <f t="shared" si="108"/>
        <v>1.4813949607875829</v>
      </c>
      <c r="R391" s="42">
        <f t="shared" si="109"/>
        <v>1.532843873407862</v>
      </c>
      <c r="S391" s="41">
        <f t="shared" si="110"/>
        <v>-3.3564352842991307E-2</v>
      </c>
      <c r="T391" s="41">
        <f t="shared" si="94"/>
        <v>0.24249143634155515</v>
      </c>
      <c r="U391" s="41">
        <f t="shared" si="111"/>
        <v>-1.7822451765937442E-2</v>
      </c>
      <c r="V391" s="41">
        <f t="shared" si="112"/>
        <v>9.5163974617895608E-4</v>
      </c>
      <c r="W391" s="39">
        <f t="shared" si="98"/>
        <v>266.33999999999997</v>
      </c>
      <c r="X391" s="21"/>
    </row>
    <row r="392" spans="1:24" x14ac:dyDescent="0.2">
      <c r="A392" s="38">
        <v>45509</v>
      </c>
      <c r="B392" s="39">
        <v>257.43</v>
      </c>
      <c r="C392" s="39">
        <v>517.38</v>
      </c>
      <c r="D392" s="39">
        <v>44.015000000000001</v>
      </c>
      <c r="E392" s="41">
        <f t="shared" si="99"/>
        <v>-3.3453480513629064E-2</v>
      </c>
      <c r="F392" s="41">
        <f t="shared" si="100"/>
        <v>-2.9123662976168085E-2</v>
      </c>
      <c r="G392" s="41">
        <f t="shared" si="101"/>
        <v>-2.2323411816970284E-2</v>
      </c>
      <c r="H392" s="41">
        <f t="shared" si="102"/>
        <v>0.43183714333388723</v>
      </c>
      <c r="I392" s="41">
        <f t="shared" si="103"/>
        <v>0.27915543798056519</v>
      </c>
      <c r="J392" s="41">
        <f t="shared" si="104"/>
        <v>5.7671512675718128E-2</v>
      </c>
      <c r="K392" s="42">
        <f t="shared" si="95"/>
        <v>143.18371433338896</v>
      </c>
      <c r="L392" s="42">
        <f t="shared" si="96"/>
        <v>127.9155437980567</v>
      </c>
      <c r="M392" s="42">
        <f t="shared" si="97"/>
        <v>105.76715126757179</v>
      </c>
      <c r="N392" s="41">
        <f t="shared" si="105"/>
        <v>0.11936133859882148</v>
      </c>
      <c r="O392" s="41">
        <f t="shared" si="106"/>
        <v>0.35376355151288652</v>
      </c>
      <c r="P392" s="39">
        <f t="shared" si="107"/>
        <v>244.13378484194098</v>
      </c>
      <c r="Q392" s="42">
        <f t="shared" si="108"/>
        <v>1.4318371433338872</v>
      </c>
      <c r="R392" s="42">
        <f t="shared" si="109"/>
        <v>1.532843873407862</v>
      </c>
      <c r="S392" s="41">
        <f t="shared" si="110"/>
        <v>-6.5894988932834853E-2</v>
      </c>
      <c r="T392" s="41">
        <f t="shared" si="94"/>
        <v>0.25198512278917701</v>
      </c>
      <c r="U392" s="41">
        <f t="shared" si="111"/>
        <v>-3.3609130376420326E-2</v>
      </c>
      <c r="V392" s="41">
        <f t="shared" si="112"/>
        <v>-4.3298175374609782E-3</v>
      </c>
      <c r="W392" s="39">
        <f t="shared" si="98"/>
        <v>257.43</v>
      </c>
      <c r="X392" s="21"/>
    </row>
    <row r="393" spans="1:24" x14ac:dyDescent="0.2">
      <c r="A393" s="38">
        <v>45510</v>
      </c>
      <c r="B393" s="39">
        <v>246.14</v>
      </c>
      <c r="C393" s="39">
        <v>522.15</v>
      </c>
      <c r="D393" s="39">
        <v>44.24</v>
      </c>
      <c r="E393" s="41">
        <f t="shared" si="99"/>
        <v>-4.3856582371907038E-2</v>
      </c>
      <c r="F393" s="41">
        <f t="shared" si="100"/>
        <v>9.2195291661834045E-3</v>
      </c>
      <c r="G393" s="41">
        <f t="shared" si="101"/>
        <v>5.111893672611556E-3</v>
      </c>
      <c r="H393" s="41">
        <f t="shared" si="102"/>
        <v>0.36904165971410863</v>
      </c>
      <c r="I393" s="41">
        <f t="shared" si="103"/>
        <v>0.29094864884910909</v>
      </c>
      <c r="J393" s="41">
        <f t="shared" si="104"/>
        <v>6.3078216989066682E-2</v>
      </c>
      <c r="K393" s="42">
        <f t="shared" si="95"/>
        <v>136.90416597141109</v>
      </c>
      <c r="L393" s="42">
        <f t="shared" si="96"/>
        <v>129.09486488491112</v>
      </c>
      <c r="M393" s="42">
        <f t="shared" si="97"/>
        <v>106.30782169890665</v>
      </c>
      <c r="N393" s="41">
        <f t="shared" si="105"/>
        <v>6.0492732173831998E-2</v>
      </c>
      <c r="O393" s="41">
        <f t="shared" si="106"/>
        <v>0.28780896629752761</v>
      </c>
      <c r="P393" s="39">
        <f t="shared" si="107"/>
        <v>244.15374718182218</v>
      </c>
      <c r="Q393" s="42">
        <f t="shared" si="108"/>
        <v>1.3690416597141086</v>
      </c>
      <c r="R393" s="42">
        <f t="shared" si="109"/>
        <v>1.532843873407862</v>
      </c>
      <c r="S393" s="41">
        <f t="shared" si="110"/>
        <v>-0.10686164229471307</v>
      </c>
      <c r="T393" s="41">
        <f t="shared" si="94"/>
        <v>0.26608094756956979</v>
      </c>
      <c r="U393" s="41">
        <f t="shared" si="111"/>
        <v>-4.4012232234698301E-2</v>
      </c>
      <c r="V393" s="41">
        <f t="shared" si="112"/>
        <v>-5.3076111538090442E-2</v>
      </c>
      <c r="W393" s="39">
        <f t="shared" si="98"/>
        <v>246.14</v>
      </c>
      <c r="X393" s="21"/>
    </row>
    <row r="394" spans="1:24" x14ac:dyDescent="0.2">
      <c r="A394" s="38">
        <v>45511</v>
      </c>
      <c r="B394" s="39">
        <v>241.22</v>
      </c>
      <c r="C394" s="39">
        <v>518.66</v>
      </c>
      <c r="D394" s="39">
        <v>43.64</v>
      </c>
      <c r="E394" s="41">
        <f t="shared" si="99"/>
        <v>-1.9988624360120166E-2</v>
      </c>
      <c r="F394" s="41">
        <f t="shared" si="100"/>
        <v>-6.6839030929809473E-3</v>
      </c>
      <c r="G394" s="41">
        <f t="shared" si="101"/>
        <v>-1.3562386980108476E-2</v>
      </c>
      <c r="H394" s="41">
        <f t="shared" si="102"/>
        <v>0.3416764002447279</v>
      </c>
      <c r="I394" s="41">
        <f t="shared" si="103"/>
        <v>0.28232007318218688</v>
      </c>
      <c r="J394" s="41">
        <f t="shared" si="104"/>
        <v>4.8660338820137206E-2</v>
      </c>
      <c r="K394" s="42">
        <f t="shared" si="95"/>
        <v>134.167640024473</v>
      </c>
      <c r="L394" s="42">
        <f t="shared" si="96"/>
        <v>128.23200731821888</v>
      </c>
      <c r="M394" s="42">
        <f t="shared" si="97"/>
        <v>104.8660338820137</v>
      </c>
      <c r="N394" s="41">
        <f t="shared" si="105"/>
        <v>4.6288230453449319E-2</v>
      </c>
      <c r="O394" s="41">
        <f t="shared" si="106"/>
        <v>0.27941941787773472</v>
      </c>
      <c r="P394" s="39">
        <f t="shared" si="107"/>
        <v>244.12455566757521</v>
      </c>
      <c r="Q394" s="42">
        <f t="shared" si="108"/>
        <v>1.3416764002447279</v>
      </c>
      <c r="R394" s="42">
        <f t="shared" si="109"/>
        <v>1.532843873407862</v>
      </c>
      <c r="S394" s="41">
        <f t="shared" si="110"/>
        <v>-0.12471424942849862</v>
      </c>
      <c r="T394" s="41">
        <f t="shared" si="94"/>
        <v>0.26840319672334345</v>
      </c>
      <c r="U394" s="41">
        <f t="shared" si="111"/>
        <v>-2.0144274222911429E-2</v>
      </c>
      <c r="V394" s="41">
        <f t="shared" si="112"/>
        <v>-1.3304721267139219E-2</v>
      </c>
      <c r="W394" s="39">
        <f t="shared" si="98"/>
        <v>241.22</v>
      </c>
      <c r="X394" s="21"/>
    </row>
    <row r="395" spans="1:24" x14ac:dyDescent="0.2">
      <c r="A395" s="38">
        <v>45512</v>
      </c>
      <c r="B395" s="39">
        <v>246.33</v>
      </c>
      <c r="C395" s="39">
        <v>530.65</v>
      </c>
      <c r="D395" s="39">
        <v>44.314999999999998</v>
      </c>
      <c r="E395" s="41">
        <f t="shared" si="99"/>
        <v>2.118398142774236E-2</v>
      </c>
      <c r="F395" s="41">
        <f t="shared" si="100"/>
        <v>2.3117263718042569E-2</v>
      </c>
      <c r="G395" s="41">
        <f t="shared" si="101"/>
        <v>1.5467461044912811E-2</v>
      </c>
      <c r="H395" s="41">
        <f t="shared" si="102"/>
        <v>0.3700984481895524</v>
      </c>
      <c r="I395" s="41">
        <f t="shared" si="103"/>
        <v>0.31196380448487915</v>
      </c>
      <c r="J395" s="41">
        <f t="shared" si="104"/>
        <v>6.4880451760182645E-2</v>
      </c>
      <c r="K395" s="42">
        <f t="shared" si="95"/>
        <v>137.00984481895546</v>
      </c>
      <c r="L395" s="42">
        <f t="shared" si="96"/>
        <v>131.19638044848813</v>
      </c>
      <c r="M395" s="42">
        <f t="shared" si="97"/>
        <v>106.48804517601825</v>
      </c>
      <c r="N395" s="41">
        <f t="shared" si="105"/>
        <v>4.4311164306471751E-2</v>
      </c>
      <c r="O395" s="41">
        <f t="shared" si="106"/>
        <v>0.28662184184606154</v>
      </c>
      <c r="P395" s="39">
        <f t="shared" si="107"/>
        <v>244.14650038730085</v>
      </c>
      <c r="Q395" s="42">
        <f t="shared" si="108"/>
        <v>1.3700984481895524</v>
      </c>
      <c r="R395" s="42">
        <f t="shared" si="109"/>
        <v>1.532843873407862</v>
      </c>
      <c r="S395" s="41">
        <f t="shared" si="110"/>
        <v>-0.10617221234442442</v>
      </c>
      <c r="T395" s="41">
        <f t="shared" si="94"/>
        <v>0.2722608097514489</v>
      </c>
      <c r="U395" s="41">
        <f t="shared" si="111"/>
        <v>0</v>
      </c>
      <c r="V395" s="41">
        <f t="shared" si="112"/>
        <v>-1.9332822903002089E-3</v>
      </c>
      <c r="W395" s="39">
        <f t="shared" si="98"/>
        <v>246.33</v>
      </c>
      <c r="X395" s="21"/>
    </row>
    <row r="396" spans="1:24" x14ac:dyDescent="0.2">
      <c r="A396" s="38">
        <v>45513</v>
      </c>
      <c r="B396" s="39">
        <v>244.34</v>
      </c>
      <c r="C396" s="39">
        <v>532.99</v>
      </c>
      <c r="D396" s="39">
        <v>44.28</v>
      </c>
      <c r="E396" s="41">
        <f t="shared" si="99"/>
        <v>-8.078593756343122E-3</v>
      </c>
      <c r="F396" s="41">
        <f t="shared" si="100"/>
        <v>4.409686233864285E-3</v>
      </c>
      <c r="G396" s="41">
        <f t="shared" si="101"/>
        <v>-7.8980029335429247E-4</v>
      </c>
      <c r="H396" s="41">
        <f t="shared" si="102"/>
        <v>0.3590299794204328</v>
      </c>
      <c r="I396" s="41">
        <f t="shared" si="103"/>
        <v>0.31774915321284425</v>
      </c>
      <c r="J396" s="41">
        <f t="shared" si="104"/>
        <v>6.4039408866995107E-2</v>
      </c>
      <c r="K396" s="42">
        <f t="shared" si="95"/>
        <v>135.9029979420435</v>
      </c>
      <c r="L396" s="42">
        <f t="shared" si="96"/>
        <v>131.77491532128465</v>
      </c>
      <c r="M396" s="42">
        <f t="shared" si="97"/>
        <v>106.40394088669952</v>
      </c>
      <c r="N396" s="41">
        <f t="shared" si="105"/>
        <v>3.1326771189296831E-2</v>
      </c>
      <c r="O396" s="41">
        <f t="shared" si="106"/>
        <v>0.27723650843679559</v>
      </c>
      <c r="P396" s="39">
        <f t="shared" si="107"/>
        <v>244.14842575658145</v>
      </c>
      <c r="Q396" s="42">
        <f t="shared" si="108"/>
        <v>1.3590299794204328</v>
      </c>
      <c r="R396" s="42">
        <f t="shared" si="109"/>
        <v>1.532843873407862</v>
      </c>
      <c r="S396" s="41">
        <f t="shared" si="110"/>
        <v>-0.11339308392902481</v>
      </c>
      <c r="T396" s="41">
        <f t="shared" si="94"/>
        <v>0.27219665029927359</v>
      </c>
      <c r="U396" s="41">
        <f t="shared" si="111"/>
        <v>-8.2342436191343849E-3</v>
      </c>
      <c r="V396" s="41">
        <f t="shared" si="112"/>
        <v>-1.2488279990207407E-2</v>
      </c>
      <c r="W396" s="39">
        <f t="shared" si="98"/>
        <v>244.34</v>
      </c>
      <c r="X396" s="21"/>
    </row>
    <row r="397" spans="1:24" x14ac:dyDescent="0.2">
      <c r="A397" s="38">
        <v>45516</v>
      </c>
      <c r="B397" s="39">
        <v>241.9</v>
      </c>
      <c r="C397" s="39">
        <v>533.27</v>
      </c>
      <c r="D397" s="39">
        <v>44.085000000000001</v>
      </c>
      <c r="E397" s="41">
        <f t="shared" si="99"/>
        <v>-9.9860849635753368E-3</v>
      </c>
      <c r="F397" s="41">
        <f t="shared" si="100"/>
        <v>5.2533818645739139E-4</v>
      </c>
      <c r="G397" s="41">
        <f t="shared" si="101"/>
        <v>-4.403794037940334E-3</v>
      </c>
      <c r="H397" s="41">
        <f t="shared" si="102"/>
        <v>0.34545859057789441</v>
      </c>
      <c r="I397" s="41">
        <f t="shared" si="103"/>
        <v>0.31844141716319885</v>
      </c>
      <c r="J397" s="41">
        <f t="shared" si="104"/>
        <v>5.9353598462092982E-2</v>
      </c>
      <c r="K397" s="42">
        <f t="shared" si="95"/>
        <v>134.54585905778967</v>
      </c>
      <c r="L397" s="42">
        <f t="shared" si="96"/>
        <v>131.84414171632011</v>
      </c>
      <c r="M397" s="42">
        <f t="shared" si="97"/>
        <v>105.93535984620929</v>
      </c>
      <c r="N397" s="41">
        <f t="shared" si="105"/>
        <v>2.0491751141151537E-2</v>
      </c>
      <c r="O397" s="41">
        <f t="shared" si="106"/>
        <v>0.27007506514458601</v>
      </c>
      <c r="P397" s="39">
        <f t="shared" si="107"/>
        <v>244.12605336099358</v>
      </c>
      <c r="Q397" s="42">
        <f t="shared" si="108"/>
        <v>1.3454585905778944</v>
      </c>
      <c r="R397" s="42">
        <f t="shared" si="109"/>
        <v>1.532843873407862</v>
      </c>
      <c r="S397" s="41">
        <f t="shared" si="110"/>
        <v>-0.12224681592220299</v>
      </c>
      <c r="T397" s="41">
        <f t="shared" si="94"/>
        <v>0.2716591047171259</v>
      </c>
      <c r="U397" s="41">
        <f t="shared" si="111"/>
        <v>-1.01417348263666E-2</v>
      </c>
      <c r="V397" s="41">
        <f t="shared" si="112"/>
        <v>-1.0511423150032728E-2</v>
      </c>
      <c r="W397" s="39">
        <f t="shared" si="98"/>
        <v>241.9</v>
      </c>
      <c r="X397" s="21"/>
    </row>
    <row r="398" spans="1:24" x14ac:dyDescent="0.2">
      <c r="A398" s="38">
        <v>45517</v>
      </c>
      <c r="B398" s="39">
        <v>243.84</v>
      </c>
      <c r="C398" s="39">
        <v>542.04</v>
      </c>
      <c r="D398" s="39">
        <v>44.524999999999999</v>
      </c>
      <c r="E398" s="41">
        <f t="shared" si="99"/>
        <v>8.019842910293562E-3</v>
      </c>
      <c r="F398" s="41">
        <f t="shared" si="100"/>
        <v>1.6445702927222472E-2</v>
      </c>
      <c r="G398" s="41">
        <f t="shared" si="101"/>
        <v>9.9807190654417344E-3</v>
      </c>
      <c r="H398" s="41">
        <f t="shared" si="102"/>
        <v>0.35624895711663407</v>
      </c>
      <c r="I398" s="41">
        <f t="shared" si="103"/>
        <v>0.34012411303681112</v>
      </c>
      <c r="J398" s="41">
        <f t="shared" si="104"/>
        <v>6.9926709119307873E-2</v>
      </c>
      <c r="K398" s="42">
        <f t="shared" si="95"/>
        <v>135.62489571166361</v>
      </c>
      <c r="L398" s="42">
        <f t="shared" si="96"/>
        <v>134.01241130368135</v>
      </c>
      <c r="M398" s="42">
        <f t="shared" si="97"/>
        <v>106.99267091193079</v>
      </c>
      <c r="N398" s="41">
        <f t="shared" si="105"/>
        <v>1.2032351274750885E-2</v>
      </c>
      <c r="O398" s="41">
        <f t="shared" si="106"/>
        <v>0.26760921617987043</v>
      </c>
      <c r="P398" s="39">
        <f t="shared" si="107"/>
        <v>244.12320705889414</v>
      </c>
      <c r="Q398" s="42">
        <f t="shared" si="108"/>
        <v>1.3562489571166341</v>
      </c>
      <c r="R398" s="42">
        <f t="shared" si="109"/>
        <v>1.532843873407862</v>
      </c>
      <c r="S398" s="41">
        <f t="shared" si="110"/>
        <v>-0.11520737327188912</v>
      </c>
      <c r="T398" s="41">
        <f t="shared" si="94"/>
        <v>0.26109022717750369</v>
      </c>
      <c r="U398" s="41">
        <f t="shared" si="111"/>
        <v>0</v>
      </c>
      <c r="V398" s="41">
        <f t="shared" si="112"/>
        <v>-8.42586001692891E-3</v>
      </c>
      <c r="W398" s="39">
        <f t="shared" si="98"/>
        <v>243.84</v>
      </c>
      <c r="X398" s="21"/>
    </row>
    <row r="399" spans="1:24" x14ac:dyDescent="0.2">
      <c r="A399" s="38">
        <v>45518</v>
      </c>
      <c r="B399" s="39">
        <v>242.5</v>
      </c>
      <c r="C399" s="39">
        <v>543.75</v>
      </c>
      <c r="D399" s="39">
        <v>44.524999999999999</v>
      </c>
      <c r="E399" s="41">
        <f t="shared" si="99"/>
        <v>-5.4954068241469534E-3</v>
      </c>
      <c r="F399" s="41">
        <f t="shared" si="100"/>
        <v>3.1547487270313646E-3</v>
      </c>
      <c r="G399" s="41">
        <f t="shared" si="101"/>
        <v>0</v>
      </c>
      <c r="H399" s="41">
        <f t="shared" si="102"/>
        <v>0.34879581734245302</v>
      </c>
      <c r="I399" s="41">
        <f t="shared" si="103"/>
        <v>0.34435186787647809</v>
      </c>
      <c r="J399" s="41">
        <f t="shared" si="104"/>
        <v>6.9926709119307873E-2</v>
      </c>
      <c r="K399" s="42">
        <f t="shared" si="95"/>
        <v>134.87958173424553</v>
      </c>
      <c r="L399" s="42">
        <f t="shared" si="96"/>
        <v>134.43518678764804</v>
      </c>
      <c r="M399" s="42">
        <f t="shared" si="97"/>
        <v>106.99267091193079</v>
      </c>
      <c r="N399" s="41">
        <f t="shared" si="105"/>
        <v>3.3056445802350787E-3</v>
      </c>
      <c r="O399" s="41">
        <f t="shared" si="106"/>
        <v>0.26064318784292384</v>
      </c>
      <c r="P399" s="39">
        <f t="shared" si="107"/>
        <v>244.10705574487531</v>
      </c>
      <c r="Q399" s="42">
        <f t="shared" si="108"/>
        <v>1.348795817342453</v>
      </c>
      <c r="R399" s="42">
        <f t="shared" si="109"/>
        <v>1.532843873407862</v>
      </c>
      <c r="S399" s="41">
        <f t="shared" si="110"/>
        <v>-0.12006966871076574</v>
      </c>
      <c r="T399" s="41">
        <f t="shared" si="94"/>
        <v>0.26120752551711446</v>
      </c>
      <c r="U399" s="41">
        <f t="shared" si="111"/>
        <v>-5.6510566869382162E-3</v>
      </c>
      <c r="V399" s="41">
        <f t="shared" si="112"/>
        <v>-8.6501555511783179E-3</v>
      </c>
      <c r="W399" s="39">
        <f t="shared" si="98"/>
        <v>242.5</v>
      </c>
      <c r="X399" s="21"/>
    </row>
    <row r="400" spans="1:24" x14ac:dyDescent="0.2">
      <c r="A400" s="38">
        <v>45519</v>
      </c>
      <c r="B400" s="39">
        <v>246.57</v>
      </c>
      <c r="C400" s="39">
        <v>553.07000000000005</v>
      </c>
      <c r="D400" s="39">
        <v>45.23</v>
      </c>
      <c r="E400" s="41">
        <f t="shared" si="99"/>
        <v>1.6783505154639222E-2</v>
      </c>
      <c r="F400" s="41">
        <f t="shared" si="100"/>
        <v>1.714022988505759E-2</v>
      </c>
      <c r="G400" s="41">
        <f t="shared" si="101"/>
        <v>1.5833801235261014E-2</v>
      </c>
      <c r="H400" s="41">
        <f t="shared" si="102"/>
        <v>0.37143333889537589</v>
      </c>
      <c r="I400" s="41">
        <f t="shared" si="103"/>
        <v>0.36739436793828739</v>
      </c>
      <c r="J400" s="41">
        <f t="shared" si="104"/>
        <v>8.6867715967799963E-2</v>
      </c>
      <c r="K400" s="42">
        <f t="shared" si="95"/>
        <v>137.14333388953779</v>
      </c>
      <c r="L400" s="42">
        <f t="shared" si="96"/>
        <v>136.73943679382896</v>
      </c>
      <c r="M400" s="42">
        <f t="shared" si="97"/>
        <v>108.68677159677999</v>
      </c>
      <c r="N400" s="41">
        <f t="shared" si="105"/>
        <v>2.9537718245675748E-3</v>
      </c>
      <c r="O400" s="41">
        <f t="shared" si="106"/>
        <v>0.26182176427439918</v>
      </c>
      <c r="P400" s="39">
        <f t="shared" si="107"/>
        <v>244.13156265288652</v>
      </c>
      <c r="Q400" s="42">
        <f t="shared" si="108"/>
        <v>1.3714333388953759</v>
      </c>
      <c r="R400" s="42">
        <f t="shared" si="109"/>
        <v>1.532843873407862</v>
      </c>
      <c r="S400" s="41">
        <f t="shared" si="110"/>
        <v>-0.10530135345984948</v>
      </c>
      <c r="T400" s="41">
        <f t="shared" si="94"/>
        <v>0.26352700119183464</v>
      </c>
      <c r="U400" s="41">
        <f t="shared" si="111"/>
        <v>0</v>
      </c>
      <c r="V400" s="41">
        <f t="shared" si="112"/>
        <v>-3.5672473041836739E-4</v>
      </c>
      <c r="W400" s="39">
        <f t="shared" si="98"/>
        <v>246.57</v>
      </c>
      <c r="X400" s="21"/>
    </row>
    <row r="401" spans="1:24" x14ac:dyDescent="0.2">
      <c r="A401" s="38">
        <v>45520</v>
      </c>
      <c r="B401" s="39">
        <v>244.43</v>
      </c>
      <c r="C401" s="39">
        <v>554.30999999999995</v>
      </c>
      <c r="D401" s="39">
        <v>45.284999999999997</v>
      </c>
      <c r="E401" s="41">
        <f t="shared" si="99"/>
        <v>-8.6790769355558073E-3</v>
      </c>
      <c r="F401" s="41">
        <f t="shared" si="100"/>
        <v>2.2420308460049387E-3</v>
      </c>
      <c r="G401" s="41">
        <f t="shared" si="101"/>
        <v>1.2160070749502871E-3</v>
      </c>
      <c r="H401" s="41">
        <f t="shared" si="102"/>
        <v>0.35953056343511669</v>
      </c>
      <c r="I401" s="41">
        <f t="shared" si="103"/>
        <v>0.37046010828985843</v>
      </c>
      <c r="J401" s="41">
        <f t="shared" si="104"/>
        <v>8.8189354799951936E-2</v>
      </c>
      <c r="K401" s="42">
        <f t="shared" si="95"/>
        <v>135.95305634351189</v>
      </c>
      <c r="L401" s="42">
        <f t="shared" si="96"/>
        <v>137.04601082898606</v>
      </c>
      <c r="M401" s="42">
        <f t="shared" si="97"/>
        <v>108.81893547999518</v>
      </c>
      <c r="N401" s="41">
        <f t="shared" si="105"/>
        <v>-7.9750915686120916E-3</v>
      </c>
      <c r="O401" s="41">
        <f t="shared" si="106"/>
        <v>0.24935109633106722</v>
      </c>
      <c r="P401" s="39">
        <f t="shared" si="107"/>
        <v>244.13453217872845</v>
      </c>
      <c r="Q401" s="42">
        <f t="shared" si="108"/>
        <v>1.3595305634351167</v>
      </c>
      <c r="R401" s="42">
        <f t="shared" si="109"/>
        <v>1.532843873407862</v>
      </c>
      <c r="S401" s="41">
        <f t="shared" si="110"/>
        <v>-0.1130665118473092</v>
      </c>
      <c r="T401" s="41">
        <f t="shared" si="94"/>
        <v>0.26343686827886398</v>
      </c>
      <c r="U401" s="41">
        <f t="shared" si="111"/>
        <v>-8.8347267983470701E-3</v>
      </c>
      <c r="V401" s="41">
        <f t="shared" si="112"/>
        <v>-1.0921107781560746E-2</v>
      </c>
      <c r="W401" s="39">
        <f t="shared" si="98"/>
        <v>244.43</v>
      </c>
      <c r="X401" s="21"/>
    </row>
    <row r="402" spans="1:24" x14ac:dyDescent="0.2">
      <c r="A402" s="38">
        <v>45523</v>
      </c>
      <c r="B402" s="39">
        <v>244.29</v>
      </c>
      <c r="C402" s="39">
        <v>559.61</v>
      </c>
      <c r="D402" s="39">
        <v>45.5</v>
      </c>
      <c r="E402" s="41">
        <f t="shared" si="99"/>
        <v>-5.727611177024361E-4</v>
      </c>
      <c r="F402" s="41">
        <f t="shared" si="100"/>
        <v>9.5614367411738233E-3</v>
      </c>
      <c r="G402" s="41">
        <f t="shared" si="101"/>
        <v>4.7477089543999096E-3</v>
      </c>
      <c r="H402" s="41">
        <f t="shared" si="102"/>
        <v>0.35875187719005286</v>
      </c>
      <c r="I402" s="41">
        <f t="shared" si="103"/>
        <v>0.38356367592157414</v>
      </c>
      <c r="J402" s="41">
        <f t="shared" si="104"/>
        <v>9.3355761143818272E-2</v>
      </c>
      <c r="K402" s="42">
        <f t="shared" si="95"/>
        <v>135.87518771900551</v>
      </c>
      <c r="L402" s="42">
        <f t="shared" si="96"/>
        <v>138.35636759215762</v>
      </c>
      <c r="M402" s="42">
        <f t="shared" si="97"/>
        <v>109.33557611438182</v>
      </c>
      <c r="N402" s="41">
        <f t="shared" si="105"/>
        <v>-1.7933253932092774E-2</v>
      </c>
      <c r="O402" s="41">
        <f t="shared" si="106"/>
        <v>0.24273537075305618</v>
      </c>
      <c r="P402" s="39">
        <f t="shared" si="107"/>
        <v>244.13607912222369</v>
      </c>
      <c r="Q402" s="42">
        <f t="shared" si="108"/>
        <v>1.3587518771900529</v>
      </c>
      <c r="R402" s="42">
        <f t="shared" si="109"/>
        <v>1.532843873407862</v>
      </c>
      <c r="S402" s="41">
        <f t="shared" si="110"/>
        <v>-0.11357451286331133</v>
      </c>
      <c r="T402" s="41">
        <f t="shared" si="94"/>
        <v>0.26330846329433455</v>
      </c>
      <c r="U402" s="41">
        <f t="shared" si="111"/>
        <v>-7.284109804936989E-4</v>
      </c>
      <c r="V402" s="41">
        <f t="shared" si="112"/>
        <v>-1.0134197858876259E-2</v>
      </c>
      <c r="W402" s="39">
        <f t="shared" si="98"/>
        <v>244.29</v>
      </c>
      <c r="X402" s="21"/>
    </row>
    <row r="403" spans="1:24" x14ac:dyDescent="0.2">
      <c r="A403" s="38">
        <v>45524</v>
      </c>
      <c r="B403" s="39">
        <v>245.6</v>
      </c>
      <c r="C403" s="39">
        <v>558.70000000000005</v>
      </c>
      <c r="D403" s="39">
        <v>45.335000000000001</v>
      </c>
      <c r="E403" s="41">
        <f t="shared" si="99"/>
        <v>5.3624790208359752E-3</v>
      </c>
      <c r="F403" s="41">
        <f t="shared" si="100"/>
        <v>-1.6261324851235548E-3</v>
      </c>
      <c r="G403" s="41">
        <f t="shared" si="101"/>
        <v>-3.6263736263736357E-3</v>
      </c>
      <c r="H403" s="41">
        <f t="shared" si="102"/>
        <v>0.36603815562600595</v>
      </c>
      <c r="I403" s="41">
        <f t="shared" si="103"/>
        <v>0.3813138180829212</v>
      </c>
      <c r="J403" s="41">
        <f t="shared" si="104"/>
        <v>8.9390844647362577E-2</v>
      </c>
      <c r="K403" s="42">
        <f t="shared" si="95"/>
        <v>136.60381556260083</v>
      </c>
      <c r="L403" s="42">
        <f t="shared" si="96"/>
        <v>138.13138180829233</v>
      </c>
      <c r="M403" s="42">
        <f t="shared" si="97"/>
        <v>108.93908446473628</v>
      </c>
      <c r="N403" s="41">
        <f t="shared" si="105"/>
        <v>-1.105879218533834E-2</v>
      </c>
      <c r="O403" s="41">
        <f t="shared" si="106"/>
        <v>0.25394679268503895</v>
      </c>
      <c r="P403" s="39">
        <f t="shared" si="107"/>
        <v>244.15064549911699</v>
      </c>
      <c r="Q403" s="42">
        <f t="shared" si="108"/>
        <v>1.3660381556260059</v>
      </c>
      <c r="R403" s="42">
        <f t="shared" si="109"/>
        <v>1.532843873407862</v>
      </c>
      <c r="S403" s="41">
        <f t="shared" si="110"/>
        <v>-0.10882107478500658</v>
      </c>
      <c r="T403" s="41">
        <f t="shared" si="94"/>
        <v>0.26219335429742285</v>
      </c>
      <c r="U403" s="41">
        <f t="shared" si="111"/>
        <v>0</v>
      </c>
      <c r="V403" s="41">
        <f t="shared" si="112"/>
        <v>6.98861150595953E-3</v>
      </c>
      <c r="W403" s="39">
        <f t="shared" si="98"/>
        <v>245.6</v>
      </c>
      <c r="X403" s="21"/>
    </row>
    <row r="404" spans="1:24" x14ac:dyDescent="0.2">
      <c r="A404" s="38">
        <v>45525</v>
      </c>
      <c r="B404" s="39">
        <v>247.84</v>
      </c>
      <c r="C404" s="39">
        <v>560.62</v>
      </c>
      <c r="D404" s="39">
        <v>45.854999999999997</v>
      </c>
      <c r="E404" s="41">
        <f t="shared" si="99"/>
        <v>9.1205211726383961E-3</v>
      </c>
      <c r="F404" s="41">
        <f t="shared" si="100"/>
        <v>3.4365491319132691E-3</v>
      </c>
      <c r="G404" s="41">
        <f t="shared" si="101"/>
        <v>1.1470166537994819E-2</v>
      </c>
      <c r="H404" s="41">
        <f t="shared" si="102"/>
        <v>0.3784971355470248</v>
      </c>
      <c r="I404" s="41">
        <f t="shared" si="103"/>
        <v>0.38606077088535384</v>
      </c>
      <c r="J404" s="41">
        <f t="shared" si="104"/>
        <v>0.10188633906043476</v>
      </c>
      <c r="K404" s="42">
        <f t="shared" si="95"/>
        <v>137.84971355470273</v>
      </c>
      <c r="L404" s="42">
        <f t="shared" si="96"/>
        <v>138.60607708853561</v>
      </c>
      <c r="M404" s="42">
        <f t="shared" si="97"/>
        <v>110.18863390604348</v>
      </c>
      <c r="N404" s="41">
        <f t="shared" si="105"/>
        <v>-5.456929087963247E-3</v>
      </c>
      <c r="O404" s="41">
        <f t="shared" si="106"/>
        <v>0.25103387407675171</v>
      </c>
      <c r="P404" s="39">
        <f t="shared" si="107"/>
        <v>244.18735549415067</v>
      </c>
      <c r="Q404" s="42">
        <f t="shared" si="108"/>
        <v>1.3784971355470248</v>
      </c>
      <c r="R404" s="42">
        <f t="shared" si="109"/>
        <v>1.532843873407862</v>
      </c>
      <c r="S404" s="41">
        <f t="shared" si="110"/>
        <v>-0.10069305852897403</v>
      </c>
      <c r="T404" s="41">
        <f t="shared" si="94"/>
        <v>0.2623705746369141</v>
      </c>
      <c r="U404" s="41">
        <f t="shared" si="111"/>
        <v>0</v>
      </c>
      <c r="V404" s="41">
        <f t="shared" si="112"/>
        <v>5.6839720407251271E-3</v>
      </c>
      <c r="W404" s="39">
        <f t="shared" si="98"/>
        <v>247.84</v>
      </c>
      <c r="X404" s="21"/>
    </row>
    <row r="405" spans="1:24" x14ac:dyDescent="0.2">
      <c r="A405" s="38">
        <v>45526</v>
      </c>
      <c r="B405" s="39">
        <v>247.98</v>
      </c>
      <c r="C405" s="39">
        <v>556.22</v>
      </c>
      <c r="D405" s="39">
        <v>45.76</v>
      </c>
      <c r="E405" s="41">
        <f t="shared" si="99"/>
        <v>5.6488056810843901E-4</v>
      </c>
      <c r="F405" s="41">
        <f t="shared" si="100"/>
        <v>-7.8484534979129661E-3</v>
      </c>
      <c r="G405" s="41">
        <f t="shared" si="101"/>
        <v>-2.0717479009921824E-3</v>
      </c>
      <c r="H405" s="41">
        <f t="shared" si="102"/>
        <v>0.37927582179208841</v>
      </c>
      <c r="I405" s="41">
        <f t="shared" si="103"/>
        <v>0.37518233737977869</v>
      </c>
      <c r="J405" s="41">
        <f t="shared" si="104"/>
        <v>9.9603508350354364E-2</v>
      </c>
      <c r="K405" s="42">
        <f t="shared" si="95"/>
        <v>137.92758217920908</v>
      </c>
      <c r="L405" s="42">
        <f t="shared" si="96"/>
        <v>137.51823373797808</v>
      </c>
      <c r="M405" s="42">
        <f t="shared" si="97"/>
        <v>109.96035083503544</v>
      </c>
      <c r="N405" s="41">
        <f t="shared" si="105"/>
        <v>2.9766848373788957E-3</v>
      </c>
      <c r="O405" s="41">
        <f t="shared" si="106"/>
        <v>0.25433923347634968</v>
      </c>
      <c r="P405" s="39">
        <f t="shared" si="107"/>
        <v>244.22509325042779</v>
      </c>
      <c r="Q405" s="42">
        <f t="shared" si="108"/>
        <v>1.3792758217920884</v>
      </c>
      <c r="R405" s="42">
        <f t="shared" si="109"/>
        <v>1.532843873407862</v>
      </c>
      <c r="S405" s="41">
        <f t="shared" si="110"/>
        <v>-0.10018505751297213</v>
      </c>
      <c r="T405" s="41">
        <f t="shared" si="94"/>
        <v>0.25913975412123041</v>
      </c>
      <c r="U405" s="41">
        <f t="shared" si="111"/>
        <v>0</v>
      </c>
      <c r="V405" s="41">
        <f t="shared" si="112"/>
        <v>8.4133340660214051E-3</v>
      </c>
      <c r="W405" s="39">
        <f t="shared" si="98"/>
        <v>247.98</v>
      </c>
      <c r="X405" s="21"/>
    </row>
    <row r="406" spans="1:24" x14ac:dyDescent="0.2">
      <c r="A406" s="38">
        <v>45527</v>
      </c>
      <c r="B406" s="39">
        <v>254.89</v>
      </c>
      <c r="C406" s="39">
        <v>562.13</v>
      </c>
      <c r="D406" s="39">
        <v>46.365000000000002</v>
      </c>
      <c r="E406" s="41">
        <f t="shared" si="99"/>
        <v>2.7865150415355977E-2</v>
      </c>
      <c r="F406" s="41">
        <f t="shared" si="100"/>
        <v>1.0625292150587828E-2</v>
      </c>
      <c r="G406" s="41">
        <f t="shared" si="101"/>
        <v>1.3221153846153966E-2</v>
      </c>
      <c r="H406" s="41">
        <f t="shared" si="102"/>
        <v>0.41770955003058874</v>
      </c>
      <c r="I406" s="41">
        <f t="shared" si="103"/>
        <v>0.38979405147476709</v>
      </c>
      <c r="J406" s="41">
        <f t="shared" si="104"/>
        <v>0.11414153550402495</v>
      </c>
      <c r="K406" s="42">
        <f t="shared" si="95"/>
        <v>141.77095500305913</v>
      </c>
      <c r="L406" s="42">
        <f t="shared" si="96"/>
        <v>138.97940514747694</v>
      </c>
      <c r="M406" s="42">
        <f t="shared" si="97"/>
        <v>111.41415355040249</v>
      </c>
      <c r="N406" s="41">
        <f t="shared" si="105"/>
        <v>2.0086068526627754E-2</v>
      </c>
      <c r="O406" s="41">
        <f t="shared" si="106"/>
        <v>0.27246808852632265</v>
      </c>
      <c r="P406" s="39">
        <f t="shared" si="107"/>
        <v>244.33121172554792</v>
      </c>
      <c r="Q406" s="42">
        <f t="shared" si="108"/>
        <v>1.4177095500305887</v>
      </c>
      <c r="R406" s="42">
        <f t="shared" si="109"/>
        <v>1.532843873407862</v>
      </c>
      <c r="S406" s="41">
        <f t="shared" si="110"/>
        <v>-7.5111578794586187E-2</v>
      </c>
      <c r="T406" s="41">
        <f t="shared" si="94"/>
        <v>0.26490725674889798</v>
      </c>
      <c r="U406" s="41">
        <f t="shared" si="111"/>
        <v>0</v>
      </c>
      <c r="V406" s="41">
        <f t="shared" si="112"/>
        <v>1.7239858264768149E-2</v>
      </c>
      <c r="W406" s="39">
        <f t="shared" si="98"/>
        <v>254.89</v>
      </c>
      <c r="X406" s="21"/>
    </row>
    <row r="407" spans="1:24" x14ac:dyDescent="0.2">
      <c r="A407" s="38">
        <v>45530</v>
      </c>
      <c r="B407" s="39">
        <v>250.68</v>
      </c>
      <c r="C407" s="39">
        <v>560.79</v>
      </c>
      <c r="D407" s="39">
        <v>46.57</v>
      </c>
      <c r="E407" s="41">
        <f t="shared" si="99"/>
        <v>-1.6516928871277758E-2</v>
      </c>
      <c r="F407" s="41">
        <f t="shared" si="100"/>
        <v>-2.3837902264601807E-3</v>
      </c>
      <c r="G407" s="41">
        <f t="shared" si="101"/>
        <v>4.4214385851395477E-3</v>
      </c>
      <c r="H407" s="41">
        <f t="shared" si="102"/>
        <v>0.39429334223260226</v>
      </c>
      <c r="I407" s="41">
        <f t="shared" si="103"/>
        <v>0.38648107399806908</v>
      </c>
      <c r="J407" s="41">
        <f t="shared" si="104"/>
        <v>0.11906764387840907</v>
      </c>
      <c r="K407" s="42">
        <f t="shared" si="95"/>
        <v>139.42933422326047</v>
      </c>
      <c r="L407" s="42">
        <f t="shared" si="96"/>
        <v>138.64810739980712</v>
      </c>
      <c r="M407" s="42">
        <f t="shared" si="97"/>
        <v>111.90676438784092</v>
      </c>
      <c r="N407" s="41">
        <f t="shared" si="105"/>
        <v>5.6346014244577081E-3</v>
      </c>
      <c r="O407" s="41">
        <f t="shared" si="106"/>
        <v>0.24594196772621335</v>
      </c>
      <c r="P407" s="39">
        <f t="shared" si="107"/>
        <v>244.39438374817928</v>
      </c>
      <c r="Q407" s="42">
        <f t="shared" si="108"/>
        <v>1.3942933422326023</v>
      </c>
      <c r="R407" s="42">
        <f t="shared" si="109"/>
        <v>1.532843873407862</v>
      </c>
      <c r="S407" s="41">
        <f t="shared" si="110"/>
        <v>-9.0387895061504353E-2</v>
      </c>
      <c r="T407" s="41">
        <f t="shared" si="94"/>
        <v>0.26655350554953805</v>
      </c>
      <c r="U407" s="41">
        <f t="shared" si="111"/>
        <v>-1.6672578734069021E-2</v>
      </c>
      <c r="V407" s="41">
        <f t="shared" si="112"/>
        <v>-1.4133138644817578E-2</v>
      </c>
      <c r="W407" s="39">
        <f t="shared" si="98"/>
        <v>250.68</v>
      </c>
      <c r="X407" s="21"/>
    </row>
    <row r="408" spans="1:24" x14ac:dyDescent="0.2">
      <c r="A408" s="38">
        <v>45531</v>
      </c>
      <c r="B408" s="39">
        <v>240.41</v>
      </c>
      <c r="C408" s="39">
        <v>561.55999999999995</v>
      </c>
      <c r="D408" s="39">
        <v>46.575000000000003</v>
      </c>
      <c r="E408" s="41">
        <f t="shared" si="99"/>
        <v>-4.096856550183503E-2</v>
      </c>
      <c r="F408" s="41">
        <f t="shared" si="100"/>
        <v>1.3730630004100686E-3</v>
      </c>
      <c r="G408" s="41">
        <f t="shared" si="101"/>
        <v>1.0736525660304252E-4</v>
      </c>
      <c r="H408" s="41">
        <f t="shared" si="102"/>
        <v>0.33717114411257332</v>
      </c>
      <c r="I408" s="41">
        <f t="shared" si="103"/>
        <v>0.38838479986154462</v>
      </c>
      <c r="J408" s="41">
        <f t="shared" si="104"/>
        <v>0.11918779286315018</v>
      </c>
      <c r="K408" s="42">
        <f t="shared" si="95"/>
        <v>133.71711441125757</v>
      </c>
      <c r="L408" s="42">
        <f t="shared" si="96"/>
        <v>138.83847998615471</v>
      </c>
      <c r="M408" s="42">
        <f t="shared" si="97"/>
        <v>111.91877928631504</v>
      </c>
      <c r="N408" s="41">
        <f t="shared" si="105"/>
        <v>-3.6887220138162369E-2</v>
      </c>
      <c r="O408" s="41">
        <f t="shared" si="106"/>
        <v>0.19476923590434225</v>
      </c>
      <c r="P408" s="39">
        <f t="shared" si="107"/>
        <v>244.35473813874466</v>
      </c>
      <c r="Q408" s="42">
        <f t="shared" si="108"/>
        <v>1.3371711441125733</v>
      </c>
      <c r="R408" s="42">
        <f t="shared" si="109"/>
        <v>1.532843873407862</v>
      </c>
      <c r="S408" s="41">
        <f t="shared" si="110"/>
        <v>-0.12765339816393928</v>
      </c>
      <c r="T408" s="41">
        <f t="shared" si="94"/>
        <v>0.27898839335058584</v>
      </c>
      <c r="U408" s="41">
        <f t="shared" si="111"/>
        <v>-4.1124215364626293E-2</v>
      </c>
      <c r="V408" s="41">
        <f t="shared" si="112"/>
        <v>-4.2341628502245099E-2</v>
      </c>
      <c r="W408" s="39">
        <f t="shared" si="98"/>
        <v>240.41</v>
      </c>
      <c r="X408" s="21"/>
    </row>
    <row r="409" spans="1:24" x14ac:dyDescent="0.2">
      <c r="A409" s="38">
        <v>45532</v>
      </c>
      <c r="B409" s="39">
        <v>235.77</v>
      </c>
      <c r="C409" s="39">
        <v>558.29999999999995</v>
      </c>
      <c r="D409" s="39">
        <v>46.375</v>
      </c>
      <c r="E409" s="41">
        <f t="shared" si="99"/>
        <v>-1.9300361881785189E-2</v>
      </c>
      <c r="F409" s="41">
        <f t="shared" si="100"/>
        <v>-5.8052567846712533E-3</v>
      </c>
      <c r="G409" s="41">
        <f t="shared" si="101"/>
        <v>-4.2941492216854726E-3</v>
      </c>
      <c r="H409" s="41">
        <f t="shared" si="102"/>
        <v>0.31136325713332003</v>
      </c>
      <c r="I409" s="41">
        <f t="shared" si="103"/>
        <v>0.38032486958241396</v>
      </c>
      <c r="J409" s="41">
        <f t="shared" si="104"/>
        <v>0.11438183347350694</v>
      </c>
      <c r="K409" s="42">
        <f t="shared" si="95"/>
        <v>131.13632571333221</v>
      </c>
      <c r="L409" s="42">
        <f t="shared" si="96"/>
        <v>138.03248695824161</v>
      </c>
      <c r="M409" s="42">
        <f t="shared" si="97"/>
        <v>111.43818334735072</v>
      </c>
      <c r="N409" s="41">
        <f t="shared" si="105"/>
        <v>-4.9960421614338335E-2</v>
      </c>
      <c r="O409" s="41">
        <f t="shared" si="106"/>
        <v>0.17676295300491907</v>
      </c>
      <c r="P409" s="39">
        <f t="shared" si="107"/>
        <v>244.26931785875718</v>
      </c>
      <c r="Q409" s="42">
        <f t="shared" si="108"/>
        <v>1.31136325713332</v>
      </c>
      <c r="R409" s="42">
        <f t="shared" si="109"/>
        <v>1.532843873407862</v>
      </c>
      <c r="S409" s="41">
        <f t="shared" si="110"/>
        <v>-0.1444900032657207</v>
      </c>
      <c r="T409" s="41">
        <f t="shared" si="94"/>
        <v>0.28026227932763492</v>
      </c>
      <c r="U409" s="41">
        <f t="shared" si="111"/>
        <v>-1.9456011744576451E-2</v>
      </c>
      <c r="V409" s="41">
        <f t="shared" si="112"/>
        <v>-1.3495105097113935E-2</v>
      </c>
      <c r="W409" s="39">
        <f t="shared" si="98"/>
        <v>235.77</v>
      </c>
      <c r="X409" s="21"/>
    </row>
    <row r="410" spans="1:24" x14ac:dyDescent="0.2">
      <c r="A410" s="38">
        <v>45533</v>
      </c>
      <c r="B410" s="39">
        <v>241.28</v>
      </c>
      <c r="C410" s="39">
        <v>558.35</v>
      </c>
      <c r="D410" s="39">
        <v>46.63</v>
      </c>
      <c r="E410" s="41">
        <f t="shared" si="99"/>
        <v>2.3370233702336929E-2</v>
      </c>
      <c r="F410" s="41">
        <f t="shared" si="100"/>
        <v>8.9557585527533234E-5</v>
      </c>
      <c r="G410" s="41">
        <f t="shared" si="101"/>
        <v>5.4986522911051328E-3</v>
      </c>
      <c r="H410" s="41">
        <f t="shared" si="102"/>
        <v>0.34201012292118338</v>
      </c>
      <c r="I410" s="41">
        <f t="shared" si="103"/>
        <v>0.38044848814497745</v>
      </c>
      <c r="J410" s="41">
        <f t="shared" si="104"/>
        <v>0.12050943169530193</v>
      </c>
      <c r="K410" s="42">
        <f t="shared" si="95"/>
        <v>134.20101229211858</v>
      </c>
      <c r="L410" s="42">
        <f t="shared" si="96"/>
        <v>138.04484881449798</v>
      </c>
      <c r="M410" s="42">
        <f t="shared" si="97"/>
        <v>112.05094316953021</v>
      </c>
      <c r="N410" s="41">
        <f t="shared" si="105"/>
        <v>-2.7844838510017067E-2</v>
      </c>
      <c r="O410" s="41">
        <f t="shared" si="106"/>
        <v>0.19767856026946307</v>
      </c>
      <c r="P410" s="39">
        <f t="shared" si="107"/>
        <v>244.23957340245116</v>
      </c>
      <c r="Q410" s="42">
        <f t="shared" si="108"/>
        <v>1.3420101229211834</v>
      </c>
      <c r="R410" s="42">
        <f t="shared" si="109"/>
        <v>1.532843873407862</v>
      </c>
      <c r="S410" s="41">
        <f t="shared" si="110"/>
        <v>-0.12449653470735511</v>
      </c>
      <c r="T410" s="41">
        <f t="shared" si="94"/>
        <v>0.28436507873547318</v>
      </c>
      <c r="U410" s="41">
        <f t="shared" si="111"/>
        <v>0</v>
      </c>
      <c r="V410" s="41">
        <f t="shared" si="112"/>
        <v>2.3280676116809396E-2</v>
      </c>
      <c r="W410" s="39">
        <f t="shared" si="98"/>
        <v>241.28</v>
      </c>
      <c r="X410" s="21"/>
    </row>
    <row r="411" spans="1:24" x14ac:dyDescent="0.2">
      <c r="A411" s="38">
        <v>45534</v>
      </c>
      <c r="B411" s="39">
        <v>245.21</v>
      </c>
      <c r="C411" s="39">
        <v>563.67999999999995</v>
      </c>
      <c r="D411" s="39">
        <v>47.14</v>
      </c>
      <c r="E411" s="41">
        <f t="shared" si="99"/>
        <v>1.628812997347473E-2</v>
      </c>
      <c r="F411" s="41">
        <f t="shared" si="100"/>
        <v>9.5459837019788996E-3</v>
      </c>
      <c r="G411" s="41">
        <f t="shared" si="101"/>
        <v>1.0937164915290509E-2</v>
      </c>
      <c r="H411" s="41">
        <f t="shared" si="102"/>
        <v>0.36386895822904242</v>
      </c>
      <c r="I411" s="41">
        <f t="shared" si="103"/>
        <v>0.39362622691423077</v>
      </c>
      <c r="J411" s="41">
        <f t="shared" si="104"/>
        <v>0.13276462813889189</v>
      </c>
      <c r="K411" s="42">
        <f t="shared" si="95"/>
        <v>136.38689582290451</v>
      </c>
      <c r="L411" s="42">
        <f t="shared" si="96"/>
        <v>139.36262269142333</v>
      </c>
      <c r="M411" s="42">
        <f t="shared" si="97"/>
        <v>113.27646281388921</v>
      </c>
      <c r="N411" s="41">
        <f t="shared" si="105"/>
        <v>-2.1352402897207967E-2</v>
      </c>
      <c r="O411" s="41">
        <f t="shared" si="106"/>
        <v>0.20401796132162953</v>
      </c>
      <c r="P411" s="39">
        <f t="shared" si="107"/>
        <v>244.24922938849645</v>
      </c>
      <c r="Q411" s="42">
        <f t="shared" si="108"/>
        <v>1.3638689582290424</v>
      </c>
      <c r="R411" s="42">
        <f t="shared" si="109"/>
        <v>1.532843873407862</v>
      </c>
      <c r="S411" s="41">
        <f t="shared" si="110"/>
        <v>-0.11023622047244108</v>
      </c>
      <c r="T411" s="41">
        <f t="shared" si="94"/>
        <v>0.28635933451024209</v>
      </c>
      <c r="U411" s="41">
        <f t="shared" si="111"/>
        <v>0</v>
      </c>
      <c r="V411" s="41">
        <f t="shared" si="112"/>
        <v>6.7421462714958302E-3</v>
      </c>
      <c r="W411" s="39">
        <f t="shared" si="98"/>
        <v>245.21</v>
      </c>
      <c r="X411" s="21"/>
    </row>
    <row r="412" spans="1:24" x14ac:dyDescent="0.2">
      <c r="A412" s="38">
        <v>45538</v>
      </c>
      <c r="B412" s="39">
        <v>239.02</v>
      </c>
      <c r="C412" s="39">
        <v>552.08000000000004</v>
      </c>
      <c r="D412" s="39">
        <v>46.07</v>
      </c>
      <c r="E412" s="41">
        <f t="shared" si="99"/>
        <v>-2.5243668692141452E-2</v>
      </c>
      <c r="F412" s="41">
        <f t="shared" si="100"/>
        <v>-2.057905194436549E-2</v>
      </c>
      <c r="G412" s="41">
        <f t="shared" si="101"/>
        <v>-2.2698345354263849E-2</v>
      </c>
      <c r="H412" s="41">
        <f t="shared" si="102"/>
        <v>0.32943990210801233</v>
      </c>
      <c r="I412" s="41">
        <f t="shared" si="103"/>
        <v>0.36494672039953269</v>
      </c>
      <c r="J412" s="41">
        <f t="shared" si="104"/>
        <v>0.1070527454043011</v>
      </c>
      <c r="K412" s="42">
        <f t="shared" si="95"/>
        <v>132.9439902108015</v>
      </c>
      <c r="L412" s="42">
        <f t="shared" si="96"/>
        <v>136.49467203995351</v>
      </c>
      <c r="M412" s="42">
        <f t="shared" si="97"/>
        <v>110.70527454043014</v>
      </c>
      <c r="N412" s="41">
        <f t="shared" si="105"/>
        <v>-2.6013336462779479E-2</v>
      </c>
      <c r="O412" s="41">
        <f t="shared" si="106"/>
        <v>0.2008821690085727</v>
      </c>
      <c r="P412" s="39">
        <f t="shared" si="107"/>
        <v>244.19719725527759</v>
      </c>
      <c r="Q412" s="42">
        <f t="shared" si="108"/>
        <v>1.3294399021080123</v>
      </c>
      <c r="R412" s="42">
        <f t="shared" si="109"/>
        <v>1.532843873407862</v>
      </c>
      <c r="S412" s="41">
        <f t="shared" si="110"/>
        <v>-0.13269712253710231</v>
      </c>
      <c r="T412" s="41">
        <f t="shared" ref="T412:T475" si="113">IFERROR(_xlfn.STDEV.S(E353:E412)*SQRT($D$7),"")</f>
        <v>0.29020594275415512</v>
      </c>
      <c r="U412" s="41">
        <f t="shared" si="111"/>
        <v>-2.5399318554932715E-2</v>
      </c>
      <c r="V412" s="41">
        <f t="shared" si="112"/>
        <v>-4.6646167477759626E-3</v>
      </c>
      <c r="W412" s="39">
        <f t="shared" si="98"/>
        <v>239.02</v>
      </c>
      <c r="X412" s="21"/>
    </row>
    <row r="413" spans="1:24" x14ac:dyDescent="0.2">
      <c r="A413" s="38">
        <v>45539</v>
      </c>
      <c r="B413" s="39">
        <v>234.83</v>
      </c>
      <c r="C413" s="39">
        <v>550.95000000000005</v>
      </c>
      <c r="D413" s="39">
        <v>45.88</v>
      </c>
      <c r="E413" s="41">
        <f t="shared" si="99"/>
        <v>-1.7529913814743558E-2</v>
      </c>
      <c r="F413" s="41">
        <f t="shared" si="100"/>
        <v>-2.0468048108969183E-3</v>
      </c>
      <c r="G413" s="41">
        <f t="shared" si="101"/>
        <v>-4.1241588886476999E-3</v>
      </c>
      <c r="H413" s="41">
        <f t="shared" si="102"/>
        <v>0.30613493520217783</v>
      </c>
      <c r="I413" s="41">
        <f t="shared" si="103"/>
        <v>0.36215294088560102</v>
      </c>
      <c r="J413" s="41">
        <f t="shared" si="104"/>
        <v>0.10248708398414008</v>
      </c>
      <c r="K413" s="42">
        <f t="shared" si="95"/>
        <v>130.61349352021804</v>
      </c>
      <c r="L413" s="42">
        <f t="shared" si="96"/>
        <v>136.21529408856034</v>
      </c>
      <c r="M413" s="42">
        <f t="shared" si="97"/>
        <v>110.24870839841402</v>
      </c>
      <c r="N413" s="41">
        <f t="shared" si="105"/>
        <v>-4.1124607965830284E-2</v>
      </c>
      <c r="O413" s="41">
        <f t="shared" si="106"/>
        <v>0.18471676827459982</v>
      </c>
      <c r="P413" s="39">
        <f t="shared" si="107"/>
        <v>244.10399131243904</v>
      </c>
      <c r="Q413" s="42">
        <f t="shared" si="108"/>
        <v>1.3061349352021778</v>
      </c>
      <c r="R413" s="42">
        <f t="shared" si="109"/>
        <v>1.532843873407862</v>
      </c>
      <c r="S413" s="41">
        <f t="shared" si="110"/>
        <v>-0.14790086723030604</v>
      </c>
      <c r="T413" s="41">
        <f t="shared" si="113"/>
        <v>0.2922237253171715</v>
      </c>
      <c r="U413" s="41">
        <f t="shared" si="111"/>
        <v>-1.7685563677534821E-2</v>
      </c>
      <c r="V413" s="41">
        <f t="shared" si="112"/>
        <v>-1.548310900384664E-2</v>
      </c>
      <c r="W413" s="39">
        <f t="shared" si="98"/>
        <v>234.83</v>
      </c>
      <c r="X413" s="21"/>
    </row>
    <row r="414" spans="1:24" x14ac:dyDescent="0.2">
      <c r="A414" s="38">
        <v>45540</v>
      </c>
      <c r="B414" s="39">
        <v>232.16</v>
      </c>
      <c r="C414" s="39">
        <v>549.61</v>
      </c>
      <c r="D414" s="39">
        <v>45.52</v>
      </c>
      <c r="E414" s="41">
        <f t="shared" si="99"/>
        <v>-1.1369927181365314E-2</v>
      </c>
      <c r="F414" s="41">
        <f t="shared" si="100"/>
        <v>-2.432162628187684E-3</v>
      </c>
      <c r="G414" s="41">
        <f t="shared" si="101"/>
        <v>-7.8465562336530459E-3</v>
      </c>
      <c r="H414" s="41">
        <f t="shared" si="102"/>
        <v>0.29128427609989171</v>
      </c>
      <c r="I414" s="41">
        <f t="shared" si="103"/>
        <v>0.35883996340890301</v>
      </c>
      <c r="J414" s="41">
        <f t="shared" si="104"/>
        <v>9.3836357082782262E-2</v>
      </c>
      <c r="K414" s="42">
        <f t="shared" si="95"/>
        <v>129.12842760998944</v>
      </c>
      <c r="L414" s="42">
        <f t="shared" si="96"/>
        <v>135.88399634089055</v>
      </c>
      <c r="M414" s="42">
        <f t="shared" si="97"/>
        <v>109.38363570827828</v>
      </c>
      <c r="N414" s="41">
        <f t="shared" si="105"/>
        <v>-4.9715705401786492E-2</v>
      </c>
      <c r="O414" s="41">
        <f t="shared" si="106"/>
        <v>0.18050955953200809</v>
      </c>
      <c r="P414" s="39">
        <f t="shared" si="107"/>
        <v>243.98514562773815</v>
      </c>
      <c r="Q414" s="42">
        <f t="shared" si="108"/>
        <v>1.2912842760998917</v>
      </c>
      <c r="R414" s="42">
        <f t="shared" si="109"/>
        <v>1.532843873407862</v>
      </c>
      <c r="S414" s="41">
        <f t="shared" si="110"/>
        <v>-0.15758917232120195</v>
      </c>
      <c r="T414" s="41">
        <f t="shared" si="113"/>
        <v>0.29301540411373306</v>
      </c>
      <c r="U414" s="41">
        <f t="shared" si="111"/>
        <v>-1.1525577044156576E-2</v>
      </c>
      <c r="V414" s="41">
        <f t="shared" si="112"/>
        <v>-8.9377645531776295E-3</v>
      </c>
      <c r="W414" s="39">
        <f t="shared" si="98"/>
        <v>232.16</v>
      </c>
      <c r="X414" s="21"/>
    </row>
    <row r="415" spans="1:24" x14ac:dyDescent="0.2">
      <c r="A415" s="38">
        <v>45541</v>
      </c>
      <c r="B415" s="39">
        <v>231.97</v>
      </c>
      <c r="C415" s="39">
        <v>540.36</v>
      </c>
      <c r="D415" s="39">
        <v>44.945</v>
      </c>
      <c r="E415" s="41">
        <f t="shared" si="99"/>
        <v>-8.1840110268782684E-4</v>
      </c>
      <c r="F415" s="41">
        <f t="shared" si="100"/>
        <v>-1.6830115900365761E-2</v>
      </c>
      <c r="G415" s="41">
        <f t="shared" si="101"/>
        <v>-1.2631810193321713E-2</v>
      </c>
      <c r="H415" s="41">
        <f t="shared" si="102"/>
        <v>0.29022748762444817</v>
      </c>
      <c r="I415" s="41">
        <f t="shared" si="103"/>
        <v>0.33597052933468241</v>
      </c>
      <c r="J415" s="41">
        <f t="shared" si="104"/>
        <v>8.0019223837558107E-2</v>
      </c>
      <c r="K415" s="42">
        <f t="shared" si="95"/>
        <v>129.02274876244508</v>
      </c>
      <c r="L415" s="42">
        <f t="shared" si="96"/>
        <v>133.59705293346849</v>
      </c>
      <c r="M415" s="42">
        <f t="shared" si="97"/>
        <v>108.00192238375585</v>
      </c>
      <c r="N415" s="41">
        <f t="shared" si="105"/>
        <v>-3.4239558961689398E-2</v>
      </c>
      <c r="O415" s="41">
        <f t="shared" si="106"/>
        <v>0.1946338168314925</v>
      </c>
      <c r="P415" s="39">
        <f t="shared" si="107"/>
        <v>243.86559193989996</v>
      </c>
      <c r="Q415" s="42">
        <f t="shared" si="108"/>
        <v>1.2902274876244482</v>
      </c>
      <c r="R415" s="42">
        <f t="shared" si="109"/>
        <v>1.532843873407862</v>
      </c>
      <c r="S415" s="41">
        <f t="shared" si="110"/>
        <v>-0.15827860227149049</v>
      </c>
      <c r="T415" s="41">
        <f t="shared" si="113"/>
        <v>0.29196863973004367</v>
      </c>
      <c r="U415" s="41">
        <f t="shared" si="111"/>
        <v>-9.7405096547908965E-4</v>
      </c>
      <c r="V415" s="41">
        <f t="shared" si="112"/>
        <v>1.6011714797677934E-2</v>
      </c>
      <c r="W415" s="39">
        <f t="shared" si="98"/>
        <v>231.97</v>
      </c>
      <c r="X415" s="21"/>
    </row>
    <row r="416" spans="1:24" x14ac:dyDescent="0.2">
      <c r="A416" s="38">
        <v>45544</v>
      </c>
      <c r="B416" s="39">
        <v>231.83</v>
      </c>
      <c r="C416" s="39">
        <v>546.41</v>
      </c>
      <c r="D416" s="39">
        <v>45.38</v>
      </c>
      <c r="E416" s="41">
        <f t="shared" si="99"/>
        <v>-6.0352631805826729E-4</v>
      </c>
      <c r="F416" s="41">
        <f t="shared" si="100"/>
        <v>1.1196239544007724E-2</v>
      </c>
      <c r="G416" s="41">
        <f t="shared" si="101"/>
        <v>9.6784959394815573E-3</v>
      </c>
      <c r="H416" s="41">
        <f t="shared" si="102"/>
        <v>0.28944880137938456</v>
      </c>
      <c r="I416" s="41">
        <f t="shared" si="103"/>
        <v>0.35092837540484823</v>
      </c>
      <c r="J416" s="41">
        <f t="shared" si="104"/>
        <v>9.0472185510031888E-2</v>
      </c>
      <c r="K416" s="42">
        <f t="shared" si="95"/>
        <v>128.94488013793872</v>
      </c>
      <c r="L416" s="42">
        <f t="shared" si="96"/>
        <v>135.09283754048508</v>
      </c>
      <c r="M416" s="42">
        <f t="shared" si="97"/>
        <v>109.04721855100325</v>
      </c>
      <c r="N416" s="41">
        <f t="shared" si="105"/>
        <v>-4.5509129236433021E-2</v>
      </c>
      <c r="O416" s="41">
        <f t="shared" si="106"/>
        <v>0.18246830915388101</v>
      </c>
      <c r="P416" s="39">
        <f t="shared" si="107"/>
        <v>243.74583480616963</v>
      </c>
      <c r="Q416" s="42">
        <f t="shared" si="108"/>
        <v>1.2894488013793846</v>
      </c>
      <c r="R416" s="42">
        <f t="shared" si="109"/>
        <v>1.532843873407862</v>
      </c>
      <c r="S416" s="41">
        <f t="shared" si="110"/>
        <v>-0.15878660328749239</v>
      </c>
      <c r="T416" s="41">
        <f t="shared" si="113"/>
        <v>0.2892633354385149</v>
      </c>
      <c r="U416" s="41">
        <f t="shared" si="111"/>
        <v>-7.5917618084953009E-4</v>
      </c>
      <c r="V416" s="41">
        <f t="shared" si="112"/>
        <v>-1.1799765862065992E-2</v>
      </c>
      <c r="W416" s="39">
        <f t="shared" si="98"/>
        <v>231.83</v>
      </c>
      <c r="X416" s="21"/>
    </row>
    <row r="417" spans="1:24" x14ac:dyDescent="0.2">
      <c r="A417" s="38">
        <v>45545</v>
      </c>
      <c r="B417" s="39">
        <v>232.95</v>
      </c>
      <c r="C417" s="39">
        <v>548.79</v>
      </c>
      <c r="D417" s="39">
        <v>45.4</v>
      </c>
      <c r="E417" s="41">
        <f t="shared" si="99"/>
        <v>4.8311262563083268E-3</v>
      </c>
      <c r="F417" s="41">
        <f t="shared" si="100"/>
        <v>4.3557035925403387E-3</v>
      </c>
      <c r="G417" s="41">
        <f t="shared" si="101"/>
        <v>4.4072278536799736E-4</v>
      </c>
      <c r="H417" s="41">
        <f t="shared" si="102"/>
        <v>0.29567829133989387</v>
      </c>
      <c r="I417" s="41">
        <f t="shared" si="103"/>
        <v>0.35681261898286376</v>
      </c>
      <c r="J417" s="41">
        <f t="shared" si="104"/>
        <v>9.0952781448996101E-2</v>
      </c>
      <c r="K417" s="42">
        <f t="shared" si="95"/>
        <v>129.56782913398965</v>
      </c>
      <c r="L417" s="42">
        <f t="shared" si="96"/>
        <v>135.68126189828661</v>
      </c>
      <c r="M417" s="42">
        <f t="shared" si="97"/>
        <v>109.09527814489968</v>
      </c>
      <c r="N417" s="41">
        <f t="shared" si="105"/>
        <v>-4.5057310632030667E-2</v>
      </c>
      <c r="O417" s="41">
        <f t="shared" si="106"/>
        <v>0.1876575351125489</v>
      </c>
      <c r="P417" s="39">
        <f t="shared" si="107"/>
        <v>243.6384135643172</v>
      </c>
      <c r="Q417" s="42">
        <f t="shared" si="108"/>
        <v>1.2956782913398939</v>
      </c>
      <c r="R417" s="42">
        <f t="shared" si="109"/>
        <v>1.532843873407862</v>
      </c>
      <c r="S417" s="41">
        <f t="shared" si="110"/>
        <v>-0.15472259515947628</v>
      </c>
      <c r="T417" s="41">
        <f t="shared" si="113"/>
        <v>0.28639787311794052</v>
      </c>
      <c r="U417" s="41">
        <f t="shared" si="111"/>
        <v>0</v>
      </c>
      <c r="V417" s="41">
        <f t="shared" si="112"/>
        <v>4.7542266376798814E-4</v>
      </c>
      <c r="W417" s="39">
        <f t="shared" si="98"/>
        <v>232.95</v>
      </c>
      <c r="X417" s="21"/>
    </row>
    <row r="418" spans="1:24" x14ac:dyDescent="0.2">
      <c r="A418" s="38">
        <v>45546</v>
      </c>
      <c r="B418" s="39">
        <v>232.95</v>
      </c>
      <c r="C418" s="39">
        <v>554.41999999999996</v>
      </c>
      <c r="D418" s="39">
        <v>45.51</v>
      </c>
      <c r="E418" s="41">
        <f t="shared" si="99"/>
        <v>0</v>
      </c>
      <c r="F418" s="41">
        <f t="shared" si="100"/>
        <v>1.0258933289600813E-2</v>
      </c>
      <c r="G418" s="41">
        <f t="shared" si="101"/>
        <v>2.4229074889867697E-3</v>
      </c>
      <c r="H418" s="41">
        <f t="shared" si="102"/>
        <v>0.29567829133989387</v>
      </c>
      <c r="I418" s="41">
        <f t="shared" si="103"/>
        <v>0.37073206912749757</v>
      </c>
      <c r="J418" s="41">
        <f t="shared" si="104"/>
        <v>9.3596059113299823E-2</v>
      </c>
      <c r="K418" s="42">
        <f t="shared" si="95"/>
        <v>129.56782913398965</v>
      </c>
      <c r="L418" s="42">
        <f t="shared" si="96"/>
        <v>137.07320691275001</v>
      </c>
      <c r="M418" s="42">
        <f t="shared" si="97"/>
        <v>109.35960591133005</v>
      </c>
      <c r="N418" s="41">
        <f t="shared" si="105"/>
        <v>-5.475452094396327E-2</v>
      </c>
      <c r="O418" s="41">
        <f t="shared" si="106"/>
        <v>0.18478690604503889</v>
      </c>
      <c r="P418" s="39">
        <f t="shared" si="107"/>
        <v>243.53206119054292</v>
      </c>
      <c r="Q418" s="42">
        <f t="shared" si="108"/>
        <v>1.2956782913398939</v>
      </c>
      <c r="R418" s="42">
        <f t="shared" si="109"/>
        <v>1.532843873407862</v>
      </c>
      <c r="S418" s="41">
        <f t="shared" si="110"/>
        <v>-0.15472259515947628</v>
      </c>
      <c r="T418" s="41">
        <f t="shared" si="113"/>
        <v>0.28629433596081255</v>
      </c>
      <c r="U418" s="41">
        <f t="shared" si="111"/>
        <v>-1.5564986279126281E-4</v>
      </c>
      <c r="V418" s="41">
        <f t="shared" si="112"/>
        <v>-1.0258933289600813E-2</v>
      </c>
      <c r="W418" s="39">
        <f t="shared" si="98"/>
        <v>232.95</v>
      </c>
      <c r="X418" s="21"/>
    </row>
    <row r="419" spans="1:24" x14ac:dyDescent="0.2">
      <c r="A419" s="38">
        <v>45547</v>
      </c>
      <c r="B419" s="39">
        <v>236.27</v>
      </c>
      <c r="C419" s="39">
        <v>559.09</v>
      </c>
      <c r="D419" s="39">
        <v>45.93</v>
      </c>
      <c r="E419" s="41">
        <f t="shared" si="99"/>
        <v>1.425198540459327E-2</v>
      </c>
      <c r="F419" s="41">
        <f t="shared" si="100"/>
        <v>8.4232170556619579E-3</v>
      </c>
      <c r="G419" s="41">
        <f t="shared" si="101"/>
        <v>9.2287409360580774E-3</v>
      </c>
      <c r="H419" s="41">
        <f t="shared" si="102"/>
        <v>0.31414427943711831</v>
      </c>
      <c r="I419" s="41">
        <f t="shared" si="103"/>
        <v>0.38227804287091516</v>
      </c>
      <c r="J419" s="41">
        <f t="shared" si="104"/>
        <v>0.1036885738315505</v>
      </c>
      <c r="K419" s="42">
        <f t="shared" si="95"/>
        <v>131.41442794371213</v>
      </c>
      <c r="L419" s="42">
        <f t="shared" si="96"/>
        <v>138.22780428709174</v>
      </c>
      <c r="M419" s="42">
        <f t="shared" si="97"/>
        <v>110.36885738315512</v>
      </c>
      <c r="N419" s="41">
        <f t="shared" si="105"/>
        <v>-4.9290925067641767E-2</v>
      </c>
      <c r="O419" s="41">
        <f t="shared" si="106"/>
        <v>0.19068395795287851</v>
      </c>
      <c r="P419" s="39">
        <f t="shared" si="107"/>
        <v>243.45980187521417</v>
      </c>
      <c r="Q419" s="42">
        <f t="shared" si="108"/>
        <v>1.3141442794371183</v>
      </c>
      <c r="R419" s="42">
        <f t="shared" si="109"/>
        <v>1.532843873407862</v>
      </c>
      <c r="S419" s="41">
        <f t="shared" si="110"/>
        <v>-0.14267571392285672</v>
      </c>
      <c r="T419" s="41">
        <f t="shared" si="113"/>
        <v>0.28619315254782834</v>
      </c>
      <c r="U419" s="41">
        <f t="shared" si="111"/>
        <v>0</v>
      </c>
      <c r="V419" s="41">
        <f t="shared" si="112"/>
        <v>5.8287683489313125E-3</v>
      </c>
      <c r="W419" s="39">
        <f t="shared" si="98"/>
        <v>236.27</v>
      </c>
      <c r="X419" s="21"/>
    </row>
    <row r="420" spans="1:24" x14ac:dyDescent="0.2">
      <c r="A420" s="38">
        <v>45548</v>
      </c>
      <c r="B420" s="39">
        <v>237.47</v>
      </c>
      <c r="C420" s="39">
        <v>562.01</v>
      </c>
      <c r="D420" s="39">
        <v>46.344999999999999</v>
      </c>
      <c r="E420" s="41">
        <f t="shared" si="99"/>
        <v>5.0789351166038443E-3</v>
      </c>
      <c r="F420" s="41">
        <f t="shared" si="100"/>
        <v>5.2227727199556373E-3</v>
      </c>
      <c r="G420" s="41">
        <f t="shared" si="101"/>
        <v>9.0354887872849954E-3</v>
      </c>
      <c r="H420" s="41">
        <f t="shared" si="102"/>
        <v>0.32081873296623553</v>
      </c>
      <c r="I420" s="41">
        <f t="shared" si="103"/>
        <v>0.38949736692461512</v>
      </c>
      <c r="J420" s="41">
        <f t="shared" si="104"/>
        <v>0.11366093956506007</v>
      </c>
      <c r="K420" s="42">
        <f t="shared" ref="K420:K483" si="114">IFERROR(B420/$B$36*100,"")</f>
        <v>132.08187329662385</v>
      </c>
      <c r="L420" s="42">
        <f t="shared" ref="L420:L483" si="115">IFERROR(C420/$C$36*100,"")</f>
        <v>138.94973669246173</v>
      </c>
      <c r="M420" s="42">
        <f t="shared" ref="M420:M483" si="116">IFERROR(D420/$D$36*100,"")</f>
        <v>111.36609395650605</v>
      </c>
      <c r="N420" s="41">
        <f t="shared" si="105"/>
        <v>-4.9426962290966103E-2</v>
      </c>
      <c r="O420" s="41">
        <f t="shared" si="106"/>
        <v>0.18601513803840586</v>
      </c>
      <c r="P420" s="39">
        <f t="shared" si="107"/>
        <v>243.40020185655533</v>
      </c>
      <c r="Q420" s="42">
        <f t="shared" si="108"/>
        <v>1.3208187329662355</v>
      </c>
      <c r="R420" s="42">
        <f t="shared" si="109"/>
        <v>1.532843873407862</v>
      </c>
      <c r="S420" s="41">
        <f t="shared" si="110"/>
        <v>-0.13832141949998222</v>
      </c>
      <c r="T420" s="41">
        <f t="shared" si="113"/>
        <v>0.2864578499829174</v>
      </c>
      <c r="U420" s="41">
        <f t="shared" si="111"/>
        <v>0</v>
      </c>
      <c r="V420" s="41">
        <f t="shared" si="112"/>
        <v>-1.4383760335179296E-4</v>
      </c>
      <c r="W420" s="39">
        <f t="shared" ref="W420:W483" si="117">B420</f>
        <v>237.47</v>
      </c>
      <c r="X420" s="21"/>
    </row>
    <row r="421" spans="1:24" x14ac:dyDescent="0.2">
      <c r="A421" s="38">
        <v>45551</v>
      </c>
      <c r="B421" s="39">
        <v>242.87</v>
      </c>
      <c r="C421" s="39">
        <v>562.84</v>
      </c>
      <c r="D421" s="39">
        <v>46.774999999999999</v>
      </c>
      <c r="E421" s="41">
        <f t="shared" ref="E421:E484" si="118">IFERROR(B421/B420-1,"")</f>
        <v>2.2739714490251473E-2</v>
      </c>
      <c r="F421" s="41">
        <f t="shared" ref="F421:F484" si="119">IFERROR(C421/C420-1,"")</f>
        <v>1.4768420490738343E-3</v>
      </c>
      <c r="G421" s="41">
        <f t="shared" ref="G421:G484" si="120">IFERROR(D421/D420-1,"")</f>
        <v>9.2782392922645673E-3</v>
      </c>
      <c r="H421" s="41">
        <f t="shared" ref="H421:H484" si="121">IFERROR((1+E421)*(1+H420)-1,"")</f>
        <v>0.35085377384726346</v>
      </c>
      <c r="I421" s="41">
        <f t="shared" ref="I421:I484" si="122">IFERROR((1+F421)*(1+I420)-1,"")</f>
        <v>0.39154943506316675</v>
      </c>
      <c r="J421" s="41">
        <f t="shared" ref="J421:J484" si="123">IFERROR((1+G421)*(1+J420)-1,"")</f>
        <v>0.12399375225279297</v>
      </c>
      <c r="K421" s="42">
        <f t="shared" si="114"/>
        <v>135.08537738472663</v>
      </c>
      <c r="L421" s="42">
        <f t="shared" si="115"/>
        <v>139.1549435063169</v>
      </c>
      <c r="M421" s="42">
        <f t="shared" si="116"/>
        <v>112.39937522527934</v>
      </c>
      <c r="N421" s="41">
        <f t="shared" ref="N421:N484" si="124">IFERROR((1+H421)/(1+I421)-1,"")</f>
        <v>-2.9244854829074796E-2</v>
      </c>
      <c r="O421" s="41">
        <f t="shared" ref="O421:O484" si="125">IFERROR((1+H421)/(1+J421)-1,"")</f>
        <v>0.2018338813180951</v>
      </c>
      <c r="P421" s="39">
        <f t="shared" ref="P421:P484" si="126">IFERROR(B421*0.0099502487562189+P420*(1-0.0099502487562189),"")</f>
        <v>243.39492621619161</v>
      </c>
      <c r="Q421" s="42">
        <f t="shared" ref="Q421:Q484" si="127">Q420*(1+E421)</f>
        <v>1.3508537738472635</v>
      </c>
      <c r="R421" s="42">
        <f t="shared" ref="R421:R484" si="128">MAX(R420,Q421)</f>
        <v>1.532843873407862</v>
      </c>
      <c r="S421" s="41">
        <f t="shared" ref="S421:S484" si="129">IFERROR(Q421/R421-1,"")</f>
        <v>-0.11872709459704656</v>
      </c>
      <c r="T421" s="41">
        <f t="shared" si="113"/>
        <v>0.28121569276374087</v>
      </c>
      <c r="U421" s="41">
        <f t="shared" ref="U421:U484" si="130">IFERROR(MIN(E421-$D$6,0),"")</f>
        <v>0</v>
      </c>
      <c r="V421" s="41">
        <f t="shared" ref="V421:V484" si="131">IFERROR(E421-F421,"")</f>
        <v>2.1262872441177638E-2</v>
      </c>
      <c r="W421" s="39">
        <f t="shared" si="117"/>
        <v>242.87</v>
      </c>
      <c r="X421" s="21"/>
    </row>
    <row r="422" spans="1:24" x14ac:dyDescent="0.2">
      <c r="A422" s="38">
        <v>45552</v>
      </c>
      <c r="B422" s="39">
        <v>245.12</v>
      </c>
      <c r="C422" s="39">
        <v>563.07000000000005</v>
      </c>
      <c r="D422" s="39">
        <v>46.865000000000002</v>
      </c>
      <c r="E422" s="41">
        <f t="shared" si="118"/>
        <v>9.2642154238893326E-3</v>
      </c>
      <c r="F422" s="41">
        <f t="shared" si="119"/>
        <v>4.0864188757017139E-4</v>
      </c>
      <c r="G422" s="41">
        <f t="shared" si="120"/>
        <v>1.924104756814593E-3</v>
      </c>
      <c r="H422" s="41">
        <f t="shared" si="121"/>
        <v>0.3633683742143583</v>
      </c>
      <c r="I422" s="41">
        <f t="shared" si="122"/>
        <v>0.39211808045095808</v>
      </c>
      <c r="J422" s="41">
        <f t="shared" si="123"/>
        <v>0.12615643397813248</v>
      </c>
      <c r="K422" s="42">
        <f t="shared" si="114"/>
        <v>136.33683742143612</v>
      </c>
      <c r="L422" s="42">
        <f t="shared" si="115"/>
        <v>139.21180804509606</v>
      </c>
      <c r="M422" s="42">
        <f t="shared" si="116"/>
        <v>112.61564339781329</v>
      </c>
      <c r="N422" s="41">
        <f t="shared" si="124"/>
        <v>-2.0651772748534913E-2</v>
      </c>
      <c r="O422" s="41">
        <f t="shared" si="125"/>
        <v>0.21063853393642473</v>
      </c>
      <c r="P422" s="39">
        <f t="shared" si="126"/>
        <v>243.41209112946336</v>
      </c>
      <c r="Q422" s="42">
        <f t="shared" si="127"/>
        <v>1.3633683742143583</v>
      </c>
      <c r="R422" s="42">
        <f t="shared" si="128"/>
        <v>1.532843873407862</v>
      </c>
      <c r="S422" s="41">
        <f t="shared" si="129"/>
        <v>-0.1105627925541568</v>
      </c>
      <c r="T422" s="41">
        <f t="shared" si="113"/>
        <v>0.28164262220054703</v>
      </c>
      <c r="U422" s="41">
        <f t="shared" si="130"/>
        <v>0</v>
      </c>
      <c r="V422" s="41">
        <f t="shared" si="131"/>
        <v>8.8555735363191612E-3</v>
      </c>
      <c r="W422" s="39">
        <f t="shared" si="117"/>
        <v>245.12</v>
      </c>
      <c r="X422" s="21"/>
    </row>
    <row r="423" spans="1:24" x14ac:dyDescent="0.2">
      <c r="A423" s="38">
        <v>45553</v>
      </c>
      <c r="B423" s="39">
        <v>244.4</v>
      </c>
      <c r="C423" s="39">
        <v>561.4</v>
      </c>
      <c r="D423" s="39">
        <v>46.664999999999999</v>
      </c>
      <c r="E423" s="41">
        <f t="shared" si="118"/>
        <v>-2.937336814621383E-3</v>
      </c>
      <c r="F423" s="41">
        <f t="shared" si="119"/>
        <v>-2.965883460315899E-3</v>
      </c>
      <c r="G423" s="41">
        <f t="shared" si="120"/>
        <v>-4.267577083111096E-3</v>
      </c>
      <c r="H423" s="41">
        <f t="shared" si="121"/>
        <v>0.35936370209688806</v>
      </c>
      <c r="I423" s="41">
        <f t="shared" si="122"/>
        <v>0.38798922046134177</v>
      </c>
      <c r="J423" s="41">
        <f t="shared" si="123"/>
        <v>0.12135047458848924</v>
      </c>
      <c r="K423" s="42">
        <f t="shared" si="114"/>
        <v>135.9363702096891</v>
      </c>
      <c r="L423" s="42">
        <f t="shared" si="115"/>
        <v>138.79892204613444</v>
      </c>
      <c r="M423" s="42">
        <f t="shared" si="116"/>
        <v>112.13504745884897</v>
      </c>
      <c r="N423" s="41">
        <f t="shared" si="124"/>
        <v>-2.0623732477503709E-2</v>
      </c>
      <c r="O423" s="41">
        <f t="shared" si="125"/>
        <v>0.21225587619762187</v>
      </c>
      <c r="P423" s="39">
        <f t="shared" si="126"/>
        <v>243.42192106847369</v>
      </c>
      <c r="Q423" s="42">
        <f t="shared" si="127"/>
        <v>1.3593637020968881</v>
      </c>
      <c r="R423" s="42">
        <f t="shared" si="128"/>
        <v>1.532843873407862</v>
      </c>
      <c r="S423" s="41">
        <f t="shared" si="129"/>
        <v>-0.11317536920788152</v>
      </c>
      <c r="T423" s="41">
        <f t="shared" si="113"/>
        <v>0.2817001924911598</v>
      </c>
      <c r="U423" s="41">
        <f t="shared" si="130"/>
        <v>-3.0929866774126458E-3</v>
      </c>
      <c r="V423" s="41">
        <f t="shared" si="131"/>
        <v>2.8546645694516037E-5</v>
      </c>
      <c r="W423" s="39">
        <f t="shared" si="117"/>
        <v>244.4</v>
      </c>
      <c r="X423" s="21"/>
    </row>
    <row r="424" spans="1:24" x14ac:dyDescent="0.2">
      <c r="A424" s="38">
        <v>45554</v>
      </c>
      <c r="B424" s="39">
        <v>253.67</v>
      </c>
      <c r="C424" s="39">
        <v>570.98</v>
      </c>
      <c r="D424" s="39">
        <v>47.37</v>
      </c>
      <c r="E424" s="41">
        <f t="shared" si="118"/>
        <v>3.79296235679214E-2</v>
      </c>
      <c r="F424" s="41">
        <f t="shared" si="119"/>
        <v>1.7064481653010333E-2</v>
      </c>
      <c r="G424" s="41">
        <f t="shared" si="120"/>
        <v>1.5107682417229151E-2</v>
      </c>
      <c r="H424" s="41">
        <f t="shared" si="121"/>
        <v>0.4109238556093191</v>
      </c>
      <c r="I424" s="41">
        <f t="shared" si="122"/>
        <v>0.41167453704848045</v>
      </c>
      <c r="J424" s="41">
        <f t="shared" si="123"/>
        <v>0.13829148143698133</v>
      </c>
      <c r="K424" s="42">
        <f t="shared" si="114"/>
        <v>141.0923855609322</v>
      </c>
      <c r="L424" s="42">
        <f t="shared" si="115"/>
        <v>141.1674537048483</v>
      </c>
      <c r="M424" s="42">
        <f t="shared" si="116"/>
        <v>113.82914814369818</v>
      </c>
      <c r="N424" s="41">
        <f t="shared" si="124"/>
        <v>-5.3176664979082133E-4</v>
      </c>
      <c r="O424" s="41">
        <f t="shared" si="125"/>
        <v>0.23951015940852516</v>
      </c>
      <c r="P424" s="39">
        <f t="shared" si="126"/>
        <v>243.52389200311575</v>
      </c>
      <c r="Q424" s="42">
        <f t="shared" si="127"/>
        <v>1.4109238556093191</v>
      </c>
      <c r="R424" s="42">
        <f t="shared" si="128"/>
        <v>1.532843873407862</v>
      </c>
      <c r="S424" s="41">
        <f t="shared" si="129"/>
        <v>-7.9538444791175555E-2</v>
      </c>
      <c r="T424" s="41">
        <f t="shared" si="113"/>
        <v>0.29196516175383075</v>
      </c>
      <c r="U424" s="41">
        <f t="shared" si="130"/>
        <v>0</v>
      </c>
      <c r="V424" s="41">
        <f t="shared" si="131"/>
        <v>2.0865141914911067E-2</v>
      </c>
      <c r="W424" s="39">
        <f t="shared" si="117"/>
        <v>253.67</v>
      </c>
      <c r="X424" s="21"/>
    </row>
    <row r="425" spans="1:24" x14ac:dyDescent="0.2">
      <c r="A425" s="38">
        <v>45555</v>
      </c>
      <c r="B425" s="39">
        <v>252.05</v>
      </c>
      <c r="C425" s="39">
        <v>568.25</v>
      </c>
      <c r="D425" s="39">
        <v>47.034999999999997</v>
      </c>
      <c r="E425" s="41">
        <f t="shared" si="118"/>
        <v>-6.3862498521700672E-3</v>
      </c>
      <c r="F425" s="41">
        <f t="shared" si="119"/>
        <v>-4.7812532838278354E-3</v>
      </c>
      <c r="G425" s="41">
        <f t="shared" si="120"/>
        <v>-7.0719864893392659E-3</v>
      </c>
      <c r="H425" s="41">
        <f t="shared" si="121"/>
        <v>0.40191334334501083</v>
      </c>
      <c r="I425" s="41">
        <f t="shared" si="122"/>
        <v>0.40492496353252116</v>
      </c>
      <c r="J425" s="41">
        <f t="shared" si="123"/>
        <v>0.13024149945932906</v>
      </c>
      <c r="K425" s="42">
        <f t="shared" si="114"/>
        <v>140.19133433450136</v>
      </c>
      <c r="L425" s="42">
        <f t="shared" si="115"/>
        <v>140.49249635325239</v>
      </c>
      <c r="M425" s="42">
        <f t="shared" si="116"/>
        <v>113.02414994593295</v>
      </c>
      <c r="N425" s="41">
        <f t="shared" si="124"/>
        <v>-2.1436163963789445E-3</v>
      </c>
      <c r="O425" s="41">
        <f t="shared" si="125"/>
        <v>0.24036619077926336</v>
      </c>
      <c r="P425" s="39">
        <f t="shared" si="126"/>
        <v>243.60872889860713</v>
      </c>
      <c r="Q425" s="42">
        <f t="shared" si="127"/>
        <v>1.4019133433450108</v>
      </c>
      <c r="R425" s="42">
        <f t="shared" si="128"/>
        <v>1.532843873407862</v>
      </c>
      <c r="S425" s="41">
        <f t="shared" si="129"/>
        <v>-8.5416742262056089E-2</v>
      </c>
      <c r="T425" s="41">
        <f t="shared" si="113"/>
        <v>0.29230280377220441</v>
      </c>
      <c r="U425" s="41">
        <f t="shared" si="130"/>
        <v>-6.54189971496133E-3</v>
      </c>
      <c r="V425" s="41">
        <f t="shared" si="131"/>
        <v>-1.6049965683422318E-3</v>
      </c>
      <c r="W425" s="39">
        <f t="shared" si="117"/>
        <v>252.05</v>
      </c>
      <c r="X425" s="21"/>
    </row>
    <row r="426" spans="1:24" x14ac:dyDescent="0.2">
      <c r="A426" s="38">
        <v>45558</v>
      </c>
      <c r="B426" s="39">
        <v>252.33</v>
      </c>
      <c r="C426" s="39">
        <v>569.66999999999996</v>
      </c>
      <c r="D426" s="39">
        <v>47.234999999999999</v>
      </c>
      <c r="E426" s="41">
        <f t="shared" si="118"/>
        <v>1.1108906962904452E-3</v>
      </c>
      <c r="F426" s="41">
        <f t="shared" si="119"/>
        <v>2.4989001319841719E-3</v>
      </c>
      <c r="G426" s="41">
        <f t="shared" si="120"/>
        <v>4.2521526522802944E-3</v>
      </c>
      <c r="H426" s="41">
        <f t="shared" si="121"/>
        <v>0.40347071583513827</v>
      </c>
      <c r="I426" s="41">
        <f t="shared" si="122"/>
        <v>0.40843573070932049</v>
      </c>
      <c r="J426" s="41">
        <f t="shared" si="123"/>
        <v>0.13504745884897229</v>
      </c>
      <c r="K426" s="42">
        <f t="shared" si="114"/>
        <v>140.34707158351412</v>
      </c>
      <c r="L426" s="42">
        <f t="shared" si="115"/>
        <v>140.84357307093231</v>
      </c>
      <c r="M426" s="42">
        <f t="shared" si="116"/>
        <v>113.50474588489728</v>
      </c>
      <c r="N426" s="41">
        <f t="shared" si="124"/>
        <v>-3.5251980377419834E-3</v>
      </c>
      <c r="O426" s="41">
        <f t="shared" si="125"/>
        <v>0.23648637322915844</v>
      </c>
      <c r="P426" s="39">
        <f t="shared" si="126"/>
        <v>243.69550771553639</v>
      </c>
      <c r="Q426" s="42">
        <f t="shared" si="127"/>
        <v>1.4034707158351383</v>
      </c>
      <c r="R426" s="42">
        <f t="shared" si="128"/>
        <v>1.532843873407862</v>
      </c>
      <c r="S426" s="41">
        <f t="shared" si="129"/>
        <v>-8.4400740230052063E-2</v>
      </c>
      <c r="T426" s="41">
        <f t="shared" si="113"/>
        <v>0.29193468531448752</v>
      </c>
      <c r="U426" s="41">
        <f t="shared" si="130"/>
        <v>0</v>
      </c>
      <c r="V426" s="41">
        <f t="shared" si="131"/>
        <v>-1.3880094356937267E-3</v>
      </c>
      <c r="W426" s="39">
        <f t="shared" si="117"/>
        <v>252.33</v>
      </c>
      <c r="X426" s="21"/>
    </row>
    <row r="427" spans="1:24" x14ac:dyDescent="0.2">
      <c r="A427" s="38">
        <v>45559</v>
      </c>
      <c r="B427" s="39">
        <v>249.87</v>
      </c>
      <c r="C427" s="39">
        <v>571.29999999999995</v>
      </c>
      <c r="D427" s="39">
        <v>47.88</v>
      </c>
      <c r="E427" s="41">
        <f t="shared" si="118"/>
        <v>-9.7491380335275046E-3</v>
      </c>
      <c r="F427" s="41">
        <f t="shared" si="119"/>
        <v>2.8613056681938698E-3</v>
      </c>
      <c r="G427" s="41">
        <f t="shared" si="120"/>
        <v>1.3655128612257927E-2</v>
      </c>
      <c r="H427" s="41">
        <f t="shared" si="121"/>
        <v>0.38978808610044791</v>
      </c>
      <c r="I427" s="41">
        <f t="shared" si="122"/>
        <v>0.41246569584888593</v>
      </c>
      <c r="J427" s="41">
        <f t="shared" si="123"/>
        <v>0.15054667788057152</v>
      </c>
      <c r="K427" s="42">
        <f t="shared" si="114"/>
        <v>138.97880861004506</v>
      </c>
      <c r="L427" s="42">
        <f t="shared" si="115"/>
        <v>141.24656958488885</v>
      </c>
      <c r="M427" s="42">
        <f t="shared" si="116"/>
        <v>115.0546677880572</v>
      </c>
      <c r="N427" s="41">
        <f t="shared" si="124"/>
        <v>-1.6055334876511007E-2</v>
      </c>
      <c r="O427" s="41">
        <f t="shared" si="125"/>
        <v>0.20793715962970261</v>
      </c>
      <c r="P427" s="39">
        <f t="shared" si="126"/>
        <v>243.75694544971017</v>
      </c>
      <c r="Q427" s="42">
        <f t="shared" si="127"/>
        <v>1.3897880861004479</v>
      </c>
      <c r="R427" s="42">
        <f t="shared" si="128"/>
        <v>1.532843873407862</v>
      </c>
      <c r="S427" s="41">
        <f t="shared" si="129"/>
        <v>-9.3327043796944786E-2</v>
      </c>
      <c r="T427" s="41">
        <f t="shared" si="113"/>
        <v>0.29259911670195338</v>
      </c>
      <c r="U427" s="41">
        <f t="shared" si="130"/>
        <v>-9.9047878963187674E-3</v>
      </c>
      <c r="V427" s="41">
        <f t="shared" si="131"/>
        <v>-1.2610443701721374E-2</v>
      </c>
      <c r="W427" s="39">
        <f t="shared" si="117"/>
        <v>249.87</v>
      </c>
      <c r="X427" s="21"/>
    </row>
    <row r="428" spans="1:24" x14ac:dyDescent="0.2">
      <c r="A428" s="38">
        <v>45560</v>
      </c>
      <c r="B428" s="39">
        <v>249.63</v>
      </c>
      <c r="C428" s="39">
        <v>570.04</v>
      </c>
      <c r="D428" s="39">
        <v>47.56</v>
      </c>
      <c r="E428" s="41">
        <f t="shared" si="118"/>
        <v>-9.6049945971909967E-4</v>
      </c>
      <c r="F428" s="41">
        <f t="shared" si="119"/>
        <v>-2.205496236653226E-3</v>
      </c>
      <c r="G428" s="41">
        <f t="shared" si="120"/>
        <v>-6.6833751044277356E-3</v>
      </c>
      <c r="H428" s="41">
        <f t="shared" si="121"/>
        <v>0.38845319539462442</v>
      </c>
      <c r="I428" s="41">
        <f t="shared" si="122"/>
        <v>0.40935050807228945</v>
      </c>
      <c r="J428" s="41">
        <f t="shared" si="123"/>
        <v>0.14285714285714257</v>
      </c>
      <c r="K428" s="42">
        <f t="shared" si="114"/>
        <v>138.84531953946271</v>
      </c>
      <c r="L428" s="42">
        <f t="shared" si="115"/>
        <v>140.9350508072292</v>
      </c>
      <c r="M428" s="42">
        <f t="shared" si="116"/>
        <v>114.28571428571428</v>
      </c>
      <c r="N428" s="41">
        <f t="shared" si="124"/>
        <v>-1.48276192174851E-2</v>
      </c>
      <c r="O428" s="41">
        <f t="shared" si="125"/>
        <v>0.21489654597029673</v>
      </c>
      <c r="P428" s="39">
        <f t="shared" si="126"/>
        <v>243.8153838034444</v>
      </c>
      <c r="Q428" s="42">
        <f t="shared" si="127"/>
        <v>1.3884531953946244</v>
      </c>
      <c r="R428" s="42">
        <f t="shared" si="128"/>
        <v>1.532843873407862</v>
      </c>
      <c r="S428" s="41">
        <f t="shared" si="129"/>
        <v>-9.419790268151973E-2</v>
      </c>
      <c r="T428" s="41">
        <f t="shared" si="113"/>
        <v>0.28957436006092058</v>
      </c>
      <c r="U428" s="41">
        <f t="shared" si="130"/>
        <v>-1.1161493225103625E-3</v>
      </c>
      <c r="V428" s="41">
        <f t="shared" si="131"/>
        <v>1.2449967769341264E-3</v>
      </c>
      <c r="W428" s="39">
        <f t="shared" si="117"/>
        <v>249.63</v>
      </c>
      <c r="X428" s="21"/>
    </row>
    <row r="429" spans="1:24" x14ac:dyDescent="0.2">
      <c r="A429" s="38">
        <v>45561</v>
      </c>
      <c r="B429" s="39">
        <v>250.58</v>
      </c>
      <c r="C429" s="39">
        <v>572.29999999999995</v>
      </c>
      <c r="D429" s="39">
        <v>48.545000000000002</v>
      </c>
      <c r="E429" s="41">
        <f t="shared" si="118"/>
        <v>3.8056323358570676E-3</v>
      </c>
      <c r="F429" s="41">
        <f t="shared" si="119"/>
        <v>3.9646340607677466E-3</v>
      </c>
      <c r="G429" s="41">
        <f t="shared" si="120"/>
        <v>2.0710681244743512E-2</v>
      </c>
      <c r="H429" s="41">
        <f t="shared" si="121"/>
        <v>0.39373713777184238</v>
      </c>
      <c r="I429" s="41">
        <f t="shared" si="122"/>
        <v>0.41493806710015324</v>
      </c>
      <c r="J429" s="41">
        <f t="shared" si="123"/>
        <v>0.16652649285113519</v>
      </c>
      <c r="K429" s="42">
        <f t="shared" si="114"/>
        <v>139.37371377718449</v>
      </c>
      <c r="L429" s="42">
        <f t="shared" si="115"/>
        <v>141.49380671001555</v>
      </c>
      <c r="M429" s="42">
        <f t="shared" si="116"/>
        <v>116.65264928511354</v>
      </c>
      <c r="N429" s="41">
        <f t="shared" si="124"/>
        <v>-1.4983644741257907E-2</v>
      </c>
      <c r="O429" s="41">
        <f t="shared" si="125"/>
        <v>0.19477538342517731</v>
      </c>
      <c r="P429" s="39">
        <f t="shared" si="126"/>
        <v>243.8826934173405</v>
      </c>
      <c r="Q429" s="42">
        <f t="shared" si="127"/>
        <v>1.3937371377718424</v>
      </c>
      <c r="R429" s="42">
        <f t="shared" si="128"/>
        <v>1.532843873407862</v>
      </c>
      <c r="S429" s="41">
        <f t="shared" si="129"/>
        <v>-9.0750752930077283E-2</v>
      </c>
      <c r="T429" s="41">
        <f t="shared" si="113"/>
        <v>0.28946891119522616</v>
      </c>
      <c r="U429" s="41">
        <f t="shared" si="130"/>
        <v>0</v>
      </c>
      <c r="V429" s="41">
        <f t="shared" si="131"/>
        <v>-1.5900172491067899E-4</v>
      </c>
      <c r="W429" s="39">
        <f t="shared" si="117"/>
        <v>250.58</v>
      </c>
      <c r="X429" s="21"/>
    </row>
    <row r="430" spans="1:24" x14ac:dyDescent="0.2">
      <c r="A430" s="38">
        <v>45562</v>
      </c>
      <c r="B430" s="39">
        <v>250.24</v>
      </c>
      <c r="C430" s="39">
        <v>571.47</v>
      </c>
      <c r="D430" s="39">
        <v>48.46</v>
      </c>
      <c r="E430" s="41">
        <f t="shared" si="118"/>
        <v>-1.3568521031207537E-3</v>
      </c>
      <c r="F430" s="41">
        <f t="shared" si="119"/>
        <v>-1.450288310326675E-3</v>
      </c>
      <c r="G430" s="41">
        <f t="shared" si="120"/>
        <v>-1.7509527242764999E-3</v>
      </c>
      <c r="H430" s="41">
        <f t="shared" si="121"/>
        <v>0.39184604260525924</v>
      </c>
      <c r="I430" s="41">
        <f t="shared" si="122"/>
        <v>0.41288599896160161</v>
      </c>
      <c r="J430" s="41">
        <f t="shared" si="123"/>
        <v>0.16448396011053679</v>
      </c>
      <c r="K430" s="42">
        <f t="shared" si="114"/>
        <v>139.18460426052619</v>
      </c>
      <c r="L430" s="42">
        <f t="shared" si="115"/>
        <v>141.28859989616041</v>
      </c>
      <c r="M430" s="42">
        <f t="shared" si="116"/>
        <v>116.4483960110537</v>
      </c>
      <c r="N430" s="41">
        <f t="shared" si="124"/>
        <v>-1.4891474876108646E-2</v>
      </c>
      <c r="O430" s="41">
        <f t="shared" si="125"/>
        <v>0.19524707104865624</v>
      </c>
      <c r="P430" s="39">
        <f t="shared" si="126"/>
        <v>243.94595019925754</v>
      </c>
      <c r="Q430" s="42">
        <f t="shared" si="127"/>
        <v>1.3918460426052592</v>
      </c>
      <c r="R430" s="42">
        <f t="shared" si="128"/>
        <v>1.532843873407862</v>
      </c>
      <c r="S430" s="41">
        <f t="shared" si="129"/>
        <v>-9.1984469683225045E-2</v>
      </c>
      <c r="T430" s="41">
        <f t="shared" si="113"/>
        <v>0.28929230401728184</v>
      </c>
      <c r="U430" s="41">
        <f t="shared" si="130"/>
        <v>-1.5125019659120165E-3</v>
      </c>
      <c r="V430" s="41">
        <f t="shared" si="131"/>
        <v>9.3436207205921384E-5</v>
      </c>
      <c r="W430" s="39">
        <f t="shared" si="117"/>
        <v>250.24</v>
      </c>
      <c r="X430" s="21"/>
    </row>
    <row r="431" spans="1:24" x14ac:dyDescent="0.2">
      <c r="A431" s="38">
        <v>45565</v>
      </c>
      <c r="B431" s="39">
        <v>250.43</v>
      </c>
      <c r="C431" s="39">
        <v>573.76</v>
      </c>
      <c r="D431" s="39">
        <v>48.19</v>
      </c>
      <c r="E431" s="41">
        <f t="shared" si="118"/>
        <v>7.5927109974416318E-4</v>
      </c>
      <c r="F431" s="41">
        <f t="shared" si="119"/>
        <v>4.007209477312923E-3</v>
      </c>
      <c r="G431" s="41">
        <f t="shared" si="120"/>
        <v>-5.5716054477920052E-3</v>
      </c>
      <c r="H431" s="41">
        <f t="shared" si="121"/>
        <v>0.39290283108070279</v>
      </c>
      <c r="I431" s="41">
        <f t="shared" si="122"/>
        <v>0.41854772912700322</v>
      </c>
      <c r="J431" s="41">
        <f t="shared" si="123"/>
        <v>0.15799591493451848</v>
      </c>
      <c r="K431" s="42">
        <f t="shared" si="114"/>
        <v>139.29028310807055</v>
      </c>
      <c r="L431" s="42">
        <f t="shared" si="115"/>
        <v>141.85477291270055</v>
      </c>
      <c r="M431" s="42">
        <f t="shared" si="116"/>
        <v>115.79959149345187</v>
      </c>
      <c r="N431" s="41">
        <f t="shared" si="124"/>
        <v>-1.8078276479341793E-2</v>
      </c>
      <c r="O431" s="41">
        <f t="shared" si="125"/>
        <v>0.20285642903970658</v>
      </c>
      <c r="P431" s="39">
        <f t="shared" si="126"/>
        <v>244.01046810772263</v>
      </c>
      <c r="Q431" s="42">
        <f t="shared" si="127"/>
        <v>1.3929028310807028</v>
      </c>
      <c r="R431" s="42">
        <f t="shared" si="128"/>
        <v>1.532843873407862</v>
      </c>
      <c r="S431" s="41">
        <f t="shared" si="129"/>
        <v>-9.1295039732936623E-2</v>
      </c>
      <c r="T431" s="41">
        <f t="shared" si="113"/>
        <v>0.28928984618211917</v>
      </c>
      <c r="U431" s="41">
        <f t="shared" si="130"/>
        <v>0</v>
      </c>
      <c r="V431" s="41">
        <f t="shared" si="131"/>
        <v>-3.2479383775687598E-3</v>
      </c>
      <c r="W431" s="39">
        <f t="shared" si="117"/>
        <v>250.43</v>
      </c>
      <c r="X431" s="21"/>
    </row>
    <row r="432" spans="1:24" x14ac:dyDescent="0.2">
      <c r="A432" s="38">
        <v>45566</v>
      </c>
      <c r="B432" s="39">
        <v>247.49</v>
      </c>
      <c r="C432" s="39">
        <v>568.62</v>
      </c>
      <c r="D432" s="39">
        <v>48.07</v>
      </c>
      <c r="E432" s="41">
        <f t="shared" si="118"/>
        <v>-1.1739807531046642E-2</v>
      </c>
      <c r="F432" s="41">
        <f t="shared" si="119"/>
        <v>-8.9584495259341645E-3</v>
      </c>
      <c r="G432" s="41">
        <f t="shared" si="120"/>
        <v>-2.490143183232929E-3</v>
      </c>
      <c r="H432" s="41">
        <f t="shared" si="121"/>
        <v>0.37655041993436544</v>
      </c>
      <c r="I432" s="41">
        <f t="shared" si="122"/>
        <v>0.40583974089549035</v>
      </c>
      <c r="J432" s="41">
        <f t="shared" si="123"/>
        <v>0.15511233930073276</v>
      </c>
      <c r="K432" s="42">
        <f t="shared" si="114"/>
        <v>137.65504199343678</v>
      </c>
      <c r="L432" s="42">
        <f t="shared" si="115"/>
        <v>140.58397408954929</v>
      </c>
      <c r="M432" s="42">
        <f t="shared" si="116"/>
        <v>115.51123393007327</v>
      </c>
      <c r="N432" s="41">
        <f t="shared" si="124"/>
        <v>-2.0834039691087547E-2</v>
      </c>
      <c r="O432" s="41">
        <f t="shared" si="125"/>
        <v>0.19170263627145046</v>
      </c>
      <c r="P432" s="39">
        <f t="shared" si="126"/>
        <v>244.04509031560602</v>
      </c>
      <c r="Q432" s="42">
        <f t="shared" si="127"/>
        <v>1.3765504199343654</v>
      </c>
      <c r="R432" s="42">
        <f t="shared" si="128"/>
        <v>1.532843873407862</v>
      </c>
      <c r="S432" s="41">
        <f t="shared" si="129"/>
        <v>-0.10196306106897923</v>
      </c>
      <c r="T432" s="41">
        <f t="shared" si="113"/>
        <v>0.28970718155326997</v>
      </c>
      <c r="U432" s="41">
        <f t="shared" si="130"/>
        <v>-1.1895457393837905E-2</v>
      </c>
      <c r="V432" s="41">
        <f t="shared" si="131"/>
        <v>-2.7813580051124775E-3</v>
      </c>
      <c r="W432" s="39">
        <f t="shared" si="117"/>
        <v>247.49</v>
      </c>
      <c r="X432" s="21"/>
    </row>
    <row r="433" spans="1:24" x14ac:dyDescent="0.2">
      <c r="A433" s="38">
        <v>45567</v>
      </c>
      <c r="B433" s="39">
        <v>240.46</v>
      </c>
      <c r="C433" s="39">
        <v>568.86</v>
      </c>
      <c r="D433" s="39">
        <v>47.884999999999998</v>
      </c>
      <c r="E433" s="41">
        <f t="shared" si="118"/>
        <v>-2.840518808840764E-2</v>
      </c>
      <c r="F433" s="41">
        <f t="shared" si="119"/>
        <v>4.2207449614850567E-4</v>
      </c>
      <c r="G433" s="41">
        <f t="shared" si="120"/>
        <v>-3.8485541918036326E-3</v>
      </c>
      <c r="H433" s="41">
        <f t="shared" si="121"/>
        <v>0.33744924634295326</v>
      </c>
      <c r="I433" s="41">
        <f t="shared" si="122"/>
        <v>0.40643310999579429</v>
      </c>
      <c r="J433" s="41">
        <f t="shared" si="123"/>
        <v>0.15066682686531285</v>
      </c>
      <c r="K433" s="42">
        <f t="shared" si="114"/>
        <v>133.74492463429556</v>
      </c>
      <c r="L433" s="42">
        <f t="shared" si="115"/>
        <v>140.64331099957968</v>
      </c>
      <c r="M433" s="42">
        <f t="shared" si="116"/>
        <v>115.06668268653128</v>
      </c>
      <c r="N433" s="41">
        <f t="shared" si="124"/>
        <v>-4.9048805209831348E-2</v>
      </c>
      <c r="O433" s="41">
        <f t="shared" si="125"/>
        <v>0.16232537092120713</v>
      </c>
      <c r="P433" s="39">
        <f t="shared" si="126"/>
        <v>244.00941777515223</v>
      </c>
      <c r="Q433" s="42">
        <f t="shared" si="127"/>
        <v>1.3374492463429533</v>
      </c>
      <c r="R433" s="42">
        <f t="shared" si="128"/>
        <v>1.532843873407862</v>
      </c>
      <c r="S433" s="41">
        <f t="shared" si="129"/>
        <v>-0.12747196922965276</v>
      </c>
      <c r="T433" s="41">
        <f t="shared" si="113"/>
        <v>0.29571097294669496</v>
      </c>
      <c r="U433" s="41">
        <f t="shared" si="130"/>
        <v>-2.8560837951198903E-2</v>
      </c>
      <c r="V433" s="41">
        <f t="shared" si="131"/>
        <v>-2.8827262584556146E-2</v>
      </c>
      <c r="W433" s="39">
        <f t="shared" si="117"/>
        <v>240.46</v>
      </c>
      <c r="X433" s="21"/>
    </row>
    <row r="434" spans="1:24" x14ac:dyDescent="0.2">
      <c r="A434" s="38">
        <v>45568</v>
      </c>
      <c r="B434" s="39">
        <v>241.1</v>
      </c>
      <c r="C434" s="39">
        <v>567.82000000000005</v>
      </c>
      <c r="D434" s="39">
        <v>47.354999999999997</v>
      </c>
      <c r="E434" s="41">
        <f t="shared" si="118"/>
        <v>2.6615653331114597E-3</v>
      </c>
      <c r="F434" s="41">
        <f t="shared" si="119"/>
        <v>-1.828217839187074E-3</v>
      </c>
      <c r="G434" s="41">
        <f t="shared" si="120"/>
        <v>-1.106818419129163E-2</v>
      </c>
      <c r="H434" s="41">
        <f t="shared" si="121"/>
        <v>0.34100895489181582</v>
      </c>
      <c r="I434" s="41">
        <f t="shared" si="122"/>
        <v>0.40386184389447655</v>
      </c>
      <c r="J434" s="41">
        <f t="shared" si="123"/>
        <v>0.13793103448275845</v>
      </c>
      <c r="K434" s="42">
        <f t="shared" si="114"/>
        <v>134.10089548918182</v>
      </c>
      <c r="L434" s="42">
        <f t="shared" si="115"/>
        <v>140.38618438944792</v>
      </c>
      <c r="M434" s="42">
        <f t="shared" si="116"/>
        <v>113.79310344827584</v>
      </c>
      <c r="N434" s="41">
        <f t="shared" si="124"/>
        <v>-4.4771420546839247E-2</v>
      </c>
      <c r="O434" s="41">
        <f t="shared" si="125"/>
        <v>0.1784624149049292</v>
      </c>
      <c r="P434" s="39">
        <f t="shared" si="126"/>
        <v>243.98046834455371</v>
      </c>
      <c r="Q434" s="42">
        <f t="shared" si="127"/>
        <v>1.3410089548918158</v>
      </c>
      <c r="R434" s="42">
        <f t="shared" si="128"/>
        <v>1.532843873407862</v>
      </c>
      <c r="S434" s="41">
        <f t="shared" si="129"/>
        <v>-0.12514967887078632</v>
      </c>
      <c r="T434" s="41">
        <f t="shared" si="113"/>
        <v>0.29202293912854954</v>
      </c>
      <c r="U434" s="41">
        <f t="shared" si="130"/>
        <v>0</v>
      </c>
      <c r="V434" s="41">
        <f t="shared" si="131"/>
        <v>4.4897831722985337E-3</v>
      </c>
      <c r="W434" s="39">
        <f t="shared" si="117"/>
        <v>241.1</v>
      </c>
      <c r="X434" s="21"/>
    </row>
    <row r="435" spans="1:24" x14ac:dyDescent="0.2">
      <c r="A435" s="38">
        <v>45569</v>
      </c>
      <c r="B435" s="39">
        <v>241.43</v>
      </c>
      <c r="C435" s="39">
        <v>572.98</v>
      </c>
      <c r="D435" s="39">
        <v>47.585000000000001</v>
      </c>
      <c r="E435" s="41">
        <f t="shared" si="118"/>
        <v>1.3687266694317746E-3</v>
      </c>
      <c r="F435" s="41">
        <f t="shared" si="119"/>
        <v>9.087386847944634E-3</v>
      </c>
      <c r="G435" s="41">
        <f t="shared" si="120"/>
        <v>4.856931686200161E-3</v>
      </c>
      <c r="H435" s="41">
        <f t="shared" si="121"/>
        <v>0.34284442961232298</v>
      </c>
      <c r="I435" s="41">
        <f t="shared" si="122"/>
        <v>0.41661927955101441</v>
      </c>
      <c r="J435" s="41">
        <f t="shared" si="123"/>
        <v>0.14345788778084834</v>
      </c>
      <c r="K435" s="42">
        <f t="shared" si="114"/>
        <v>134.28444296123257</v>
      </c>
      <c r="L435" s="42">
        <f t="shared" si="115"/>
        <v>141.66192795510173</v>
      </c>
      <c r="M435" s="42">
        <f t="shared" si="116"/>
        <v>114.34578877808481</v>
      </c>
      <c r="N435" s="41">
        <f t="shared" si="124"/>
        <v>-5.2078106661144541E-2</v>
      </c>
      <c r="O435" s="41">
        <f t="shared" si="125"/>
        <v>0.17437156537389553</v>
      </c>
      <c r="P435" s="39">
        <f t="shared" si="126"/>
        <v>243.95509055008054</v>
      </c>
      <c r="Q435" s="42">
        <f t="shared" si="127"/>
        <v>1.342844429612323</v>
      </c>
      <c r="R435" s="42">
        <f t="shared" si="128"/>
        <v>1.532843873407862</v>
      </c>
      <c r="S435" s="41">
        <f t="shared" si="129"/>
        <v>-0.12395224790449588</v>
      </c>
      <c r="T435" s="41">
        <f t="shared" si="113"/>
        <v>0.28598599986908513</v>
      </c>
      <c r="U435" s="41">
        <f t="shared" si="130"/>
        <v>0</v>
      </c>
      <c r="V435" s="41">
        <f t="shared" si="131"/>
        <v>-7.7186601785128595E-3</v>
      </c>
      <c r="W435" s="39">
        <f t="shared" si="117"/>
        <v>241.43</v>
      </c>
      <c r="X435" s="21"/>
    </row>
    <row r="436" spans="1:24" x14ac:dyDescent="0.2">
      <c r="A436" s="38">
        <v>45572</v>
      </c>
      <c r="B436" s="39">
        <v>238.03</v>
      </c>
      <c r="C436" s="39">
        <v>567.79999999999995</v>
      </c>
      <c r="D436" s="39">
        <v>47.445</v>
      </c>
      <c r="E436" s="41">
        <f t="shared" si="118"/>
        <v>-1.408275690676386E-2</v>
      </c>
      <c r="F436" s="41">
        <f t="shared" si="119"/>
        <v>-9.0404551642292441E-3</v>
      </c>
      <c r="G436" s="41">
        <f t="shared" si="120"/>
        <v>-2.9421036040768733E-3</v>
      </c>
      <c r="H436" s="41">
        <f t="shared" si="121"/>
        <v>0.32393347794649063</v>
      </c>
      <c r="I436" s="41">
        <f t="shared" si="122"/>
        <v>0.40381239646945066</v>
      </c>
      <c r="J436" s="41">
        <f t="shared" si="123"/>
        <v>0.14009371620809818</v>
      </c>
      <c r="K436" s="42">
        <f t="shared" si="114"/>
        <v>132.39334779464934</v>
      </c>
      <c r="L436" s="42">
        <f t="shared" si="115"/>
        <v>140.38123964694535</v>
      </c>
      <c r="M436" s="42">
        <f t="shared" si="116"/>
        <v>114.0093716208098</v>
      </c>
      <c r="N436" s="41">
        <f t="shared" si="124"/>
        <v>-5.6901419822088295E-2</v>
      </c>
      <c r="O436" s="41">
        <f t="shared" si="125"/>
        <v>0.16124969300754977</v>
      </c>
      <c r="P436" s="39">
        <f t="shared" si="126"/>
        <v>243.89613442520411</v>
      </c>
      <c r="Q436" s="42">
        <f t="shared" si="127"/>
        <v>1.3239334779464906</v>
      </c>
      <c r="R436" s="42">
        <f t="shared" si="128"/>
        <v>1.532843873407862</v>
      </c>
      <c r="S436" s="41">
        <f t="shared" si="129"/>
        <v>-0.13628941543597384</v>
      </c>
      <c r="T436" s="41">
        <f t="shared" si="113"/>
        <v>0.28685450501068144</v>
      </c>
      <c r="U436" s="41">
        <f t="shared" si="130"/>
        <v>-1.4238406769555123E-2</v>
      </c>
      <c r="V436" s="41">
        <f t="shared" si="131"/>
        <v>-5.0423017425346162E-3</v>
      </c>
      <c r="W436" s="39">
        <f t="shared" si="117"/>
        <v>238.03</v>
      </c>
      <c r="X436" s="21"/>
    </row>
    <row r="437" spans="1:24" x14ac:dyDescent="0.2">
      <c r="A437" s="38">
        <v>45573</v>
      </c>
      <c r="B437" s="39">
        <v>238.19</v>
      </c>
      <c r="C437" s="39">
        <v>573.16999999999996</v>
      </c>
      <c r="D437" s="39">
        <v>47.225000000000001</v>
      </c>
      <c r="E437" s="41">
        <f t="shared" si="118"/>
        <v>6.7218417846492962E-4</v>
      </c>
      <c r="F437" s="41">
        <f t="shared" si="119"/>
        <v>9.4575554772806658E-3</v>
      </c>
      <c r="G437" s="41">
        <f t="shared" si="120"/>
        <v>-4.6369480451048384E-3</v>
      </c>
      <c r="H437" s="41">
        <f t="shared" si="121"/>
        <v>0.32482340508370622</v>
      </c>
      <c r="I437" s="41">
        <f t="shared" si="122"/>
        <v>0.41708903008875486</v>
      </c>
      <c r="J437" s="41">
        <f t="shared" si="123"/>
        <v>0.13480716087949074</v>
      </c>
      <c r="K437" s="42">
        <f t="shared" si="114"/>
        <v>132.4823405083709</v>
      </c>
      <c r="L437" s="42">
        <f t="shared" si="115"/>
        <v>141.70890300887581</v>
      </c>
      <c r="M437" s="42">
        <f t="shared" si="116"/>
        <v>113.48071608794905</v>
      </c>
      <c r="N437" s="41">
        <f t="shared" si="124"/>
        <v>-6.5109264870443551E-2</v>
      </c>
      <c r="O437" s="41">
        <f t="shared" si="125"/>
        <v>0.16744364219287289</v>
      </c>
      <c r="P437" s="39">
        <f t="shared" si="126"/>
        <v>243.83935696823693</v>
      </c>
      <c r="Q437" s="42">
        <f t="shared" si="127"/>
        <v>1.3248234050837062</v>
      </c>
      <c r="R437" s="42">
        <f t="shared" si="128"/>
        <v>1.532843873407862</v>
      </c>
      <c r="S437" s="41">
        <f t="shared" si="129"/>
        <v>-0.13570884284625728</v>
      </c>
      <c r="T437" s="41">
        <f t="shared" si="113"/>
        <v>0.28657004415276538</v>
      </c>
      <c r="U437" s="41">
        <f t="shared" si="130"/>
        <v>0</v>
      </c>
      <c r="V437" s="41">
        <f t="shared" si="131"/>
        <v>-8.7853712988157362E-3</v>
      </c>
      <c r="W437" s="39">
        <f t="shared" si="117"/>
        <v>238.19</v>
      </c>
      <c r="X437" s="21"/>
    </row>
    <row r="438" spans="1:24" x14ac:dyDescent="0.2">
      <c r="A438" s="38">
        <v>45574</v>
      </c>
      <c r="B438" s="39">
        <v>241.64</v>
      </c>
      <c r="C438" s="39">
        <v>577.14</v>
      </c>
      <c r="D438" s="39">
        <v>47.524999999999999</v>
      </c>
      <c r="E438" s="41">
        <f t="shared" si="118"/>
        <v>1.4484235274360824E-2</v>
      </c>
      <c r="F438" s="41">
        <f t="shared" si="119"/>
        <v>6.9263918209256925E-3</v>
      </c>
      <c r="G438" s="41">
        <f t="shared" si="120"/>
        <v>6.3525674960296374E-3</v>
      </c>
      <c r="H438" s="41">
        <f t="shared" si="121"/>
        <v>0.3440124589799185</v>
      </c>
      <c r="I438" s="41">
        <f t="shared" si="122"/>
        <v>0.42690434395628518</v>
      </c>
      <c r="J438" s="41">
        <f t="shared" si="123"/>
        <v>0.14201609996395548</v>
      </c>
      <c r="K438" s="42">
        <f t="shared" si="114"/>
        <v>134.40124589799208</v>
      </c>
      <c r="L438" s="42">
        <f t="shared" si="115"/>
        <v>142.69043439562884</v>
      </c>
      <c r="M438" s="42">
        <f t="shared" si="116"/>
        <v>114.20160999639552</v>
      </c>
      <c r="N438" s="41">
        <f t="shared" si="124"/>
        <v>-5.8092110608155889E-2</v>
      </c>
      <c r="O438" s="41">
        <f t="shared" si="125"/>
        <v>0.1768769801251826</v>
      </c>
      <c r="P438" s="39">
        <f t="shared" si="126"/>
        <v>243.81747281929924</v>
      </c>
      <c r="Q438" s="42">
        <f t="shared" si="127"/>
        <v>1.3440124589799185</v>
      </c>
      <c r="R438" s="42">
        <f t="shared" si="128"/>
        <v>1.532843873407862</v>
      </c>
      <c r="S438" s="41">
        <f t="shared" si="129"/>
        <v>-0.12319024638049281</v>
      </c>
      <c r="T438" s="41">
        <f t="shared" si="113"/>
        <v>0.2785126849297988</v>
      </c>
      <c r="U438" s="41">
        <f t="shared" si="130"/>
        <v>0</v>
      </c>
      <c r="V438" s="41">
        <f t="shared" si="131"/>
        <v>7.5578434534351313E-3</v>
      </c>
      <c r="W438" s="39">
        <f t="shared" si="117"/>
        <v>241.64</v>
      </c>
      <c r="X438" s="21"/>
    </row>
    <row r="439" spans="1:24" x14ac:dyDescent="0.2">
      <c r="A439" s="38">
        <v>45575</v>
      </c>
      <c r="B439" s="39">
        <v>243.9</v>
      </c>
      <c r="C439" s="39">
        <v>576.13</v>
      </c>
      <c r="D439" s="39">
        <v>47.634999999999998</v>
      </c>
      <c r="E439" s="41">
        <f t="shared" si="118"/>
        <v>9.3527561661976844E-3</v>
      </c>
      <c r="F439" s="41">
        <f t="shared" si="119"/>
        <v>-1.7500086634092415E-3</v>
      </c>
      <c r="G439" s="41">
        <f t="shared" si="120"/>
        <v>2.3145712782746131E-3</v>
      </c>
      <c r="H439" s="41">
        <f t="shared" si="121"/>
        <v>0.35658267979308955</v>
      </c>
      <c r="I439" s="41">
        <f t="shared" si="122"/>
        <v>0.42440724899250548</v>
      </c>
      <c r="J439" s="41">
        <f t="shared" si="123"/>
        <v>0.1446593776282592</v>
      </c>
      <c r="K439" s="42">
        <f t="shared" si="114"/>
        <v>135.65826797930919</v>
      </c>
      <c r="L439" s="42">
        <f t="shared" si="115"/>
        <v>142.44072489925085</v>
      </c>
      <c r="M439" s="42">
        <f t="shared" si="116"/>
        <v>114.4659377628259</v>
      </c>
      <c r="N439" s="41">
        <f t="shared" si="124"/>
        <v>-4.7615995528939359E-2</v>
      </c>
      <c r="O439" s="41">
        <f t="shared" si="125"/>
        <v>0.18514093039969381</v>
      </c>
      <c r="P439" s="39">
        <f t="shared" si="126"/>
        <v>243.81829398527637</v>
      </c>
      <c r="Q439" s="42">
        <f t="shared" si="127"/>
        <v>1.3565826797930896</v>
      </c>
      <c r="R439" s="42">
        <f t="shared" si="128"/>
        <v>1.532843873407862</v>
      </c>
      <c r="S439" s="41">
        <f t="shared" si="129"/>
        <v>-0.11498965855074561</v>
      </c>
      <c r="T439" s="41">
        <f t="shared" si="113"/>
        <v>0.27421779094962595</v>
      </c>
      <c r="U439" s="41">
        <f t="shared" si="130"/>
        <v>0</v>
      </c>
      <c r="V439" s="41">
        <f t="shared" si="131"/>
        <v>1.1102764829606926E-2</v>
      </c>
      <c r="W439" s="39">
        <f t="shared" si="117"/>
        <v>243.9</v>
      </c>
      <c r="X439" s="21"/>
    </row>
    <row r="440" spans="1:24" x14ac:dyDescent="0.2">
      <c r="A440" s="38">
        <v>45576</v>
      </c>
      <c r="B440" s="39">
        <v>247.51</v>
      </c>
      <c r="C440" s="39">
        <v>579.58000000000004</v>
      </c>
      <c r="D440" s="39">
        <v>47.945</v>
      </c>
      <c r="E440" s="41">
        <f t="shared" si="118"/>
        <v>1.4801148011480025E-2</v>
      </c>
      <c r="F440" s="41">
        <f t="shared" si="119"/>
        <v>5.9882318226789355E-3</v>
      </c>
      <c r="G440" s="41">
        <f t="shared" si="120"/>
        <v>6.5078198803401044E-3</v>
      </c>
      <c r="H440" s="41">
        <f t="shared" si="121"/>
        <v>0.3766616608265172</v>
      </c>
      <c r="I440" s="41">
        <f t="shared" si="122"/>
        <v>0.43293692980937704</v>
      </c>
      <c r="J440" s="41">
        <f t="shared" si="123"/>
        <v>0.15210861468220616</v>
      </c>
      <c r="K440" s="42">
        <f t="shared" si="114"/>
        <v>137.66616608265198</v>
      </c>
      <c r="L440" s="42">
        <f t="shared" si="115"/>
        <v>143.293692980938</v>
      </c>
      <c r="M440" s="42">
        <f t="shared" si="116"/>
        <v>115.2108614682206</v>
      </c>
      <c r="N440" s="41">
        <f t="shared" si="124"/>
        <v>-3.9272676844434584E-2</v>
      </c>
      <c r="O440" s="41">
        <f t="shared" si="125"/>
        <v>0.19490614277391805</v>
      </c>
      <c r="P440" s="39">
        <f t="shared" si="126"/>
        <v>243.85502737845772</v>
      </c>
      <c r="Q440" s="42">
        <f t="shared" si="127"/>
        <v>1.3766616608265172</v>
      </c>
      <c r="R440" s="42">
        <f t="shared" si="128"/>
        <v>1.532843873407862</v>
      </c>
      <c r="S440" s="41">
        <f t="shared" si="129"/>
        <v>-0.1018904894952648</v>
      </c>
      <c r="T440" s="41">
        <f t="shared" si="113"/>
        <v>0.2760213027226267</v>
      </c>
      <c r="U440" s="41">
        <f t="shared" si="130"/>
        <v>0</v>
      </c>
      <c r="V440" s="41">
        <f t="shared" si="131"/>
        <v>8.8129161888010898E-3</v>
      </c>
      <c r="W440" s="39">
        <f t="shared" si="117"/>
        <v>247.51</v>
      </c>
      <c r="X440" s="21"/>
    </row>
    <row r="441" spans="1:24" x14ac:dyDescent="0.2">
      <c r="A441" s="38">
        <v>45579</v>
      </c>
      <c r="B441" s="39">
        <v>248.7</v>
      </c>
      <c r="C441" s="39">
        <v>584.32000000000005</v>
      </c>
      <c r="D441" s="39">
        <v>48.22</v>
      </c>
      <c r="E441" s="41">
        <f t="shared" si="118"/>
        <v>4.8078865500382761E-3</v>
      </c>
      <c r="F441" s="41">
        <f t="shared" si="119"/>
        <v>8.178336036440248E-3</v>
      </c>
      <c r="G441" s="41">
        <f t="shared" si="120"/>
        <v>5.7357388674521559E-3</v>
      </c>
      <c r="H441" s="41">
        <f t="shared" si="121"/>
        <v>0.38328049390955843</v>
      </c>
      <c r="I441" s="41">
        <f t="shared" si="122"/>
        <v>0.44465596954038311</v>
      </c>
      <c r="J441" s="41">
        <f t="shared" si="123"/>
        <v>0.15871680884296535</v>
      </c>
      <c r="K441" s="42">
        <f t="shared" si="114"/>
        <v>138.3280493909561</v>
      </c>
      <c r="L441" s="42">
        <f t="shared" si="115"/>
        <v>144.46559695403863</v>
      </c>
      <c r="M441" s="42">
        <f t="shared" si="116"/>
        <v>115.87168088429651</v>
      </c>
      <c r="N441" s="41">
        <f t="shared" si="124"/>
        <v>-4.2484492450026945E-2</v>
      </c>
      <c r="O441" s="41">
        <f t="shared" si="125"/>
        <v>0.19380376926682441</v>
      </c>
      <c r="P441" s="39">
        <f t="shared" si="126"/>
        <v>243.90323606125915</v>
      </c>
      <c r="Q441" s="42">
        <f t="shared" si="127"/>
        <v>1.3832804939095584</v>
      </c>
      <c r="R441" s="42">
        <f t="shared" si="128"/>
        <v>1.532843873407862</v>
      </c>
      <c r="S441" s="41">
        <f t="shared" si="129"/>
        <v>-9.7572480859247634E-2</v>
      </c>
      <c r="T441" s="41">
        <f t="shared" si="113"/>
        <v>0.27622689947988999</v>
      </c>
      <c r="U441" s="41">
        <f t="shared" si="130"/>
        <v>0</v>
      </c>
      <c r="V441" s="41">
        <f t="shared" si="131"/>
        <v>-3.3704494864019718E-3</v>
      </c>
      <c r="W441" s="39">
        <f t="shared" si="117"/>
        <v>248.7</v>
      </c>
      <c r="X441" s="21"/>
    </row>
    <row r="442" spans="1:24" x14ac:dyDescent="0.2">
      <c r="A442" s="38">
        <v>45580</v>
      </c>
      <c r="B442" s="39">
        <v>252.79</v>
      </c>
      <c r="C442" s="39">
        <v>579.78</v>
      </c>
      <c r="D442" s="39">
        <v>48.17</v>
      </c>
      <c r="E442" s="41">
        <f t="shared" si="118"/>
        <v>1.6445516686771189E-2</v>
      </c>
      <c r="F442" s="41">
        <f t="shared" si="119"/>
        <v>-7.7697152245346235E-3</v>
      </c>
      <c r="G442" s="41">
        <f t="shared" si="120"/>
        <v>-1.0369141435088158E-3</v>
      </c>
      <c r="H442" s="41">
        <f t="shared" si="121"/>
        <v>0.40602925635463327</v>
      </c>
      <c r="I442" s="41">
        <f t="shared" si="122"/>
        <v>0.43343140405963032</v>
      </c>
      <c r="J442" s="41">
        <f t="shared" si="123"/>
        <v>0.15751531899555471</v>
      </c>
      <c r="K442" s="42">
        <f t="shared" si="114"/>
        <v>140.60292563546361</v>
      </c>
      <c r="L442" s="42">
        <f t="shared" si="115"/>
        <v>143.34314040596334</v>
      </c>
      <c r="M442" s="42">
        <f t="shared" si="116"/>
        <v>115.75153189955545</v>
      </c>
      <c r="N442" s="41">
        <f t="shared" si="124"/>
        <v>-1.9116469492290511E-2</v>
      </c>
      <c r="O442" s="41">
        <f t="shared" si="125"/>
        <v>0.21469602456296566</v>
      </c>
      <c r="P442" s="39">
        <f t="shared" si="126"/>
        <v>243.99166157308741</v>
      </c>
      <c r="Q442" s="42">
        <f t="shared" si="127"/>
        <v>1.4060292563546333</v>
      </c>
      <c r="R442" s="42">
        <f t="shared" si="128"/>
        <v>1.532843873407862</v>
      </c>
      <c r="S442" s="41">
        <f t="shared" si="129"/>
        <v>-8.2731594034616718E-2</v>
      </c>
      <c r="T442" s="41">
        <f t="shared" si="113"/>
        <v>0.27595771872672542</v>
      </c>
      <c r="U442" s="41">
        <f t="shared" si="130"/>
        <v>0</v>
      </c>
      <c r="V442" s="41">
        <f t="shared" si="131"/>
        <v>2.4215231911305812E-2</v>
      </c>
      <c r="W442" s="39">
        <f t="shared" si="117"/>
        <v>252.79</v>
      </c>
      <c r="X442" s="21"/>
    </row>
    <row r="443" spans="1:24" x14ac:dyDescent="0.2">
      <c r="A443" s="38">
        <v>45581</v>
      </c>
      <c r="B443" s="39">
        <v>256.48</v>
      </c>
      <c r="C443" s="39">
        <v>582.29999999999995</v>
      </c>
      <c r="D443" s="39">
        <v>48.545000000000002</v>
      </c>
      <c r="E443" s="41">
        <f t="shared" si="118"/>
        <v>1.4597096404129983E-2</v>
      </c>
      <c r="F443" s="41">
        <f t="shared" si="119"/>
        <v>4.3464762496119302E-3</v>
      </c>
      <c r="G443" s="41">
        <f t="shared" si="120"/>
        <v>7.7849283786588508E-3</v>
      </c>
      <c r="H443" s="41">
        <f t="shared" si="121"/>
        <v>0.42655320095666904</v>
      </c>
      <c r="I443" s="41">
        <f t="shared" si="122"/>
        <v>0.43966177961282349</v>
      </c>
      <c r="J443" s="41">
        <f t="shared" si="123"/>
        <v>0.16652649285113563</v>
      </c>
      <c r="K443" s="42">
        <f t="shared" si="114"/>
        <v>142.65532009566721</v>
      </c>
      <c r="L443" s="42">
        <f t="shared" si="115"/>
        <v>143.96617796128263</v>
      </c>
      <c r="M443" s="42">
        <f t="shared" si="116"/>
        <v>116.65264928511354</v>
      </c>
      <c r="N443" s="41">
        <f t="shared" si="124"/>
        <v>-9.1053182363983742E-3</v>
      </c>
      <c r="O443" s="41">
        <f t="shared" si="125"/>
        <v>0.22290681754684871</v>
      </c>
      <c r="P443" s="39">
        <f t="shared" si="126"/>
        <v>244.11592364698706</v>
      </c>
      <c r="Q443" s="42">
        <f t="shared" si="127"/>
        <v>1.426553200956669</v>
      </c>
      <c r="R443" s="42">
        <f t="shared" si="128"/>
        <v>1.532843873407862</v>
      </c>
      <c r="S443" s="41">
        <f t="shared" si="129"/>
        <v>-6.934213868427741E-2</v>
      </c>
      <c r="T443" s="41">
        <f t="shared" si="113"/>
        <v>0.27763367858432975</v>
      </c>
      <c r="U443" s="41">
        <f t="shared" si="130"/>
        <v>0</v>
      </c>
      <c r="V443" s="41">
        <f t="shared" si="131"/>
        <v>1.0250620154518053E-2</v>
      </c>
      <c r="W443" s="39">
        <f t="shared" si="117"/>
        <v>256.48</v>
      </c>
      <c r="X443" s="21"/>
    </row>
    <row r="444" spans="1:24" x14ac:dyDescent="0.2">
      <c r="A444" s="38">
        <v>45582</v>
      </c>
      <c r="B444" s="39">
        <v>258.64</v>
      </c>
      <c r="C444" s="39">
        <v>582.35</v>
      </c>
      <c r="D444" s="39">
        <v>48.62</v>
      </c>
      <c r="E444" s="41">
        <f t="shared" si="118"/>
        <v>8.4217092950715777E-3</v>
      </c>
      <c r="F444" s="41">
        <f t="shared" si="119"/>
        <v>8.586639189434031E-5</v>
      </c>
      <c r="G444" s="41">
        <f t="shared" si="120"/>
        <v>1.544958286126219E-3</v>
      </c>
      <c r="H444" s="41">
        <f t="shared" si="121"/>
        <v>0.43856721730907999</v>
      </c>
      <c r="I444" s="41">
        <f t="shared" si="122"/>
        <v>0.43978539817538698</v>
      </c>
      <c r="J444" s="41">
        <f t="shared" si="123"/>
        <v>0.16832872762225182</v>
      </c>
      <c r="K444" s="42">
        <f t="shared" si="114"/>
        <v>143.85672173090828</v>
      </c>
      <c r="L444" s="42">
        <f t="shared" si="115"/>
        <v>143.978539817539</v>
      </c>
      <c r="M444" s="42">
        <f t="shared" si="116"/>
        <v>116.83287276222514</v>
      </c>
      <c r="N444" s="41">
        <f t="shared" si="124"/>
        <v>-8.4608502617877779E-4</v>
      </c>
      <c r="O444" s="41">
        <f t="shared" si="125"/>
        <v>0.2313034707593038</v>
      </c>
      <c r="P444" s="39">
        <f t="shared" si="126"/>
        <v>244.26044181965386</v>
      </c>
      <c r="Q444" s="42">
        <f t="shared" si="127"/>
        <v>1.43856721730908</v>
      </c>
      <c r="R444" s="42">
        <f t="shared" si="128"/>
        <v>1.532843873407862</v>
      </c>
      <c r="S444" s="41">
        <f t="shared" si="129"/>
        <v>-6.1504408723103365E-2</v>
      </c>
      <c r="T444" s="41">
        <f t="shared" si="113"/>
        <v>0.2672163757002069</v>
      </c>
      <c r="U444" s="41">
        <f t="shared" si="130"/>
        <v>0</v>
      </c>
      <c r="V444" s="41">
        <f t="shared" si="131"/>
        <v>8.3358429031772374E-3</v>
      </c>
      <c r="W444" s="39">
        <f t="shared" si="117"/>
        <v>258.64</v>
      </c>
      <c r="X444" s="21"/>
    </row>
    <row r="445" spans="1:24" x14ac:dyDescent="0.2">
      <c r="A445" s="38">
        <v>45583</v>
      </c>
      <c r="B445" s="39">
        <v>261.72000000000003</v>
      </c>
      <c r="C445" s="39">
        <v>584.59</v>
      </c>
      <c r="D445" s="39">
        <v>48.814999999999998</v>
      </c>
      <c r="E445" s="41">
        <f t="shared" si="118"/>
        <v>1.1908444169502097E-2</v>
      </c>
      <c r="F445" s="41">
        <f t="shared" si="119"/>
        <v>3.8464840731518013E-3</v>
      </c>
      <c r="G445" s="41">
        <f t="shared" si="120"/>
        <v>4.0106951871656804E-3</v>
      </c>
      <c r="H445" s="41">
        <f t="shared" si="121"/>
        <v>0.45569831470048117</v>
      </c>
      <c r="I445" s="41">
        <f t="shared" si="122"/>
        <v>0.4453235097782251</v>
      </c>
      <c r="J445" s="41">
        <f t="shared" si="123"/>
        <v>0.17301453802715372</v>
      </c>
      <c r="K445" s="42">
        <f t="shared" si="114"/>
        <v>145.5698314700484</v>
      </c>
      <c r="L445" s="42">
        <f t="shared" si="115"/>
        <v>144.53235097782283</v>
      </c>
      <c r="M445" s="42">
        <f t="shared" si="116"/>
        <v>117.30145380271534</v>
      </c>
      <c r="N445" s="41">
        <f t="shared" si="124"/>
        <v>7.1781887252688747E-3</v>
      </c>
      <c r="O445" s="41">
        <f t="shared" si="125"/>
        <v>0.24098915018458511</v>
      </c>
      <c r="P445" s="39">
        <f t="shared" si="126"/>
        <v>244.434168766722</v>
      </c>
      <c r="Q445" s="42">
        <f t="shared" si="127"/>
        <v>1.4556983147004812</v>
      </c>
      <c r="R445" s="42">
        <f t="shared" si="128"/>
        <v>1.532843873407862</v>
      </c>
      <c r="S445" s="41">
        <f t="shared" si="129"/>
        <v>-5.032838637105852E-2</v>
      </c>
      <c r="T445" s="41">
        <f t="shared" si="113"/>
        <v>0.26700791657496981</v>
      </c>
      <c r="U445" s="41">
        <f t="shared" si="130"/>
        <v>0</v>
      </c>
      <c r="V445" s="41">
        <f t="shared" si="131"/>
        <v>8.0619600963502958E-3</v>
      </c>
      <c r="W445" s="39">
        <f t="shared" si="117"/>
        <v>261.72000000000003</v>
      </c>
      <c r="X445" s="21"/>
    </row>
    <row r="446" spans="1:24" x14ac:dyDescent="0.2">
      <c r="A446" s="38">
        <v>45586</v>
      </c>
      <c r="B446" s="39">
        <v>259.94</v>
      </c>
      <c r="C446" s="39">
        <v>583.63</v>
      </c>
      <c r="D446" s="39">
        <v>48.44</v>
      </c>
      <c r="E446" s="41">
        <f t="shared" si="118"/>
        <v>-6.8011615466911923E-3</v>
      </c>
      <c r="F446" s="41">
        <f t="shared" si="119"/>
        <v>-1.6421765681932099E-3</v>
      </c>
      <c r="G446" s="41">
        <f t="shared" si="120"/>
        <v>-7.682064939055655E-3</v>
      </c>
      <c r="H446" s="41">
        <f t="shared" si="121"/>
        <v>0.44579787529895709</v>
      </c>
      <c r="I446" s="41">
        <f t="shared" si="122"/>
        <v>0.44295003337700845</v>
      </c>
      <c r="J446" s="41">
        <f t="shared" si="123"/>
        <v>0.1640033641715728</v>
      </c>
      <c r="K446" s="42">
        <f t="shared" si="114"/>
        <v>144.57978752989601</v>
      </c>
      <c r="L446" s="42">
        <f t="shared" si="115"/>
        <v>144.29500333770119</v>
      </c>
      <c r="M446" s="42">
        <f t="shared" si="116"/>
        <v>116.40033641715726</v>
      </c>
      <c r="N446" s="41">
        <f t="shared" si="124"/>
        <v>1.9736247659829509E-3</v>
      </c>
      <c r="O446" s="41">
        <f t="shared" si="125"/>
        <v>0.24209080471854039</v>
      </c>
      <c r="P446" s="39">
        <f t="shared" si="126"/>
        <v>244.58845564466506</v>
      </c>
      <c r="Q446" s="42">
        <f t="shared" si="127"/>
        <v>1.4457978752989571</v>
      </c>
      <c r="R446" s="42">
        <f t="shared" si="128"/>
        <v>1.532843873407862</v>
      </c>
      <c r="S446" s="41">
        <f t="shared" si="129"/>
        <v>-5.678725643165583E-2</v>
      </c>
      <c r="T446" s="41">
        <f t="shared" si="113"/>
        <v>0.25965172825860222</v>
      </c>
      <c r="U446" s="41">
        <f t="shared" si="130"/>
        <v>-6.9568114094824551E-3</v>
      </c>
      <c r="V446" s="41">
        <f t="shared" si="131"/>
        <v>-5.1589849784979824E-3</v>
      </c>
      <c r="W446" s="39">
        <f t="shared" si="117"/>
        <v>259.94</v>
      </c>
      <c r="X446" s="21"/>
    </row>
    <row r="447" spans="1:24" x14ac:dyDescent="0.2">
      <c r="A447" s="38">
        <v>45587</v>
      </c>
      <c r="B447" s="39">
        <v>253.72</v>
      </c>
      <c r="C447" s="39">
        <v>583.32000000000005</v>
      </c>
      <c r="D447" s="39">
        <v>47.994999999999997</v>
      </c>
      <c r="E447" s="41">
        <f t="shared" si="118"/>
        <v>-2.3928598907440146E-2</v>
      </c>
      <c r="F447" s="41">
        <f t="shared" si="119"/>
        <v>-5.3115843942219687E-4</v>
      </c>
      <c r="G447" s="41">
        <f t="shared" si="120"/>
        <v>-9.186622625928953E-3</v>
      </c>
      <c r="H447" s="41">
        <f t="shared" si="121"/>
        <v>0.41120195783969926</v>
      </c>
      <c r="I447" s="41">
        <f t="shared" si="122"/>
        <v>0.4421835982891158</v>
      </c>
      <c r="J447" s="41">
        <f t="shared" si="123"/>
        <v>0.1533101045296168</v>
      </c>
      <c r="K447" s="42">
        <f t="shared" si="114"/>
        <v>141.12019578397019</v>
      </c>
      <c r="L447" s="42">
        <f t="shared" si="115"/>
        <v>144.2183598289119</v>
      </c>
      <c r="M447" s="42">
        <f t="shared" si="116"/>
        <v>115.33101045296166</v>
      </c>
      <c r="N447" s="41">
        <f t="shared" si="124"/>
        <v>-2.1482452363326354E-2</v>
      </c>
      <c r="O447" s="41">
        <f t="shared" si="125"/>
        <v>0.22361015679756391</v>
      </c>
      <c r="P447" s="39">
        <f t="shared" si="126"/>
        <v>244.6793167825291</v>
      </c>
      <c r="Q447" s="42">
        <f t="shared" si="127"/>
        <v>1.4112019578396993</v>
      </c>
      <c r="R447" s="42">
        <f t="shared" si="128"/>
        <v>1.532843873407862</v>
      </c>
      <c r="S447" s="41">
        <f t="shared" si="129"/>
        <v>-7.9357015856888924E-2</v>
      </c>
      <c r="T447" s="41">
        <f t="shared" si="113"/>
        <v>0.26322733741493232</v>
      </c>
      <c r="U447" s="41">
        <f t="shared" si="130"/>
        <v>-2.4084248770231409E-2</v>
      </c>
      <c r="V447" s="41">
        <f t="shared" si="131"/>
        <v>-2.3397440468017949E-2</v>
      </c>
      <c r="W447" s="39">
        <f t="shared" si="117"/>
        <v>253.72</v>
      </c>
      <c r="X447" s="21"/>
    </row>
    <row r="448" spans="1:24" x14ac:dyDescent="0.2">
      <c r="A448" s="38">
        <v>45588</v>
      </c>
      <c r="B448" s="39">
        <v>253.57</v>
      </c>
      <c r="C448" s="39">
        <v>577.99</v>
      </c>
      <c r="D448" s="39">
        <v>47.865000000000002</v>
      </c>
      <c r="E448" s="41">
        <f t="shared" si="118"/>
        <v>-5.9120290083558569E-4</v>
      </c>
      <c r="F448" s="41">
        <f t="shared" si="119"/>
        <v>-9.1373517108963576E-3</v>
      </c>
      <c r="G448" s="41">
        <f t="shared" si="120"/>
        <v>-2.708615480779164E-3</v>
      </c>
      <c r="H448" s="41">
        <f t="shared" si="121"/>
        <v>0.41036765114855966</v>
      </c>
      <c r="I448" s="41">
        <f t="shared" si="122"/>
        <v>0.42900585951986203</v>
      </c>
      <c r="J448" s="41">
        <f t="shared" si="123"/>
        <v>0.15018623092634886</v>
      </c>
      <c r="K448" s="42">
        <f t="shared" si="114"/>
        <v>141.03676511485622</v>
      </c>
      <c r="L448" s="42">
        <f t="shared" si="115"/>
        <v>142.90058595198653</v>
      </c>
      <c r="M448" s="42">
        <f t="shared" si="116"/>
        <v>115.01862309263487</v>
      </c>
      <c r="N448" s="41">
        <f t="shared" si="124"/>
        <v>-1.304277952895494E-2</v>
      </c>
      <c r="O448" s="41">
        <f t="shared" si="125"/>
        <v>0.22620808111453683</v>
      </c>
      <c r="P448" s="39">
        <f t="shared" si="126"/>
        <v>244.76778129215569</v>
      </c>
      <c r="Q448" s="42">
        <f t="shared" si="127"/>
        <v>1.4103676511485597</v>
      </c>
      <c r="R448" s="42">
        <f t="shared" si="128"/>
        <v>1.532843873407862</v>
      </c>
      <c r="S448" s="41">
        <f t="shared" si="129"/>
        <v>-7.9901302659748152E-2</v>
      </c>
      <c r="T448" s="41">
        <f t="shared" si="113"/>
        <v>0.25948025327963575</v>
      </c>
      <c r="U448" s="41">
        <f t="shared" si="130"/>
        <v>-7.4685276362684849E-4</v>
      </c>
      <c r="V448" s="41">
        <f t="shared" si="131"/>
        <v>8.5461488100607719E-3</v>
      </c>
      <c r="W448" s="39">
        <f t="shared" si="117"/>
        <v>253.57</v>
      </c>
      <c r="X448" s="21"/>
    </row>
    <row r="449" spans="1:24" x14ac:dyDescent="0.2">
      <c r="A449" s="38">
        <v>45589</v>
      </c>
      <c r="B449" s="39">
        <v>256.14</v>
      </c>
      <c r="C449" s="39">
        <v>579.24</v>
      </c>
      <c r="D449" s="39">
        <v>47.28</v>
      </c>
      <c r="E449" s="41">
        <f t="shared" si="118"/>
        <v>1.0135268367709171E-2</v>
      </c>
      <c r="F449" s="41">
        <f t="shared" si="119"/>
        <v>2.1626671741725723E-3</v>
      </c>
      <c r="G449" s="41">
        <f t="shared" si="120"/>
        <v>-1.2221874020683199E-2</v>
      </c>
      <c r="H449" s="41">
        <f t="shared" si="121"/>
        <v>0.4246621057900859</v>
      </c>
      <c r="I449" s="41">
        <f t="shared" si="122"/>
        <v>0.4320963235839459</v>
      </c>
      <c r="J449" s="41">
        <f t="shared" si="123"/>
        <v>0.13612879971164249</v>
      </c>
      <c r="K449" s="42">
        <f t="shared" si="114"/>
        <v>142.46621057900884</v>
      </c>
      <c r="L449" s="42">
        <f t="shared" si="115"/>
        <v>143.20963235839491</v>
      </c>
      <c r="M449" s="42">
        <f t="shared" si="116"/>
        <v>113.61287997116425</v>
      </c>
      <c r="N449" s="41">
        <f t="shared" si="124"/>
        <v>-5.1911436901501684E-3</v>
      </c>
      <c r="O449" s="41">
        <f t="shared" si="125"/>
        <v>0.25396179214159109</v>
      </c>
      <c r="P449" s="39">
        <f t="shared" si="126"/>
        <v>244.88093769720885</v>
      </c>
      <c r="Q449" s="42">
        <f t="shared" si="127"/>
        <v>1.4246621057900859</v>
      </c>
      <c r="R449" s="42">
        <f t="shared" si="128"/>
        <v>1.532843873407862</v>
      </c>
      <c r="S449" s="41">
        <f t="shared" si="129"/>
        <v>-7.0575855437425172E-2</v>
      </c>
      <c r="T449" s="41">
        <f t="shared" si="113"/>
        <v>0.25791993349615377</v>
      </c>
      <c r="U449" s="41">
        <f t="shared" si="130"/>
        <v>0</v>
      </c>
      <c r="V449" s="41">
        <f t="shared" si="131"/>
        <v>7.9726011935365992E-3</v>
      </c>
      <c r="W449" s="39">
        <f t="shared" si="117"/>
        <v>256.14</v>
      </c>
      <c r="X449" s="21"/>
    </row>
    <row r="450" spans="1:24" x14ac:dyDescent="0.2">
      <c r="A450" s="38">
        <v>45590</v>
      </c>
      <c r="B450" s="39">
        <v>256.54000000000002</v>
      </c>
      <c r="C450" s="39">
        <v>579.04</v>
      </c>
      <c r="D450" s="39">
        <v>46.98</v>
      </c>
      <c r="E450" s="41">
        <f t="shared" si="118"/>
        <v>1.5616459748575284E-3</v>
      </c>
      <c r="F450" s="41">
        <f t="shared" si="119"/>
        <v>-3.4528002209799347E-4</v>
      </c>
      <c r="G450" s="41">
        <f t="shared" si="120"/>
        <v>-6.3451776649746661E-3</v>
      </c>
      <c r="H450" s="41">
        <f t="shared" si="121"/>
        <v>0.42688692363312497</v>
      </c>
      <c r="I450" s="41">
        <f t="shared" si="122"/>
        <v>0.43160184933369239</v>
      </c>
      <c r="J450" s="41">
        <f t="shared" si="123"/>
        <v>0.12891986062717775</v>
      </c>
      <c r="K450" s="42">
        <f t="shared" si="114"/>
        <v>142.68869236331275</v>
      </c>
      <c r="L450" s="42">
        <f t="shared" si="115"/>
        <v>143.16018493336958</v>
      </c>
      <c r="M450" s="42">
        <f t="shared" si="116"/>
        <v>112.89198606271775</v>
      </c>
      <c r="N450" s="41">
        <f t="shared" si="124"/>
        <v>-3.293461588333324E-3</v>
      </c>
      <c r="O450" s="41">
        <f t="shared" si="125"/>
        <v>0.26393996013181131</v>
      </c>
      <c r="P450" s="39">
        <f t="shared" si="126"/>
        <v>244.9969482673859</v>
      </c>
      <c r="Q450" s="42">
        <f t="shared" si="127"/>
        <v>1.426886923633125</v>
      </c>
      <c r="R450" s="42">
        <f t="shared" si="128"/>
        <v>1.532843873407862</v>
      </c>
      <c r="S450" s="41">
        <f t="shared" si="129"/>
        <v>-6.9124423963133674E-2</v>
      </c>
      <c r="T450" s="41">
        <f t="shared" si="113"/>
        <v>0.25689130101545604</v>
      </c>
      <c r="U450" s="41">
        <f t="shared" si="130"/>
        <v>0</v>
      </c>
      <c r="V450" s="41">
        <f t="shared" si="131"/>
        <v>1.9069259969555219E-3</v>
      </c>
      <c r="W450" s="39">
        <f t="shared" si="117"/>
        <v>256.54000000000002</v>
      </c>
      <c r="X450" s="21"/>
    </row>
    <row r="451" spans="1:24" x14ac:dyDescent="0.2">
      <c r="A451" s="38">
        <v>45593</v>
      </c>
      <c r="B451" s="39">
        <v>258.5</v>
      </c>
      <c r="C451" s="39">
        <v>580.83000000000004</v>
      </c>
      <c r="D451" s="39">
        <v>47.37</v>
      </c>
      <c r="E451" s="41">
        <f t="shared" si="118"/>
        <v>7.6401340921492533E-3</v>
      </c>
      <c r="F451" s="41">
        <f t="shared" si="119"/>
        <v>3.0913235700471553E-3</v>
      </c>
      <c r="G451" s="41">
        <f t="shared" si="120"/>
        <v>8.3014048531289131E-3</v>
      </c>
      <c r="H451" s="41">
        <f t="shared" si="121"/>
        <v>0.43778853106401638</v>
      </c>
      <c r="I451" s="41">
        <f t="shared" si="122"/>
        <v>0.43602739387346068</v>
      </c>
      <c r="J451" s="41">
        <f t="shared" si="123"/>
        <v>0.13829148143698178</v>
      </c>
      <c r="K451" s="42">
        <f t="shared" si="114"/>
        <v>143.77885310640193</v>
      </c>
      <c r="L451" s="42">
        <f t="shared" si="115"/>
        <v>143.60273938734639</v>
      </c>
      <c r="M451" s="42">
        <f t="shared" si="116"/>
        <v>113.82914814369818</v>
      </c>
      <c r="N451" s="41">
        <f t="shared" si="124"/>
        <v>1.2263952610300777E-3</v>
      </c>
      <c r="O451" s="41">
        <f t="shared" si="125"/>
        <v>0.2631110348370076</v>
      </c>
      <c r="P451" s="39">
        <f t="shared" si="126"/>
        <v>245.13130699109351</v>
      </c>
      <c r="Q451" s="42">
        <f t="shared" si="127"/>
        <v>1.4377885310640164</v>
      </c>
      <c r="R451" s="42">
        <f t="shared" si="128"/>
        <v>1.532843873407862</v>
      </c>
      <c r="S451" s="41">
        <f t="shared" si="129"/>
        <v>-6.2012409739105268E-2</v>
      </c>
      <c r="T451" s="41">
        <f t="shared" si="113"/>
        <v>0.25501955521758152</v>
      </c>
      <c r="U451" s="41">
        <f t="shared" si="130"/>
        <v>0</v>
      </c>
      <c r="V451" s="41">
        <f t="shared" si="131"/>
        <v>4.548810522102098E-3</v>
      </c>
      <c r="W451" s="39">
        <f t="shared" si="117"/>
        <v>258.5</v>
      </c>
      <c r="X451" s="21"/>
    </row>
    <row r="452" spans="1:24" x14ac:dyDescent="0.2">
      <c r="A452" s="38">
        <v>45594</v>
      </c>
      <c r="B452" s="39">
        <v>259.55</v>
      </c>
      <c r="C452" s="39">
        <v>581.77</v>
      </c>
      <c r="D452" s="39">
        <v>47.064999999999998</v>
      </c>
      <c r="E452" s="41">
        <f t="shared" si="118"/>
        <v>4.0618955512572441E-3</v>
      </c>
      <c r="F452" s="41">
        <f t="shared" si="119"/>
        <v>1.6183737065922355E-3</v>
      </c>
      <c r="G452" s="41">
        <f t="shared" si="120"/>
        <v>-6.4386742664133134E-3</v>
      </c>
      <c r="H452" s="41">
        <f t="shared" si="121"/>
        <v>0.44362867790199401</v>
      </c>
      <c r="I452" s="41">
        <f t="shared" si="122"/>
        <v>0.43835142284965167</v>
      </c>
      <c r="J452" s="41">
        <f t="shared" si="123"/>
        <v>0.13096239336777593</v>
      </c>
      <c r="K452" s="42">
        <f t="shared" si="114"/>
        <v>144.36286779019969</v>
      </c>
      <c r="L452" s="42">
        <f t="shared" si="115"/>
        <v>143.83514228496551</v>
      </c>
      <c r="M452" s="42">
        <f t="shared" si="116"/>
        <v>113.09623933677759</v>
      </c>
      <c r="N452" s="41">
        <f t="shared" si="124"/>
        <v>3.6689608453872591E-3</v>
      </c>
      <c r="O452" s="41">
        <f t="shared" si="125"/>
        <v>0.27646037248255584</v>
      </c>
      <c r="P452" s="39">
        <f t="shared" si="126"/>
        <v>245.27477657327168</v>
      </c>
      <c r="Q452" s="42">
        <f t="shared" si="127"/>
        <v>1.443628677901994</v>
      </c>
      <c r="R452" s="42">
        <f t="shared" si="128"/>
        <v>1.532843873407862</v>
      </c>
      <c r="S452" s="41">
        <f t="shared" si="129"/>
        <v>-5.8202402119090113E-2</v>
      </c>
      <c r="T452" s="41">
        <f t="shared" si="113"/>
        <v>0.24564987182321765</v>
      </c>
      <c r="U452" s="41">
        <f t="shared" si="130"/>
        <v>0</v>
      </c>
      <c r="V452" s="41">
        <f t="shared" si="131"/>
        <v>2.4435218446650087E-3</v>
      </c>
      <c r="W452" s="39">
        <f t="shared" si="117"/>
        <v>259.55</v>
      </c>
      <c r="X452" s="21"/>
    </row>
    <row r="453" spans="1:24" x14ac:dyDescent="0.2">
      <c r="A453" s="38">
        <v>45595</v>
      </c>
      <c r="B453" s="39">
        <v>276.23</v>
      </c>
      <c r="C453" s="39">
        <v>580.01</v>
      </c>
      <c r="D453" s="39">
        <v>47.32</v>
      </c>
      <c r="E453" s="41">
        <f t="shared" si="118"/>
        <v>6.4265074166827141E-2</v>
      </c>
      <c r="F453" s="41">
        <f t="shared" si="119"/>
        <v>-3.0252505285593978E-3</v>
      </c>
      <c r="G453" s="41">
        <f t="shared" si="120"/>
        <v>5.4180388823967807E-3</v>
      </c>
      <c r="H453" s="41">
        <f t="shared" si="121"/>
        <v>0.53640358195672433</v>
      </c>
      <c r="I453" s="41">
        <f t="shared" si="122"/>
        <v>0.43400004944742165</v>
      </c>
      <c r="J453" s="41">
        <f t="shared" si="123"/>
        <v>0.13708999158957114</v>
      </c>
      <c r="K453" s="42">
        <f t="shared" si="114"/>
        <v>153.64035819567275</v>
      </c>
      <c r="L453" s="42">
        <f t="shared" si="115"/>
        <v>143.40000494474251</v>
      </c>
      <c r="M453" s="42">
        <f t="shared" si="116"/>
        <v>113.70899915895708</v>
      </c>
      <c r="N453" s="41">
        <f t="shared" si="124"/>
        <v>7.1411108074063812E-2</v>
      </c>
      <c r="O453" s="41">
        <f t="shared" si="125"/>
        <v>0.3511714933036576</v>
      </c>
      <c r="P453" s="39">
        <f t="shared" si="126"/>
        <v>245.58278874667198</v>
      </c>
      <c r="Q453" s="42">
        <f t="shared" si="127"/>
        <v>1.5364035819567243</v>
      </c>
      <c r="R453" s="42">
        <f t="shared" si="128"/>
        <v>1.5364035819567243</v>
      </c>
      <c r="S453" s="41">
        <f t="shared" si="129"/>
        <v>0</v>
      </c>
      <c r="T453" s="41">
        <f t="shared" si="113"/>
        <v>0.26210856345309319</v>
      </c>
      <c r="U453" s="41">
        <f t="shared" si="130"/>
        <v>0</v>
      </c>
      <c r="V453" s="41">
        <f t="shared" si="131"/>
        <v>6.7290324695386539E-2</v>
      </c>
      <c r="W453" s="39">
        <f t="shared" si="117"/>
        <v>276.23</v>
      </c>
      <c r="X453" s="21"/>
    </row>
    <row r="454" spans="1:24" x14ac:dyDescent="0.2">
      <c r="A454" s="38">
        <v>45596</v>
      </c>
      <c r="B454" s="39">
        <v>273.93</v>
      </c>
      <c r="C454" s="39">
        <v>568.64</v>
      </c>
      <c r="D454" s="39">
        <v>46.695</v>
      </c>
      <c r="E454" s="41">
        <f t="shared" si="118"/>
        <v>-8.3263946711074066E-3</v>
      </c>
      <c r="F454" s="41">
        <f t="shared" si="119"/>
        <v>-1.9603110291201875E-2</v>
      </c>
      <c r="G454" s="41">
        <f t="shared" si="120"/>
        <v>-1.3207945900253537E-2</v>
      </c>
      <c r="H454" s="41">
        <f t="shared" si="121"/>
        <v>0.52361087935924955</v>
      </c>
      <c r="I454" s="41">
        <f t="shared" si="122"/>
        <v>0.4058891883205149</v>
      </c>
      <c r="J454" s="41">
        <f t="shared" si="123"/>
        <v>0.12207136849693634</v>
      </c>
      <c r="K454" s="42">
        <f t="shared" si="114"/>
        <v>152.36108793592527</v>
      </c>
      <c r="L454" s="42">
        <f t="shared" si="115"/>
        <v>140.5889188320518</v>
      </c>
      <c r="M454" s="42">
        <f t="shared" si="116"/>
        <v>112.20713684969361</v>
      </c>
      <c r="N454" s="41">
        <f t="shared" si="124"/>
        <v>8.3734686927471103E-2</v>
      </c>
      <c r="O454" s="41">
        <f t="shared" si="125"/>
        <v>0.35785558934650741</v>
      </c>
      <c r="P454" s="39">
        <f t="shared" si="126"/>
        <v>245.8648505501877</v>
      </c>
      <c r="Q454" s="42">
        <f t="shared" si="127"/>
        <v>1.5236108793592495</v>
      </c>
      <c r="R454" s="42">
        <f t="shared" si="128"/>
        <v>1.5364035819567243</v>
      </c>
      <c r="S454" s="41">
        <f t="shared" si="129"/>
        <v>-8.3263946711074066E-3</v>
      </c>
      <c r="T454" s="41">
        <f t="shared" si="113"/>
        <v>0.25899009493531638</v>
      </c>
      <c r="U454" s="41">
        <f t="shared" si="130"/>
        <v>-8.4820445338986694E-3</v>
      </c>
      <c r="V454" s="41">
        <f t="shared" si="131"/>
        <v>1.1276715620094468E-2</v>
      </c>
      <c r="W454" s="39">
        <f t="shared" si="117"/>
        <v>273.93</v>
      </c>
      <c r="X454" s="21"/>
    </row>
    <row r="455" spans="1:24" x14ac:dyDescent="0.2">
      <c r="A455" s="38">
        <v>45597</v>
      </c>
      <c r="B455" s="39">
        <v>270.39</v>
      </c>
      <c r="C455" s="39">
        <v>571.04</v>
      </c>
      <c r="D455" s="39">
        <v>46.564999999999998</v>
      </c>
      <c r="E455" s="41">
        <f t="shared" si="118"/>
        <v>-1.2923009527981644E-2</v>
      </c>
      <c r="F455" s="41">
        <f t="shared" si="119"/>
        <v>4.2205965109736177E-3</v>
      </c>
      <c r="G455" s="41">
        <f t="shared" si="120"/>
        <v>-2.7840239854374227E-3</v>
      </c>
      <c r="H455" s="41">
        <f t="shared" si="121"/>
        <v>0.50392124144835337</v>
      </c>
      <c r="I455" s="41">
        <f t="shared" si="122"/>
        <v>0.4118228793235561</v>
      </c>
      <c r="J455" s="41">
        <f t="shared" si="123"/>
        <v>0.11894749489366818</v>
      </c>
      <c r="K455" s="42">
        <f t="shared" si="114"/>
        <v>150.39212414483563</v>
      </c>
      <c r="L455" s="42">
        <f t="shared" si="115"/>
        <v>141.18228793235591</v>
      </c>
      <c r="M455" s="42">
        <f t="shared" si="116"/>
        <v>111.8947494893668</v>
      </c>
      <c r="N455" s="41">
        <f t="shared" si="124"/>
        <v>6.5233651808309201E-2</v>
      </c>
      <c r="O455" s="41">
        <f t="shared" si="125"/>
        <v>0.34404987571938639</v>
      </c>
      <c r="P455" s="39">
        <f t="shared" si="126"/>
        <v>246.1088818879968</v>
      </c>
      <c r="Q455" s="42">
        <f t="shared" si="127"/>
        <v>1.5039212414483534</v>
      </c>
      <c r="R455" s="42">
        <f t="shared" si="128"/>
        <v>1.5364035819567243</v>
      </c>
      <c r="S455" s="41">
        <f t="shared" si="129"/>
        <v>-2.1141802121420694E-2</v>
      </c>
      <c r="T455" s="41">
        <f t="shared" si="113"/>
        <v>0.25777042732235028</v>
      </c>
      <c r="U455" s="41">
        <f t="shared" si="130"/>
        <v>-1.3078659390772907E-2</v>
      </c>
      <c r="V455" s="41">
        <f t="shared" si="131"/>
        <v>-1.7143606038955261E-2</v>
      </c>
      <c r="W455" s="39">
        <f t="shared" si="117"/>
        <v>270.39</v>
      </c>
      <c r="X455" s="21"/>
    </row>
    <row r="456" spans="1:24" x14ac:dyDescent="0.2">
      <c r="A456" s="38">
        <v>45600</v>
      </c>
      <c r="B456" s="39">
        <v>268.86</v>
      </c>
      <c r="C456" s="39">
        <v>569.80999999999995</v>
      </c>
      <c r="D456" s="39">
        <v>46.77</v>
      </c>
      <c r="E456" s="41">
        <f t="shared" si="118"/>
        <v>-5.6584932874735872E-3</v>
      </c>
      <c r="F456" s="41">
        <f t="shared" si="119"/>
        <v>-2.1539646959932712E-3</v>
      </c>
      <c r="G456" s="41">
        <f t="shared" si="120"/>
        <v>4.4024481907012358E-3</v>
      </c>
      <c r="H456" s="41">
        <f t="shared" si="121"/>
        <v>0.495411313198729</v>
      </c>
      <c r="I456" s="41">
        <f t="shared" si="122"/>
        <v>0.40878186268449768</v>
      </c>
      <c r="J456" s="41">
        <f t="shared" si="123"/>
        <v>0.12387360326805252</v>
      </c>
      <c r="K456" s="42">
        <f t="shared" si="114"/>
        <v>149.54113131987322</v>
      </c>
      <c r="L456" s="42">
        <f t="shared" si="115"/>
        <v>140.87818626845007</v>
      </c>
      <c r="M456" s="42">
        <f t="shared" si="116"/>
        <v>112.38736032680524</v>
      </c>
      <c r="N456" s="41">
        <f t="shared" si="124"/>
        <v>6.1492451605783094E-2</v>
      </c>
      <c r="O456" s="41">
        <f t="shared" si="125"/>
        <v>0.33058673933643568</v>
      </c>
      <c r="P456" s="39">
        <f t="shared" si="126"/>
        <v>246.33526117269335</v>
      </c>
      <c r="Q456" s="42">
        <f t="shared" si="127"/>
        <v>1.495411313198729</v>
      </c>
      <c r="R456" s="42">
        <f t="shared" si="128"/>
        <v>1.5364035819567243</v>
      </c>
      <c r="S456" s="41">
        <f t="shared" si="129"/>
        <v>-2.6680664663505049E-2</v>
      </c>
      <c r="T456" s="41">
        <f t="shared" si="113"/>
        <v>0.25742646868998625</v>
      </c>
      <c r="U456" s="41">
        <f t="shared" si="130"/>
        <v>-5.81414315026485E-3</v>
      </c>
      <c r="V456" s="41">
        <f t="shared" si="131"/>
        <v>-3.5045285914803159E-3</v>
      </c>
      <c r="W456" s="39">
        <f t="shared" si="117"/>
        <v>268.86</v>
      </c>
      <c r="X456" s="21"/>
    </row>
    <row r="457" spans="1:24" x14ac:dyDescent="0.2">
      <c r="A457" s="38">
        <v>45601</v>
      </c>
      <c r="B457" s="39">
        <v>272.67</v>
      </c>
      <c r="C457" s="39">
        <v>576.70000000000005</v>
      </c>
      <c r="D457" s="39">
        <v>46.84</v>
      </c>
      <c r="E457" s="41">
        <f t="shared" si="118"/>
        <v>1.4170943985717388E-2</v>
      </c>
      <c r="F457" s="41">
        <f t="shared" si="119"/>
        <v>1.2091749881539604E-2</v>
      </c>
      <c r="G457" s="41">
        <f t="shared" si="120"/>
        <v>1.4966859097711449E-3</v>
      </c>
      <c r="H457" s="41">
        <f t="shared" si="121"/>
        <v>0.51660270315367618</v>
      </c>
      <c r="I457" s="41">
        <f t="shared" si="122"/>
        <v>0.42581650060572818</v>
      </c>
      <c r="J457" s="41">
        <f t="shared" si="123"/>
        <v>0.1255556890544276</v>
      </c>
      <c r="K457" s="42">
        <f t="shared" si="114"/>
        <v>151.66027031536794</v>
      </c>
      <c r="L457" s="42">
        <f t="shared" si="115"/>
        <v>142.58165006057311</v>
      </c>
      <c r="M457" s="42">
        <f t="shared" si="116"/>
        <v>112.55556890544275</v>
      </c>
      <c r="N457" s="41">
        <f t="shared" si="124"/>
        <v>6.3673132208372785E-2</v>
      </c>
      <c r="O457" s="41">
        <f t="shared" si="125"/>
        <v>0.34742573637361707</v>
      </c>
      <c r="P457" s="39">
        <f t="shared" si="126"/>
        <v>246.5972983749551</v>
      </c>
      <c r="Q457" s="42">
        <f t="shared" si="127"/>
        <v>1.5166027031536762</v>
      </c>
      <c r="R457" s="42">
        <f t="shared" si="128"/>
        <v>1.5364035819567243</v>
      </c>
      <c r="S457" s="41">
        <f t="shared" si="129"/>
        <v>-1.2887810882235895E-2</v>
      </c>
      <c r="T457" s="41">
        <f t="shared" si="113"/>
        <v>0.25749371015997335</v>
      </c>
      <c r="U457" s="41">
        <f t="shared" si="130"/>
        <v>0</v>
      </c>
      <c r="V457" s="41">
        <f t="shared" si="131"/>
        <v>2.0791941041777839E-3</v>
      </c>
      <c r="W457" s="39">
        <f t="shared" si="117"/>
        <v>272.67</v>
      </c>
      <c r="X457" s="21"/>
    </row>
    <row r="458" spans="1:24" x14ac:dyDescent="0.2">
      <c r="A458" s="38">
        <v>45602</v>
      </c>
      <c r="B458" s="39">
        <v>290.45</v>
      </c>
      <c r="C458" s="39">
        <v>591.04</v>
      </c>
      <c r="D458" s="39">
        <v>47.484999999999999</v>
      </c>
      <c r="E458" s="41">
        <f t="shared" si="118"/>
        <v>6.5207026808963064E-2</v>
      </c>
      <c r="F458" s="41">
        <f t="shared" si="119"/>
        <v>2.4865614704352224E-2</v>
      </c>
      <c r="G458" s="41">
        <f t="shared" si="120"/>
        <v>1.3770281810418394E-2</v>
      </c>
      <c r="H458" s="41">
        <f t="shared" si="121"/>
        <v>0.61549585627676384</v>
      </c>
      <c r="I458" s="41">
        <f t="shared" si="122"/>
        <v>0.46127030434889793</v>
      </c>
      <c r="J458" s="41">
        <f t="shared" si="123"/>
        <v>0.14105490808602683</v>
      </c>
      <c r="K458" s="42">
        <f t="shared" si="114"/>
        <v>161.54958562767675</v>
      </c>
      <c r="L458" s="42">
        <f t="shared" si="115"/>
        <v>146.12703043489009</v>
      </c>
      <c r="M458" s="42">
        <f t="shared" si="116"/>
        <v>114.10549080860267</v>
      </c>
      <c r="N458" s="41">
        <f t="shared" si="124"/>
        <v>0.1055421104971983</v>
      </c>
      <c r="O458" s="41">
        <f t="shared" si="125"/>
        <v>0.41579151435100603</v>
      </c>
      <c r="P458" s="39">
        <f t="shared" si="126"/>
        <v>247.03364366475654</v>
      </c>
      <c r="Q458" s="42">
        <f t="shared" si="127"/>
        <v>1.6154958562767638</v>
      </c>
      <c r="R458" s="42">
        <f t="shared" si="128"/>
        <v>1.6154958562767638</v>
      </c>
      <c r="S458" s="41">
        <f t="shared" si="129"/>
        <v>0</v>
      </c>
      <c r="T458" s="41">
        <f t="shared" si="113"/>
        <v>0.28795456431036165</v>
      </c>
      <c r="U458" s="41">
        <f t="shared" si="130"/>
        <v>0</v>
      </c>
      <c r="V458" s="41">
        <f t="shared" si="131"/>
        <v>4.0341412104610841E-2</v>
      </c>
      <c r="W458" s="39">
        <f t="shared" si="117"/>
        <v>290.45</v>
      </c>
      <c r="X458" s="21"/>
    </row>
    <row r="459" spans="1:24" x14ac:dyDescent="0.2">
      <c r="A459" s="38">
        <v>45603</v>
      </c>
      <c r="B459" s="39">
        <v>290.58999999999997</v>
      </c>
      <c r="C459" s="39">
        <v>595.61</v>
      </c>
      <c r="D459" s="39">
        <v>47.67</v>
      </c>
      <c r="E459" s="41">
        <f t="shared" si="118"/>
        <v>4.8201067309339152E-4</v>
      </c>
      <c r="F459" s="41">
        <f t="shared" si="119"/>
        <v>7.7321331889550482E-3</v>
      </c>
      <c r="G459" s="41">
        <f t="shared" si="120"/>
        <v>3.895967147520274E-3</v>
      </c>
      <c r="H459" s="41">
        <f t="shared" si="121"/>
        <v>0.61627454252182745</v>
      </c>
      <c r="I459" s="41">
        <f t="shared" si="122"/>
        <v>0.47256904096718855</v>
      </c>
      <c r="J459" s="41">
        <f t="shared" si="123"/>
        <v>0.14550042052144674</v>
      </c>
      <c r="K459" s="42">
        <f t="shared" si="114"/>
        <v>161.6274542521831</v>
      </c>
      <c r="L459" s="42">
        <f t="shared" si="115"/>
        <v>147.25690409671915</v>
      </c>
      <c r="M459" s="42">
        <f t="shared" si="116"/>
        <v>114.55004205214465</v>
      </c>
      <c r="N459" s="41">
        <f t="shared" si="124"/>
        <v>9.7588294712655843E-2</v>
      </c>
      <c r="O459" s="41">
        <f t="shared" si="125"/>
        <v>0.41097682162881988</v>
      </c>
      <c r="P459" s="39">
        <f t="shared" si="126"/>
        <v>247.46704024520673</v>
      </c>
      <c r="Q459" s="42">
        <f t="shared" si="127"/>
        <v>1.6162745425218275</v>
      </c>
      <c r="R459" s="42">
        <f t="shared" si="128"/>
        <v>1.6162745425218275</v>
      </c>
      <c r="S459" s="41">
        <f t="shared" si="129"/>
        <v>0</v>
      </c>
      <c r="T459" s="41">
        <f t="shared" si="113"/>
        <v>0.2874544673543421</v>
      </c>
      <c r="U459" s="41">
        <f t="shared" si="130"/>
        <v>0</v>
      </c>
      <c r="V459" s="41">
        <f t="shared" si="131"/>
        <v>-7.2501225158616567E-3</v>
      </c>
      <c r="W459" s="39">
        <f t="shared" si="117"/>
        <v>290.58999999999997</v>
      </c>
      <c r="X459" s="21"/>
    </row>
    <row r="460" spans="1:24" x14ac:dyDescent="0.2">
      <c r="A460" s="38">
        <v>45604</v>
      </c>
      <c r="B460" s="39">
        <v>292.31</v>
      </c>
      <c r="C460" s="39">
        <v>598.19000000000005</v>
      </c>
      <c r="D460" s="39">
        <v>47.234999999999999</v>
      </c>
      <c r="E460" s="41">
        <f t="shared" si="118"/>
        <v>5.9189923947831069E-3</v>
      </c>
      <c r="F460" s="41">
        <f t="shared" si="119"/>
        <v>4.3316935578652238E-3</v>
      </c>
      <c r="G460" s="41">
        <f t="shared" si="120"/>
        <v>-9.1252359974827169E-3</v>
      </c>
      <c r="H460" s="41">
        <f t="shared" si="121"/>
        <v>0.6258412592468956</v>
      </c>
      <c r="I460" s="41">
        <f t="shared" si="122"/>
        <v>0.47894775879545781</v>
      </c>
      <c r="J460" s="41">
        <f t="shared" si="123"/>
        <v>0.13504745884897273</v>
      </c>
      <c r="K460" s="42">
        <f t="shared" si="114"/>
        <v>162.58412592468991</v>
      </c>
      <c r="L460" s="42">
        <f t="shared" si="115"/>
        <v>147.89477587954607</v>
      </c>
      <c r="M460" s="42">
        <f t="shared" si="116"/>
        <v>113.50474588489728</v>
      </c>
      <c r="N460" s="41">
        <f t="shared" si="124"/>
        <v>9.9322981205959948E-2</v>
      </c>
      <c r="O460" s="41">
        <f t="shared" si="125"/>
        <v>0.4323993649530975</v>
      </c>
      <c r="P460" s="39">
        <f t="shared" si="126"/>
        <v>247.91323884973204</v>
      </c>
      <c r="Q460" s="42">
        <f t="shared" si="127"/>
        <v>1.6258412592468956</v>
      </c>
      <c r="R460" s="42">
        <f t="shared" si="128"/>
        <v>1.6258412592468956</v>
      </c>
      <c r="S460" s="41">
        <f t="shared" si="129"/>
        <v>0</v>
      </c>
      <c r="T460" s="41">
        <f t="shared" si="113"/>
        <v>0.28611743033068671</v>
      </c>
      <c r="U460" s="41">
        <f t="shared" si="130"/>
        <v>0</v>
      </c>
      <c r="V460" s="41">
        <f t="shared" si="131"/>
        <v>1.5872988369178831E-3</v>
      </c>
      <c r="W460" s="39">
        <f t="shared" si="117"/>
        <v>292.31</v>
      </c>
      <c r="X460" s="21"/>
    </row>
    <row r="461" spans="1:24" x14ac:dyDescent="0.2">
      <c r="A461" s="38">
        <v>45607</v>
      </c>
      <c r="B461" s="39">
        <v>292.04000000000002</v>
      </c>
      <c r="C461" s="39">
        <v>598.76</v>
      </c>
      <c r="D461" s="39">
        <v>47.03</v>
      </c>
      <c r="E461" s="41">
        <f t="shared" si="118"/>
        <v>-9.2367691834005505E-4</v>
      </c>
      <c r="F461" s="41">
        <f t="shared" si="119"/>
        <v>9.5287450475600721E-4</v>
      </c>
      <c r="G461" s="41">
        <f t="shared" si="120"/>
        <v>-4.3400021170741931E-3</v>
      </c>
      <c r="H461" s="41">
        <f t="shared" si="121"/>
        <v>0.62433950720284437</v>
      </c>
      <c r="I461" s="41">
        <f t="shared" si="122"/>
        <v>0.48035701040868006</v>
      </c>
      <c r="J461" s="41">
        <f t="shared" si="123"/>
        <v>0.13012135047458862</v>
      </c>
      <c r="K461" s="42">
        <f t="shared" si="114"/>
        <v>162.4339507202848</v>
      </c>
      <c r="L461" s="42">
        <f t="shared" si="115"/>
        <v>148.0357010408683</v>
      </c>
      <c r="M461" s="42">
        <f t="shared" si="116"/>
        <v>113.01213504745884</v>
      </c>
      <c r="N461" s="41">
        <f t="shared" si="124"/>
        <v>9.7262008949054346E-2</v>
      </c>
      <c r="O461" s="41">
        <f t="shared" si="125"/>
        <v>0.43731423755573795</v>
      </c>
      <c r="P461" s="39">
        <f t="shared" si="126"/>
        <v>248.35231109998347</v>
      </c>
      <c r="Q461" s="42">
        <f t="shared" si="127"/>
        <v>1.6243395072028444</v>
      </c>
      <c r="R461" s="42">
        <f t="shared" si="128"/>
        <v>1.6258412592468956</v>
      </c>
      <c r="S461" s="41">
        <f t="shared" si="129"/>
        <v>-9.2367691834005505E-4</v>
      </c>
      <c r="T461" s="41">
        <f t="shared" si="113"/>
        <v>0.2852055793942555</v>
      </c>
      <c r="U461" s="41">
        <f t="shared" si="130"/>
        <v>-1.0793267811313179E-3</v>
      </c>
      <c r="V461" s="41">
        <f t="shared" si="131"/>
        <v>-1.8765514230960623E-3</v>
      </c>
      <c r="W461" s="39">
        <f t="shared" si="117"/>
        <v>292.04000000000002</v>
      </c>
      <c r="X461" s="21"/>
    </row>
    <row r="462" spans="1:24" x14ac:dyDescent="0.2">
      <c r="A462" s="38">
        <v>45608</v>
      </c>
      <c r="B462" s="39">
        <v>288.38</v>
      </c>
      <c r="C462" s="39">
        <v>596.9</v>
      </c>
      <c r="D462" s="39">
        <v>46.23</v>
      </c>
      <c r="E462" s="41">
        <f t="shared" si="118"/>
        <v>-1.2532529790439728E-2</v>
      </c>
      <c r="F462" s="41">
        <f t="shared" si="119"/>
        <v>-3.1064199345314236E-3</v>
      </c>
      <c r="G462" s="41">
        <f t="shared" si="120"/>
        <v>-1.701041888156507E-2</v>
      </c>
      <c r="H462" s="41">
        <f t="shared" si="121"/>
        <v>0.60398242393903656</v>
      </c>
      <c r="I462" s="41">
        <f t="shared" si="122"/>
        <v>0.47575839988132329</v>
      </c>
      <c r="J462" s="41">
        <f t="shared" si="123"/>
        <v>0.11089751291601591</v>
      </c>
      <c r="K462" s="42">
        <f t="shared" si="114"/>
        <v>160.39824239390401</v>
      </c>
      <c r="L462" s="42">
        <f t="shared" si="115"/>
        <v>147.5758399881326</v>
      </c>
      <c r="M462" s="42">
        <f t="shared" si="116"/>
        <v>111.08975129160157</v>
      </c>
      <c r="N462" s="41">
        <f t="shared" si="124"/>
        <v>8.688686716472338E-2</v>
      </c>
      <c r="O462" s="41">
        <f t="shared" si="125"/>
        <v>0.44386174718198146</v>
      </c>
      <c r="P462" s="39">
        <f t="shared" si="126"/>
        <v>248.7505965616752</v>
      </c>
      <c r="Q462" s="42">
        <f t="shared" si="127"/>
        <v>1.6039824239390366</v>
      </c>
      <c r="R462" s="42">
        <f t="shared" si="128"/>
        <v>1.6258412592468956</v>
      </c>
      <c r="S462" s="41">
        <f t="shared" si="129"/>
        <v>-1.3444630700283899E-2</v>
      </c>
      <c r="T462" s="41">
        <f t="shared" si="113"/>
        <v>0.28691627143584369</v>
      </c>
      <c r="U462" s="41">
        <f t="shared" si="130"/>
        <v>-1.2688179653230991E-2</v>
      </c>
      <c r="V462" s="41">
        <f t="shared" si="131"/>
        <v>-9.4261098559083045E-3</v>
      </c>
      <c r="W462" s="39">
        <f t="shared" si="117"/>
        <v>288.38</v>
      </c>
      <c r="X462" s="21"/>
    </row>
    <row r="463" spans="1:24" x14ac:dyDescent="0.2">
      <c r="A463" s="38">
        <v>45609</v>
      </c>
      <c r="B463" s="39">
        <v>287.70999999999998</v>
      </c>
      <c r="C463" s="39">
        <v>597.19000000000005</v>
      </c>
      <c r="D463" s="39">
        <v>46.34</v>
      </c>
      <c r="E463" s="41">
        <f t="shared" si="118"/>
        <v>-2.3233233927457686E-3</v>
      </c>
      <c r="F463" s="41">
        <f t="shared" si="119"/>
        <v>4.8584352487868188E-4</v>
      </c>
      <c r="G463" s="41">
        <f t="shared" si="120"/>
        <v>2.3794073112699543E-3</v>
      </c>
      <c r="H463" s="41">
        <f t="shared" si="121"/>
        <v>0.60025585405194604</v>
      </c>
      <c r="I463" s="41">
        <f t="shared" si="122"/>
        <v>0.47647538754419094</v>
      </c>
      <c r="J463" s="41">
        <f t="shared" si="123"/>
        <v>0.11354079058031985</v>
      </c>
      <c r="K463" s="42">
        <f t="shared" si="114"/>
        <v>160.02558540519493</v>
      </c>
      <c r="L463" s="42">
        <f t="shared" si="115"/>
        <v>147.64753875441937</v>
      </c>
      <c r="M463" s="42">
        <f t="shared" si="116"/>
        <v>111.35407905803196</v>
      </c>
      <c r="N463" s="41">
        <f t="shared" si="124"/>
        <v>8.3835103214038753E-2</v>
      </c>
      <c r="O463" s="41">
        <f t="shared" si="125"/>
        <v>0.43708777225661888</v>
      </c>
      <c r="P463" s="39">
        <f t="shared" si="126"/>
        <v>249.13825231728043</v>
      </c>
      <c r="Q463" s="42">
        <f t="shared" si="127"/>
        <v>1.600255854051946</v>
      </c>
      <c r="R463" s="42">
        <f t="shared" si="128"/>
        <v>1.6258412592468956</v>
      </c>
      <c r="S463" s="41">
        <f t="shared" si="129"/>
        <v>-1.5736717868016781E-2</v>
      </c>
      <c r="T463" s="41">
        <f t="shared" si="113"/>
        <v>0.28706999489271767</v>
      </c>
      <c r="U463" s="41">
        <f t="shared" si="130"/>
        <v>-2.4789732555370314E-3</v>
      </c>
      <c r="V463" s="41">
        <f t="shared" si="131"/>
        <v>-2.8091669176244505E-3</v>
      </c>
      <c r="W463" s="39">
        <f t="shared" si="117"/>
        <v>287.70999999999998</v>
      </c>
      <c r="X463" s="21"/>
    </row>
    <row r="464" spans="1:24" x14ac:dyDescent="0.2">
      <c r="A464" s="38">
        <v>45610</v>
      </c>
      <c r="B464" s="39">
        <v>282.68</v>
      </c>
      <c r="C464" s="39">
        <v>593.35</v>
      </c>
      <c r="D464" s="39">
        <v>45.96</v>
      </c>
      <c r="E464" s="41">
        <f t="shared" si="118"/>
        <v>-1.7482882068749706E-2</v>
      </c>
      <c r="F464" s="41">
        <f t="shared" si="119"/>
        <v>-6.4301143689613482E-3</v>
      </c>
      <c r="G464" s="41">
        <f t="shared" si="120"/>
        <v>-8.2002589555459915E-3</v>
      </c>
      <c r="H464" s="41">
        <f t="shared" si="121"/>
        <v>0.57227876967572944</v>
      </c>
      <c r="I464" s="41">
        <f t="shared" si="122"/>
        <v>0.4669814819393252</v>
      </c>
      <c r="J464" s="41">
        <f t="shared" si="123"/>
        <v>0.10440946773999782</v>
      </c>
      <c r="K464" s="42">
        <f t="shared" si="114"/>
        <v>157.22787696757331</v>
      </c>
      <c r="L464" s="42">
        <f t="shared" si="115"/>
        <v>146.69814819393278</v>
      </c>
      <c r="M464" s="42">
        <f t="shared" si="116"/>
        <v>110.44094677399976</v>
      </c>
      <c r="N464" s="41">
        <f t="shared" si="124"/>
        <v>7.1778198315907149E-2</v>
      </c>
      <c r="O464" s="41">
        <f t="shared" si="125"/>
        <v>0.42363753263828263</v>
      </c>
      <c r="P464" s="39">
        <f t="shared" si="126"/>
        <v>249.47200105044183</v>
      </c>
      <c r="Q464" s="42">
        <f t="shared" si="127"/>
        <v>1.5722787696757294</v>
      </c>
      <c r="R464" s="42">
        <f t="shared" si="128"/>
        <v>1.6258412592468956</v>
      </c>
      <c r="S464" s="41">
        <f t="shared" si="129"/>
        <v>-3.2944476754130814E-2</v>
      </c>
      <c r="T464" s="41">
        <f t="shared" si="113"/>
        <v>0.28973296688828487</v>
      </c>
      <c r="U464" s="41">
        <f t="shared" si="130"/>
        <v>-1.7638531931540968E-2</v>
      </c>
      <c r="V464" s="41">
        <f t="shared" si="131"/>
        <v>-1.1052767699788357E-2</v>
      </c>
      <c r="W464" s="39">
        <f t="shared" si="117"/>
        <v>282.68</v>
      </c>
      <c r="X464" s="21"/>
    </row>
    <row r="465" spans="1:24" x14ac:dyDescent="0.2">
      <c r="A465" s="38">
        <v>45611</v>
      </c>
      <c r="B465" s="39">
        <v>279.27999999999997</v>
      </c>
      <c r="C465" s="39">
        <v>585.75</v>
      </c>
      <c r="D465" s="39">
        <v>45.64</v>
      </c>
      <c r="E465" s="41">
        <f t="shared" si="118"/>
        <v>-1.202773454082362E-2</v>
      </c>
      <c r="F465" s="41">
        <f t="shared" si="119"/>
        <v>-1.2808628971096359E-2</v>
      </c>
      <c r="G465" s="41">
        <f t="shared" si="120"/>
        <v>-6.9625761531766361E-3</v>
      </c>
      <c r="H465" s="41">
        <f t="shared" si="121"/>
        <v>0.55336781800989709</v>
      </c>
      <c r="I465" s="41">
        <f t="shared" si="122"/>
        <v>0.44819146042969527</v>
      </c>
      <c r="J465" s="41">
        <f t="shared" si="123"/>
        <v>9.6719932716568868E-2</v>
      </c>
      <c r="K465" s="42">
        <f t="shared" si="114"/>
        <v>155.33678180099005</v>
      </c>
      <c r="L465" s="42">
        <f t="shared" si="115"/>
        <v>144.81914604296981</v>
      </c>
      <c r="M465" s="42">
        <f t="shared" si="116"/>
        <v>109.67199327165685</v>
      </c>
      <c r="N465" s="41">
        <f t="shared" si="124"/>
        <v>7.2626003159136587E-2</v>
      </c>
      <c r="O465" s="41">
        <f t="shared" si="125"/>
        <v>0.41637602424368647</v>
      </c>
      <c r="P465" s="39">
        <f t="shared" si="126"/>
        <v>249.76859805491506</v>
      </c>
      <c r="Q465" s="42">
        <f t="shared" si="127"/>
        <v>1.5533678180098971</v>
      </c>
      <c r="R465" s="42">
        <f t="shared" si="128"/>
        <v>1.6258412592468956</v>
      </c>
      <c r="S465" s="41">
        <f t="shared" si="129"/>
        <v>-4.4575963873969338E-2</v>
      </c>
      <c r="T465" s="41">
        <f t="shared" si="113"/>
        <v>0.29121105995686919</v>
      </c>
      <c r="U465" s="41">
        <f t="shared" si="130"/>
        <v>-1.2183384403614883E-2</v>
      </c>
      <c r="V465" s="41">
        <f t="shared" si="131"/>
        <v>7.808944302727383E-4</v>
      </c>
      <c r="W465" s="39">
        <f t="shared" si="117"/>
        <v>279.27999999999997</v>
      </c>
      <c r="X465" s="21"/>
    </row>
    <row r="466" spans="1:24" x14ac:dyDescent="0.2">
      <c r="A466" s="38">
        <v>45614</v>
      </c>
      <c r="B466" s="39">
        <v>278.74</v>
      </c>
      <c r="C466" s="39">
        <v>588.15</v>
      </c>
      <c r="D466" s="39">
        <v>45.994999999999997</v>
      </c>
      <c r="E466" s="41">
        <f t="shared" si="118"/>
        <v>-1.9335433973072247E-3</v>
      </c>
      <c r="F466" s="41">
        <f t="shared" si="119"/>
        <v>4.0973111395645745E-3</v>
      </c>
      <c r="G466" s="41">
        <f t="shared" si="120"/>
        <v>7.778264680105007E-3</v>
      </c>
      <c r="H466" s="41">
        <f t="shared" si="121"/>
        <v>0.55036431392179463</v>
      </c>
      <c r="I466" s="41">
        <f t="shared" si="122"/>
        <v>0.45412515143273624</v>
      </c>
      <c r="J466" s="41">
        <f t="shared" si="123"/>
        <v>0.10525051063318536</v>
      </c>
      <c r="K466" s="42">
        <f t="shared" si="114"/>
        <v>155.03643139217976</v>
      </c>
      <c r="L466" s="42">
        <f t="shared" si="115"/>
        <v>145.41251514327388</v>
      </c>
      <c r="M466" s="42">
        <f t="shared" si="116"/>
        <v>110.52505106331851</v>
      </c>
      <c r="N466" s="41">
        <f t="shared" si="124"/>
        <v>6.6183548502847023E-2</v>
      </c>
      <c r="O466" s="41">
        <f t="shared" si="125"/>
        <v>0.40272662080346722</v>
      </c>
      <c r="P466" s="39">
        <f t="shared" si="126"/>
        <v>250.05687071108508</v>
      </c>
      <c r="Q466" s="42">
        <f t="shared" si="127"/>
        <v>1.5503643139217946</v>
      </c>
      <c r="R466" s="42">
        <f t="shared" si="128"/>
        <v>1.6258412592468956</v>
      </c>
      <c r="S466" s="41">
        <f t="shared" si="129"/>
        <v>-4.6423317710649448E-2</v>
      </c>
      <c r="T466" s="41">
        <f t="shared" si="113"/>
        <v>0.28633288252519429</v>
      </c>
      <c r="U466" s="41">
        <f t="shared" si="130"/>
        <v>-2.0891932600984875E-3</v>
      </c>
      <c r="V466" s="41">
        <f t="shared" si="131"/>
        <v>-6.0308545368717992E-3</v>
      </c>
      <c r="W466" s="39">
        <f t="shared" si="117"/>
        <v>278.74</v>
      </c>
      <c r="X466" s="21"/>
    </row>
    <row r="467" spans="1:24" x14ac:dyDescent="0.2">
      <c r="A467" s="38">
        <v>45615</v>
      </c>
      <c r="B467" s="39">
        <v>278.01</v>
      </c>
      <c r="C467" s="39">
        <v>590.29999999999995</v>
      </c>
      <c r="D467" s="39">
        <v>45.844999999999999</v>
      </c>
      <c r="E467" s="41">
        <f t="shared" si="118"/>
        <v>-2.6189280332927778E-3</v>
      </c>
      <c r="F467" s="41">
        <f t="shared" si="119"/>
        <v>3.6555300518574807E-3</v>
      </c>
      <c r="G467" s="41">
        <f t="shared" si="120"/>
        <v>-3.2612240460919706E-3</v>
      </c>
      <c r="H467" s="41">
        <f t="shared" si="121"/>
        <v>0.54630402135824818</v>
      </c>
      <c r="I467" s="41">
        <f t="shared" si="122"/>
        <v>0.45944074962296044</v>
      </c>
      <c r="J467" s="41">
        <f t="shared" si="123"/>
        <v>0.10164604109095299</v>
      </c>
      <c r="K467" s="42">
        <f t="shared" si="114"/>
        <v>154.63040213582514</v>
      </c>
      <c r="L467" s="42">
        <f t="shared" si="115"/>
        <v>145.9440749622963</v>
      </c>
      <c r="M467" s="42">
        <f t="shared" si="116"/>
        <v>110.16460410909528</v>
      </c>
      <c r="N467" s="41">
        <f t="shared" si="124"/>
        <v>5.9518189935239496E-2</v>
      </c>
      <c r="O467" s="41">
        <f t="shared" si="125"/>
        <v>0.40363053438376029</v>
      </c>
      <c r="P467" s="39">
        <f t="shared" si="126"/>
        <v>250.33501130102454</v>
      </c>
      <c r="Q467" s="42">
        <f t="shared" si="127"/>
        <v>1.5463040213582482</v>
      </c>
      <c r="R467" s="42">
        <f t="shared" si="128"/>
        <v>1.6258412592468956</v>
      </c>
      <c r="S467" s="41">
        <f t="shared" si="129"/>
        <v>-4.8920666415791292E-2</v>
      </c>
      <c r="T467" s="41">
        <f t="shared" si="113"/>
        <v>0.2839736088394178</v>
      </c>
      <c r="U467" s="41">
        <f t="shared" si="130"/>
        <v>-2.7745778960840406E-3</v>
      </c>
      <c r="V467" s="41">
        <f t="shared" si="131"/>
        <v>-6.2744580851502585E-3</v>
      </c>
      <c r="W467" s="39">
        <f t="shared" si="117"/>
        <v>278.01</v>
      </c>
      <c r="X467" s="21"/>
    </row>
    <row r="468" spans="1:24" x14ac:dyDescent="0.2">
      <c r="A468" s="38">
        <v>45616</v>
      </c>
      <c r="B468" s="39">
        <v>277.81</v>
      </c>
      <c r="C468" s="39">
        <v>590.5</v>
      </c>
      <c r="D468" s="39">
        <v>46.22</v>
      </c>
      <c r="E468" s="41">
        <f t="shared" si="118"/>
        <v>-7.1939858278480262E-4</v>
      </c>
      <c r="F468" s="41">
        <f t="shared" si="119"/>
        <v>3.3881077418262961E-4</v>
      </c>
      <c r="G468" s="41">
        <f t="shared" si="120"/>
        <v>8.1797360671829189E-3</v>
      </c>
      <c r="H468" s="41">
        <f t="shared" si="121"/>
        <v>0.54519161243672865</v>
      </c>
      <c r="I468" s="41">
        <f t="shared" si="122"/>
        <v>0.45993522387321395</v>
      </c>
      <c r="J468" s="41">
        <f t="shared" si="123"/>
        <v>0.11065721494653391</v>
      </c>
      <c r="K468" s="42">
        <f t="shared" si="114"/>
        <v>154.51916124367318</v>
      </c>
      <c r="L468" s="42">
        <f t="shared" si="115"/>
        <v>145.99352238732166</v>
      </c>
      <c r="M468" s="42">
        <f t="shared" si="116"/>
        <v>111.06572149465337</v>
      </c>
      <c r="N468" s="41">
        <f t="shared" si="124"/>
        <v>5.8397377616062451E-2</v>
      </c>
      <c r="O468" s="41">
        <f t="shared" si="125"/>
        <v>0.39124078216258007</v>
      </c>
      <c r="P468" s="39">
        <f t="shared" si="126"/>
        <v>250.60839427315366</v>
      </c>
      <c r="Q468" s="42">
        <f t="shared" si="127"/>
        <v>1.5451916124367286</v>
      </c>
      <c r="R468" s="42">
        <f t="shared" si="128"/>
        <v>1.6258412592468956</v>
      </c>
      <c r="S468" s="41">
        <f t="shared" si="129"/>
        <v>-4.9604871540487649E-2</v>
      </c>
      <c r="T468" s="41">
        <f t="shared" si="113"/>
        <v>0.26965208901423693</v>
      </c>
      <c r="U468" s="41">
        <f t="shared" si="130"/>
        <v>-8.7504844557606543E-4</v>
      </c>
      <c r="V468" s="41">
        <f t="shared" si="131"/>
        <v>-1.0582093569674322E-3</v>
      </c>
      <c r="W468" s="39">
        <f t="shared" si="117"/>
        <v>277.81</v>
      </c>
      <c r="X468" s="21"/>
    </row>
    <row r="469" spans="1:24" x14ac:dyDescent="0.2">
      <c r="A469" s="38">
        <v>45617</v>
      </c>
      <c r="B469" s="39">
        <v>281.18</v>
      </c>
      <c r="C469" s="39">
        <v>593.66999999999996</v>
      </c>
      <c r="D469" s="39">
        <v>46.784999999999997</v>
      </c>
      <c r="E469" s="41">
        <f t="shared" si="118"/>
        <v>1.2130592851229194E-2</v>
      </c>
      <c r="F469" s="41">
        <f t="shared" si="119"/>
        <v>5.3683319220998449E-3</v>
      </c>
      <c r="G469" s="41">
        <f t="shared" si="120"/>
        <v>1.2224145391605212E-2</v>
      </c>
      <c r="H469" s="41">
        <f t="shared" si="121"/>
        <v>0.56393570276433302</v>
      </c>
      <c r="I469" s="41">
        <f t="shared" si="122"/>
        <v>0.46777264073973046</v>
      </c>
      <c r="J469" s="41">
        <f t="shared" si="123"/>
        <v>0.12423405022227563</v>
      </c>
      <c r="K469" s="42">
        <f t="shared" si="114"/>
        <v>156.39357027643365</v>
      </c>
      <c r="L469" s="42">
        <f t="shared" si="115"/>
        <v>146.77726407397333</v>
      </c>
      <c r="M469" s="42">
        <f t="shared" si="116"/>
        <v>112.42340502222754</v>
      </c>
      <c r="N469" s="41">
        <f t="shared" si="124"/>
        <v>6.5516320004533002E-2</v>
      </c>
      <c r="O469" s="41">
        <f t="shared" si="125"/>
        <v>0.39111219986187273</v>
      </c>
      <c r="P469" s="39">
        <f t="shared" si="126"/>
        <v>250.91258935501284</v>
      </c>
      <c r="Q469" s="42">
        <f t="shared" si="127"/>
        <v>1.563935702764333</v>
      </c>
      <c r="R469" s="42">
        <f t="shared" si="128"/>
        <v>1.6258412592468956</v>
      </c>
      <c r="S469" s="41">
        <f t="shared" si="129"/>
        <v>-3.8076015189353551E-2</v>
      </c>
      <c r="T469" s="41">
        <f t="shared" si="113"/>
        <v>0.26644737461848722</v>
      </c>
      <c r="U469" s="41">
        <f t="shared" si="130"/>
        <v>0</v>
      </c>
      <c r="V469" s="41">
        <f t="shared" si="131"/>
        <v>6.762260929129349E-3</v>
      </c>
      <c r="W469" s="39">
        <f t="shared" si="117"/>
        <v>281.18</v>
      </c>
      <c r="X469" s="21"/>
    </row>
    <row r="470" spans="1:24" x14ac:dyDescent="0.2">
      <c r="A470" s="38">
        <v>45618</v>
      </c>
      <c r="B470" s="39">
        <v>284.61</v>
      </c>
      <c r="C470" s="39">
        <v>595.51</v>
      </c>
      <c r="D470" s="39">
        <v>47.045000000000002</v>
      </c>
      <c r="E470" s="41">
        <f t="shared" si="118"/>
        <v>1.219859164947712E-2</v>
      </c>
      <c r="F470" s="41">
        <f t="shared" si="119"/>
        <v>3.0993649670691958E-3</v>
      </c>
      <c r="G470" s="41">
        <f t="shared" si="120"/>
        <v>5.5573367532328888E-3</v>
      </c>
      <c r="H470" s="41">
        <f t="shared" si="121"/>
        <v>0.58301351576839311</v>
      </c>
      <c r="I470" s="41">
        <f t="shared" si="122"/>
        <v>0.47232180384206179</v>
      </c>
      <c r="J470" s="41">
        <f t="shared" si="123"/>
        <v>0.13048179742881172</v>
      </c>
      <c r="K470" s="42">
        <f t="shared" si="114"/>
        <v>158.30135157683966</v>
      </c>
      <c r="L470" s="42">
        <f t="shared" si="115"/>
        <v>147.23218038420649</v>
      </c>
      <c r="M470" s="42">
        <f t="shared" si="116"/>
        <v>113.04817974288117</v>
      </c>
      <c r="N470" s="41">
        <f t="shared" si="124"/>
        <v>7.518173787651472E-2</v>
      </c>
      <c r="O470" s="41">
        <f t="shared" si="125"/>
        <v>0.4002998715846886</v>
      </c>
      <c r="P470" s="39">
        <f t="shared" si="126"/>
        <v>251.24788697337092</v>
      </c>
      <c r="Q470" s="42">
        <f t="shared" si="127"/>
        <v>1.5830135157683931</v>
      </c>
      <c r="R470" s="42">
        <f t="shared" si="128"/>
        <v>1.6258412592468956</v>
      </c>
      <c r="S470" s="41">
        <f t="shared" si="129"/>
        <v>-2.6341897300810713E-2</v>
      </c>
      <c r="T470" s="41">
        <f t="shared" si="113"/>
        <v>0.26378333095858769</v>
      </c>
      <c r="U470" s="41">
        <f t="shared" si="130"/>
        <v>0</v>
      </c>
      <c r="V470" s="41">
        <f t="shared" si="131"/>
        <v>9.0992266824079238E-3</v>
      </c>
      <c r="W470" s="39">
        <f t="shared" si="117"/>
        <v>284.61</v>
      </c>
      <c r="X470" s="21"/>
    </row>
    <row r="471" spans="1:24" x14ac:dyDescent="0.2">
      <c r="A471" s="38">
        <v>45621</v>
      </c>
      <c r="B471" s="39">
        <v>290.37</v>
      </c>
      <c r="C471" s="39">
        <v>597.53</v>
      </c>
      <c r="D471" s="39">
        <v>47.53</v>
      </c>
      <c r="E471" s="41">
        <f t="shared" si="118"/>
        <v>2.0238220723094669E-2</v>
      </c>
      <c r="F471" s="41">
        <f t="shared" si="119"/>
        <v>3.3920505113262944E-3</v>
      </c>
      <c r="G471" s="41">
        <f t="shared" si="120"/>
        <v>1.0309278350515427E-2</v>
      </c>
      <c r="H471" s="41">
        <f t="shared" si="121"/>
        <v>0.61505089270815594</v>
      </c>
      <c r="I471" s="41">
        <f t="shared" si="122"/>
        <v>0.47731599376962119</v>
      </c>
      <c r="J471" s="41">
        <f t="shared" si="123"/>
        <v>0.14213624894869636</v>
      </c>
      <c r="K471" s="42">
        <f t="shared" si="114"/>
        <v>161.50508927081597</v>
      </c>
      <c r="L471" s="42">
        <f t="shared" si="115"/>
        <v>147.73159937696244</v>
      </c>
      <c r="M471" s="42">
        <f t="shared" si="116"/>
        <v>114.21362489486964</v>
      </c>
      <c r="N471" s="41">
        <f t="shared" si="124"/>
        <v>9.323320096676202E-2</v>
      </c>
      <c r="O471" s="41">
        <f t="shared" si="125"/>
        <v>0.41406149589837815</v>
      </c>
      <c r="P471" s="39">
        <f t="shared" si="126"/>
        <v>251.6371617298548</v>
      </c>
      <c r="Q471" s="42">
        <f t="shared" si="127"/>
        <v>1.6150508927081559</v>
      </c>
      <c r="R471" s="42">
        <f t="shared" si="128"/>
        <v>1.6258412592468956</v>
      </c>
      <c r="S471" s="41">
        <f t="shared" si="129"/>
        <v>-6.6367897095549466E-3</v>
      </c>
      <c r="T471" s="41">
        <f t="shared" si="113"/>
        <v>0.26476269789100138</v>
      </c>
      <c r="U471" s="41">
        <f t="shared" si="130"/>
        <v>0</v>
      </c>
      <c r="V471" s="41">
        <f t="shared" si="131"/>
        <v>1.6846170211768374E-2</v>
      </c>
      <c r="W471" s="39">
        <f t="shared" si="117"/>
        <v>290.37</v>
      </c>
      <c r="X471" s="21"/>
    </row>
    <row r="472" spans="1:24" x14ac:dyDescent="0.2">
      <c r="A472" s="38">
        <v>45622</v>
      </c>
      <c r="B472" s="39">
        <v>288.39999999999998</v>
      </c>
      <c r="C472" s="39">
        <v>600.65</v>
      </c>
      <c r="D472" s="39">
        <v>47.174999999999997</v>
      </c>
      <c r="E472" s="41">
        <f t="shared" si="118"/>
        <v>-6.784447429142193E-3</v>
      </c>
      <c r="F472" s="41">
        <f t="shared" si="119"/>
        <v>5.2214951550548783E-3</v>
      </c>
      <c r="G472" s="41">
        <f t="shared" si="120"/>
        <v>-7.4689669682306281E-3</v>
      </c>
      <c r="H472" s="41">
        <f t="shared" si="121"/>
        <v>0.60409366483118832</v>
      </c>
      <c r="I472" s="41">
        <f t="shared" si="122"/>
        <v>0.48502979207357444</v>
      </c>
      <c r="J472" s="41">
        <f t="shared" si="123"/>
        <v>0.13360567103207965</v>
      </c>
      <c r="K472" s="42">
        <f t="shared" si="114"/>
        <v>160.40936648311919</v>
      </c>
      <c r="L472" s="42">
        <f t="shared" si="115"/>
        <v>148.50297920735775</v>
      </c>
      <c r="M472" s="42">
        <f t="shared" si="116"/>
        <v>113.36056710320797</v>
      </c>
      <c r="N472" s="41">
        <f t="shared" si="124"/>
        <v>8.0176083599887038E-2</v>
      </c>
      <c r="O472" s="41">
        <f t="shared" si="125"/>
        <v>0.41503673263274843</v>
      </c>
      <c r="P472" s="39">
        <f t="shared" si="126"/>
        <v>252.00296111562739</v>
      </c>
      <c r="Q472" s="42">
        <f t="shared" si="127"/>
        <v>1.6040936648311883</v>
      </c>
      <c r="R472" s="42">
        <f t="shared" si="128"/>
        <v>1.6258412592468956</v>
      </c>
      <c r="S472" s="41">
        <f t="shared" si="129"/>
        <v>-1.337621018781443E-2</v>
      </c>
      <c r="T472" s="41">
        <f t="shared" si="113"/>
        <v>0.25900541992957826</v>
      </c>
      <c r="U472" s="41">
        <f t="shared" si="130"/>
        <v>-6.9400972919334558E-3</v>
      </c>
      <c r="V472" s="41">
        <f t="shared" si="131"/>
        <v>-1.2005942584197071E-2</v>
      </c>
      <c r="W472" s="39">
        <f t="shared" si="117"/>
        <v>288.39999999999998</v>
      </c>
      <c r="X472" s="21"/>
    </row>
    <row r="473" spans="1:24" x14ac:dyDescent="0.2">
      <c r="A473" s="38">
        <v>45623</v>
      </c>
      <c r="B473" s="39">
        <v>286.39</v>
      </c>
      <c r="C473" s="39">
        <v>598.83000000000004</v>
      </c>
      <c r="D473" s="39">
        <v>47.15</v>
      </c>
      <c r="E473" s="41">
        <f t="shared" si="118"/>
        <v>-6.9694868238556751E-3</v>
      </c>
      <c r="F473" s="41">
        <f t="shared" si="119"/>
        <v>-3.0300507783234121E-3</v>
      </c>
      <c r="G473" s="41">
        <f t="shared" si="120"/>
        <v>-5.2994170641229577E-4</v>
      </c>
      <c r="H473" s="41">
        <f t="shared" si="121"/>
        <v>0.59291395516991696</v>
      </c>
      <c r="I473" s="41">
        <f t="shared" si="122"/>
        <v>0.48053007639626855</v>
      </c>
      <c r="J473" s="41">
        <f t="shared" si="123"/>
        <v>0.13300492610837433</v>
      </c>
      <c r="K473" s="42">
        <f t="shared" si="114"/>
        <v>159.29139551699205</v>
      </c>
      <c r="L473" s="42">
        <f t="shared" si="115"/>
        <v>148.05300763962717</v>
      </c>
      <c r="M473" s="42">
        <f t="shared" si="116"/>
        <v>113.30049261083744</v>
      </c>
      <c r="N473" s="41">
        <f t="shared" si="124"/>
        <v>7.5907866084828246E-2</v>
      </c>
      <c r="O473" s="41">
        <f t="shared" si="125"/>
        <v>0.40591970825866586</v>
      </c>
      <c r="P473" s="39">
        <f t="shared" si="126"/>
        <v>252.3451207065167</v>
      </c>
      <c r="Q473" s="42">
        <f t="shared" si="127"/>
        <v>1.592913955169917</v>
      </c>
      <c r="R473" s="42">
        <f t="shared" si="128"/>
        <v>1.6258412592468956</v>
      </c>
      <c r="S473" s="41">
        <f t="shared" si="129"/>
        <v>-2.0252471691012963E-2</v>
      </c>
      <c r="T473" s="41">
        <f t="shared" si="113"/>
        <v>0.25627414730951065</v>
      </c>
      <c r="U473" s="41">
        <f t="shared" si="130"/>
        <v>-7.1251366866469379E-3</v>
      </c>
      <c r="V473" s="41">
        <f t="shared" si="131"/>
        <v>-3.939436045532263E-3</v>
      </c>
      <c r="W473" s="39">
        <f t="shared" si="117"/>
        <v>286.39</v>
      </c>
      <c r="X473" s="21"/>
    </row>
    <row r="474" spans="1:24" x14ac:dyDescent="0.2">
      <c r="A474" s="38">
        <v>45625</v>
      </c>
      <c r="B474" s="39">
        <v>288.13</v>
      </c>
      <c r="C474" s="39">
        <v>602.54999999999995</v>
      </c>
      <c r="D474" s="39">
        <v>47.39</v>
      </c>
      <c r="E474" s="41">
        <f t="shared" si="118"/>
        <v>6.0756311323719725E-3</v>
      </c>
      <c r="F474" s="41">
        <f t="shared" si="119"/>
        <v>6.2121136215618211E-3</v>
      </c>
      <c r="G474" s="41">
        <f t="shared" si="120"/>
        <v>5.0901378579004675E-3</v>
      </c>
      <c r="H474" s="41">
        <f t="shared" si="121"/>
        <v>0.60259191278713709</v>
      </c>
      <c r="I474" s="41">
        <f t="shared" si="122"/>
        <v>0.48972729745098187</v>
      </c>
      <c r="J474" s="41">
        <f t="shared" si="123"/>
        <v>0.13877207737594621</v>
      </c>
      <c r="K474" s="42">
        <f t="shared" si="114"/>
        <v>160.25919127871407</v>
      </c>
      <c r="L474" s="42">
        <f t="shared" si="115"/>
        <v>148.97272974509849</v>
      </c>
      <c r="M474" s="42">
        <f t="shared" si="116"/>
        <v>113.87720773759462</v>
      </c>
      <c r="N474" s="41">
        <f t="shared" si="124"/>
        <v>7.5761930072217654E-2</v>
      </c>
      <c r="O474" s="41">
        <f t="shared" si="125"/>
        <v>0.40729821588176218</v>
      </c>
      <c r="P474" s="39">
        <f t="shared" si="126"/>
        <v>252.70118915719812</v>
      </c>
      <c r="Q474" s="42">
        <f t="shared" si="127"/>
        <v>1.6025919127871371</v>
      </c>
      <c r="R474" s="42">
        <f t="shared" si="128"/>
        <v>1.6258412592468956</v>
      </c>
      <c r="S474" s="41">
        <f t="shared" si="129"/>
        <v>-1.4299887106154374E-2</v>
      </c>
      <c r="T474" s="41">
        <f t="shared" si="113"/>
        <v>0.25445580120870726</v>
      </c>
      <c r="U474" s="41">
        <f t="shared" si="130"/>
        <v>0</v>
      </c>
      <c r="V474" s="41">
        <f t="shared" si="131"/>
        <v>-1.3648248918984862E-4</v>
      </c>
      <c r="W474" s="39">
        <f t="shared" si="117"/>
        <v>288.13</v>
      </c>
      <c r="X474" s="21"/>
    </row>
    <row r="475" spans="1:24" x14ac:dyDescent="0.2">
      <c r="A475" s="38">
        <v>45628</v>
      </c>
      <c r="B475" s="39">
        <v>287.05</v>
      </c>
      <c r="C475" s="39">
        <v>603.63</v>
      </c>
      <c r="D475" s="39">
        <v>47.36</v>
      </c>
      <c r="E475" s="41">
        <f t="shared" si="118"/>
        <v>-3.7483080553916137E-3</v>
      </c>
      <c r="F475" s="41">
        <f t="shared" si="119"/>
        <v>1.7923823749066425E-3</v>
      </c>
      <c r="G475" s="41">
        <f t="shared" si="120"/>
        <v>-6.3304494619120799E-4</v>
      </c>
      <c r="H475" s="41">
        <f t="shared" si="121"/>
        <v>0.5965849046109315</v>
      </c>
      <c r="I475" s="41">
        <f t="shared" si="122"/>
        <v>0.49239745840235027</v>
      </c>
      <c r="J475" s="41">
        <f t="shared" si="123"/>
        <v>0.13805118346749978</v>
      </c>
      <c r="K475" s="42">
        <f t="shared" si="114"/>
        <v>159.65849046109349</v>
      </c>
      <c r="L475" s="42">
        <f t="shared" si="115"/>
        <v>149.23974584023537</v>
      </c>
      <c r="M475" s="42">
        <f t="shared" si="116"/>
        <v>113.80511834674995</v>
      </c>
      <c r="N475" s="41">
        <f t="shared" si="124"/>
        <v>6.9812130556773155E-2</v>
      </c>
      <c r="O475" s="41">
        <f t="shared" si="125"/>
        <v>0.40291133457313988</v>
      </c>
      <c r="P475" s="39">
        <f t="shared" si="126"/>
        <v>253.04296836956433</v>
      </c>
      <c r="Q475" s="42">
        <f t="shared" si="127"/>
        <v>1.5965849046109315</v>
      </c>
      <c r="R475" s="42">
        <f t="shared" si="128"/>
        <v>1.6258412592468956</v>
      </c>
      <c r="S475" s="41">
        <f t="shared" si="129"/>
        <v>-1.7994594779514927E-2</v>
      </c>
      <c r="T475" s="41">
        <f t="shared" si="113"/>
        <v>0.25475016313467086</v>
      </c>
      <c r="U475" s="41">
        <f t="shared" si="130"/>
        <v>-3.9039579181828765E-3</v>
      </c>
      <c r="V475" s="41">
        <f t="shared" si="131"/>
        <v>-5.5406904302982563E-3</v>
      </c>
      <c r="W475" s="39">
        <f t="shared" si="117"/>
        <v>287.05</v>
      </c>
      <c r="X475" s="21"/>
    </row>
    <row r="476" spans="1:24" x14ac:dyDescent="0.2">
      <c r="A476" s="38">
        <v>45629</v>
      </c>
      <c r="B476" s="39">
        <v>286.5</v>
      </c>
      <c r="C476" s="39">
        <v>603.91</v>
      </c>
      <c r="D476" s="39">
        <v>47.21</v>
      </c>
      <c r="E476" s="41">
        <f t="shared" si="118"/>
        <v>-1.916042501306392E-3</v>
      </c>
      <c r="F476" s="41">
        <f t="shared" si="119"/>
        <v>4.6386031178036191E-4</v>
      </c>
      <c r="G476" s="41">
        <f t="shared" si="120"/>
        <v>-3.1672297297297147E-3</v>
      </c>
      <c r="H476" s="41">
        <f t="shared" si="121"/>
        <v>0.59352578007675283</v>
      </c>
      <c r="I476" s="41">
        <f t="shared" si="122"/>
        <v>0.4930897223527051</v>
      </c>
      <c r="J476" s="41">
        <f t="shared" si="123"/>
        <v>0.13444671392526741</v>
      </c>
      <c r="K476" s="42">
        <f t="shared" si="114"/>
        <v>159.35257800767565</v>
      </c>
      <c r="L476" s="42">
        <f t="shared" si="115"/>
        <v>149.30897223527083</v>
      </c>
      <c r="M476" s="42">
        <f t="shared" si="116"/>
        <v>113.44467139252671</v>
      </c>
      <c r="N476" s="41">
        <f t="shared" si="124"/>
        <v>6.7267262121252669E-2</v>
      </c>
      <c r="O476" s="41">
        <f t="shared" si="125"/>
        <v>0.40467221643495166</v>
      </c>
      <c r="P476" s="39">
        <f t="shared" si="126"/>
        <v>253.37587415693184</v>
      </c>
      <c r="Q476" s="42">
        <f t="shared" si="127"/>
        <v>1.5935257800767528</v>
      </c>
      <c r="R476" s="42">
        <f t="shared" si="128"/>
        <v>1.6258412592468956</v>
      </c>
      <c r="S476" s="41">
        <f t="shared" si="129"/>
        <v>-1.9876158872429883E-2</v>
      </c>
      <c r="T476" s="41">
        <f t="shared" ref="T476:T539" si="132">IFERROR(_xlfn.STDEV.S(E417:E476)*SQRT($D$7),"")</f>
        <v>0.25485862720373537</v>
      </c>
      <c r="U476" s="41">
        <f t="shared" si="130"/>
        <v>-2.0716923640976548E-3</v>
      </c>
      <c r="V476" s="41">
        <f t="shared" si="131"/>
        <v>-2.3799028130867539E-3</v>
      </c>
      <c r="W476" s="39">
        <f t="shared" si="117"/>
        <v>286.5</v>
      </c>
      <c r="X476" s="21"/>
    </row>
    <row r="477" spans="1:24" x14ac:dyDescent="0.2">
      <c r="A477" s="38">
        <v>45630</v>
      </c>
      <c r="B477" s="39">
        <v>285.64999999999998</v>
      </c>
      <c r="C477" s="39">
        <v>607.66</v>
      </c>
      <c r="D477" s="39">
        <v>46.75</v>
      </c>
      <c r="E477" s="41">
        <f t="shared" si="118"/>
        <v>-2.966841186736513E-3</v>
      </c>
      <c r="F477" s="41">
        <f t="shared" si="119"/>
        <v>6.2095345332913165E-3</v>
      </c>
      <c r="G477" s="41">
        <f t="shared" si="120"/>
        <v>-9.743698368989584E-3</v>
      </c>
      <c r="H477" s="41">
        <f t="shared" si="121"/>
        <v>0.58879804216029474</v>
      </c>
      <c r="I477" s="41">
        <f t="shared" si="122"/>
        <v>0.50236111454495647</v>
      </c>
      <c r="J477" s="41">
        <f t="shared" si="123"/>
        <v>0.12339300732908809</v>
      </c>
      <c r="K477" s="42">
        <f t="shared" si="114"/>
        <v>158.87980421602981</v>
      </c>
      <c r="L477" s="42">
        <f t="shared" si="115"/>
        <v>150.23611145449598</v>
      </c>
      <c r="M477" s="42">
        <f t="shared" si="116"/>
        <v>112.33930073290881</v>
      </c>
      <c r="N477" s="41">
        <f t="shared" si="124"/>
        <v>5.7534055413513974E-2</v>
      </c>
      <c r="O477" s="41">
        <f t="shared" si="125"/>
        <v>0.41428514490910517</v>
      </c>
      <c r="P477" s="39">
        <f t="shared" si="126"/>
        <v>253.69700973745989</v>
      </c>
      <c r="Q477" s="42">
        <f t="shared" si="127"/>
        <v>1.5887980421602947</v>
      </c>
      <c r="R477" s="42">
        <f t="shared" si="128"/>
        <v>1.6258412592468956</v>
      </c>
      <c r="S477" s="41">
        <f t="shared" si="129"/>
        <v>-2.2784030652389542E-2</v>
      </c>
      <c r="T477" s="41">
        <f t="shared" si="132"/>
        <v>0.25520628651610133</v>
      </c>
      <c r="U477" s="41">
        <f t="shared" si="130"/>
        <v>-3.1224910495277758E-3</v>
      </c>
      <c r="V477" s="41">
        <f t="shared" si="131"/>
        <v>-9.1763757200278295E-3</v>
      </c>
      <c r="W477" s="39">
        <f t="shared" si="117"/>
        <v>285.64999999999998</v>
      </c>
      <c r="X477" s="21"/>
    </row>
    <row r="478" spans="1:24" x14ac:dyDescent="0.2">
      <c r="A478" s="38">
        <v>45631</v>
      </c>
      <c r="B478" s="39">
        <v>287.63</v>
      </c>
      <c r="C478" s="39">
        <v>606.66</v>
      </c>
      <c r="D478" s="39">
        <v>46.134999999999998</v>
      </c>
      <c r="E478" s="41">
        <f t="shared" si="118"/>
        <v>6.9315596009102975E-3</v>
      </c>
      <c r="F478" s="41">
        <f t="shared" si="119"/>
        <v>-1.6456571108843798E-3</v>
      </c>
      <c r="G478" s="41">
        <f t="shared" si="120"/>
        <v>-1.3155080213903769E-2</v>
      </c>
      <c r="H478" s="41">
        <f t="shared" si="121"/>
        <v>0.59981089048333835</v>
      </c>
      <c r="I478" s="41">
        <f t="shared" si="122"/>
        <v>0.49988874329368937</v>
      </c>
      <c r="J478" s="41">
        <f t="shared" si="123"/>
        <v>0.10861468220593529</v>
      </c>
      <c r="K478" s="42">
        <f t="shared" si="114"/>
        <v>159.98108904833416</v>
      </c>
      <c r="L478" s="42">
        <f t="shared" si="115"/>
        <v>149.98887432936928</v>
      </c>
      <c r="M478" s="42">
        <f t="shared" si="116"/>
        <v>110.86146822059352</v>
      </c>
      <c r="N478" s="41">
        <f t="shared" si="124"/>
        <v>6.6619706052479799E-2</v>
      </c>
      <c r="O478" s="41">
        <f t="shared" si="125"/>
        <v>0.44307207559258988</v>
      </c>
      <c r="P478" s="39">
        <f t="shared" si="126"/>
        <v>254.03465143161455</v>
      </c>
      <c r="Q478" s="42">
        <f t="shared" si="127"/>
        <v>1.5998108904833384</v>
      </c>
      <c r="R478" s="42">
        <f t="shared" si="128"/>
        <v>1.6258412592468956</v>
      </c>
      <c r="S478" s="41">
        <f t="shared" si="129"/>
        <v>-1.6010399917895324E-2</v>
      </c>
      <c r="T478" s="41">
        <f t="shared" si="132"/>
        <v>0.25519222455203877</v>
      </c>
      <c r="U478" s="41">
        <f t="shared" si="130"/>
        <v>0</v>
      </c>
      <c r="V478" s="41">
        <f t="shared" si="131"/>
        <v>8.5772167117946774E-3</v>
      </c>
      <c r="W478" s="39">
        <f t="shared" si="117"/>
        <v>287.63</v>
      </c>
      <c r="X478" s="21"/>
    </row>
    <row r="479" spans="1:24" x14ac:dyDescent="0.2">
      <c r="A479" s="38">
        <v>45632</v>
      </c>
      <c r="B479" s="39">
        <v>286.86</v>
      </c>
      <c r="C479" s="39">
        <v>607.80999999999995</v>
      </c>
      <c r="D479" s="39">
        <v>45.954999999999998</v>
      </c>
      <c r="E479" s="41">
        <f t="shared" si="118"/>
        <v>-2.6770503772206578E-3</v>
      </c>
      <c r="F479" s="41">
        <f t="shared" si="119"/>
        <v>1.8956252266508766E-3</v>
      </c>
      <c r="G479" s="41">
        <f t="shared" si="120"/>
        <v>-3.9015931505365087E-3</v>
      </c>
      <c r="H479" s="41">
        <f t="shared" si="121"/>
        <v>0.59552811613548817</v>
      </c>
      <c r="I479" s="41">
        <f t="shared" si="122"/>
        <v>0.50273197023264649</v>
      </c>
      <c r="J479" s="41">
        <f t="shared" si="123"/>
        <v>0.10428931875525649</v>
      </c>
      <c r="K479" s="42">
        <f t="shared" si="114"/>
        <v>159.55281161354915</v>
      </c>
      <c r="L479" s="42">
        <f t="shared" si="115"/>
        <v>150.27319702326497</v>
      </c>
      <c r="M479" s="42">
        <f t="shared" si="116"/>
        <v>110.42893187552565</v>
      </c>
      <c r="N479" s="41">
        <f t="shared" si="124"/>
        <v>6.1751628195196639E-2</v>
      </c>
      <c r="O479" s="41">
        <f t="shared" si="125"/>
        <v>0.44484610059794027</v>
      </c>
      <c r="P479" s="39">
        <f t="shared" si="126"/>
        <v>254.36127181537958</v>
      </c>
      <c r="Q479" s="42">
        <f t="shared" si="127"/>
        <v>1.5955281161354882</v>
      </c>
      <c r="R479" s="42">
        <f t="shared" si="128"/>
        <v>1.6258412592468956</v>
      </c>
      <c r="S479" s="41">
        <f t="shared" si="129"/>
        <v>-1.8644589647976328E-2</v>
      </c>
      <c r="T479" s="41">
        <f t="shared" si="132"/>
        <v>0.25454430547965262</v>
      </c>
      <c r="U479" s="41">
        <f t="shared" si="130"/>
        <v>-2.8327002400119206E-3</v>
      </c>
      <c r="V479" s="41">
        <f t="shared" si="131"/>
        <v>-4.5726756038715344E-3</v>
      </c>
      <c r="W479" s="39">
        <f t="shared" si="117"/>
        <v>286.86</v>
      </c>
      <c r="X479" s="21"/>
    </row>
    <row r="480" spans="1:24" x14ac:dyDescent="0.2">
      <c r="A480" s="38">
        <v>45635</v>
      </c>
      <c r="B480" s="39">
        <v>281.23</v>
      </c>
      <c r="C480" s="39">
        <v>604.67999999999995</v>
      </c>
      <c r="D480" s="39">
        <v>45.945</v>
      </c>
      <c r="E480" s="41">
        <f t="shared" si="118"/>
        <v>-1.9626298542843146E-2</v>
      </c>
      <c r="F480" s="41">
        <f t="shared" si="119"/>
        <v>-5.1496355769072855E-3</v>
      </c>
      <c r="G480" s="41">
        <f t="shared" si="120"/>
        <v>-2.1760417800020804E-4</v>
      </c>
      <c r="H480" s="41">
        <f t="shared" si="121"/>
        <v>0.56421380499471296</v>
      </c>
      <c r="I480" s="41">
        <f t="shared" si="122"/>
        <v>0.49499344821618041</v>
      </c>
      <c r="J480" s="41">
        <f t="shared" si="123"/>
        <v>0.10404902078577427</v>
      </c>
      <c r="K480" s="42">
        <f t="shared" si="114"/>
        <v>156.42138049947164</v>
      </c>
      <c r="L480" s="42">
        <f t="shared" si="115"/>
        <v>149.49934482161839</v>
      </c>
      <c r="M480" s="42">
        <f t="shared" si="116"/>
        <v>110.40490207857742</v>
      </c>
      <c r="N480" s="41">
        <f t="shared" si="124"/>
        <v>4.6301444906749145E-2</v>
      </c>
      <c r="O480" s="41">
        <f t="shared" si="125"/>
        <v>0.41679742071727044</v>
      </c>
      <c r="P480" s="39">
        <f t="shared" si="126"/>
        <v>254.62862234457978</v>
      </c>
      <c r="Q480" s="42">
        <f t="shared" si="127"/>
        <v>1.564213804994713</v>
      </c>
      <c r="R480" s="42">
        <f t="shared" si="128"/>
        <v>1.6258412592468956</v>
      </c>
      <c r="S480" s="41">
        <f t="shared" si="129"/>
        <v>-3.7904963908179434E-2</v>
      </c>
      <c r="T480" s="41">
        <f t="shared" si="132"/>
        <v>0.25883208982768435</v>
      </c>
      <c r="U480" s="41">
        <f t="shared" si="130"/>
        <v>-1.9781948405634409E-2</v>
      </c>
      <c r="V480" s="41">
        <f t="shared" si="131"/>
        <v>-1.447666296593586E-2</v>
      </c>
      <c r="W480" s="39">
        <f t="shared" si="117"/>
        <v>281.23</v>
      </c>
      <c r="X480" s="21"/>
    </row>
    <row r="481" spans="1:24" x14ac:dyDescent="0.2">
      <c r="A481" s="38">
        <v>45636</v>
      </c>
      <c r="B481" s="39">
        <v>276.31</v>
      </c>
      <c r="C481" s="39">
        <v>602.79999999999995</v>
      </c>
      <c r="D481" s="39">
        <v>45.475000000000001</v>
      </c>
      <c r="E481" s="41">
        <f t="shared" si="118"/>
        <v>-1.7494577392170196E-2</v>
      </c>
      <c r="F481" s="41">
        <f t="shared" si="119"/>
        <v>-3.1090824899120406E-3</v>
      </c>
      <c r="G481" s="41">
        <f t="shared" si="120"/>
        <v>-1.0229622374578251E-2</v>
      </c>
      <c r="H481" s="41">
        <f t="shared" si="121"/>
        <v>0.53684854552533201</v>
      </c>
      <c r="I481" s="41">
        <f t="shared" si="122"/>
        <v>0.4903453902637982</v>
      </c>
      <c r="J481" s="41">
        <f t="shared" si="123"/>
        <v>9.2755016220112951E-2</v>
      </c>
      <c r="K481" s="42">
        <f t="shared" si="114"/>
        <v>153.68485455253352</v>
      </c>
      <c r="L481" s="42">
        <f t="shared" si="115"/>
        <v>149.03453902638017</v>
      </c>
      <c r="M481" s="42">
        <f t="shared" si="116"/>
        <v>109.27550162201129</v>
      </c>
      <c r="N481" s="41">
        <f t="shared" si="124"/>
        <v>3.1202938302310246E-2</v>
      </c>
      <c r="O481" s="41">
        <f t="shared" si="125"/>
        <v>0.40639806975341819</v>
      </c>
      <c r="P481" s="39">
        <f t="shared" si="126"/>
        <v>254.84435744562876</v>
      </c>
      <c r="Q481" s="42">
        <f t="shared" si="127"/>
        <v>1.536848545525332</v>
      </c>
      <c r="R481" s="42">
        <f t="shared" si="128"/>
        <v>1.6258412592468956</v>
      </c>
      <c r="S481" s="41">
        <f t="shared" si="129"/>
        <v>-5.4736409975710609E-2</v>
      </c>
      <c r="T481" s="41">
        <f t="shared" si="132"/>
        <v>0.25882743961836346</v>
      </c>
      <c r="U481" s="41">
        <f t="shared" si="130"/>
        <v>-1.7650227254961459E-2</v>
      </c>
      <c r="V481" s="41">
        <f t="shared" si="131"/>
        <v>-1.4385494902258156E-2</v>
      </c>
      <c r="W481" s="39">
        <f t="shared" si="117"/>
        <v>276.31</v>
      </c>
      <c r="X481" s="21"/>
    </row>
    <row r="482" spans="1:24" x14ac:dyDescent="0.2">
      <c r="A482" s="38">
        <v>45637</v>
      </c>
      <c r="B482" s="39">
        <v>279.56</v>
      </c>
      <c r="C482" s="39">
        <v>607.46</v>
      </c>
      <c r="D482" s="39">
        <v>45.314999999999998</v>
      </c>
      <c r="E482" s="41">
        <f t="shared" si="118"/>
        <v>1.1762151206977656E-2</v>
      </c>
      <c r="F482" s="41">
        <f t="shared" si="119"/>
        <v>7.7305905773059624E-3</v>
      </c>
      <c r="G482" s="41">
        <f t="shared" si="120"/>
        <v>-3.518416712479433E-3</v>
      </c>
      <c r="H482" s="41">
        <f t="shared" si="121"/>
        <v>0.55492519050002476</v>
      </c>
      <c r="I482" s="41">
        <f t="shared" si="122"/>
        <v>0.50186664029470296</v>
      </c>
      <c r="J482" s="41">
        <f t="shared" si="123"/>
        <v>8.8910248708398365E-2</v>
      </c>
      <c r="K482" s="42">
        <f t="shared" si="114"/>
        <v>155.49251905000278</v>
      </c>
      <c r="L482" s="42">
        <f t="shared" si="115"/>
        <v>150.18666402947068</v>
      </c>
      <c r="M482" s="42">
        <f t="shared" si="116"/>
        <v>108.89102487083984</v>
      </c>
      <c r="N482" s="41">
        <f t="shared" si="124"/>
        <v>3.5328403189587076E-2</v>
      </c>
      <c r="O482" s="41">
        <f t="shared" si="125"/>
        <v>0.42796451070635633</v>
      </c>
      <c r="P482" s="39">
        <f t="shared" si="126"/>
        <v>255.09028423721458</v>
      </c>
      <c r="Q482" s="42">
        <f t="shared" si="127"/>
        <v>1.5549251905000248</v>
      </c>
      <c r="R482" s="42">
        <f t="shared" si="128"/>
        <v>1.6258412592468956</v>
      </c>
      <c r="S482" s="41">
        <f t="shared" si="129"/>
        <v>-4.3618076699394215E-2</v>
      </c>
      <c r="T482" s="41">
        <f t="shared" si="132"/>
        <v>0.25916572978451463</v>
      </c>
      <c r="U482" s="41">
        <f t="shared" si="130"/>
        <v>0</v>
      </c>
      <c r="V482" s="41">
        <f t="shared" si="131"/>
        <v>4.0315606296716933E-3</v>
      </c>
      <c r="W482" s="39">
        <f t="shared" si="117"/>
        <v>279.56</v>
      </c>
      <c r="X482" s="21"/>
    </row>
    <row r="483" spans="1:24" x14ac:dyDescent="0.2">
      <c r="A483" s="38">
        <v>45638</v>
      </c>
      <c r="B483" s="39">
        <v>278.11</v>
      </c>
      <c r="C483" s="39">
        <v>604.33000000000004</v>
      </c>
      <c r="D483" s="39">
        <v>45</v>
      </c>
      <c r="E483" s="41">
        <f t="shared" si="118"/>
        <v>-5.1867219917012264E-3</v>
      </c>
      <c r="F483" s="41">
        <f t="shared" si="119"/>
        <v>-5.1526026405031011E-3</v>
      </c>
      <c r="G483" s="41">
        <f t="shared" si="120"/>
        <v>-6.9513406156901381E-3</v>
      </c>
      <c r="H483" s="41">
        <f t="shared" si="121"/>
        <v>0.54686022581900806</v>
      </c>
      <c r="I483" s="41">
        <f t="shared" si="122"/>
        <v>0.49412811827823688</v>
      </c>
      <c r="J483" s="41">
        <f t="shared" si="123"/>
        <v>8.1340862669710523E-2</v>
      </c>
      <c r="K483" s="42">
        <f t="shared" si="114"/>
        <v>154.68602258190111</v>
      </c>
      <c r="L483" s="42">
        <f t="shared" si="115"/>
        <v>149.41281182782407</v>
      </c>
      <c r="M483" s="42">
        <f t="shared" si="116"/>
        <v>108.13408626697102</v>
      </c>
      <c r="N483" s="41">
        <f t="shared" si="124"/>
        <v>3.5292895499174026E-2</v>
      </c>
      <c r="O483" s="41">
        <f t="shared" si="125"/>
        <v>0.43050196216573378</v>
      </c>
      <c r="P483" s="39">
        <f t="shared" si="126"/>
        <v>255.31933613535173</v>
      </c>
      <c r="Q483" s="42">
        <f t="shared" si="127"/>
        <v>1.5468602258190081</v>
      </c>
      <c r="R483" s="42">
        <f t="shared" si="128"/>
        <v>1.6258412592468956</v>
      </c>
      <c r="S483" s="41">
        <f t="shared" si="129"/>
        <v>-4.8578563853443057E-2</v>
      </c>
      <c r="T483" s="41">
        <f t="shared" si="132"/>
        <v>0.25940158689256226</v>
      </c>
      <c r="U483" s="41">
        <f t="shared" si="130"/>
        <v>-5.3423718544924892E-3</v>
      </c>
      <c r="V483" s="41">
        <f t="shared" si="131"/>
        <v>-3.4119351198125258E-5</v>
      </c>
      <c r="W483" s="39">
        <f t="shared" si="117"/>
        <v>278.11</v>
      </c>
      <c r="X483" s="21"/>
    </row>
    <row r="484" spans="1:24" x14ac:dyDescent="0.2">
      <c r="A484" s="38">
        <v>45639</v>
      </c>
      <c r="B484" s="39">
        <v>275.77</v>
      </c>
      <c r="C484" s="39">
        <v>604.21</v>
      </c>
      <c r="D484" s="39">
        <v>44.615000000000002</v>
      </c>
      <c r="E484" s="41">
        <f t="shared" si="118"/>
        <v>-8.4139369314301105E-3</v>
      </c>
      <c r="F484" s="41">
        <f t="shared" si="119"/>
        <v>-1.9856700809162131E-4</v>
      </c>
      <c r="G484" s="41">
        <f t="shared" si="120"/>
        <v>-8.5555555555555385E-3</v>
      </c>
      <c r="H484" s="41">
        <f t="shared" si="121"/>
        <v>0.53384504143722911</v>
      </c>
      <c r="I484" s="41">
        <f t="shared" si="122"/>
        <v>0.49383143372808491</v>
      </c>
      <c r="J484" s="41">
        <f t="shared" si="123"/>
        <v>7.2089390844647383E-2</v>
      </c>
      <c r="K484" s="42">
        <f t="shared" ref="K484:K547" si="133">IFERROR(B484/$B$36*100,"")</f>
        <v>153.38450414372323</v>
      </c>
      <c r="L484" s="42">
        <f t="shared" ref="L484:L547" si="134">IFERROR(C484/$C$36*100,"")</f>
        <v>149.38314337280886</v>
      </c>
      <c r="M484" s="42">
        <f t="shared" ref="M484:M547" si="135">IFERROR(D484/$D$36*100,"")</f>
        <v>107.20893908446473</v>
      </c>
      <c r="N484" s="41">
        <f t="shared" si="124"/>
        <v>2.6785892173445625E-2</v>
      </c>
      <c r="O484" s="41">
        <f t="shared" si="125"/>
        <v>0.43070629607554167</v>
      </c>
      <c r="P484" s="39">
        <f t="shared" si="126"/>
        <v>255.52282532803483</v>
      </c>
      <c r="Q484" s="42">
        <f t="shared" si="127"/>
        <v>1.5338450414372291</v>
      </c>
      <c r="R484" s="42">
        <f t="shared" si="128"/>
        <v>1.6258412592468956</v>
      </c>
      <c r="S484" s="41">
        <f t="shared" si="129"/>
        <v>-5.658376381239083E-2</v>
      </c>
      <c r="T484" s="41">
        <f t="shared" si="132"/>
        <v>0.24939580285744314</v>
      </c>
      <c r="U484" s="41">
        <f t="shared" si="130"/>
        <v>-8.5695867942213733E-3</v>
      </c>
      <c r="V484" s="41">
        <f t="shared" si="131"/>
        <v>-8.2153699233384891E-3</v>
      </c>
      <c r="W484" s="39">
        <f t="shared" ref="W484:W547" si="136">B484</f>
        <v>275.77</v>
      </c>
      <c r="X484" s="21"/>
    </row>
    <row r="485" spans="1:24" x14ac:dyDescent="0.2">
      <c r="A485" s="38">
        <v>45642</v>
      </c>
      <c r="B485" s="39">
        <v>277</v>
      </c>
      <c r="C485" s="39">
        <v>606.79</v>
      </c>
      <c r="D485" s="39">
        <v>44.22</v>
      </c>
      <c r="E485" s="41">
        <f t="shared" ref="E485:E548" si="137">IFERROR(B485/B484-1,"")</f>
        <v>4.4602386046344034E-3</v>
      </c>
      <c r="F485" s="41">
        <f t="shared" ref="F485:F548" si="138">IFERROR(C485/C484-1,"")</f>
        <v>4.2700385627512105E-3</v>
      </c>
      <c r="G485" s="41">
        <f t="shared" ref="G485:G548" si="139">IFERROR(D485/D484-1,"")</f>
        <v>-8.8535245993500711E-3</v>
      </c>
      <c r="H485" s="41">
        <f t="shared" ref="H485:H548" si="140">IFERROR((1+E485)*(1+H484)-1,"")</f>
        <v>0.54068635630457451</v>
      </c>
      <c r="I485" s="41">
        <f t="shared" ref="I485:I548" si="141">IFERROR((1+F485)*(1+I484)-1,"")</f>
        <v>0.50021015155635373</v>
      </c>
      <c r="J485" s="41">
        <f t="shared" ref="J485:J548" si="142">IFERROR((1+G485)*(1+J484)-1,"")</f>
        <v>6.2597621050102026E-2</v>
      </c>
      <c r="K485" s="42">
        <f t="shared" si="133"/>
        <v>154.06863563045775</v>
      </c>
      <c r="L485" s="42">
        <f t="shared" si="134"/>
        <v>150.02101515563575</v>
      </c>
      <c r="M485" s="42">
        <f t="shared" si="135"/>
        <v>106.2597621050102</v>
      </c>
      <c r="N485" s="41">
        <f t="shared" ref="N485:N548" si="143">IFERROR((1+H485)/(1+I485)-1,"")</f>
        <v>2.6980356522871007E-2</v>
      </c>
      <c r="O485" s="41">
        <f t="shared" ref="O485:O548" si="144">IFERROR((1+H485)/(1+J485)-1,"")</f>
        <v>0.44992453002295063</v>
      </c>
      <c r="P485" s="39">
        <f t="shared" ref="P485:P548" si="145">IFERROR(B485*0.0099502487562189+P484*(1-0.0099502487562189),"")</f>
        <v>255.73652855860163</v>
      </c>
      <c r="Q485" s="42">
        <f t="shared" ref="Q485:Q548" si="146">Q484*(1+E485)</f>
        <v>1.5406863563045745</v>
      </c>
      <c r="R485" s="42">
        <f t="shared" ref="R485:R548" si="147">MAX(R484,Q485)</f>
        <v>1.6258412592468956</v>
      </c>
      <c r="S485" s="41">
        <f t="shared" ref="S485:S548" si="148">IFERROR(Q485/R485-1,"")</f>
        <v>-5.2375902295508037E-2</v>
      </c>
      <c r="T485" s="41">
        <f t="shared" si="132"/>
        <v>0.24891879796061697</v>
      </c>
      <c r="U485" s="41">
        <f t="shared" ref="U485:U548" si="149">IFERROR(MIN(E485-$D$6,0),"")</f>
        <v>0</v>
      </c>
      <c r="V485" s="41">
        <f t="shared" ref="V485:V548" si="150">IFERROR(E485-F485,"")</f>
        <v>1.9020004188319284E-4</v>
      </c>
      <c r="W485" s="39">
        <f t="shared" si="136"/>
        <v>277</v>
      </c>
      <c r="X485" s="21"/>
    </row>
    <row r="486" spans="1:24" x14ac:dyDescent="0.2">
      <c r="A486" s="38">
        <v>45643</v>
      </c>
      <c r="B486" s="39">
        <v>272.64999999999998</v>
      </c>
      <c r="C486" s="39">
        <v>604.29</v>
      </c>
      <c r="D486" s="39">
        <v>43.975000000000001</v>
      </c>
      <c r="E486" s="41">
        <f t="shared" si="137"/>
        <v>-1.5703971119133686E-2</v>
      </c>
      <c r="F486" s="41">
        <f t="shared" si="138"/>
        <v>-4.1200415300186588E-3</v>
      </c>
      <c r="G486" s="41">
        <f t="shared" si="139"/>
        <v>-5.540479421076383E-3</v>
      </c>
      <c r="H486" s="41">
        <f t="shared" si="140"/>
        <v>0.5164914622615242</v>
      </c>
      <c r="I486" s="41">
        <f t="shared" si="141"/>
        <v>0.494029223428186</v>
      </c>
      <c r="J486" s="41">
        <f t="shared" si="142"/>
        <v>5.671032079778926E-2</v>
      </c>
      <c r="K486" s="42">
        <f t="shared" si="133"/>
        <v>151.64914622615274</v>
      </c>
      <c r="L486" s="42">
        <f t="shared" si="134"/>
        <v>149.40292234281898</v>
      </c>
      <c r="M486" s="42">
        <f t="shared" si="135"/>
        <v>105.67103207977893</v>
      </c>
      <c r="N486" s="41">
        <f t="shared" si="143"/>
        <v>1.5034671665790089E-2</v>
      </c>
      <c r="O486" s="41">
        <f t="shared" si="144"/>
        <v>0.43510613307591428</v>
      </c>
      <c r="P486" s="39">
        <f t="shared" si="145"/>
        <v>255.90482180677475</v>
      </c>
      <c r="Q486" s="42">
        <f t="shared" si="146"/>
        <v>1.5164914622615242</v>
      </c>
      <c r="R486" s="42">
        <f t="shared" si="147"/>
        <v>1.6258412592468956</v>
      </c>
      <c r="S486" s="41">
        <f t="shared" si="148"/>
        <v>-6.7257363757654454E-2</v>
      </c>
      <c r="T486" s="41">
        <f t="shared" si="132"/>
        <v>0.25145906122628475</v>
      </c>
      <c r="U486" s="41">
        <f t="shared" si="149"/>
        <v>-1.5859620981924949E-2</v>
      </c>
      <c r="V486" s="41">
        <f t="shared" si="150"/>
        <v>-1.1583929589115027E-2</v>
      </c>
      <c r="W486" s="39">
        <f t="shared" si="136"/>
        <v>272.64999999999998</v>
      </c>
      <c r="X486" s="21"/>
    </row>
    <row r="487" spans="1:24" x14ac:dyDescent="0.2">
      <c r="A487" s="38">
        <v>45644</v>
      </c>
      <c r="B487" s="39">
        <v>264.89</v>
      </c>
      <c r="C487" s="39">
        <v>586.28</v>
      </c>
      <c r="D487" s="39">
        <v>42.725000000000001</v>
      </c>
      <c r="E487" s="41">
        <f t="shared" si="137"/>
        <v>-2.8461397395928789E-2</v>
      </c>
      <c r="F487" s="41">
        <f t="shared" si="138"/>
        <v>-2.9803571133065199E-2</v>
      </c>
      <c r="G487" s="41">
        <f t="shared" si="139"/>
        <v>-2.8425241614553731E-2</v>
      </c>
      <c r="H487" s="41">
        <f t="shared" si="140"/>
        <v>0.47332999610656579</v>
      </c>
      <c r="I487" s="41">
        <f t="shared" si="141"/>
        <v>0.44950181719286597</v>
      </c>
      <c r="J487" s="41">
        <f t="shared" si="142"/>
        <v>2.6673074612519443E-2</v>
      </c>
      <c r="K487" s="42">
        <f t="shared" si="133"/>
        <v>147.33299961065686</v>
      </c>
      <c r="L487" s="42">
        <f t="shared" si="134"/>
        <v>144.95018171928695</v>
      </c>
      <c r="M487" s="42">
        <f t="shared" si="135"/>
        <v>102.66730746125194</v>
      </c>
      <c r="N487" s="41">
        <f t="shared" si="143"/>
        <v>1.643887481275863E-2</v>
      </c>
      <c r="O487" s="41">
        <f t="shared" si="144"/>
        <v>0.4350527276296019</v>
      </c>
      <c r="P487" s="39">
        <f t="shared" si="145"/>
        <v>255.99422656491632</v>
      </c>
      <c r="Q487" s="42">
        <f t="shared" si="146"/>
        <v>1.4733299961065658</v>
      </c>
      <c r="R487" s="42">
        <f t="shared" si="147"/>
        <v>1.6258412592468956</v>
      </c>
      <c r="S487" s="41">
        <f t="shared" si="148"/>
        <v>-9.3804522595874129E-2</v>
      </c>
      <c r="T487" s="41">
        <f t="shared" si="132"/>
        <v>0.25784966193603842</v>
      </c>
      <c r="U487" s="41">
        <f t="shared" si="149"/>
        <v>-2.8617047258720052E-2</v>
      </c>
      <c r="V487" s="41">
        <f t="shared" si="150"/>
        <v>1.3421737371364095E-3</v>
      </c>
      <c r="W487" s="39">
        <f t="shared" si="136"/>
        <v>264.89</v>
      </c>
      <c r="X487" s="21"/>
    </row>
    <row r="488" spans="1:24" x14ac:dyDescent="0.2">
      <c r="A488" s="38">
        <v>45645</v>
      </c>
      <c r="B488" s="39">
        <v>260.92</v>
      </c>
      <c r="C488" s="39">
        <v>586.1</v>
      </c>
      <c r="D488" s="39">
        <v>42.265000000000001</v>
      </c>
      <c r="E488" s="41">
        <f t="shared" si="137"/>
        <v>-1.4987353240967893E-2</v>
      </c>
      <c r="F488" s="41">
        <f t="shared" si="138"/>
        <v>-3.0702053626241455E-4</v>
      </c>
      <c r="G488" s="41">
        <f t="shared" si="139"/>
        <v>-1.076653013458162E-2</v>
      </c>
      <c r="H488" s="41">
        <f t="shared" si="140"/>
        <v>0.4512486790144028</v>
      </c>
      <c r="I488" s="41">
        <f t="shared" si="141"/>
        <v>0.44905679036763813</v>
      </c>
      <c r="J488" s="41">
        <f t="shared" si="142"/>
        <v>1.5619368016340118E-2</v>
      </c>
      <c r="K488" s="42">
        <f t="shared" si="133"/>
        <v>145.12486790144058</v>
      </c>
      <c r="L488" s="42">
        <f t="shared" si="134"/>
        <v>144.90567903676416</v>
      </c>
      <c r="M488" s="42">
        <f t="shared" si="135"/>
        <v>101.561936801634</v>
      </c>
      <c r="N488" s="41">
        <f t="shared" si="143"/>
        <v>1.5126312932212116E-3</v>
      </c>
      <c r="O488" s="41">
        <f t="shared" si="144"/>
        <v>0.42892970015815401</v>
      </c>
      <c r="P488" s="39">
        <f t="shared" si="145"/>
        <v>256.04323923591221</v>
      </c>
      <c r="Q488" s="42">
        <f t="shared" si="146"/>
        <v>1.4512486790144028</v>
      </c>
      <c r="R488" s="42">
        <f t="shared" si="147"/>
        <v>1.6258412592468956</v>
      </c>
      <c r="S488" s="41">
        <f t="shared" si="148"/>
        <v>-0.1073859943210973</v>
      </c>
      <c r="T488" s="41">
        <f t="shared" si="132"/>
        <v>0.25992265327162956</v>
      </c>
      <c r="U488" s="41">
        <f t="shared" si="149"/>
        <v>-1.5143003103759156E-2</v>
      </c>
      <c r="V488" s="41">
        <f t="shared" si="150"/>
        <v>-1.4680332704705479E-2</v>
      </c>
      <c r="W488" s="39">
        <f t="shared" si="136"/>
        <v>260.92</v>
      </c>
      <c r="X488" s="21"/>
    </row>
    <row r="489" spans="1:24" x14ac:dyDescent="0.2">
      <c r="A489" s="38">
        <v>45646</v>
      </c>
      <c r="B489" s="39">
        <v>263.13</v>
      </c>
      <c r="C489" s="39">
        <v>591.15</v>
      </c>
      <c r="D489" s="39">
        <v>42.79</v>
      </c>
      <c r="E489" s="41">
        <f t="shared" si="137"/>
        <v>8.4700291277020057E-3</v>
      </c>
      <c r="F489" s="41">
        <f t="shared" si="138"/>
        <v>8.6162770858213555E-3</v>
      </c>
      <c r="G489" s="41">
        <f t="shared" si="139"/>
        <v>1.2421625458417074E-2</v>
      </c>
      <c r="H489" s="41">
        <f t="shared" si="140"/>
        <v>0.46354079759719391</v>
      </c>
      <c r="I489" s="41">
        <f t="shared" si="141"/>
        <v>0.46154226518653663</v>
      </c>
      <c r="J489" s="41">
        <f t="shared" si="142"/>
        <v>2.823501141415341E-2</v>
      </c>
      <c r="K489" s="42">
        <f t="shared" si="133"/>
        <v>146.35407975971967</v>
      </c>
      <c r="L489" s="42">
        <f t="shared" si="134"/>
        <v>146.15422651865401</v>
      </c>
      <c r="M489" s="42">
        <f t="shared" si="135"/>
        <v>102.82350114141533</v>
      </c>
      <c r="N489" s="41">
        <f t="shared" si="143"/>
        <v>1.3674133538670308E-3</v>
      </c>
      <c r="O489" s="41">
        <f t="shared" si="144"/>
        <v>0.42335242561363007</v>
      </c>
      <c r="P489" s="39">
        <f t="shared" si="145"/>
        <v>256.11375426839072</v>
      </c>
      <c r="Q489" s="42">
        <f t="shared" si="146"/>
        <v>1.4635407975971939</v>
      </c>
      <c r="R489" s="42">
        <f t="shared" si="147"/>
        <v>1.6258412592468956</v>
      </c>
      <c r="S489" s="41">
        <f t="shared" si="148"/>
        <v>-9.9825527693202187E-2</v>
      </c>
      <c r="T489" s="41">
        <f t="shared" si="132"/>
        <v>0.26032337020704827</v>
      </c>
      <c r="U489" s="41">
        <f t="shared" si="149"/>
        <v>0</v>
      </c>
      <c r="V489" s="41">
        <f t="shared" si="150"/>
        <v>-1.4624795811934987E-4</v>
      </c>
      <c r="W489" s="39">
        <f t="shared" si="136"/>
        <v>263.13</v>
      </c>
      <c r="X489" s="21"/>
    </row>
    <row r="490" spans="1:24" x14ac:dyDescent="0.2">
      <c r="A490" s="38">
        <v>45649</v>
      </c>
      <c r="B490" s="39">
        <v>262.87</v>
      </c>
      <c r="C490" s="39">
        <v>594.69000000000005</v>
      </c>
      <c r="D490" s="39">
        <v>42.534999999999997</v>
      </c>
      <c r="E490" s="41">
        <f t="shared" si="137"/>
        <v>-9.8810473910226904E-4</v>
      </c>
      <c r="F490" s="41">
        <f t="shared" si="138"/>
        <v>5.9883278355747915E-3</v>
      </c>
      <c r="G490" s="41">
        <f t="shared" si="139"/>
        <v>-5.9593362935266292E-3</v>
      </c>
      <c r="H490" s="41">
        <f t="shared" si="140"/>
        <v>0.46209466599921867</v>
      </c>
      <c r="I490" s="41">
        <f t="shared" si="141"/>
        <v>0.4702944594160221</v>
      </c>
      <c r="J490" s="41">
        <f t="shared" si="142"/>
        <v>2.2107413192358205E-2</v>
      </c>
      <c r="K490" s="42">
        <f t="shared" si="133"/>
        <v>146.20946659992214</v>
      </c>
      <c r="L490" s="42">
        <f t="shared" si="134"/>
        <v>147.02944594160257</v>
      </c>
      <c r="M490" s="42">
        <f t="shared" si="135"/>
        <v>102.21074131923584</v>
      </c>
      <c r="N490" s="41">
        <f t="shared" si="143"/>
        <v>-5.5769736220458999E-3</v>
      </c>
      <c r="O490" s="41">
        <f t="shared" si="144"/>
        <v>0.43047066005777612</v>
      </c>
      <c r="P490" s="39">
        <f t="shared" si="145"/>
        <v>256.18098059407839</v>
      </c>
      <c r="Q490" s="42">
        <f t="shared" si="146"/>
        <v>1.4620946659992187</v>
      </c>
      <c r="R490" s="42">
        <f t="shared" si="147"/>
        <v>1.6258412592468956</v>
      </c>
      <c r="S490" s="41">
        <f t="shared" si="148"/>
        <v>-0.1007149943553074</v>
      </c>
      <c r="T490" s="41">
        <f t="shared" si="132"/>
        <v>0.26031054244670043</v>
      </c>
      <c r="U490" s="41">
        <f t="shared" si="149"/>
        <v>-1.1437546018935318E-3</v>
      </c>
      <c r="V490" s="41">
        <f t="shared" si="150"/>
        <v>-6.9764325746770606E-3</v>
      </c>
      <c r="W490" s="39">
        <f t="shared" si="136"/>
        <v>262.87</v>
      </c>
      <c r="X490" s="21"/>
    </row>
    <row r="491" spans="1:24" x14ac:dyDescent="0.2">
      <c r="A491" s="38">
        <v>45650</v>
      </c>
      <c r="B491" s="39">
        <v>264.31</v>
      </c>
      <c r="C491" s="39">
        <v>601.29999999999995</v>
      </c>
      <c r="D491" s="39">
        <v>42.765000000000001</v>
      </c>
      <c r="E491" s="41">
        <f t="shared" si="137"/>
        <v>5.4779929242592118E-3</v>
      </c>
      <c r="F491" s="41">
        <f t="shared" si="138"/>
        <v>1.1115034723973682E-2</v>
      </c>
      <c r="G491" s="41">
        <f t="shared" si="139"/>
        <v>5.4073116257200571E-3</v>
      </c>
      <c r="H491" s="41">
        <f t="shared" si="140"/>
        <v>0.4701040102341596</v>
      </c>
      <c r="I491" s="41">
        <f t="shared" si="141"/>
        <v>0.48663683338689734</v>
      </c>
      <c r="J491" s="41">
        <f t="shared" si="142"/>
        <v>2.7634266490447867E-2</v>
      </c>
      <c r="K491" s="42">
        <f t="shared" si="133"/>
        <v>147.01040102341622</v>
      </c>
      <c r="L491" s="42">
        <f t="shared" si="134"/>
        <v>148.66368333869011</v>
      </c>
      <c r="M491" s="42">
        <f t="shared" si="135"/>
        <v>102.7634266490448</v>
      </c>
      <c r="N491" s="41">
        <f t="shared" si="143"/>
        <v>-1.1120956229149881E-2</v>
      </c>
      <c r="O491" s="41">
        <f t="shared" si="144"/>
        <v>0.4305712238020476</v>
      </c>
      <c r="P491" s="39">
        <f t="shared" si="145"/>
        <v>256.26186635931145</v>
      </c>
      <c r="Q491" s="42">
        <f t="shared" si="146"/>
        <v>1.4701040102341596</v>
      </c>
      <c r="R491" s="42">
        <f t="shared" si="147"/>
        <v>1.6258412592468956</v>
      </c>
      <c r="S491" s="41">
        <f t="shared" si="148"/>
        <v>-9.5788717457493289E-2</v>
      </c>
      <c r="T491" s="41">
        <f t="shared" si="132"/>
        <v>0.26047529092387989</v>
      </c>
      <c r="U491" s="41">
        <f t="shared" si="149"/>
        <v>0</v>
      </c>
      <c r="V491" s="41">
        <f t="shared" si="150"/>
        <v>-5.6370417997144706E-3</v>
      </c>
      <c r="W491" s="39">
        <f t="shared" si="136"/>
        <v>264.31</v>
      </c>
      <c r="X491" s="21"/>
    </row>
    <row r="492" spans="1:24" x14ac:dyDescent="0.2">
      <c r="A492" s="38">
        <v>45652</v>
      </c>
      <c r="B492" s="39">
        <v>264.55</v>
      </c>
      <c r="C492" s="39">
        <v>601.34</v>
      </c>
      <c r="D492" s="39">
        <v>42.7</v>
      </c>
      <c r="E492" s="41">
        <f t="shared" si="137"/>
        <v>9.0802466800354864E-4</v>
      </c>
      <c r="F492" s="41">
        <f t="shared" si="138"/>
        <v>6.6522534508672848E-5</v>
      </c>
      <c r="G492" s="41">
        <f t="shared" si="139"/>
        <v>-1.5199345258972707E-3</v>
      </c>
      <c r="H492" s="41">
        <f t="shared" si="140"/>
        <v>0.47143890093998309</v>
      </c>
      <c r="I492" s="41">
        <f t="shared" si="141"/>
        <v>0.48673572823694822</v>
      </c>
      <c r="J492" s="41">
        <f t="shared" si="142"/>
        <v>2.60723296888139E-2</v>
      </c>
      <c r="K492" s="42">
        <f t="shared" si="133"/>
        <v>147.14389009399858</v>
      </c>
      <c r="L492" s="42">
        <f t="shared" si="134"/>
        <v>148.6735728236952</v>
      </c>
      <c r="M492" s="42">
        <f t="shared" si="135"/>
        <v>102.60723296888142</v>
      </c>
      <c r="N492" s="41">
        <f t="shared" si="143"/>
        <v>-1.0288867756682585E-2</v>
      </c>
      <c r="O492" s="41">
        <f t="shared" si="144"/>
        <v>0.43404987968659037</v>
      </c>
      <c r="P492" s="39">
        <f t="shared" si="145"/>
        <v>256.34433535076107</v>
      </c>
      <c r="Q492" s="42">
        <f t="shared" si="146"/>
        <v>1.4714389009399831</v>
      </c>
      <c r="R492" s="42">
        <f t="shared" si="147"/>
        <v>1.6258412592468956</v>
      </c>
      <c r="S492" s="41">
        <f t="shared" si="148"/>
        <v>-9.496767130785766E-2</v>
      </c>
      <c r="T492" s="41">
        <f t="shared" si="132"/>
        <v>0.25911314223535764</v>
      </c>
      <c r="U492" s="41">
        <f t="shared" si="149"/>
        <v>0</v>
      </c>
      <c r="V492" s="41">
        <f t="shared" si="150"/>
        <v>8.4150213349487579E-4</v>
      </c>
      <c r="W492" s="39">
        <f t="shared" si="136"/>
        <v>264.55</v>
      </c>
      <c r="X492" s="21"/>
    </row>
    <row r="493" spans="1:24" x14ac:dyDescent="0.2">
      <c r="A493" s="38">
        <v>45653</v>
      </c>
      <c r="B493" s="39">
        <v>262.36</v>
      </c>
      <c r="C493" s="39">
        <v>595.01</v>
      </c>
      <c r="D493" s="39">
        <v>42.47</v>
      </c>
      <c r="E493" s="41">
        <f t="shared" si="137"/>
        <v>-8.2782082782082433E-3</v>
      </c>
      <c r="F493" s="41">
        <f t="shared" si="138"/>
        <v>-1.0526490837130531E-2</v>
      </c>
      <c r="G493" s="41">
        <f t="shared" si="139"/>
        <v>-5.3864168618268371E-3</v>
      </c>
      <c r="H493" s="41">
        <f t="shared" si="140"/>
        <v>0.45925802324934417</v>
      </c>
      <c r="I493" s="41">
        <f t="shared" si="141"/>
        <v>0.47108561821642736</v>
      </c>
      <c r="J493" s="41">
        <f t="shared" si="142"/>
        <v>2.0545476390724238E-2</v>
      </c>
      <c r="K493" s="42">
        <f t="shared" si="133"/>
        <v>145.92580232493466</v>
      </c>
      <c r="L493" s="42">
        <f t="shared" si="134"/>
        <v>147.10856182164315</v>
      </c>
      <c r="M493" s="42">
        <f t="shared" si="135"/>
        <v>102.05454763907244</v>
      </c>
      <c r="N493" s="41">
        <f t="shared" si="143"/>
        <v>-8.0400452703923708E-3</v>
      </c>
      <c r="O493" s="41">
        <f t="shared" si="144"/>
        <v>0.42988044825809912</v>
      </c>
      <c r="P493" s="39">
        <f t="shared" si="145"/>
        <v>256.40419271045499</v>
      </c>
      <c r="Q493" s="42">
        <f t="shared" si="146"/>
        <v>1.4592580232493442</v>
      </c>
      <c r="R493" s="42">
        <f t="shared" si="147"/>
        <v>1.6258412592468956</v>
      </c>
      <c r="S493" s="41">
        <f t="shared" si="148"/>
        <v>-0.10245971742328297</v>
      </c>
      <c r="T493" s="41">
        <f t="shared" si="132"/>
        <v>0.25247577996178372</v>
      </c>
      <c r="U493" s="41">
        <f t="shared" si="149"/>
        <v>-8.4338581409995061E-3</v>
      </c>
      <c r="V493" s="41">
        <f t="shared" si="150"/>
        <v>2.2482825589222877E-3</v>
      </c>
      <c r="W493" s="39">
        <f t="shared" si="136"/>
        <v>262.36</v>
      </c>
      <c r="X493" s="21"/>
    </row>
    <row r="494" spans="1:24" x14ac:dyDescent="0.2">
      <c r="A494" s="38">
        <v>45656</v>
      </c>
      <c r="B494" s="39">
        <v>258.16000000000003</v>
      </c>
      <c r="C494" s="39">
        <v>588.22</v>
      </c>
      <c r="D494" s="39">
        <v>41.9</v>
      </c>
      <c r="E494" s="41">
        <f t="shared" si="137"/>
        <v>-1.6008537886872953E-2</v>
      </c>
      <c r="F494" s="41">
        <f t="shared" si="138"/>
        <v>-1.141157291474082E-2</v>
      </c>
      <c r="G494" s="41">
        <f t="shared" si="139"/>
        <v>-1.3421238521309165E-2</v>
      </c>
      <c r="H494" s="41">
        <f t="shared" si="140"/>
        <v>0.43589743589743368</v>
      </c>
      <c r="I494" s="41">
        <f t="shared" si="141"/>
        <v>0.45429821742032406</v>
      </c>
      <c r="J494" s="41">
        <f t="shared" si="142"/>
        <v>6.8484921302411905E-3</v>
      </c>
      <c r="K494" s="42">
        <f t="shared" si="133"/>
        <v>143.58974358974362</v>
      </c>
      <c r="L494" s="42">
        <f t="shared" si="134"/>
        <v>145.42982174203277</v>
      </c>
      <c r="M494" s="42">
        <f t="shared" si="135"/>
        <v>100.68484921302414</v>
      </c>
      <c r="N494" s="41">
        <f t="shared" si="143"/>
        <v>-1.2652687944244456E-2</v>
      </c>
      <c r="O494" s="41">
        <f t="shared" si="144"/>
        <v>0.42613059176304824</v>
      </c>
      <c r="P494" s="39">
        <f t="shared" si="145"/>
        <v>256.42166342975395</v>
      </c>
      <c r="Q494" s="42">
        <f t="shared" si="146"/>
        <v>1.4358974358974337</v>
      </c>
      <c r="R494" s="42">
        <f t="shared" si="147"/>
        <v>1.6258412592468956</v>
      </c>
      <c r="S494" s="41">
        <f t="shared" si="148"/>
        <v>-0.11682802504190704</v>
      </c>
      <c r="T494" s="41">
        <f t="shared" si="132"/>
        <v>0.25501929487539382</v>
      </c>
      <c r="U494" s="41">
        <f t="shared" si="149"/>
        <v>-1.6164187749664216E-2</v>
      </c>
      <c r="V494" s="41">
        <f t="shared" si="150"/>
        <v>-4.5969649721321337E-3</v>
      </c>
      <c r="W494" s="39">
        <f t="shared" si="136"/>
        <v>258.16000000000003</v>
      </c>
      <c r="X494" s="21"/>
    </row>
    <row r="495" spans="1:24" x14ac:dyDescent="0.2">
      <c r="A495" s="38">
        <v>45657</v>
      </c>
      <c r="B495" s="39">
        <v>257.23</v>
      </c>
      <c r="C495" s="39">
        <v>586.08000000000004</v>
      </c>
      <c r="D495" s="39">
        <v>42.07</v>
      </c>
      <c r="E495" s="41">
        <f t="shared" si="137"/>
        <v>-3.6024171056708854E-3</v>
      </c>
      <c r="F495" s="41">
        <f t="shared" si="138"/>
        <v>-3.6380945904592732E-3</v>
      </c>
      <c r="G495" s="41">
        <f t="shared" si="139"/>
        <v>4.0572792362769672E-3</v>
      </c>
      <c r="H495" s="41">
        <f t="shared" si="140"/>
        <v>0.43072473441236769</v>
      </c>
      <c r="I495" s="41">
        <f t="shared" si="141"/>
        <v>0.44900734294261269</v>
      </c>
      <c r="J495" s="41">
        <f t="shared" si="142"/>
        <v>1.0933557611437994E-2</v>
      </c>
      <c r="K495" s="42">
        <f t="shared" si="133"/>
        <v>143.07247344123701</v>
      </c>
      <c r="L495" s="42">
        <f t="shared" si="134"/>
        <v>144.90073429426161</v>
      </c>
      <c r="M495" s="42">
        <f t="shared" si="135"/>
        <v>101.09335576114383</v>
      </c>
      <c r="N495" s="41">
        <f t="shared" si="143"/>
        <v>-1.2617333251822682E-2</v>
      </c>
      <c r="O495" s="41">
        <f t="shared" si="144"/>
        <v>0.41525100600358189</v>
      </c>
      <c r="P495" s="39">
        <f t="shared" si="145"/>
        <v>256.42970657970665</v>
      </c>
      <c r="Q495" s="42">
        <f t="shared" si="146"/>
        <v>1.4307247344123677</v>
      </c>
      <c r="R495" s="42">
        <f t="shared" si="147"/>
        <v>1.6258412592468956</v>
      </c>
      <c r="S495" s="41">
        <f t="shared" si="148"/>
        <v>-0.12000957887174524</v>
      </c>
      <c r="T495" s="41">
        <f t="shared" si="132"/>
        <v>0.25521404123615216</v>
      </c>
      <c r="U495" s="41">
        <f t="shared" si="149"/>
        <v>-3.7580669684621482E-3</v>
      </c>
      <c r="V495" s="41">
        <f t="shared" si="150"/>
        <v>3.5677484788387837E-5</v>
      </c>
      <c r="W495" s="39">
        <f t="shared" si="136"/>
        <v>257.23</v>
      </c>
      <c r="X495" s="21"/>
    </row>
    <row r="496" spans="1:24" x14ac:dyDescent="0.2">
      <c r="A496" s="38">
        <v>45659</v>
      </c>
      <c r="B496" s="39">
        <v>255.57</v>
      </c>
      <c r="C496" s="39">
        <v>584.64</v>
      </c>
      <c r="D496" s="39">
        <v>41.604999999999997</v>
      </c>
      <c r="E496" s="41">
        <f t="shared" si="137"/>
        <v>-6.4533685806477115E-3</v>
      </c>
      <c r="F496" s="41">
        <f t="shared" si="138"/>
        <v>-2.4570024570025328E-3</v>
      </c>
      <c r="G496" s="41">
        <f t="shared" si="139"/>
        <v>-1.1053006893273154E-2</v>
      </c>
      <c r="H496" s="41">
        <f t="shared" si="140"/>
        <v>0.42149174036375547</v>
      </c>
      <c r="I496" s="41">
        <f t="shared" si="141"/>
        <v>0.44544712834078792</v>
      </c>
      <c r="J496" s="41">
        <f t="shared" si="142"/>
        <v>-2.4029796948232818E-4</v>
      </c>
      <c r="K496" s="42">
        <f t="shared" si="133"/>
        <v>142.14917403637577</v>
      </c>
      <c r="L496" s="42">
        <f t="shared" si="134"/>
        <v>144.54471283407915</v>
      </c>
      <c r="M496" s="42">
        <f t="shared" si="135"/>
        <v>99.975970203051773</v>
      </c>
      <c r="N496" s="41">
        <f t="shared" si="143"/>
        <v>-1.6572994962832377E-2</v>
      </c>
      <c r="O496" s="41">
        <f t="shared" si="144"/>
        <v>0.4218334040436893</v>
      </c>
      <c r="P496" s="39">
        <f t="shared" si="145"/>
        <v>256.4211522853812</v>
      </c>
      <c r="Q496" s="42">
        <f t="shared" si="146"/>
        <v>1.4214917403637555</v>
      </c>
      <c r="R496" s="42">
        <f t="shared" si="147"/>
        <v>1.6258412592468956</v>
      </c>
      <c r="S496" s="41">
        <f t="shared" si="148"/>
        <v>-0.12568848140672517</v>
      </c>
      <c r="T496" s="41">
        <f t="shared" si="132"/>
        <v>0.25373972784635107</v>
      </c>
      <c r="U496" s="41">
        <f t="shared" si="149"/>
        <v>-6.6090184434389743E-3</v>
      </c>
      <c r="V496" s="41">
        <f t="shared" si="150"/>
        <v>-3.9963661236451786E-3</v>
      </c>
      <c r="W496" s="39">
        <f t="shared" si="136"/>
        <v>255.57</v>
      </c>
      <c r="X496" s="21"/>
    </row>
    <row r="497" spans="1:24" x14ac:dyDescent="0.2">
      <c r="A497" s="38">
        <v>45660</v>
      </c>
      <c r="B497" s="39">
        <v>257.13</v>
      </c>
      <c r="C497" s="39">
        <v>591.95000000000005</v>
      </c>
      <c r="D497" s="39">
        <v>41.594999999999999</v>
      </c>
      <c r="E497" s="41">
        <f t="shared" si="137"/>
        <v>6.1040028172321126E-3</v>
      </c>
      <c r="F497" s="41">
        <f t="shared" si="138"/>
        <v>1.2503420908593466E-2</v>
      </c>
      <c r="G497" s="41">
        <f t="shared" si="139"/>
        <v>-2.4035572647518322E-4</v>
      </c>
      <c r="H497" s="41">
        <f t="shared" si="140"/>
        <v>0.43016852995160804</v>
      </c>
      <c r="I497" s="41">
        <f t="shared" si="141"/>
        <v>0.46352016218755043</v>
      </c>
      <c r="J497" s="41">
        <f t="shared" si="142"/>
        <v>-4.8059593896443431E-4</v>
      </c>
      <c r="K497" s="42">
        <f t="shared" si="133"/>
        <v>143.01685299516103</v>
      </c>
      <c r="L497" s="42">
        <f t="shared" si="134"/>
        <v>146.35201621875541</v>
      </c>
      <c r="M497" s="42">
        <f t="shared" si="135"/>
        <v>99.95194040610356</v>
      </c>
      <c r="N497" s="41">
        <f t="shared" si="143"/>
        <v>-2.278863872028325E-2</v>
      </c>
      <c r="O497" s="41">
        <f t="shared" si="144"/>
        <v>0.43085619362750749</v>
      </c>
      <c r="P497" s="39">
        <f t="shared" si="145"/>
        <v>256.42820549647195</v>
      </c>
      <c r="Q497" s="42">
        <f t="shared" si="146"/>
        <v>1.430168529951608</v>
      </c>
      <c r="R497" s="42">
        <f t="shared" si="147"/>
        <v>1.6258412592468956</v>
      </c>
      <c r="S497" s="41">
        <f t="shared" si="148"/>
        <v>-0.12035168143409336</v>
      </c>
      <c r="T497" s="41">
        <f t="shared" si="132"/>
        <v>0.25392563645491445</v>
      </c>
      <c r="U497" s="41">
        <f t="shared" si="149"/>
        <v>0</v>
      </c>
      <c r="V497" s="41">
        <f t="shared" si="150"/>
        <v>-6.399418091361353E-3</v>
      </c>
      <c r="W497" s="39">
        <f t="shared" si="136"/>
        <v>257.13</v>
      </c>
      <c r="X497" s="21"/>
    </row>
    <row r="498" spans="1:24" x14ac:dyDescent="0.2">
      <c r="A498" s="38">
        <v>45663</v>
      </c>
      <c r="B498" s="39">
        <v>257.38</v>
      </c>
      <c r="C498" s="39">
        <v>595.36</v>
      </c>
      <c r="D498" s="39">
        <v>41.875</v>
      </c>
      <c r="E498" s="41">
        <f t="shared" si="137"/>
        <v>9.7227083576401085E-4</v>
      </c>
      <c r="F498" s="41">
        <f t="shared" si="138"/>
        <v>5.7606216741277194E-3</v>
      </c>
      <c r="G498" s="41">
        <f t="shared" si="139"/>
        <v>6.7315783147012809E-3</v>
      </c>
      <c r="H498" s="41">
        <f t="shared" si="140"/>
        <v>0.43155904110350751</v>
      </c>
      <c r="I498" s="41">
        <f t="shared" si="141"/>
        <v>0.47195094815437089</v>
      </c>
      <c r="J498" s="41">
        <f t="shared" si="142"/>
        <v>6.2477472065358697E-3</v>
      </c>
      <c r="K498" s="42">
        <f t="shared" si="133"/>
        <v>143.15590411035097</v>
      </c>
      <c r="L498" s="42">
        <f t="shared" si="134"/>
        <v>147.1950948154375</v>
      </c>
      <c r="M498" s="42">
        <f t="shared" si="135"/>
        <v>100.6247747206536</v>
      </c>
      <c r="N498" s="41">
        <f t="shared" si="143"/>
        <v>-2.7441068672505287E-2</v>
      </c>
      <c r="O498" s="41">
        <f t="shared" si="144"/>
        <v>0.42267055511695473</v>
      </c>
      <c r="P498" s="39">
        <f t="shared" si="145"/>
        <v>256.43767608854688</v>
      </c>
      <c r="Q498" s="42">
        <f t="shared" si="146"/>
        <v>1.4315590411035075</v>
      </c>
      <c r="R498" s="42">
        <f t="shared" si="147"/>
        <v>1.6258412592468956</v>
      </c>
      <c r="S498" s="41">
        <f t="shared" si="148"/>
        <v>-0.11949642502822289</v>
      </c>
      <c r="T498" s="41">
        <f t="shared" si="132"/>
        <v>0.25245736878308994</v>
      </c>
      <c r="U498" s="41">
        <f t="shared" si="149"/>
        <v>0</v>
      </c>
      <c r="V498" s="41">
        <f t="shared" si="150"/>
        <v>-4.7883508383637086E-3</v>
      </c>
      <c r="W498" s="39">
        <f t="shared" si="136"/>
        <v>257.38</v>
      </c>
      <c r="X498" s="21"/>
    </row>
    <row r="499" spans="1:24" x14ac:dyDescent="0.2">
      <c r="A499" s="38">
        <v>45664</v>
      </c>
      <c r="B499" s="39">
        <v>251.98</v>
      </c>
      <c r="C499" s="39">
        <v>588.63</v>
      </c>
      <c r="D499" s="39">
        <v>41.85</v>
      </c>
      <c r="E499" s="41">
        <f t="shared" si="137"/>
        <v>-2.0980651177247678E-2</v>
      </c>
      <c r="F499" s="41">
        <f t="shared" si="138"/>
        <v>-1.1304084923407731E-2</v>
      </c>
      <c r="G499" s="41">
        <f t="shared" si="139"/>
        <v>-5.9701492537311829E-4</v>
      </c>
      <c r="H499" s="41">
        <f t="shared" si="140"/>
        <v>0.40152400022247958</v>
      </c>
      <c r="I499" s="41">
        <f t="shared" si="141"/>
        <v>0.45531188963334324</v>
      </c>
      <c r="J499" s="41">
        <f t="shared" si="142"/>
        <v>5.6470022828305488E-3</v>
      </c>
      <c r="K499" s="42">
        <f t="shared" si="133"/>
        <v>140.15240002224817</v>
      </c>
      <c r="L499" s="42">
        <f t="shared" si="134"/>
        <v>145.53118896333473</v>
      </c>
      <c r="M499" s="42">
        <f t="shared" si="135"/>
        <v>100.56470022828307</v>
      </c>
      <c r="N499" s="41">
        <f t="shared" si="143"/>
        <v>-3.6959699012982794E-2</v>
      </c>
      <c r="O499" s="41">
        <f t="shared" si="144"/>
        <v>0.39365403271824362</v>
      </c>
      <c r="P499" s="39">
        <f t="shared" si="145"/>
        <v>256.39332110259119</v>
      </c>
      <c r="Q499" s="42">
        <f t="shared" si="146"/>
        <v>1.4015240002224796</v>
      </c>
      <c r="R499" s="42">
        <f t="shared" si="147"/>
        <v>1.6258412592468956</v>
      </c>
      <c r="S499" s="41">
        <f t="shared" si="148"/>
        <v>-0.13796996339502532</v>
      </c>
      <c r="T499" s="41">
        <f t="shared" si="132"/>
        <v>0.25589055017812712</v>
      </c>
      <c r="U499" s="41">
        <f t="shared" si="149"/>
        <v>-2.1136301040038941E-2</v>
      </c>
      <c r="V499" s="41">
        <f t="shared" si="150"/>
        <v>-9.6765662538399466E-3</v>
      </c>
      <c r="W499" s="39">
        <f t="shared" si="136"/>
        <v>251.98</v>
      </c>
      <c r="X499" s="21"/>
    </row>
    <row r="500" spans="1:24" x14ac:dyDescent="0.2">
      <c r="A500" s="38">
        <v>45665</v>
      </c>
      <c r="B500" s="39">
        <v>255.28</v>
      </c>
      <c r="C500" s="39">
        <v>589.49</v>
      </c>
      <c r="D500" s="39">
        <v>42.08</v>
      </c>
      <c r="E500" s="41">
        <f t="shared" si="137"/>
        <v>1.3096277482339991E-2</v>
      </c>
      <c r="F500" s="41">
        <f t="shared" si="138"/>
        <v>1.4610196558109134E-3</v>
      </c>
      <c r="G500" s="41">
        <f t="shared" si="139"/>
        <v>5.4958183990441167E-3</v>
      </c>
      <c r="H500" s="41">
        <f t="shared" si="140"/>
        <v>0.41987874742755227</v>
      </c>
      <c r="I500" s="41">
        <f t="shared" si="141"/>
        <v>0.45743812890943292</v>
      </c>
      <c r="J500" s="41">
        <f t="shared" si="142"/>
        <v>1.1173855580919989E-2</v>
      </c>
      <c r="K500" s="42">
        <f t="shared" si="133"/>
        <v>141.98787474275545</v>
      </c>
      <c r="L500" s="42">
        <f t="shared" si="134"/>
        <v>145.7438128909437</v>
      </c>
      <c r="M500" s="42">
        <f t="shared" si="135"/>
        <v>101.11738555809202</v>
      </c>
      <c r="N500" s="41">
        <f t="shared" si="143"/>
        <v>-2.5770823980010404E-2</v>
      </c>
      <c r="O500" s="41">
        <f t="shared" si="144"/>
        <v>0.40418854739062748</v>
      </c>
      <c r="P500" s="39">
        <f t="shared" si="145"/>
        <v>256.38224328067486</v>
      </c>
      <c r="Q500" s="42">
        <f t="shared" si="146"/>
        <v>1.4198787474275523</v>
      </c>
      <c r="R500" s="42">
        <f t="shared" si="147"/>
        <v>1.6258412592468956</v>
      </c>
      <c r="S500" s="41">
        <f t="shared" si="148"/>
        <v>-0.12668057883753492</v>
      </c>
      <c r="T500" s="41">
        <f t="shared" si="132"/>
        <v>0.25551195639693258</v>
      </c>
      <c r="U500" s="41">
        <f t="shared" si="149"/>
        <v>0</v>
      </c>
      <c r="V500" s="41">
        <f t="shared" si="150"/>
        <v>1.1635257826529077E-2</v>
      </c>
      <c r="W500" s="39">
        <f t="shared" si="136"/>
        <v>255.28</v>
      </c>
      <c r="X500" s="21"/>
    </row>
    <row r="501" spans="1:24" x14ac:dyDescent="0.2">
      <c r="A501" s="38">
        <v>45667</v>
      </c>
      <c r="B501" s="39">
        <v>251.69</v>
      </c>
      <c r="C501" s="39">
        <v>580.49</v>
      </c>
      <c r="D501" s="39">
        <v>41.65</v>
      </c>
      <c r="E501" s="41">
        <f t="shared" si="137"/>
        <v>-1.4062989658414349E-2</v>
      </c>
      <c r="F501" s="41">
        <f t="shared" si="138"/>
        <v>-1.526743456207913E-2</v>
      </c>
      <c r="G501" s="41">
        <f t="shared" si="139"/>
        <v>-1.0218631178707249E-2</v>
      </c>
      <c r="H501" s="41">
        <f t="shared" si="140"/>
        <v>0.39991100728627638</v>
      </c>
      <c r="I501" s="41">
        <f t="shared" si="141"/>
        <v>0.43518678764802909</v>
      </c>
      <c r="J501" s="41">
        <f t="shared" si="142"/>
        <v>8.4104289318709391E-4</v>
      </c>
      <c r="K501" s="42">
        <f t="shared" si="133"/>
        <v>139.99110072862783</v>
      </c>
      <c r="L501" s="42">
        <f t="shared" si="134"/>
        <v>143.5186787648033</v>
      </c>
      <c r="M501" s="42">
        <f t="shared" si="135"/>
        <v>100.08410428931876</v>
      </c>
      <c r="N501" s="41">
        <f t="shared" si="143"/>
        <v>-2.4579225969298624E-2</v>
      </c>
      <c r="O501" s="41">
        <f t="shared" si="144"/>
        <v>0.39873461148183487</v>
      </c>
      <c r="P501" s="39">
        <f t="shared" si="145"/>
        <v>256.33555429280744</v>
      </c>
      <c r="Q501" s="42">
        <f t="shared" si="146"/>
        <v>1.3999110072862764</v>
      </c>
      <c r="R501" s="42">
        <f t="shared" si="147"/>
        <v>1.6258412592468956</v>
      </c>
      <c r="S501" s="41">
        <f t="shared" si="148"/>
        <v>-0.13896206082583495</v>
      </c>
      <c r="T501" s="41">
        <f t="shared" si="132"/>
        <v>0.25711899655459125</v>
      </c>
      <c r="U501" s="41">
        <f t="shared" si="149"/>
        <v>-1.4218639521205612E-2</v>
      </c>
      <c r="V501" s="41">
        <f t="shared" si="150"/>
        <v>1.2044449036647809E-3</v>
      </c>
      <c r="W501" s="39">
        <f t="shared" si="136"/>
        <v>251.69</v>
      </c>
      <c r="X501" s="21"/>
    </row>
    <row r="502" spans="1:24" x14ac:dyDescent="0.2">
      <c r="A502" s="38">
        <v>45670</v>
      </c>
      <c r="B502" s="39">
        <v>256.02999999999997</v>
      </c>
      <c r="C502" s="39">
        <v>581.39</v>
      </c>
      <c r="D502" s="39">
        <v>42.58</v>
      </c>
      <c r="E502" s="41">
        <f t="shared" si="137"/>
        <v>1.7243434383567013E-2</v>
      </c>
      <c r="F502" s="41">
        <f t="shared" si="138"/>
        <v>1.5504143051559005E-3</v>
      </c>
      <c r="G502" s="41">
        <f t="shared" si="139"/>
        <v>2.2328931572628941E-2</v>
      </c>
      <c r="H502" s="41">
        <f t="shared" si="140"/>
        <v>0.42405028088325047</v>
      </c>
      <c r="I502" s="41">
        <f t="shared" si="141"/>
        <v>0.43741192177416943</v>
      </c>
      <c r="J502" s="41">
        <f t="shared" si="142"/>
        <v>2.3188754055027738E-2</v>
      </c>
      <c r="K502" s="42">
        <f t="shared" si="133"/>
        <v>142.40502808832528</v>
      </c>
      <c r="L502" s="42">
        <f t="shared" si="134"/>
        <v>143.74119217741733</v>
      </c>
      <c r="M502" s="42">
        <f t="shared" si="135"/>
        <v>102.31887540550282</v>
      </c>
      <c r="N502" s="41">
        <f t="shared" si="143"/>
        <v>-9.2956240925197164E-3</v>
      </c>
      <c r="O502" s="41">
        <f t="shared" si="144"/>
        <v>0.39177671298629635</v>
      </c>
      <c r="P502" s="39">
        <f t="shared" si="145"/>
        <v>256.3325139515855</v>
      </c>
      <c r="Q502" s="42">
        <f t="shared" si="146"/>
        <v>1.4240502808832505</v>
      </c>
      <c r="R502" s="42">
        <f t="shared" si="147"/>
        <v>1.6258412592468956</v>
      </c>
      <c r="S502" s="41">
        <f t="shared" si="148"/>
        <v>-0.12411480961992349</v>
      </c>
      <c r="T502" s="41">
        <f t="shared" si="132"/>
        <v>0.25733776854785539</v>
      </c>
      <c r="U502" s="41">
        <f t="shared" si="149"/>
        <v>0</v>
      </c>
      <c r="V502" s="41">
        <f t="shared" si="150"/>
        <v>1.5693020078411113E-2</v>
      </c>
      <c r="W502" s="39">
        <f t="shared" si="136"/>
        <v>256.02999999999997</v>
      </c>
      <c r="X502" s="21"/>
    </row>
    <row r="503" spans="1:24" x14ac:dyDescent="0.2">
      <c r="A503" s="38">
        <v>45671</v>
      </c>
      <c r="B503" s="39">
        <v>260.07</v>
      </c>
      <c r="C503" s="39">
        <v>582.19000000000005</v>
      </c>
      <c r="D503" s="39">
        <v>43.11</v>
      </c>
      <c r="E503" s="41">
        <f t="shared" si="137"/>
        <v>1.5779400851462899E-2</v>
      </c>
      <c r="F503" s="41">
        <f t="shared" si="138"/>
        <v>1.3760126593165278E-3</v>
      </c>
      <c r="G503" s="41">
        <f t="shared" si="139"/>
        <v>1.2447158290277205E-2</v>
      </c>
      <c r="H503" s="41">
        <f t="shared" si="140"/>
        <v>0.4465209410979456</v>
      </c>
      <c r="I503" s="41">
        <f t="shared" si="141"/>
        <v>0.43938981877518324</v>
      </c>
      <c r="J503" s="41">
        <f t="shared" si="142"/>
        <v>3.5924546437582139E-2</v>
      </c>
      <c r="K503" s="42">
        <f t="shared" si="133"/>
        <v>144.65209410979475</v>
      </c>
      <c r="L503" s="42">
        <f t="shared" si="134"/>
        <v>143.93898187751873</v>
      </c>
      <c r="M503" s="42">
        <f t="shared" si="135"/>
        <v>103.59245464375826</v>
      </c>
      <c r="N503" s="41">
        <f t="shared" si="143"/>
        <v>4.9542675859903795E-3</v>
      </c>
      <c r="O503" s="41">
        <f t="shared" si="144"/>
        <v>0.39635743363004017</v>
      </c>
      <c r="P503" s="39">
        <f t="shared" si="145"/>
        <v>256.3697028674901</v>
      </c>
      <c r="Q503" s="42">
        <f t="shared" si="146"/>
        <v>1.4465209410979456</v>
      </c>
      <c r="R503" s="42">
        <f t="shared" si="147"/>
        <v>1.6258412592468956</v>
      </c>
      <c r="S503" s="41">
        <f t="shared" si="148"/>
        <v>-0.1102938661010564</v>
      </c>
      <c r="T503" s="41">
        <f t="shared" si="132"/>
        <v>0.25762880418507739</v>
      </c>
      <c r="U503" s="41">
        <f t="shared" si="149"/>
        <v>0</v>
      </c>
      <c r="V503" s="41">
        <f t="shared" si="150"/>
        <v>1.4403388192146371E-2</v>
      </c>
      <c r="W503" s="39">
        <f t="shared" si="136"/>
        <v>260.07</v>
      </c>
      <c r="X503" s="21"/>
    </row>
    <row r="504" spans="1:24" x14ac:dyDescent="0.2">
      <c r="A504" s="38">
        <v>45672</v>
      </c>
      <c r="B504" s="39">
        <v>268.19</v>
      </c>
      <c r="C504" s="39">
        <v>592.78</v>
      </c>
      <c r="D504" s="39">
        <v>43.52</v>
      </c>
      <c r="E504" s="41">
        <f t="shared" si="137"/>
        <v>3.1222363209905124E-2</v>
      </c>
      <c r="F504" s="41">
        <f t="shared" si="138"/>
        <v>1.8189937992751259E-2</v>
      </c>
      <c r="G504" s="41">
        <f t="shared" si="139"/>
        <v>9.5105543957318961E-3</v>
      </c>
      <c r="H504" s="41">
        <f t="shared" si="140"/>
        <v>0.49168474331163936</v>
      </c>
      <c r="I504" s="41">
        <f t="shared" si="141"/>
        <v>0.4655722303261014</v>
      </c>
      <c r="J504" s="41">
        <f t="shared" si="142"/>
        <v>4.57767631863506E-2</v>
      </c>
      <c r="K504" s="42">
        <f t="shared" si="133"/>
        <v>149.16847433116413</v>
      </c>
      <c r="L504" s="42">
        <f t="shared" si="134"/>
        <v>146.55722303261055</v>
      </c>
      <c r="M504" s="42">
        <f t="shared" si="135"/>
        <v>104.5776763186351</v>
      </c>
      <c r="N504" s="41">
        <f t="shared" si="143"/>
        <v>1.7817281499477922E-2</v>
      </c>
      <c r="O504" s="41">
        <f t="shared" si="144"/>
        <v>0.42638925994747012</v>
      </c>
      <c r="P504" s="39">
        <f t="shared" si="145"/>
        <v>256.48731776433101</v>
      </c>
      <c r="Q504" s="42">
        <f t="shared" si="146"/>
        <v>1.4916847433116394</v>
      </c>
      <c r="R504" s="42">
        <f t="shared" si="147"/>
        <v>1.6258412592468956</v>
      </c>
      <c r="S504" s="41">
        <f t="shared" si="148"/>
        <v>-8.2515138038383173E-2</v>
      </c>
      <c r="T504" s="41">
        <f t="shared" si="132"/>
        <v>0.26481409796818878</v>
      </c>
      <c r="U504" s="41">
        <f t="shared" si="149"/>
        <v>0</v>
      </c>
      <c r="V504" s="41">
        <f t="shared" si="150"/>
        <v>1.3032425217153865E-2</v>
      </c>
      <c r="W504" s="39">
        <f t="shared" si="136"/>
        <v>268.19</v>
      </c>
      <c r="X504" s="21"/>
    </row>
    <row r="505" spans="1:24" x14ac:dyDescent="0.2">
      <c r="A505" s="38">
        <v>45673</v>
      </c>
      <c r="B505" s="39">
        <v>269.17</v>
      </c>
      <c r="C505" s="39">
        <v>591.64</v>
      </c>
      <c r="D505" s="39">
        <v>43.88</v>
      </c>
      <c r="E505" s="41">
        <f t="shared" si="137"/>
        <v>3.6541258063313986E-3</v>
      </c>
      <c r="F505" s="41">
        <f t="shared" si="138"/>
        <v>-1.9231418064037387E-3</v>
      </c>
      <c r="G505" s="41">
        <f t="shared" si="139"/>
        <v>8.2720588235294379E-3</v>
      </c>
      <c r="H505" s="41">
        <f t="shared" si="140"/>
        <v>0.49713554702708529</v>
      </c>
      <c r="I505" s="41">
        <f t="shared" si="141"/>
        <v>0.4627537270996569</v>
      </c>
      <c r="J505" s="41">
        <f t="shared" si="142"/>
        <v>5.4427490087708197E-2</v>
      </c>
      <c r="K505" s="42">
        <f t="shared" si="133"/>
        <v>149.71355470270873</v>
      </c>
      <c r="L505" s="42">
        <f t="shared" si="134"/>
        <v>146.27537270996612</v>
      </c>
      <c r="M505" s="42">
        <f t="shared" si="135"/>
        <v>105.44274900877089</v>
      </c>
      <c r="N505" s="41">
        <f t="shared" si="143"/>
        <v>2.3504858877099188E-2</v>
      </c>
      <c r="O505" s="41">
        <f t="shared" si="144"/>
        <v>0.41985633066390582</v>
      </c>
      <c r="P505" s="39">
        <f t="shared" si="145"/>
        <v>256.61351360747204</v>
      </c>
      <c r="Q505" s="42">
        <f t="shared" si="146"/>
        <v>1.4971355470270853</v>
      </c>
      <c r="R505" s="42">
        <f t="shared" si="147"/>
        <v>1.6258412592468956</v>
      </c>
      <c r="S505" s="41">
        <f t="shared" si="148"/>
        <v>-7.9162532927370743E-2</v>
      </c>
      <c r="T505" s="41">
        <f t="shared" si="132"/>
        <v>0.26386563187547846</v>
      </c>
      <c r="U505" s="41">
        <f t="shared" si="149"/>
        <v>0</v>
      </c>
      <c r="V505" s="41">
        <f t="shared" si="150"/>
        <v>5.5772676127351373E-3</v>
      </c>
      <c r="W505" s="39">
        <f t="shared" si="136"/>
        <v>269.17</v>
      </c>
      <c r="X505" s="21"/>
    </row>
    <row r="506" spans="1:24" x14ac:dyDescent="0.2">
      <c r="A506" s="38">
        <v>45674</v>
      </c>
      <c r="B506" s="39">
        <v>270.10000000000002</v>
      </c>
      <c r="C506" s="39">
        <v>597.58000000000004</v>
      </c>
      <c r="D506" s="39">
        <v>44.164999999999999</v>
      </c>
      <c r="E506" s="41">
        <f t="shared" si="137"/>
        <v>3.4550655719434165E-3</v>
      </c>
      <c r="F506" s="41">
        <f t="shared" si="138"/>
        <v>1.0039889121763235E-2</v>
      </c>
      <c r="G506" s="41">
        <f t="shared" si="139"/>
        <v>6.4949863263445984E-3</v>
      </c>
      <c r="H506" s="41">
        <f t="shared" si="140"/>
        <v>0.50230824851215128</v>
      </c>
      <c r="I506" s="41">
        <f t="shared" si="141"/>
        <v>0.47743961233218335</v>
      </c>
      <c r="J506" s="41">
        <f t="shared" si="142"/>
        <v>6.1275982217949609E-2</v>
      </c>
      <c r="K506" s="42">
        <f t="shared" si="133"/>
        <v>150.23082485121532</v>
      </c>
      <c r="L506" s="42">
        <f t="shared" si="134"/>
        <v>147.74396123321878</v>
      </c>
      <c r="M506" s="42">
        <f t="shared" si="135"/>
        <v>106.12759822179503</v>
      </c>
      <c r="N506" s="41">
        <f t="shared" si="143"/>
        <v>1.6832252210100096E-2</v>
      </c>
      <c r="O506" s="41">
        <f t="shared" si="144"/>
        <v>0.41556793302011119</v>
      </c>
      <c r="P506" s="39">
        <f t="shared" si="145"/>
        <v>256.74770750192505</v>
      </c>
      <c r="Q506" s="42">
        <f t="shared" si="146"/>
        <v>1.5023082485121513</v>
      </c>
      <c r="R506" s="42">
        <f t="shared" si="147"/>
        <v>1.6258412592468956</v>
      </c>
      <c r="S506" s="41">
        <f t="shared" si="148"/>
        <v>-7.5980979097532542E-2</v>
      </c>
      <c r="T506" s="41">
        <f t="shared" si="132"/>
        <v>0.26347360263637076</v>
      </c>
      <c r="U506" s="41">
        <f t="shared" si="149"/>
        <v>0</v>
      </c>
      <c r="V506" s="41">
        <f t="shared" si="150"/>
        <v>-6.5848235498198182E-3</v>
      </c>
      <c r="W506" s="39">
        <f t="shared" si="136"/>
        <v>270.10000000000002</v>
      </c>
      <c r="X506" s="21"/>
    </row>
    <row r="507" spans="1:24" x14ac:dyDescent="0.2">
      <c r="A507" s="38">
        <v>45678</v>
      </c>
      <c r="B507" s="39">
        <v>275.52999999999997</v>
      </c>
      <c r="C507" s="39">
        <v>603.04999999999995</v>
      </c>
      <c r="D507" s="39">
        <v>44.73</v>
      </c>
      <c r="E507" s="41">
        <f t="shared" si="137"/>
        <v>2.0103665309144647E-2</v>
      </c>
      <c r="F507" s="41">
        <f t="shared" si="138"/>
        <v>9.1535861307270316E-3</v>
      </c>
      <c r="G507" s="41">
        <f t="shared" si="139"/>
        <v>1.279293558247474E-2</v>
      </c>
      <c r="H507" s="41">
        <f t="shared" si="140"/>
        <v>0.53251015073140695</v>
      </c>
      <c r="I507" s="41">
        <f t="shared" si="141"/>
        <v>0.49096348307661386</v>
      </c>
      <c r="J507" s="41">
        <f t="shared" si="142"/>
        <v>7.4852817493691548E-2</v>
      </c>
      <c r="K507" s="42">
        <f t="shared" si="133"/>
        <v>153.25101507314088</v>
      </c>
      <c r="L507" s="42">
        <f t="shared" si="134"/>
        <v>149.09634830766186</v>
      </c>
      <c r="M507" s="42">
        <f t="shared" si="135"/>
        <v>107.48528174936919</v>
      </c>
      <c r="N507" s="41">
        <f t="shared" si="143"/>
        <v>2.786565071940017E-2</v>
      </c>
      <c r="O507" s="41">
        <f t="shared" si="144"/>
        <v>0.4257860479026947</v>
      </c>
      <c r="P507" s="39">
        <f t="shared" si="145"/>
        <v>256.934595984493</v>
      </c>
      <c r="Q507" s="42">
        <f t="shared" si="146"/>
        <v>1.532510150731407</v>
      </c>
      <c r="R507" s="42">
        <f t="shared" si="147"/>
        <v>1.6258412592468956</v>
      </c>
      <c r="S507" s="41">
        <f t="shared" si="148"/>
        <v>-5.7404809962025682E-2</v>
      </c>
      <c r="T507" s="41">
        <f t="shared" si="132"/>
        <v>0.26128637322817694</v>
      </c>
      <c r="U507" s="41">
        <f t="shared" si="149"/>
        <v>0</v>
      </c>
      <c r="V507" s="41">
        <f t="shared" si="150"/>
        <v>1.0950079178417615E-2</v>
      </c>
      <c r="W507" s="39">
        <f t="shared" si="136"/>
        <v>275.52999999999997</v>
      </c>
      <c r="X507" s="21"/>
    </row>
    <row r="508" spans="1:24" x14ac:dyDescent="0.2">
      <c r="A508" s="38">
        <v>45679</v>
      </c>
      <c r="B508" s="39">
        <v>274.38</v>
      </c>
      <c r="C508" s="39">
        <v>606.44000000000005</v>
      </c>
      <c r="D508" s="39">
        <v>44.37</v>
      </c>
      <c r="E508" s="41">
        <f t="shared" si="137"/>
        <v>-4.1737741806698869E-3</v>
      </c>
      <c r="F508" s="41">
        <f t="shared" si="138"/>
        <v>5.621424425835464E-3</v>
      </c>
      <c r="G508" s="41">
        <f t="shared" si="139"/>
        <v>-8.0482897384305252E-3</v>
      </c>
      <c r="H508" s="41">
        <f t="shared" si="140"/>
        <v>0.52611379943266967</v>
      </c>
      <c r="I508" s="41">
        <f t="shared" si="141"/>
        <v>0.49934482161840954</v>
      </c>
      <c r="J508" s="41">
        <f t="shared" si="142"/>
        <v>6.6202090592333951E-2</v>
      </c>
      <c r="K508" s="42">
        <f t="shared" si="133"/>
        <v>152.61137994326714</v>
      </c>
      <c r="L508" s="42">
        <f t="shared" si="134"/>
        <v>149.93448216184143</v>
      </c>
      <c r="M508" s="42">
        <f t="shared" si="135"/>
        <v>106.62020905923345</v>
      </c>
      <c r="N508" s="41">
        <f t="shared" si="143"/>
        <v>1.7853783484819363E-2</v>
      </c>
      <c r="O508" s="41">
        <f t="shared" si="144"/>
        <v>0.43135509946789674</v>
      </c>
      <c r="P508" s="39">
        <f t="shared" si="145"/>
        <v>257.10818209410007</v>
      </c>
      <c r="Q508" s="42">
        <f t="shared" si="146"/>
        <v>1.5261137994326697</v>
      </c>
      <c r="R508" s="42">
        <f t="shared" si="147"/>
        <v>1.6258412592468956</v>
      </c>
      <c r="S508" s="41">
        <f t="shared" si="148"/>
        <v>-6.1338989429029822E-2</v>
      </c>
      <c r="T508" s="41">
        <f t="shared" si="132"/>
        <v>0.26151224540996981</v>
      </c>
      <c r="U508" s="41">
        <f t="shared" si="149"/>
        <v>-4.3294240434611497E-3</v>
      </c>
      <c r="V508" s="41">
        <f t="shared" si="150"/>
        <v>-9.7951986065053509E-3</v>
      </c>
      <c r="W508" s="39">
        <f t="shared" si="136"/>
        <v>274.38</v>
      </c>
      <c r="X508" s="21"/>
    </row>
    <row r="509" spans="1:24" x14ac:dyDescent="0.2">
      <c r="A509" s="38">
        <v>45680</v>
      </c>
      <c r="B509" s="39">
        <v>274.83</v>
      </c>
      <c r="C509" s="39">
        <v>609.75</v>
      </c>
      <c r="D509" s="39">
        <v>44.615000000000002</v>
      </c>
      <c r="E509" s="41">
        <f t="shared" si="137"/>
        <v>1.6400612289524386E-3</v>
      </c>
      <c r="F509" s="41">
        <f t="shared" si="138"/>
        <v>5.4580832398918311E-3</v>
      </c>
      <c r="G509" s="41">
        <f t="shared" si="139"/>
        <v>5.5217489294570044E-3</v>
      </c>
      <c r="H509" s="41">
        <f t="shared" si="140"/>
        <v>0.52861671950608846</v>
      </c>
      <c r="I509" s="41">
        <f t="shared" si="141"/>
        <v>0.50752837046010368</v>
      </c>
      <c r="J509" s="41">
        <f t="shared" si="142"/>
        <v>7.2089390844646939E-2</v>
      </c>
      <c r="K509" s="42">
        <f t="shared" si="133"/>
        <v>152.86167195060904</v>
      </c>
      <c r="L509" s="42">
        <f t="shared" si="134"/>
        <v>150.75283704601082</v>
      </c>
      <c r="M509" s="42">
        <f t="shared" si="135"/>
        <v>107.20893908446473</v>
      </c>
      <c r="N509" s="41">
        <f t="shared" si="143"/>
        <v>1.398869133026559E-2</v>
      </c>
      <c r="O509" s="41">
        <f t="shared" si="144"/>
        <v>0.42582953675324209</v>
      </c>
      <c r="P509" s="39">
        <f t="shared" si="145"/>
        <v>257.28451859067621</v>
      </c>
      <c r="Q509" s="42">
        <f t="shared" si="146"/>
        <v>1.5286167195060885</v>
      </c>
      <c r="R509" s="42">
        <f t="shared" si="147"/>
        <v>1.6258412592468956</v>
      </c>
      <c r="S509" s="41">
        <f t="shared" si="148"/>
        <v>-5.9799527898463101E-2</v>
      </c>
      <c r="T509" s="41">
        <f t="shared" si="132"/>
        <v>0.26088542253370622</v>
      </c>
      <c r="U509" s="41">
        <f t="shared" si="149"/>
        <v>0</v>
      </c>
      <c r="V509" s="41">
        <f t="shared" si="150"/>
        <v>-3.8180220109393925E-3</v>
      </c>
      <c r="W509" s="39">
        <f t="shared" si="136"/>
        <v>274.83</v>
      </c>
      <c r="X509" s="21"/>
    </row>
    <row r="510" spans="1:24" x14ac:dyDescent="0.2">
      <c r="A510" s="38">
        <v>45681</v>
      </c>
      <c r="B510" s="39">
        <v>277.54000000000002</v>
      </c>
      <c r="C510" s="39">
        <v>607.97</v>
      </c>
      <c r="D510" s="39">
        <v>44.5</v>
      </c>
      <c r="E510" s="41">
        <f t="shared" si="137"/>
        <v>9.8606411236037417E-3</v>
      </c>
      <c r="F510" s="41">
        <f t="shared" si="138"/>
        <v>-2.9192291922919278E-3</v>
      </c>
      <c r="G510" s="41">
        <f t="shared" si="139"/>
        <v>-2.5776084276588618E-3</v>
      </c>
      <c r="H510" s="41">
        <f t="shared" si="140"/>
        <v>0.54368986039267853</v>
      </c>
      <c r="I510" s="41">
        <f t="shared" si="141"/>
        <v>0.50312754963284823</v>
      </c>
      <c r="J510" s="41">
        <f t="shared" si="142"/>
        <v>6.9325964195602108E-2</v>
      </c>
      <c r="K510" s="42">
        <f t="shared" si="133"/>
        <v>154.36898603926807</v>
      </c>
      <c r="L510" s="42">
        <f t="shared" si="134"/>
        <v>150.3127549632853</v>
      </c>
      <c r="M510" s="42">
        <f t="shared" si="135"/>
        <v>106.93259641956026</v>
      </c>
      <c r="N510" s="41">
        <f t="shared" si="143"/>
        <v>2.6985275314618473E-2</v>
      </c>
      <c r="O510" s="41">
        <f t="shared" si="144"/>
        <v>0.44361019191553575</v>
      </c>
      <c r="P510" s="39">
        <f t="shared" si="145"/>
        <v>257.48606566937593</v>
      </c>
      <c r="Q510" s="42">
        <f t="shared" si="146"/>
        <v>1.5436898603926785</v>
      </c>
      <c r="R510" s="42">
        <f t="shared" si="147"/>
        <v>1.6258412592468956</v>
      </c>
      <c r="S510" s="41">
        <f t="shared" si="148"/>
        <v>-5.0528548458827038E-2</v>
      </c>
      <c r="T510" s="41">
        <f t="shared" si="132"/>
        <v>0.26147407751930019</v>
      </c>
      <c r="U510" s="41">
        <f t="shared" si="149"/>
        <v>0</v>
      </c>
      <c r="V510" s="41">
        <f t="shared" si="150"/>
        <v>1.2779870315895669E-2</v>
      </c>
      <c r="W510" s="39">
        <f t="shared" si="136"/>
        <v>277.54000000000002</v>
      </c>
      <c r="X510" s="21"/>
    </row>
    <row r="511" spans="1:24" x14ac:dyDescent="0.2">
      <c r="A511" s="38">
        <v>45684</v>
      </c>
      <c r="B511" s="39">
        <v>274.99</v>
      </c>
      <c r="C511" s="39">
        <v>599.37</v>
      </c>
      <c r="D511" s="39">
        <v>44.524999999999999</v>
      </c>
      <c r="E511" s="41">
        <f t="shared" si="137"/>
        <v>-9.1878648122794004E-3</v>
      </c>
      <c r="F511" s="41">
        <f t="shared" si="138"/>
        <v>-1.4145434807638524E-2</v>
      </c>
      <c r="G511" s="41">
        <f t="shared" si="139"/>
        <v>5.6179775280895683E-4</v>
      </c>
      <c r="H511" s="41">
        <f t="shared" si="140"/>
        <v>0.52950664664330405</v>
      </c>
      <c r="I511" s="41">
        <f t="shared" si="141"/>
        <v>0.48186515687195142</v>
      </c>
      <c r="J511" s="41">
        <f t="shared" si="142"/>
        <v>6.9926709119307429E-2</v>
      </c>
      <c r="K511" s="42">
        <f t="shared" si="133"/>
        <v>152.95066466433062</v>
      </c>
      <c r="L511" s="42">
        <f t="shared" si="134"/>
        <v>148.18651568719559</v>
      </c>
      <c r="M511" s="42">
        <f t="shared" si="135"/>
        <v>106.99267091193079</v>
      </c>
      <c r="N511" s="41">
        <f t="shared" si="143"/>
        <v>3.2149679443113754E-2</v>
      </c>
      <c r="O511" s="41">
        <f t="shared" si="144"/>
        <v>0.42954338237082834</v>
      </c>
      <c r="P511" s="39">
        <f t="shared" si="145"/>
        <v>257.66023417017817</v>
      </c>
      <c r="Q511" s="42">
        <f t="shared" si="146"/>
        <v>1.529506646643304</v>
      </c>
      <c r="R511" s="42">
        <f t="shared" si="147"/>
        <v>1.6258412592468956</v>
      </c>
      <c r="S511" s="41">
        <f t="shared" si="148"/>
        <v>-5.9252163798706015E-2</v>
      </c>
      <c r="T511" s="41">
        <f t="shared" si="132"/>
        <v>0.26204427430678501</v>
      </c>
      <c r="U511" s="41">
        <f t="shared" si="149"/>
        <v>-9.3435146750706632E-3</v>
      </c>
      <c r="V511" s="41">
        <f t="shared" si="150"/>
        <v>4.9575699953591235E-3</v>
      </c>
      <c r="W511" s="39">
        <f t="shared" si="136"/>
        <v>274.99</v>
      </c>
      <c r="X511" s="21"/>
    </row>
    <row r="512" spans="1:24" x14ac:dyDescent="0.2">
      <c r="A512" s="38">
        <v>45685</v>
      </c>
      <c r="B512" s="39">
        <v>275.10000000000002</v>
      </c>
      <c r="C512" s="39">
        <v>604.52</v>
      </c>
      <c r="D512" s="39">
        <v>44.38</v>
      </c>
      <c r="E512" s="41">
        <f t="shared" si="137"/>
        <v>4.0001454598348474E-4</v>
      </c>
      <c r="F512" s="41">
        <f t="shared" si="138"/>
        <v>8.5923553064051195E-3</v>
      </c>
      <c r="G512" s="41">
        <f t="shared" si="139"/>
        <v>-3.2565974171813172E-3</v>
      </c>
      <c r="H512" s="41">
        <f t="shared" si="140"/>
        <v>0.53011847155013969</v>
      </c>
      <c r="I512" s="41">
        <f t="shared" si="141"/>
        <v>0.49459786881597689</v>
      </c>
      <c r="J512" s="41">
        <f t="shared" si="142"/>
        <v>6.6442388561816168E-2</v>
      </c>
      <c r="K512" s="42">
        <f t="shared" si="133"/>
        <v>153.01184715501421</v>
      </c>
      <c r="L512" s="42">
        <f t="shared" si="134"/>
        <v>149.45978688159812</v>
      </c>
      <c r="M512" s="42">
        <f t="shared" si="135"/>
        <v>106.64423885618166</v>
      </c>
      <c r="N512" s="41">
        <f t="shared" si="143"/>
        <v>2.37659931646379E-2</v>
      </c>
      <c r="O512" s="41">
        <f t="shared" si="144"/>
        <v>0.43478774658763153</v>
      </c>
      <c r="P512" s="39">
        <f t="shared" si="145"/>
        <v>257.8337641784351</v>
      </c>
      <c r="Q512" s="42">
        <f t="shared" si="146"/>
        <v>1.5301184715501397</v>
      </c>
      <c r="R512" s="42">
        <f t="shared" si="147"/>
        <v>1.6258412592468956</v>
      </c>
      <c r="S512" s="41">
        <f t="shared" si="148"/>
        <v>-5.8875850980123046E-2</v>
      </c>
      <c r="T512" s="41">
        <f t="shared" si="132"/>
        <v>0.2619786701124866</v>
      </c>
      <c r="U512" s="41">
        <f t="shared" si="149"/>
        <v>0</v>
      </c>
      <c r="V512" s="41">
        <f t="shared" si="150"/>
        <v>-8.1923407604216347E-3</v>
      </c>
      <c r="W512" s="39">
        <f t="shared" si="136"/>
        <v>275.10000000000002</v>
      </c>
      <c r="X512" s="21"/>
    </row>
    <row r="513" spans="1:24" x14ac:dyDescent="0.2">
      <c r="A513" s="38">
        <v>45686</v>
      </c>
      <c r="B513" s="39">
        <v>272.2</v>
      </c>
      <c r="C513" s="39">
        <v>601.80999999999995</v>
      </c>
      <c r="D513" s="39">
        <v>44.3</v>
      </c>
      <c r="E513" s="41">
        <f t="shared" si="137"/>
        <v>-1.0541621228644216E-2</v>
      </c>
      <c r="F513" s="41">
        <f t="shared" si="138"/>
        <v>-4.4828955204129217E-3</v>
      </c>
      <c r="G513" s="41">
        <f t="shared" si="139"/>
        <v>-1.8026137899955774E-3</v>
      </c>
      <c r="H513" s="41">
        <f t="shared" si="140"/>
        <v>0.51398854218810608</v>
      </c>
      <c r="I513" s="41">
        <f t="shared" si="141"/>
        <v>0.48789774272504305</v>
      </c>
      <c r="J513" s="41">
        <f t="shared" si="142"/>
        <v>6.4520004805958875E-2</v>
      </c>
      <c r="K513" s="42">
        <f t="shared" si="133"/>
        <v>151.39885421881084</v>
      </c>
      <c r="L513" s="42">
        <f t="shared" si="134"/>
        <v>148.78977427250473</v>
      </c>
      <c r="M513" s="42">
        <f t="shared" si="135"/>
        <v>106.45200048059593</v>
      </c>
      <c r="N513" s="41">
        <f t="shared" si="143"/>
        <v>1.7535344475540615E-2</v>
      </c>
      <c r="O513" s="41">
        <f t="shared" si="144"/>
        <v>0.42222648268979834</v>
      </c>
      <c r="P513" s="39">
        <f t="shared" si="145"/>
        <v>257.97671179855018</v>
      </c>
      <c r="Q513" s="42">
        <f t="shared" si="146"/>
        <v>1.5139885421881061</v>
      </c>
      <c r="R513" s="42">
        <f t="shared" si="147"/>
        <v>1.6258412592468956</v>
      </c>
      <c r="S513" s="41">
        <f t="shared" si="148"/>
        <v>-6.8796825288220731E-2</v>
      </c>
      <c r="T513" s="41">
        <f t="shared" si="132"/>
        <v>0.22753669603301835</v>
      </c>
      <c r="U513" s="41">
        <f t="shared" si="149"/>
        <v>-1.0697271091435478E-2</v>
      </c>
      <c r="V513" s="41">
        <f t="shared" si="150"/>
        <v>-6.058725708231294E-3</v>
      </c>
      <c r="W513" s="39">
        <f t="shared" si="136"/>
        <v>272.2</v>
      </c>
      <c r="X513" s="21"/>
    </row>
    <row r="514" spans="1:24" x14ac:dyDescent="0.2">
      <c r="A514" s="38">
        <v>45687</v>
      </c>
      <c r="B514" s="39">
        <v>276.36</v>
      </c>
      <c r="C514" s="39">
        <v>605.04</v>
      </c>
      <c r="D514" s="39">
        <v>44.72</v>
      </c>
      <c r="E514" s="41">
        <f t="shared" si="137"/>
        <v>1.5282880235121254E-2</v>
      </c>
      <c r="F514" s="41">
        <f t="shared" si="138"/>
        <v>5.3671424535983725E-3</v>
      </c>
      <c r="G514" s="41">
        <f t="shared" si="139"/>
        <v>9.4808126410834692E-3</v>
      </c>
      <c r="H514" s="41">
        <f t="shared" si="140"/>
        <v>0.53712664775571262</v>
      </c>
      <c r="I514" s="41">
        <f t="shared" si="141"/>
        <v>0.49588350186663588</v>
      </c>
      <c r="J514" s="41">
        <f t="shared" si="142"/>
        <v>7.4612519524209553E-2</v>
      </c>
      <c r="K514" s="42">
        <f t="shared" si="133"/>
        <v>153.71266477557151</v>
      </c>
      <c r="L514" s="42">
        <f t="shared" si="134"/>
        <v>149.588350186664</v>
      </c>
      <c r="M514" s="42">
        <f t="shared" si="135"/>
        <v>107.46125195242099</v>
      </c>
      <c r="N514" s="41">
        <f t="shared" si="143"/>
        <v>2.7571094832994358E-2</v>
      </c>
      <c r="O514" s="41">
        <f t="shared" si="144"/>
        <v>0.43040083735138657</v>
      </c>
      <c r="P514" s="39">
        <f t="shared" si="145"/>
        <v>258.15963008911189</v>
      </c>
      <c r="Q514" s="42">
        <f t="shared" si="146"/>
        <v>1.5371266477557126</v>
      </c>
      <c r="R514" s="42">
        <f t="shared" si="147"/>
        <v>1.6258412592468956</v>
      </c>
      <c r="S514" s="41">
        <f t="shared" si="148"/>
        <v>-5.4565358694536048E-2</v>
      </c>
      <c r="T514" s="41">
        <f t="shared" si="132"/>
        <v>0.22905036733910952</v>
      </c>
      <c r="U514" s="41">
        <f t="shared" si="149"/>
        <v>0</v>
      </c>
      <c r="V514" s="41">
        <f t="shared" si="150"/>
        <v>9.915737781522882E-3</v>
      </c>
      <c r="W514" s="39">
        <f t="shared" si="136"/>
        <v>276.36</v>
      </c>
      <c r="X514" s="21"/>
    </row>
    <row r="515" spans="1:24" x14ac:dyDescent="0.2">
      <c r="A515" s="38">
        <v>45688</v>
      </c>
      <c r="B515" s="39">
        <v>274.14999999999998</v>
      </c>
      <c r="C515" s="39">
        <v>601.82000000000005</v>
      </c>
      <c r="D515" s="39">
        <v>44.395000000000003</v>
      </c>
      <c r="E515" s="41">
        <f t="shared" si="137"/>
        <v>-7.996815747575714E-3</v>
      </c>
      <c r="F515" s="41">
        <f t="shared" si="138"/>
        <v>-5.3219621843182408E-3</v>
      </c>
      <c r="G515" s="41">
        <f t="shared" si="139"/>
        <v>-7.2674418604650182E-3</v>
      </c>
      <c r="H515" s="41">
        <f t="shared" si="140"/>
        <v>0.5248345291729215</v>
      </c>
      <c r="I515" s="41">
        <f t="shared" si="141"/>
        <v>0.4879224664375561</v>
      </c>
      <c r="J515" s="41">
        <f t="shared" si="142"/>
        <v>6.6802835516039494E-2</v>
      </c>
      <c r="K515" s="42">
        <f t="shared" si="133"/>
        <v>152.4834529172924</v>
      </c>
      <c r="L515" s="42">
        <f t="shared" si="134"/>
        <v>148.79224664375604</v>
      </c>
      <c r="M515" s="42">
        <f t="shared" si="135"/>
        <v>106.68028355160399</v>
      </c>
      <c r="N515" s="41">
        <f t="shared" si="143"/>
        <v>2.4807786405525389E-2</v>
      </c>
      <c r="O515" s="41">
        <f t="shared" si="144"/>
        <v>0.42934990272623375</v>
      </c>
      <c r="P515" s="39">
        <f t="shared" si="145"/>
        <v>258.31873824742922</v>
      </c>
      <c r="Q515" s="42">
        <f t="shared" si="146"/>
        <v>1.5248345291729215</v>
      </c>
      <c r="R515" s="42">
        <f t="shared" si="147"/>
        <v>1.6258412592468956</v>
      </c>
      <c r="S515" s="41">
        <f t="shared" si="148"/>
        <v>-6.2125825322431161E-2</v>
      </c>
      <c r="T515" s="41">
        <f t="shared" si="132"/>
        <v>0.2280608106813497</v>
      </c>
      <c r="U515" s="41">
        <f t="shared" si="149"/>
        <v>-8.1524656103669768E-3</v>
      </c>
      <c r="V515" s="41">
        <f t="shared" si="150"/>
        <v>-2.6748535632574733E-3</v>
      </c>
      <c r="W515" s="39">
        <f t="shared" si="136"/>
        <v>274.14999999999998</v>
      </c>
      <c r="X515" s="21"/>
    </row>
    <row r="516" spans="1:24" x14ac:dyDescent="0.2">
      <c r="A516" s="38">
        <v>45691</v>
      </c>
      <c r="B516" s="39">
        <v>271.16000000000003</v>
      </c>
      <c r="C516" s="39">
        <v>597.77</v>
      </c>
      <c r="D516" s="39">
        <v>44.44</v>
      </c>
      <c r="E516" s="41">
        <f t="shared" si="137"/>
        <v>-1.0906438081342174E-2</v>
      </c>
      <c r="F516" s="41">
        <f t="shared" si="138"/>
        <v>-6.7295869196770663E-3</v>
      </c>
      <c r="G516" s="41">
        <f t="shared" si="139"/>
        <v>1.0136276607723982E-3</v>
      </c>
      <c r="H516" s="41">
        <f t="shared" si="140"/>
        <v>0.50820401579620444</v>
      </c>
      <c r="I516" s="41">
        <f t="shared" si="141"/>
        <v>0.47790936286992425</v>
      </c>
      <c r="J516" s="41">
        <f t="shared" si="142"/>
        <v>6.7884176378709027E-2</v>
      </c>
      <c r="K516" s="42">
        <f t="shared" si="133"/>
        <v>150.82040157962069</v>
      </c>
      <c r="L516" s="42">
        <f t="shared" si="134"/>
        <v>147.79093628699286</v>
      </c>
      <c r="M516" s="42">
        <f t="shared" si="135"/>
        <v>106.78841763787095</v>
      </c>
      <c r="N516" s="41">
        <f t="shared" si="143"/>
        <v>2.0498315855751459E-2</v>
      </c>
      <c r="O516" s="41">
        <f t="shared" si="144"/>
        <v>0.41232921056163541</v>
      </c>
      <c r="P516" s="39">
        <f t="shared" si="145"/>
        <v>258.44651199621103</v>
      </c>
      <c r="Q516" s="42">
        <f t="shared" si="146"/>
        <v>1.5082040157962044</v>
      </c>
      <c r="R516" s="42">
        <f t="shared" si="147"/>
        <v>1.6258412592468956</v>
      </c>
      <c r="S516" s="41">
        <f t="shared" si="148"/>
        <v>-7.2354691936641902E-2</v>
      </c>
      <c r="T516" s="41">
        <f t="shared" si="132"/>
        <v>0.2289014634236238</v>
      </c>
      <c r="U516" s="41">
        <f t="shared" si="149"/>
        <v>-1.1062087944133436E-2</v>
      </c>
      <c r="V516" s="41">
        <f t="shared" si="150"/>
        <v>-4.1768511616651072E-3</v>
      </c>
      <c r="W516" s="39">
        <f t="shared" si="136"/>
        <v>271.16000000000003</v>
      </c>
      <c r="X516" s="21"/>
    </row>
    <row r="517" spans="1:24" x14ac:dyDescent="0.2">
      <c r="A517" s="38">
        <v>45692</v>
      </c>
      <c r="B517" s="39">
        <v>272.07</v>
      </c>
      <c r="C517" s="39">
        <v>601.78</v>
      </c>
      <c r="D517" s="39">
        <v>44.57</v>
      </c>
      <c r="E517" s="41">
        <f t="shared" si="137"/>
        <v>3.3559522053399071E-3</v>
      </c>
      <c r="F517" s="41">
        <f t="shared" si="138"/>
        <v>6.7082657209294183E-3</v>
      </c>
      <c r="G517" s="41">
        <f t="shared" si="139"/>
        <v>2.9252925292528875E-3</v>
      </c>
      <c r="H517" s="41">
        <f t="shared" si="140"/>
        <v>0.51326547638911824</v>
      </c>
      <c r="I517" s="41">
        <f t="shared" si="141"/>
        <v>0.48782357158750522</v>
      </c>
      <c r="J517" s="41">
        <f t="shared" si="142"/>
        <v>7.1008049981976962E-2</v>
      </c>
      <c r="K517" s="42">
        <f t="shared" si="133"/>
        <v>151.32654763891207</v>
      </c>
      <c r="L517" s="42">
        <f t="shared" si="134"/>
        <v>148.78235715875095</v>
      </c>
      <c r="M517" s="42">
        <f t="shared" si="135"/>
        <v>107.10080499819776</v>
      </c>
      <c r="N517" s="41">
        <f t="shared" si="143"/>
        <v>1.7100081815793811E-2</v>
      </c>
      <c r="O517" s="41">
        <f t="shared" si="144"/>
        <v>0.41293566973150542</v>
      </c>
      <c r="P517" s="39">
        <f t="shared" si="145"/>
        <v>258.58206909077609</v>
      </c>
      <c r="Q517" s="42">
        <f t="shared" si="146"/>
        <v>1.5132654763891182</v>
      </c>
      <c r="R517" s="42">
        <f t="shared" si="147"/>
        <v>1.6258412592468956</v>
      </c>
      <c r="S517" s="41">
        <f t="shared" si="148"/>
        <v>-6.9241558619273502E-2</v>
      </c>
      <c r="T517" s="41">
        <f t="shared" si="132"/>
        <v>0.22715713975192478</v>
      </c>
      <c r="U517" s="41">
        <f t="shared" si="149"/>
        <v>0</v>
      </c>
      <c r="V517" s="41">
        <f t="shared" si="150"/>
        <v>-3.3523135155895112E-3</v>
      </c>
      <c r="W517" s="39">
        <f t="shared" si="136"/>
        <v>272.07</v>
      </c>
      <c r="X517" s="21"/>
    </row>
    <row r="518" spans="1:24" x14ac:dyDescent="0.2">
      <c r="A518" s="38">
        <v>45693</v>
      </c>
      <c r="B518" s="39">
        <v>274.33</v>
      </c>
      <c r="C518" s="39">
        <v>604.22</v>
      </c>
      <c r="D518" s="39">
        <v>44.534999999999997</v>
      </c>
      <c r="E518" s="41">
        <f t="shared" si="137"/>
        <v>8.3066857793949733E-3</v>
      </c>
      <c r="F518" s="41">
        <f t="shared" si="138"/>
        <v>4.0546379075410144E-3</v>
      </c>
      <c r="G518" s="41">
        <f t="shared" si="139"/>
        <v>-7.8528157953783317E-4</v>
      </c>
      <c r="H518" s="41">
        <f t="shared" si="140"/>
        <v>0.52583569720228907</v>
      </c>
      <c r="I518" s="41">
        <f t="shared" si="141"/>
        <v>0.49385615744059708</v>
      </c>
      <c r="J518" s="41">
        <f t="shared" si="142"/>
        <v>7.0167007088789424E-2</v>
      </c>
      <c r="K518" s="42">
        <f t="shared" si="133"/>
        <v>152.58356972022915</v>
      </c>
      <c r="L518" s="42">
        <f t="shared" si="134"/>
        <v>149.38561574406012</v>
      </c>
      <c r="M518" s="42">
        <f t="shared" si="135"/>
        <v>107.01670070887899</v>
      </c>
      <c r="N518" s="41">
        <f t="shared" si="143"/>
        <v>2.1407375537737305E-2</v>
      </c>
      <c r="O518" s="41">
        <f t="shared" si="144"/>
        <v>0.42579213066292354</v>
      </c>
      <c r="P518" s="39">
        <f t="shared" si="145"/>
        <v>258.73876492071861</v>
      </c>
      <c r="Q518" s="42">
        <f t="shared" si="146"/>
        <v>1.5258356972022891</v>
      </c>
      <c r="R518" s="42">
        <f t="shared" si="147"/>
        <v>1.6258412592468956</v>
      </c>
      <c r="S518" s="41">
        <f t="shared" si="148"/>
        <v>-6.1510040710204383E-2</v>
      </c>
      <c r="T518" s="41">
        <f t="shared" si="132"/>
        <v>0.1831231892053056</v>
      </c>
      <c r="U518" s="41">
        <f t="shared" si="149"/>
        <v>0</v>
      </c>
      <c r="V518" s="41">
        <f t="shared" si="150"/>
        <v>4.2520478718539589E-3</v>
      </c>
      <c r="W518" s="39">
        <f t="shared" si="136"/>
        <v>274.33</v>
      </c>
      <c r="X518" s="21"/>
    </row>
    <row r="519" spans="1:24" x14ac:dyDescent="0.2">
      <c r="A519" s="38">
        <v>45694</v>
      </c>
      <c r="B519" s="39">
        <v>277.20999999999998</v>
      </c>
      <c r="C519" s="39">
        <v>606.32000000000005</v>
      </c>
      <c r="D519" s="39">
        <v>44.69</v>
      </c>
      <c r="E519" s="41">
        <f t="shared" si="137"/>
        <v>1.0498304961178206E-2</v>
      </c>
      <c r="F519" s="41">
        <f t="shared" si="138"/>
        <v>3.4755552613285889E-3</v>
      </c>
      <c r="G519" s="41">
        <f t="shared" si="139"/>
        <v>3.48040866734034E-3</v>
      </c>
      <c r="H519" s="41">
        <f t="shared" si="140"/>
        <v>0.5418543856721707</v>
      </c>
      <c r="I519" s="41">
        <f t="shared" si="141"/>
        <v>0.49904813706825779</v>
      </c>
      <c r="J519" s="41">
        <f t="shared" si="142"/>
        <v>7.3891625615762901E-2</v>
      </c>
      <c r="K519" s="42">
        <f t="shared" si="133"/>
        <v>154.18543856721732</v>
      </c>
      <c r="L519" s="42">
        <f t="shared" si="134"/>
        <v>149.90481370682622</v>
      </c>
      <c r="M519" s="42">
        <f t="shared" si="135"/>
        <v>107.38916256157634</v>
      </c>
      <c r="N519" s="41">
        <f t="shared" si="143"/>
        <v>2.8555619759903506E-2</v>
      </c>
      <c r="O519" s="41">
        <f t="shared" si="144"/>
        <v>0.43576348757546257</v>
      </c>
      <c r="P519" s="39">
        <f t="shared" si="145"/>
        <v>258.92255830459209</v>
      </c>
      <c r="Q519" s="42">
        <f t="shared" si="146"/>
        <v>1.5418543856721707</v>
      </c>
      <c r="R519" s="42">
        <f t="shared" si="147"/>
        <v>1.6258412592468956</v>
      </c>
      <c r="S519" s="41">
        <f t="shared" si="148"/>
        <v>-5.1657486914576389E-2</v>
      </c>
      <c r="T519" s="41">
        <f t="shared" si="132"/>
        <v>0.1845873957116857</v>
      </c>
      <c r="U519" s="41">
        <f t="shared" si="149"/>
        <v>0</v>
      </c>
      <c r="V519" s="41">
        <f t="shared" si="150"/>
        <v>7.0227496998496175E-3</v>
      </c>
      <c r="W519" s="39">
        <f t="shared" si="136"/>
        <v>277.20999999999998</v>
      </c>
      <c r="X519" s="21"/>
    </row>
    <row r="520" spans="1:24" x14ac:dyDescent="0.2">
      <c r="A520" s="38">
        <v>45695</v>
      </c>
      <c r="B520" s="39">
        <v>272.92</v>
      </c>
      <c r="C520" s="39">
        <v>600.77</v>
      </c>
      <c r="D520" s="39">
        <v>44.145000000000003</v>
      </c>
      <c r="E520" s="41">
        <f t="shared" si="137"/>
        <v>-1.5475632192200717E-2</v>
      </c>
      <c r="F520" s="41">
        <f t="shared" si="138"/>
        <v>-9.1535822667899724E-3</v>
      </c>
      <c r="G520" s="41">
        <f t="shared" si="139"/>
        <v>-1.2195121951219412E-2</v>
      </c>
      <c r="H520" s="41">
        <f t="shared" si="140"/>
        <v>0.51799321430557654</v>
      </c>
      <c r="I520" s="41">
        <f t="shared" si="141"/>
        <v>0.4853264766237253</v>
      </c>
      <c r="J520" s="41">
        <f t="shared" si="142"/>
        <v>6.0795386278985397E-2</v>
      </c>
      <c r="K520" s="42">
        <f t="shared" si="133"/>
        <v>151.79932143055791</v>
      </c>
      <c r="L520" s="42">
        <f t="shared" si="134"/>
        <v>148.53264766237297</v>
      </c>
      <c r="M520" s="42">
        <f t="shared" si="135"/>
        <v>106.0795386278986</v>
      </c>
      <c r="N520" s="41">
        <f t="shared" si="143"/>
        <v>2.1992968008020419E-2</v>
      </c>
      <c r="O520" s="41">
        <f t="shared" si="144"/>
        <v>0.43099530214807125</v>
      </c>
      <c r="P520" s="39">
        <f t="shared" si="145"/>
        <v>259.06183633141205</v>
      </c>
      <c r="Q520" s="42">
        <f t="shared" si="146"/>
        <v>1.5179932143055765</v>
      </c>
      <c r="R520" s="42">
        <f t="shared" si="147"/>
        <v>1.6258412592468956</v>
      </c>
      <c r="S520" s="41">
        <f t="shared" si="148"/>
        <v>-6.6333686839313732E-2</v>
      </c>
      <c r="T520" s="41">
        <f t="shared" si="132"/>
        <v>0.18649887786038385</v>
      </c>
      <c r="U520" s="41">
        <f t="shared" si="149"/>
        <v>-1.563128205499198E-2</v>
      </c>
      <c r="V520" s="41">
        <f t="shared" si="150"/>
        <v>-6.3220499254107443E-3</v>
      </c>
      <c r="W520" s="39">
        <f t="shared" si="136"/>
        <v>272.92</v>
      </c>
      <c r="X520" s="21"/>
    </row>
    <row r="521" spans="1:24" x14ac:dyDescent="0.2">
      <c r="A521" s="38">
        <v>45698</v>
      </c>
      <c r="B521" s="39">
        <v>268.56</v>
      </c>
      <c r="C521" s="39">
        <v>604.85</v>
      </c>
      <c r="D521" s="39">
        <v>44.37</v>
      </c>
      <c r="E521" s="41">
        <f t="shared" si="137"/>
        <v>-1.5975377399970792E-2</v>
      </c>
      <c r="F521" s="41">
        <f t="shared" si="138"/>
        <v>6.7912845182016568E-3</v>
      </c>
      <c r="G521" s="41">
        <f t="shared" si="139"/>
        <v>5.0968399592250524E-3</v>
      </c>
      <c r="H521" s="41">
        <f t="shared" si="140"/>
        <v>0.49374269981645025</v>
      </c>
      <c r="I521" s="41">
        <f t="shared" si="141"/>
        <v>0.49541375132889498</v>
      </c>
      <c r="J521" s="41">
        <f t="shared" si="142"/>
        <v>6.6202090592333729E-2</v>
      </c>
      <c r="K521" s="42">
        <f t="shared" si="133"/>
        <v>149.37426998164526</v>
      </c>
      <c r="L521" s="42">
        <f t="shared" si="134"/>
        <v>149.54137513288995</v>
      </c>
      <c r="M521" s="42">
        <f t="shared" si="135"/>
        <v>106.62020905923345</v>
      </c>
      <c r="N521" s="41">
        <f t="shared" si="143"/>
        <v>-1.1174509469100702E-3</v>
      </c>
      <c r="O521" s="41">
        <f t="shared" si="144"/>
        <v>0.40099397008928594</v>
      </c>
      <c r="P521" s="39">
        <f t="shared" si="145"/>
        <v>259.15634542264178</v>
      </c>
      <c r="Q521" s="42">
        <f t="shared" si="146"/>
        <v>1.4937426998164502</v>
      </c>
      <c r="R521" s="42">
        <f t="shared" si="147"/>
        <v>1.6258412592468956</v>
      </c>
      <c r="S521" s="41">
        <f t="shared" si="148"/>
        <v>-8.1249358557694995E-2</v>
      </c>
      <c r="T521" s="41">
        <f t="shared" si="132"/>
        <v>0.18898106524502911</v>
      </c>
      <c r="U521" s="41">
        <f t="shared" si="149"/>
        <v>-1.6131027262762054E-2</v>
      </c>
      <c r="V521" s="41">
        <f t="shared" si="150"/>
        <v>-2.2766661918172448E-2</v>
      </c>
      <c r="W521" s="39">
        <f t="shared" si="136"/>
        <v>268.56</v>
      </c>
      <c r="X521" s="21"/>
    </row>
    <row r="522" spans="1:24" x14ac:dyDescent="0.2">
      <c r="A522" s="38">
        <v>45699</v>
      </c>
      <c r="B522" s="39">
        <v>267.77</v>
      </c>
      <c r="C522" s="39">
        <v>605.30999999999995</v>
      </c>
      <c r="D522" s="39">
        <v>44.63</v>
      </c>
      <c r="E522" s="41">
        <f t="shared" si="137"/>
        <v>-2.9416145367888724E-3</v>
      </c>
      <c r="F522" s="41">
        <f t="shared" si="138"/>
        <v>7.6051913697594564E-4</v>
      </c>
      <c r="G522" s="41">
        <f t="shared" si="139"/>
        <v>5.8598151904440954E-3</v>
      </c>
      <c r="H522" s="41">
        <f t="shared" si="140"/>
        <v>0.48934868457644787</v>
      </c>
      <c r="I522" s="41">
        <f t="shared" si="141"/>
        <v>0.49655104210447765</v>
      </c>
      <c r="J522" s="41">
        <f t="shared" si="142"/>
        <v>7.2449837798870043E-2</v>
      </c>
      <c r="K522" s="42">
        <f t="shared" si="133"/>
        <v>148.93486845764502</v>
      </c>
      <c r="L522" s="42">
        <f t="shared" si="134"/>
        <v>149.6551042104482</v>
      </c>
      <c r="M522" s="42">
        <f t="shared" si="135"/>
        <v>107.24498377988706</v>
      </c>
      <c r="N522" s="41">
        <f t="shared" si="143"/>
        <v>-4.812637407877296E-3</v>
      </c>
      <c r="O522" s="41">
        <f t="shared" si="144"/>
        <v>0.38873505508960138</v>
      </c>
      <c r="P522" s="39">
        <f t="shared" si="145"/>
        <v>259.24205342838667</v>
      </c>
      <c r="Q522" s="42">
        <f t="shared" si="146"/>
        <v>1.4893486845764479</v>
      </c>
      <c r="R522" s="42">
        <f t="shared" si="147"/>
        <v>1.6258412592468956</v>
      </c>
      <c r="S522" s="41">
        <f t="shared" si="148"/>
        <v>-8.3951968800245802E-2</v>
      </c>
      <c r="T522" s="41">
        <f t="shared" si="132"/>
        <v>0.18756883045620346</v>
      </c>
      <c r="U522" s="41">
        <f t="shared" si="149"/>
        <v>-3.0972643995801352E-3</v>
      </c>
      <c r="V522" s="41">
        <f t="shared" si="150"/>
        <v>-3.7021336737648181E-3</v>
      </c>
      <c r="W522" s="39">
        <f t="shared" si="136"/>
        <v>267.77</v>
      </c>
      <c r="X522" s="21"/>
    </row>
    <row r="523" spans="1:24" x14ac:dyDescent="0.2">
      <c r="A523" s="38">
        <v>45700</v>
      </c>
      <c r="B523" s="39">
        <v>263.81</v>
      </c>
      <c r="C523" s="39">
        <v>603.36</v>
      </c>
      <c r="D523" s="39">
        <v>44.31</v>
      </c>
      <c r="E523" s="41">
        <f t="shared" si="137"/>
        <v>-1.4788811293274029E-2</v>
      </c>
      <c r="F523" s="41">
        <f t="shared" si="138"/>
        <v>-3.221489815135925E-3</v>
      </c>
      <c r="G523" s="41">
        <f t="shared" si="139"/>
        <v>-7.1700649787138637E-3</v>
      </c>
      <c r="H523" s="41">
        <f t="shared" si="140"/>
        <v>0.46732298793036087</v>
      </c>
      <c r="I523" s="41">
        <f t="shared" si="141"/>
        <v>0.49172991816450695</v>
      </c>
      <c r="J523" s="41">
        <f t="shared" si="142"/>
        <v>6.4760302775441092E-2</v>
      </c>
      <c r="K523" s="42">
        <f t="shared" si="133"/>
        <v>146.73229879303634</v>
      </c>
      <c r="L523" s="42">
        <f t="shared" si="134"/>
        <v>149.17299181645117</v>
      </c>
      <c r="M523" s="42">
        <f t="shared" si="135"/>
        <v>106.47603027754415</v>
      </c>
      <c r="N523" s="41">
        <f t="shared" si="143"/>
        <v>-1.6361494086126194E-2</v>
      </c>
      <c r="O523" s="41">
        <f t="shared" si="144"/>
        <v>0.37807822484139009</v>
      </c>
      <c r="P523" s="39">
        <f t="shared" si="145"/>
        <v>259.28750563307938</v>
      </c>
      <c r="Q523" s="42">
        <f t="shared" si="146"/>
        <v>1.4673229879303609</v>
      </c>
      <c r="R523" s="42">
        <f t="shared" si="147"/>
        <v>1.6258412592468956</v>
      </c>
      <c r="S523" s="41">
        <f t="shared" si="148"/>
        <v>-9.7499230269234127E-2</v>
      </c>
      <c r="T523" s="41">
        <f t="shared" si="132"/>
        <v>0.18962564706329754</v>
      </c>
      <c r="U523" s="41">
        <f t="shared" si="149"/>
        <v>-1.4944461156065292E-2</v>
      </c>
      <c r="V523" s="41">
        <f t="shared" si="150"/>
        <v>-1.1567321478138104E-2</v>
      </c>
      <c r="W523" s="39">
        <f t="shared" si="136"/>
        <v>263.81</v>
      </c>
      <c r="X523" s="21"/>
    </row>
    <row r="524" spans="1:24" x14ac:dyDescent="0.2">
      <c r="A524" s="38">
        <v>45701</v>
      </c>
      <c r="B524" s="39">
        <v>269.33</v>
      </c>
      <c r="C524" s="39">
        <v>609.73</v>
      </c>
      <c r="D524" s="39">
        <v>45.08</v>
      </c>
      <c r="E524" s="41">
        <f t="shared" si="137"/>
        <v>2.09241499564079E-2</v>
      </c>
      <c r="F524" s="41">
        <f t="shared" si="138"/>
        <v>1.0557544417926223E-2</v>
      </c>
      <c r="G524" s="41">
        <f t="shared" si="139"/>
        <v>1.7377567140600236E-2</v>
      </c>
      <c r="H524" s="41">
        <f t="shared" si="140"/>
        <v>0.49802547416430021</v>
      </c>
      <c r="I524" s="41">
        <f t="shared" si="141"/>
        <v>0.50747892303507824</v>
      </c>
      <c r="J524" s="41">
        <f t="shared" si="142"/>
        <v>8.326324642556715E-2</v>
      </c>
      <c r="K524" s="42">
        <f t="shared" si="133"/>
        <v>149.80254741643029</v>
      </c>
      <c r="L524" s="42">
        <f t="shared" si="134"/>
        <v>150.74789230350828</v>
      </c>
      <c r="M524" s="42">
        <f t="shared" si="135"/>
        <v>108.32632464255676</v>
      </c>
      <c r="N524" s="41">
        <f t="shared" si="143"/>
        <v>-6.2710322023905585E-3</v>
      </c>
      <c r="O524" s="41">
        <f t="shared" si="144"/>
        <v>0.3828822117867654</v>
      </c>
      <c r="P524" s="39">
        <f t="shared" si="145"/>
        <v>259.38743095016321</v>
      </c>
      <c r="Q524" s="42">
        <f t="shared" si="146"/>
        <v>1.4980254741643002</v>
      </c>
      <c r="R524" s="42">
        <f t="shared" si="147"/>
        <v>1.6258412592468956</v>
      </c>
      <c r="S524" s="41">
        <f t="shared" si="148"/>
        <v>-7.8615168827614101E-2</v>
      </c>
      <c r="T524" s="41">
        <f t="shared" si="132"/>
        <v>0.19201109227760682</v>
      </c>
      <c r="U524" s="41">
        <f t="shared" si="149"/>
        <v>0</v>
      </c>
      <c r="V524" s="41">
        <f t="shared" si="150"/>
        <v>1.0366605538481677E-2</v>
      </c>
      <c r="W524" s="39">
        <f t="shared" si="136"/>
        <v>269.33</v>
      </c>
      <c r="X524" s="21"/>
    </row>
    <row r="525" spans="1:24" x14ac:dyDescent="0.2">
      <c r="A525" s="38">
        <v>45702</v>
      </c>
      <c r="B525" s="39">
        <v>270.45999999999998</v>
      </c>
      <c r="C525" s="39">
        <v>609.70000000000005</v>
      </c>
      <c r="D525" s="39">
        <v>44.924999999999997</v>
      </c>
      <c r="E525" s="41">
        <f t="shared" si="137"/>
        <v>4.1955964801545509E-3</v>
      </c>
      <c r="F525" s="41">
        <f t="shared" si="138"/>
        <v>-4.9202105850132405E-5</v>
      </c>
      <c r="G525" s="41">
        <f t="shared" si="139"/>
        <v>-3.4383318544809471E-3</v>
      </c>
      <c r="H525" s="41">
        <f t="shared" si="140"/>
        <v>0.50431058457088573</v>
      </c>
      <c r="I525" s="41">
        <f t="shared" si="141"/>
        <v>0.5074047518975402</v>
      </c>
      <c r="J525" s="41">
        <f t="shared" si="142"/>
        <v>7.9538627898593672E-2</v>
      </c>
      <c r="K525" s="42">
        <f t="shared" si="133"/>
        <v>150.43105845708882</v>
      </c>
      <c r="L525" s="42">
        <f t="shared" si="134"/>
        <v>150.74047518975448</v>
      </c>
      <c r="M525" s="42">
        <f t="shared" si="135"/>
        <v>107.95386278985941</v>
      </c>
      <c r="N525" s="41">
        <f t="shared" si="143"/>
        <v>-2.052645331494074E-3</v>
      </c>
      <c r="O525" s="41">
        <f t="shared" si="144"/>
        <v>0.39347545858469557</v>
      </c>
      <c r="P525" s="39">
        <f t="shared" si="145"/>
        <v>259.49760576657945</v>
      </c>
      <c r="Q525" s="42">
        <f t="shared" si="146"/>
        <v>1.5043105845708857</v>
      </c>
      <c r="R525" s="42">
        <f t="shared" si="147"/>
        <v>1.6258412592468956</v>
      </c>
      <c r="S525" s="41">
        <f t="shared" si="148"/>
        <v>-7.4749409873079431E-2</v>
      </c>
      <c r="T525" s="41">
        <f t="shared" si="132"/>
        <v>0.19081024041441139</v>
      </c>
      <c r="U525" s="41">
        <f t="shared" si="149"/>
        <v>0</v>
      </c>
      <c r="V525" s="41">
        <f t="shared" si="150"/>
        <v>4.2447985860046833E-3</v>
      </c>
      <c r="W525" s="39">
        <f t="shared" si="136"/>
        <v>270.45999999999998</v>
      </c>
      <c r="X525" s="21"/>
    </row>
    <row r="526" spans="1:24" x14ac:dyDescent="0.2">
      <c r="A526" s="38">
        <v>45706</v>
      </c>
      <c r="B526" s="39">
        <v>272.76</v>
      </c>
      <c r="C526" s="39">
        <v>611.49</v>
      </c>
      <c r="D526" s="39">
        <v>45.494999999999997</v>
      </c>
      <c r="E526" s="41">
        <f t="shared" si="137"/>
        <v>8.5040301708201316E-3</v>
      </c>
      <c r="F526" s="41">
        <f t="shared" si="138"/>
        <v>2.9358701000492538E-3</v>
      </c>
      <c r="G526" s="41">
        <f t="shared" si="139"/>
        <v>1.2687813021702743E-2</v>
      </c>
      <c r="H526" s="41">
        <f t="shared" si="140"/>
        <v>0.51710328716836051</v>
      </c>
      <c r="I526" s="41">
        <f t="shared" si="141"/>
        <v>0.51183029643730826</v>
      </c>
      <c r="J526" s="41">
        <f t="shared" si="142"/>
        <v>9.3235612159076497E-2</v>
      </c>
      <c r="K526" s="42">
        <f t="shared" si="133"/>
        <v>151.71032871683633</v>
      </c>
      <c r="L526" s="42">
        <f t="shared" si="134"/>
        <v>151.18302964373129</v>
      </c>
      <c r="M526" s="42">
        <f t="shared" si="135"/>
        <v>109.32356121590772</v>
      </c>
      <c r="N526" s="41">
        <f t="shared" si="143"/>
        <v>3.4878191973519712E-3</v>
      </c>
      <c r="O526" s="41">
        <f t="shared" si="144"/>
        <v>0.38771850303355015</v>
      </c>
      <c r="P526" s="39">
        <f t="shared" si="145"/>
        <v>259.62956988830507</v>
      </c>
      <c r="Q526" s="42">
        <f t="shared" si="146"/>
        <v>1.5171032871683605</v>
      </c>
      <c r="R526" s="42">
        <f t="shared" si="147"/>
        <v>1.6258412592468956</v>
      </c>
      <c r="S526" s="41">
        <f t="shared" si="148"/>
        <v>-6.6881050939071041E-2</v>
      </c>
      <c r="T526" s="41">
        <f t="shared" si="132"/>
        <v>0.19166391273810349</v>
      </c>
      <c r="U526" s="41">
        <f t="shared" si="149"/>
        <v>0</v>
      </c>
      <c r="V526" s="41">
        <f t="shared" si="150"/>
        <v>5.5681600707708778E-3</v>
      </c>
      <c r="W526" s="39">
        <f t="shared" si="136"/>
        <v>272.76</v>
      </c>
      <c r="X526" s="21"/>
    </row>
    <row r="527" spans="1:24" x14ac:dyDescent="0.2">
      <c r="A527" s="38">
        <v>45707</v>
      </c>
      <c r="B527" s="39">
        <v>264.97000000000003</v>
      </c>
      <c r="C527" s="39">
        <v>612.92999999999995</v>
      </c>
      <c r="D527" s="39">
        <v>44.96</v>
      </c>
      <c r="E527" s="41">
        <f t="shared" si="137"/>
        <v>-2.8559906144595804E-2</v>
      </c>
      <c r="F527" s="41">
        <f t="shared" si="138"/>
        <v>2.3549035961338838E-3</v>
      </c>
      <c r="G527" s="41">
        <f t="shared" si="139"/>
        <v>-1.1759534014726847E-2</v>
      </c>
      <c r="H527" s="41">
        <f t="shared" si="140"/>
        <v>0.47377495967517436</v>
      </c>
      <c r="I527" s="41">
        <f t="shared" si="141"/>
        <v>0.51539051103913258</v>
      </c>
      <c r="J527" s="41">
        <f t="shared" si="142"/>
        <v>8.037967079178121E-2</v>
      </c>
      <c r="K527" s="42">
        <f t="shared" si="133"/>
        <v>147.37749596751769</v>
      </c>
      <c r="L527" s="42">
        <f t="shared" si="134"/>
        <v>151.53905110391375</v>
      </c>
      <c r="M527" s="42">
        <f t="shared" si="135"/>
        <v>108.03796707917819</v>
      </c>
      <c r="N527" s="41">
        <f t="shared" si="143"/>
        <v>-2.7461932129574707E-2</v>
      </c>
      <c r="O527" s="41">
        <f t="shared" si="144"/>
        <v>0.36412688938795412</v>
      </c>
      <c r="P527" s="39">
        <f t="shared" si="145"/>
        <v>259.68270849638168</v>
      </c>
      <c r="Q527" s="42">
        <f t="shared" si="146"/>
        <v>1.4737749596751744</v>
      </c>
      <c r="R527" s="42">
        <f t="shared" si="147"/>
        <v>1.6258412592468956</v>
      </c>
      <c r="S527" s="41">
        <f t="shared" si="148"/>
        <v>-9.3530840545995031E-2</v>
      </c>
      <c r="T527" s="41">
        <f t="shared" si="132"/>
        <v>0.20019370526976638</v>
      </c>
      <c r="U527" s="41">
        <f t="shared" si="149"/>
        <v>-2.8715556007387066E-2</v>
      </c>
      <c r="V527" s="41">
        <f t="shared" si="150"/>
        <v>-3.0914809740729687E-2</v>
      </c>
      <c r="W527" s="39">
        <f t="shared" si="136"/>
        <v>264.97000000000003</v>
      </c>
      <c r="X527" s="21"/>
    </row>
    <row r="528" spans="1:24" x14ac:dyDescent="0.2">
      <c r="A528" s="38">
        <v>45708</v>
      </c>
      <c r="B528" s="39">
        <v>258.58999999999997</v>
      </c>
      <c r="C528" s="39">
        <v>610.38</v>
      </c>
      <c r="D528" s="39">
        <v>44.854999999999997</v>
      </c>
      <c r="E528" s="41">
        <f t="shared" si="137"/>
        <v>-2.4078197531796297E-2</v>
      </c>
      <c r="F528" s="41">
        <f t="shared" si="138"/>
        <v>-4.1603445744211598E-3</v>
      </c>
      <c r="G528" s="41">
        <f t="shared" si="139"/>
        <v>-2.3354092526691739E-3</v>
      </c>
      <c r="H528" s="41">
        <f t="shared" si="140"/>
        <v>0.43828911507870028</v>
      </c>
      <c r="I528" s="41">
        <f t="shared" si="141"/>
        <v>0.50908596434840159</v>
      </c>
      <c r="J528" s="41">
        <f t="shared" si="142"/>
        <v>7.7856542112218374E-2</v>
      </c>
      <c r="K528" s="42">
        <f t="shared" si="133"/>
        <v>143.82891150787029</v>
      </c>
      <c r="L528" s="42">
        <f t="shared" si="134"/>
        <v>150.90859643484066</v>
      </c>
      <c r="M528" s="42">
        <f t="shared" si="135"/>
        <v>107.78565421122191</v>
      </c>
      <c r="N528" s="41">
        <f t="shared" si="143"/>
        <v>-4.6913728536511989E-2</v>
      </c>
      <c r="O528" s="41">
        <f t="shared" si="144"/>
        <v>0.33439753704158193</v>
      </c>
      <c r="P528" s="39">
        <f t="shared" si="145"/>
        <v>259.67183577502465</v>
      </c>
      <c r="Q528" s="42">
        <f t="shared" si="146"/>
        <v>1.4382891150787003</v>
      </c>
      <c r="R528" s="42">
        <f t="shared" si="147"/>
        <v>1.6258412592468956</v>
      </c>
      <c r="S528" s="41">
        <f t="shared" si="148"/>
        <v>-0.11535698402381001</v>
      </c>
      <c r="T528" s="41">
        <f t="shared" si="132"/>
        <v>0.20583644286310712</v>
      </c>
      <c r="U528" s="41">
        <f t="shared" si="149"/>
        <v>-2.423384739458756E-2</v>
      </c>
      <c r="V528" s="41">
        <f t="shared" si="150"/>
        <v>-1.9917852957375137E-2</v>
      </c>
      <c r="W528" s="39">
        <f t="shared" si="136"/>
        <v>258.58999999999997</v>
      </c>
      <c r="X528" s="21"/>
    </row>
    <row r="529" spans="1:24" x14ac:dyDescent="0.2">
      <c r="A529" s="38">
        <v>45709</v>
      </c>
      <c r="B529" s="39">
        <v>252.86</v>
      </c>
      <c r="C529" s="39">
        <v>599.94000000000005</v>
      </c>
      <c r="D529" s="39">
        <v>44.034999999999997</v>
      </c>
      <c r="E529" s="41">
        <f t="shared" si="137"/>
        <v>-2.2158629490699466E-2</v>
      </c>
      <c r="F529" s="41">
        <f t="shared" si="138"/>
        <v>-1.7104099085815339E-2</v>
      </c>
      <c r="G529" s="41">
        <f t="shared" si="139"/>
        <v>-1.8281128079366882E-2</v>
      </c>
      <c r="H529" s="41">
        <f t="shared" si="140"/>
        <v>0.40641859947716541</v>
      </c>
      <c r="I529" s="41">
        <f t="shared" si="141"/>
        <v>0.48327440848517322</v>
      </c>
      <c r="J529" s="41">
        <f t="shared" si="142"/>
        <v>5.8152108614681453E-2</v>
      </c>
      <c r="K529" s="42">
        <f t="shared" si="133"/>
        <v>140.6418599477168</v>
      </c>
      <c r="L529" s="42">
        <f t="shared" si="134"/>
        <v>148.32744084851782</v>
      </c>
      <c r="M529" s="42">
        <f t="shared" si="135"/>
        <v>105.81521086146822</v>
      </c>
      <c r="N529" s="41">
        <f t="shared" si="143"/>
        <v>-5.1814963278776216E-2</v>
      </c>
      <c r="O529" s="41">
        <f t="shared" si="144"/>
        <v>0.32912705841358636</v>
      </c>
      <c r="P529" s="39">
        <f t="shared" si="145"/>
        <v>259.60405631457661</v>
      </c>
      <c r="Q529" s="42">
        <f t="shared" si="146"/>
        <v>1.4064185994771654</v>
      </c>
      <c r="R529" s="42">
        <f t="shared" si="147"/>
        <v>1.6258412592468956</v>
      </c>
      <c r="S529" s="41">
        <f t="shared" si="148"/>
        <v>-0.13495946084636135</v>
      </c>
      <c r="T529" s="41">
        <f t="shared" si="132"/>
        <v>0.20839400386881304</v>
      </c>
      <c r="U529" s="41">
        <f t="shared" si="149"/>
        <v>-2.2314279353490729E-2</v>
      </c>
      <c r="V529" s="41">
        <f t="shared" si="150"/>
        <v>-5.0545304048841277E-3</v>
      </c>
      <c r="W529" s="39">
        <f t="shared" si="136"/>
        <v>252.86</v>
      </c>
      <c r="X529" s="21"/>
    </row>
    <row r="530" spans="1:24" x14ac:dyDescent="0.2">
      <c r="A530" s="38">
        <v>45712</v>
      </c>
      <c r="B530" s="39">
        <v>251.56</v>
      </c>
      <c r="C530" s="39">
        <v>597.21</v>
      </c>
      <c r="D530" s="39">
        <v>43.984999999999999</v>
      </c>
      <c r="E530" s="41">
        <f t="shared" si="137"/>
        <v>-5.1411848453690734E-3</v>
      </c>
      <c r="F530" s="41">
        <f t="shared" si="138"/>
        <v>-4.5504550455045534E-3</v>
      </c>
      <c r="G530" s="41">
        <f t="shared" si="139"/>
        <v>-1.1354604292039827E-3</v>
      </c>
      <c r="H530" s="41">
        <f t="shared" si="140"/>
        <v>0.39918794148728831</v>
      </c>
      <c r="I530" s="41">
        <f t="shared" si="141"/>
        <v>0.47652483496921416</v>
      </c>
      <c r="J530" s="41">
        <f t="shared" si="142"/>
        <v>5.6950618767270811E-2</v>
      </c>
      <c r="K530" s="42">
        <f t="shared" si="133"/>
        <v>139.91879414872906</v>
      </c>
      <c r="L530" s="42">
        <f t="shared" si="134"/>
        <v>147.65248349692192</v>
      </c>
      <c r="M530" s="42">
        <f t="shared" si="135"/>
        <v>105.69506187672712</v>
      </c>
      <c r="N530" s="41">
        <f t="shared" si="143"/>
        <v>-5.2377644893144226E-2</v>
      </c>
      <c r="O530" s="41">
        <f t="shared" si="144"/>
        <v>0.32379688950763974</v>
      </c>
      <c r="P530" s="39">
        <f t="shared" si="145"/>
        <v>259.52401595323755</v>
      </c>
      <c r="Q530" s="42">
        <f t="shared" si="146"/>
        <v>1.3991879414872883</v>
      </c>
      <c r="R530" s="42">
        <f t="shared" si="147"/>
        <v>1.6258412592468956</v>
      </c>
      <c r="S530" s="41">
        <f t="shared" si="148"/>
        <v>-0.13940679415688784</v>
      </c>
      <c r="T530" s="41">
        <f t="shared" si="132"/>
        <v>0.20648171788482375</v>
      </c>
      <c r="U530" s="41">
        <f t="shared" si="149"/>
        <v>-5.2968347081603362E-3</v>
      </c>
      <c r="V530" s="41">
        <f t="shared" si="150"/>
        <v>-5.9072979986452001E-4</v>
      </c>
      <c r="W530" s="39">
        <f t="shared" si="136"/>
        <v>251.56</v>
      </c>
      <c r="X530" s="21"/>
    </row>
    <row r="531" spans="1:24" x14ac:dyDescent="0.2">
      <c r="A531" s="38">
        <v>45713</v>
      </c>
      <c r="B531" s="39">
        <v>249.79</v>
      </c>
      <c r="C531" s="39">
        <v>594.24</v>
      </c>
      <c r="D531" s="39">
        <v>44.325000000000003</v>
      </c>
      <c r="E531" s="41">
        <f t="shared" si="137"/>
        <v>-7.0360947686437525E-3</v>
      </c>
      <c r="F531" s="41">
        <f t="shared" si="138"/>
        <v>-4.9731250313960196E-3</v>
      </c>
      <c r="G531" s="41">
        <f t="shared" si="139"/>
        <v>7.7299079231556433E-3</v>
      </c>
      <c r="H531" s="41">
        <f t="shared" si="140"/>
        <v>0.38934312253184022</v>
      </c>
      <c r="I531" s="41">
        <f t="shared" si="141"/>
        <v>0.46918189235295094</v>
      </c>
      <c r="J531" s="41">
        <f t="shared" si="142"/>
        <v>6.5120749729664196E-2</v>
      </c>
      <c r="K531" s="42">
        <f t="shared" si="133"/>
        <v>138.93431225318426</v>
      </c>
      <c r="L531" s="42">
        <f t="shared" si="134"/>
        <v>146.91818923529556</v>
      </c>
      <c r="M531" s="42">
        <f t="shared" si="135"/>
        <v>106.51207497296649</v>
      </c>
      <c r="N531" s="41">
        <f t="shared" si="143"/>
        <v>-5.4342331767542995E-2</v>
      </c>
      <c r="O531" s="41">
        <f t="shared" si="144"/>
        <v>0.3043996400262281</v>
      </c>
      <c r="P531" s="39">
        <f t="shared" si="145"/>
        <v>259.42716007310588</v>
      </c>
      <c r="Q531" s="42">
        <f t="shared" si="146"/>
        <v>1.3893431225318402</v>
      </c>
      <c r="R531" s="42">
        <f t="shared" si="147"/>
        <v>1.6258412592468956</v>
      </c>
      <c r="S531" s="41">
        <f t="shared" si="148"/>
        <v>-0.14546200951045085</v>
      </c>
      <c r="T531" s="41">
        <f t="shared" si="132"/>
        <v>0.20145558738331845</v>
      </c>
      <c r="U531" s="41">
        <f t="shared" si="149"/>
        <v>-7.1917446314350153E-3</v>
      </c>
      <c r="V531" s="41">
        <f t="shared" si="150"/>
        <v>-2.0629697372477329E-3</v>
      </c>
      <c r="W531" s="39">
        <f t="shared" si="136"/>
        <v>249.79</v>
      </c>
      <c r="X531" s="21"/>
    </row>
    <row r="532" spans="1:24" x14ac:dyDescent="0.2">
      <c r="A532" s="38">
        <v>45714</v>
      </c>
      <c r="B532" s="39">
        <v>250.53</v>
      </c>
      <c r="C532" s="39">
        <v>594.54</v>
      </c>
      <c r="D532" s="39">
        <v>44.305</v>
      </c>
      <c r="E532" s="41">
        <f t="shared" si="137"/>
        <v>2.9624884903318716E-3</v>
      </c>
      <c r="F532" s="41">
        <f t="shared" si="138"/>
        <v>5.0484652665572227E-4</v>
      </c>
      <c r="G532" s="41">
        <f t="shared" si="139"/>
        <v>-4.5121263395386801E-4</v>
      </c>
      <c r="H532" s="41">
        <f t="shared" si="140"/>
        <v>0.39345903554146244</v>
      </c>
      <c r="I532" s="41">
        <f t="shared" si="141"/>
        <v>0.46992360372833075</v>
      </c>
      <c r="J532" s="41">
        <f t="shared" si="142"/>
        <v>6.4640153790699761E-2</v>
      </c>
      <c r="K532" s="42">
        <f t="shared" si="133"/>
        <v>139.3459035541465</v>
      </c>
      <c r="L532" s="42">
        <f t="shared" si="134"/>
        <v>146.99236037283356</v>
      </c>
      <c r="M532" s="42">
        <f t="shared" si="135"/>
        <v>106.46401537907005</v>
      </c>
      <c r="N532" s="41">
        <f t="shared" si="143"/>
        <v>-5.2019416514520023E-2</v>
      </c>
      <c r="O532" s="41">
        <f t="shared" si="144"/>
        <v>0.30885448062426368</v>
      </c>
      <c r="P532" s="39">
        <f t="shared" si="145"/>
        <v>259.33863111715453</v>
      </c>
      <c r="Q532" s="42">
        <f t="shared" si="146"/>
        <v>1.3934590355414624</v>
      </c>
      <c r="R532" s="42">
        <f t="shared" si="147"/>
        <v>1.6258412592468956</v>
      </c>
      <c r="S532" s="41">
        <f t="shared" si="148"/>
        <v>-0.14293045054907438</v>
      </c>
      <c r="T532" s="41">
        <f t="shared" si="132"/>
        <v>0.20154530861448064</v>
      </c>
      <c r="U532" s="41">
        <f t="shared" si="149"/>
        <v>0</v>
      </c>
      <c r="V532" s="41">
        <f t="shared" si="150"/>
        <v>2.4576419636761493E-3</v>
      </c>
      <c r="W532" s="39">
        <f t="shared" si="136"/>
        <v>250.53</v>
      </c>
      <c r="X532" s="21"/>
    </row>
    <row r="533" spans="1:24" x14ac:dyDescent="0.2">
      <c r="A533" s="38">
        <v>45715</v>
      </c>
      <c r="B533" s="39">
        <v>245.12</v>
      </c>
      <c r="C533" s="39">
        <v>585.04999999999995</v>
      </c>
      <c r="D533" s="39">
        <v>44.005000000000003</v>
      </c>
      <c r="E533" s="41">
        <f t="shared" si="137"/>
        <v>-2.1594220253063456E-2</v>
      </c>
      <c r="F533" s="41">
        <f t="shared" si="138"/>
        <v>-1.5961920139940133E-2</v>
      </c>
      <c r="G533" s="41">
        <f t="shared" si="139"/>
        <v>-6.7712447804987308E-3</v>
      </c>
      <c r="H533" s="41">
        <f t="shared" si="140"/>
        <v>0.36336837421435875</v>
      </c>
      <c r="I533" s="41">
        <f t="shared" si="141"/>
        <v>0.44646080055380621</v>
      </c>
      <c r="J533" s="41">
        <f t="shared" si="142"/>
        <v>5.7431214706235023E-2</v>
      </c>
      <c r="K533" s="42">
        <f t="shared" si="133"/>
        <v>136.33683742143612</v>
      </c>
      <c r="L533" s="42">
        <f t="shared" si="134"/>
        <v>144.64608005538108</v>
      </c>
      <c r="M533" s="42">
        <f t="shared" si="135"/>
        <v>105.74312147062356</v>
      </c>
      <c r="N533" s="41">
        <f t="shared" si="143"/>
        <v>-5.744533575167321E-2</v>
      </c>
      <c r="O533" s="41">
        <f t="shared" si="144"/>
        <v>0.28932109744189471</v>
      </c>
      <c r="P533" s="39">
        <f t="shared" si="145"/>
        <v>259.19715220056594</v>
      </c>
      <c r="Q533" s="42">
        <f t="shared" si="146"/>
        <v>1.3633683742143587</v>
      </c>
      <c r="R533" s="42">
        <f t="shared" si="147"/>
        <v>1.6258412592468956</v>
      </c>
      <c r="S533" s="41">
        <f t="shared" si="148"/>
        <v>-0.16143819917211144</v>
      </c>
      <c r="T533" s="41">
        <f t="shared" si="132"/>
        <v>0.20519910563370855</v>
      </c>
      <c r="U533" s="41">
        <f t="shared" si="149"/>
        <v>-2.1749870115854719E-2</v>
      </c>
      <c r="V533" s="41">
        <f t="shared" si="150"/>
        <v>-5.632300113123323E-3</v>
      </c>
      <c r="W533" s="39">
        <f t="shared" si="136"/>
        <v>245.12</v>
      </c>
      <c r="X533" s="21"/>
    </row>
    <row r="534" spans="1:24" x14ac:dyDescent="0.2">
      <c r="A534" s="38">
        <v>45716</v>
      </c>
      <c r="B534" s="39">
        <v>247.31</v>
      </c>
      <c r="C534" s="39">
        <v>594.17999999999995</v>
      </c>
      <c r="D534" s="39">
        <v>44.38</v>
      </c>
      <c r="E534" s="41">
        <f t="shared" si="137"/>
        <v>8.9343994778068314E-3</v>
      </c>
      <c r="F534" s="41">
        <f t="shared" si="138"/>
        <v>1.5605503803093779E-2</v>
      </c>
      <c r="G534" s="41">
        <f t="shared" si="139"/>
        <v>8.521758891035125E-3</v>
      </c>
      <c r="H534" s="41">
        <f t="shared" si="140"/>
        <v>0.37554925190499788</v>
      </c>
      <c r="I534" s="41">
        <f t="shared" si="141"/>
        <v>0.46903355007787462</v>
      </c>
      <c r="J534" s="41">
        <f t="shared" si="142"/>
        <v>6.6442388561815946E-2</v>
      </c>
      <c r="K534" s="42">
        <f t="shared" si="133"/>
        <v>137.55492519050003</v>
      </c>
      <c r="L534" s="42">
        <f t="shared" si="134"/>
        <v>146.90335500778795</v>
      </c>
      <c r="M534" s="42">
        <f t="shared" si="135"/>
        <v>106.64423885618166</v>
      </c>
      <c r="N534" s="41">
        <f t="shared" si="143"/>
        <v>-6.3636598475181883E-2</v>
      </c>
      <c r="O534" s="41">
        <f t="shared" si="144"/>
        <v>0.28984862816643808</v>
      </c>
      <c r="P534" s="39">
        <f t="shared" si="145"/>
        <v>259.0788720791673</v>
      </c>
      <c r="Q534" s="42">
        <f t="shared" si="146"/>
        <v>1.3755492519049979</v>
      </c>
      <c r="R534" s="42">
        <f t="shared" si="147"/>
        <v>1.6258412592468956</v>
      </c>
      <c r="S534" s="41">
        <f t="shared" si="148"/>
        <v>-0.15394615305668602</v>
      </c>
      <c r="T534" s="41">
        <f t="shared" si="132"/>
        <v>0.2057926382094965</v>
      </c>
      <c r="U534" s="41">
        <f t="shared" si="149"/>
        <v>0</v>
      </c>
      <c r="V534" s="41">
        <f t="shared" si="150"/>
        <v>-6.6711043252869473E-3</v>
      </c>
      <c r="W534" s="39">
        <f t="shared" si="136"/>
        <v>247.31</v>
      </c>
      <c r="X534" s="21"/>
    </row>
    <row r="535" spans="1:24" x14ac:dyDescent="0.2">
      <c r="A535" s="38">
        <v>45719</v>
      </c>
      <c r="B535" s="39">
        <v>239.77</v>
      </c>
      <c r="C535" s="39">
        <v>583.77</v>
      </c>
      <c r="D535" s="39">
        <v>43.49</v>
      </c>
      <c r="E535" s="41">
        <f t="shared" si="137"/>
        <v>-3.0488051433423591E-2</v>
      </c>
      <c r="F535" s="41">
        <f t="shared" si="138"/>
        <v>-1.7519943451479336E-2</v>
      </c>
      <c r="G535" s="41">
        <f t="shared" si="139"/>
        <v>-2.0054078413699883E-2</v>
      </c>
      <c r="H535" s="41">
        <f t="shared" si="140"/>
        <v>0.33361143556371098</v>
      </c>
      <c r="I535" s="41">
        <f t="shared" si="141"/>
        <v>0.4432961653521843</v>
      </c>
      <c r="J535" s="41">
        <f t="shared" si="142"/>
        <v>4.5055869277903948E-2</v>
      </c>
      <c r="K535" s="42">
        <f t="shared" si="133"/>
        <v>133.36114355637133</v>
      </c>
      <c r="L535" s="42">
        <f t="shared" si="134"/>
        <v>144.32961653521892</v>
      </c>
      <c r="M535" s="42">
        <f t="shared" si="135"/>
        <v>104.50558692779046</v>
      </c>
      <c r="N535" s="41">
        <f t="shared" si="143"/>
        <v>-7.5995996124405107E-2</v>
      </c>
      <c r="O535" s="41">
        <f t="shared" si="144"/>
        <v>0.27611496645168709</v>
      </c>
      <c r="P535" s="39">
        <f t="shared" si="145"/>
        <v>258.88674399877755</v>
      </c>
      <c r="Q535" s="42">
        <f t="shared" si="146"/>
        <v>1.333611435563711</v>
      </c>
      <c r="R535" s="42">
        <f t="shared" si="147"/>
        <v>1.6258412592468956</v>
      </c>
      <c r="S535" s="41">
        <f t="shared" si="148"/>
        <v>-0.17974068625773965</v>
      </c>
      <c r="T535" s="41">
        <f t="shared" si="132"/>
        <v>0.21365373253485534</v>
      </c>
      <c r="U535" s="41">
        <f t="shared" si="149"/>
        <v>-3.0643701296214854E-2</v>
      </c>
      <c r="V535" s="41">
        <f t="shared" si="150"/>
        <v>-1.2968107981944255E-2</v>
      </c>
      <c r="W535" s="39">
        <f t="shared" si="136"/>
        <v>239.77</v>
      </c>
      <c r="X535" s="21"/>
    </row>
    <row r="536" spans="1:24" x14ac:dyDescent="0.2">
      <c r="A536" s="38">
        <v>45720</v>
      </c>
      <c r="B536" s="39">
        <v>234.86</v>
      </c>
      <c r="C536" s="39">
        <v>576.86</v>
      </c>
      <c r="D536" s="39">
        <v>42.9</v>
      </c>
      <c r="E536" s="41">
        <f t="shared" si="137"/>
        <v>-2.0477958043124689E-2</v>
      </c>
      <c r="F536" s="41">
        <f t="shared" si="138"/>
        <v>-1.1836853555338478E-2</v>
      </c>
      <c r="G536" s="41">
        <f t="shared" si="139"/>
        <v>-1.3566337088986025E-2</v>
      </c>
      <c r="H536" s="41">
        <f t="shared" si="140"/>
        <v>0.30630179654040601</v>
      </c>
      <c r="I536" s="41">
        <f t="shared" si="141"/>
        <v>0.42621208000592881</v>
      </c>
      <c r="J536" s="41">
        <f t="shared" si="142"/>
        <v>3.0878289078456689E-2</v>
      </c>
      <c r="K536" s="42">
        <f t="shared" si="133"/>
        <v>130.63017965404086</v>
      </c>
      <c r="L536" s="42">
        <f t="shared" si="134"/>
        <v>142.62120800059336</v>
      </c>
      <c r="M536" s="42">
        <f t="shared" si="135"/>
        <v>103.08782890784572</v>
      </c>
      <c r="N536" s="41">
        <f t="shared" si="143"/>
        <v>-8.4076053727594524E-2</v>
      </c>
      <c r="O536" s="41">
        <f t="shared" si="144"/>
        <v>0.26717364249484921</v>
      </c>
      <c r="P536" s="39">
        <f t="shared" si="145"/>
        <v>258.6476719191877</v>
      </c>
      <c r="Q536" s="42">
        <f t="shared" si="146"/>
        <v>1.306301796540406</v>
      </c>
      <c r="R536" s="42">
        <f t="shared" si="147"/>
        <v>1.6258412592468956</v>
      </c>
      <c r="S536" s="41">
        <f t="shared" si="148"/>
        <v>-0.19653792206903586</v>
      </c>
      <c r="T536" s="41">
        <f t="shared" si="132"/>
        <v>0.21665195452180291</v>
      </c>
      <c r="U536" s="41">
        <f t="shared" si="149"/>
        <v>-2.0633607905915952E-2</v>
      </c>
      <c r="V536" s="41">
        <f t="shared" si="150"/>
        <v>-8.6411044877862109E-3</v>
      </c>
      <c r="W536" s="39">
        <f t="shared" si="136"/>
        <v>234.86</v>
      </c>
      <c r="X536" s="21"/>
    </row>
    <row r="537" spans="1:24" x14ac:dyDescent="0.2">
      <c r="A537" s="38">
        <v>45721</v>
      </c>
      <c r="B537" s="39">
        <v>240.35</v>
      </c>
      <c r="C537" s="39">
        <v>583.05999999999995</v>
      </c>
      <c r="D537" s="39">
        <v>44.02</v>
      </c>
      <c r="E537" s="41">
        <f t="shared" si="137"/>
        <v>2.3375628033722062E-2</v>
      </c>
      <c r="F537" s="41">
        <f t="shared" si="138"/>
        <v>1.0747841764032762E-2</v>
      </c>
      <c r="G537" s="41">
        <f t="shared" si="139"/>
        <v>2.6107226107226156E-2</v>
      </c>
      <c r="H537" s="41">
        <f t="shared" si="140"/>
        <v>0.33683742143611739</v>
      </c>
      <c r="I537" s="41">
        <f t="shared" si="141"/>
        <v>0.44154078176378464</v>
      </c>
      <c r="J537" s="41">
        <f t="shared" si="142"/>
        <v>5.7791661660458349E-2</v>
      </c>
      <c r="K537" s="42">
        <f t="shared" si="133"/>
        <v>133.68374214361199</v>
      </c>
      <c r="L537" s="42">
        <f t="shared" si="134"/>
        <v>144.15407817637896</v>
      </c>
      <c r="M537" s="42">
        <f t="shared" si="135"/>
        <v>105.7791661660459</v>
      </c>
      <c r="N537" s="41">
        <f t="shared" si="143"/>
        <v>-7.2632950556943965E-2</v>
      </c>
      <c r="O537" s="41">
        <f t="shared" si="144"/>
        <v>0.26380030197782967</v>
      </c>
      <c r="P537" s="39">
        <f t="shared" si="145"/>
        <v>258.46560553193211</v>
      </c>
      <c r="Q537" s="42">
        <f t="shared" si="146"/>
        <v>1.3368374214361174</v>
      </c>
      <c r="R537" s="42">
        <f t="shared" si="147"/>
        <v>1.6258412592468956</v>
      </c>
      <c r="S537" s="41">
        <f t="shared" si="148"/>
        <v>-0.17775649139612026</v>
      </c>
      <c r="T537" s="41">
        <f t="shared" si="132"/>
        <v>0.22340195343515878</v>
      </c>
      <c r="U537" s="41">
        <f t="shared" si="149"/>
        <v>0</v>
      </c>
      <c r="V537" s="41">
        <f t="shared" si="150"/>
        <v>1.2627786269689301E-2</v>
      </c>
      <c r="W537" s="39">
        <f t="shared" si="136"/>
        <v>240.35</v>
      </c>
      <c r="X537" s="21"/>
    </row>
    <row r="538" spans="1:24" x14ac:dyDescent="0.2">
      <c r="A538" s="38">
        <v>45722</v>
      </c>
      <c r="B538" s="39">
        <v>235.17</v>
      </c>
      <c r="C538" s="39">
        <v>572.71</v>
      </c>
      <c r="D538" s="39">
        <v>43.79</v>
      </c>
      <c r="E538" s="41">
        <f t="shared" si="137"/>
        <v>-2.1551903474100298E-2</v>
      </c>
      <c r="F538" s="41">
        <f t="shared" si="138"/>
        <v>-1.7751174836208805E-2</v>
      </c>
      <c r="G538" s="41">
        <f t="shared" si="139"/>
        <v>-5.2248977737392455E-3</v>
      </c>
      <c r="H538" s="41">
        <f t="shared" si="140"/>
        <v>0.30802603036876097</v>
      </c>
      <c r="I538" s="41">
        <f t="shared" si="141"/>
        <v>0.41595173931317064</v>
      </c>
      <c r="J538" s="41">
        <f t="shared" si="142"/>
        <v>5.2264808362368687E-2</v>
      </c>
      <c r="K538" s="42">
        <f t="shared" si="133"/>
        <v>130.80260303687638</v>
      </c>
      <c r="L538" s="42">
        <f t="shared" si="134"/>
        <v>141.59517393131753</v>
      </c>
      <c r="M538" s="42">
        <f t="shared" si="135"/>
        <v>105.22648083623693</v>
      </c>
      <c r="N538" s="41">
        <f t="shared" si="143"/>
        <v>-7.6221318811868999E-2</v>
      </c>
      <c r="O538" s="41">
        <f t="shared" si="144"/>
        <v>0.24305785005243252</v>
      </c>
      <c r="P538" s="39">
        <f t="shared" si="145"/>
        <v>258.23380846196267</v>
      </c>
      <c r="Q538" s="42">
        <f t="shared" si="146"/>
        <v>1.308026030368761</v>
      </c>
      <c r="R538" s="42">
        <f t="shared" si="147"/>
        <v>1.6258412592468956</v>
      </c>
      <c r="S538" s="41">
        <f t="shared" si="148"/>
        <v>-0.19547740412575676</v>
      </c>
      <c r="T538" s="41">
        <f t="shared" si="132"/>
        <v>0.22572968613011796</v>
      </c>
      <c r="U538" s="41">
        <f t="shared" si="149"/>
        <v>-2.1707553336891561E-2</v>
      </c>
      <c r="V538" s="41">
        <f t="shared" si="150"/>
        <v>-3.8007286378914928E-3</v>
      </c>
      <c r="W538" s="39">
        <f t="shared" si="136"/>
        <v>235.17</v>
      </c>
      <c r="X538" s="21"/>
    </row>
    <row r="539" spans="1:24" x14ac:dyDescent="0.2">
      <c r="A539" s="38">
        <v>45723</v>
      </c>
      <c r="B539" s="39">
        <v>220.9</v>
      </c>
      <c r="C539" s="39">
        <v>575.91999999999996</v>
      </c>
      <c r="D539" s="39">
        <v>43.91</v>
      </c>
      <c r="E539" s="41">
        <f t="shared" si="137"/>
        <v>-6.0679508440702357E-2</v>
      </c>
      <c r="F539" s="41">
        <f t="shared" si="138"/>
        <v>5.6049309423615856E-3</v>
      </c>
      <c r="G539" s="41">
        <f t="shared" si="139"/>
        <v>2.7403516784654247E-3</v>
      </c>
      <c r="H539" s="41">
        <f t="shared" si="140"/>
        <v>0.2286556538183413</v>
      </c>
      <c r="I539" s="41">
        <f t="shared" si="141"/>
        <v>0.42388805102973781</v>
      </c>
      <c r="J539" s="41">
        <f t="shared" si="142"/>
        <v>5.5148383996154626E-2</v>
      </c>
      <c r="K539" s="42">
        <f t="shared" si="133"/>
        <v>122.86556538183437</v>
      </c>
      <c r="L539" s="42">
        <f t="shared" si="134"/>
        <v>142.38880510297426</v>
      </c>
      <c r="M539" s="42">
        <f t="shared" si="135"/>
        <v>105.51483839961551</v>
      </c>
      <c r="N539" s="41">
        <f t="shared" si="143"/>
        <v>-0.13711218172679163</v>
      </c>
      <c r="O539" s="41">
        <f t="shared" si="144"/>
        <v>0.16443873909474616</v>
      </c>
      <c r="P539" s="39">
        <f t="shared" si="145"/>
        <v>257.86232778074913</v>
      </c>
      <c r="Q539" s="42">
        <f t="shared" si="146"/>
        <v>1.2286556538183413</v>
      </c>
      <c r="R539" s="42">
        <f t="shared" si="147"/>
        <v>1.6258412592468956</v>
      </c>
      <c r="S539" s="41">
        <f t="shared" si="148"/>
        <v>-0.24429543977284363</v>
      </c>
      <c r="T539" s="41">
        <f t="shared" si="132"/>
        <v>0.25455764223381278</v>
      </c>
      <c r="U539" s="41">
        <f t="shared" si="149"/>
        <v>-6.0835158303493619E-2</v>
      </c>
      <c r="V539" s="41">
        <f t="shared" si="150"/>
        <v>-6.6284439383063942E-2</v>
      </c>
      <c r="W539" s="39">
        <f t="shared" si="136"/>
        <v>220.9</v>
      </c>
      <c r="X539" s="21"/>
    </row>
    <row r="540" spans="1:24" x14ac:dyDescent="0.2">
      <c r="A540" s="38">
        <v>45726</v>
      </c>
      <c r="B540" s="39">
        <v>221.34</v>
      </c>
      <c r="C540" s="39">
        <v>560.58000000000004</v>
      </c>
      <c r="D540" s="39">
        <v>42.994999999999997</v>
      </c>
      <c r="E540" s="41">
        <f t="shared" si="137"/>
        <v>1.9918515165233686E-3</v>
      </c>
      <c r="F540" s="41">
        <f t="shared" si="138"/>
        <v>-2.6635643839421963E-2</v>
      </c>
      <c r="G540" s="41">
        <f t="shared" si="139"/>
        <v>-2.0838077886586204E-2</v>
      </c>
      <c r="H540" s="41">
        <f t="shared" si="140"/>
        <v>0.23110295344568432</v>
      </c>
      <c r="I540" s="41">
        <f t="shared" si="141"/>
        <v>0.38596187603530097</v>
      </c>
      <c r="J540" s="41">
        <f t="shared" si="142"/>
        <v>3.3161119788537086E-2</v>
      </c>
      <c r="K540" s="42">
        <f t="shared" si="133"/>
        <v>123.11029534456867</v>
      </c>
      <c r="L540" s="42">
        <f t="shared" si="134"/>
        <v>138.59618760353055</v>
      </c>
      <c r="M540" s="42">
        <f t="shared" si="135"/>
        <v>103.31611197885377</v>
      </c>
      <c r="N540" s="41">
        <f t="shared" si="143"/>
        <v>-0.11173389778412079</v>
      </c>
      <c r="O540" s="41">
        <f t="shared" si="144"/>
        <v>0.19158854303156625</v>
      </c>
      <c r="P540" s="39">
        <f t="shared" si="145"/>
        <v>257.49892153417454</v>
      </c>
      <c r="Q540" s="42">
        <f t="shared" si="146"/>
        <v>1.2311029534456843</v>
      </c>
      <c r="R540" s="42">
        <f t="shared" si="147"/>
        <v>1.6258412592468956</v>
      </c>
      <c r="S540" s="41">
        <f t="shared" si="148"/>
        <v>-0.24279018849851164</v>
      </c>
      <c r="T540" s="41">
        <f t="shared" ref="T540:T603" si="151">IFERROR(_xlfn.STDEV.S(E481:E540)*SQRT($D$7),"")</f>
        <v>0.25281791724916503</v>
      </c>
      <c r="U540" s="41">
        <f t="shared" si="149"/>
        <v>0</v>
      </c>
      <c r="V540" s="41">
        <f t="shared" si="150"/>
        <v>2.8627495355945332E-2</v>
      </c>
      <c r="W540" s="39">
        <f t="shared" si="136"/>
        <v>221.34</v>
      </c>
      <c r="X540" s="21"/>
    </row>
    <row r="541" spans="1:24" x14ac:dyDescent="0.2">
      <c r="A541" s="38">
        <v>45727</v>
      </c>
      <c r="B541" s="39">
        <v>224.71</v>
      </c>
      <c r="C541" s="39">
        <v>555.91999999999996</v>
      </c>
      <c r="D541" s="39">
        <v>42.664999999999999</v>
      </c>
      <c r="E541" s="41">
        <f t="shared" si="137"/>
        <v>1.522544501671641E-2</v>
      </c>
      <c r="F541" s="41">
        <f t="shared" si="138"/>
        <v>-8.3128188661744096E-3</v>
      </c>
      <c r="G541" s="41">
        <f t="shared" si="139"/>
        <v>-7.6753110826840443E-3</v>
      </c>
      <c r="H541" s="41">
        <f t="shared" si="140"/>
        <v>0.2498470437732887</v>
      </c>
      <c r="I541" s="41">
        <f t="shared" si="141"/>
        <v>0.3744406260043962</v>
      </c>
      <c r="J541" s="41">
        <f t="shared" si="142"/>
        <v>2.5231286795625918E-2</v>
      </c>
      <c r="K541" s="42">
        <f t="shared" si="133"/>
        <v>124.98470437732911</v>
      </c>
      <c r="L541" s="42">
        <f t="shared" si="134"/>
        <v>137.44406260044008</v>
      </c>
      <c r="M541" s="42">
        <f t="shared" si="135"/>
        <v>102.52312867956266</v>
      </c>
      <c r="N541" s="41">
        <f t="shared" si="143"/>
        <v>-9.0650392511541611E-2</v>
      </c>
      <c r="O541" s="41">
        <f t="shared" si="144"/>
        <v>0.21908788765089526</v>
      </c>
      <c r="P541" s="39">
        <f t="shared" si="145"/>
        <v>257.17266360846139</v>
      </c>
      <c r="Q541" s="42">
        <f t="shared" si="146"/>
        <v>1.2498470437732887</v>
      </c>
      <c r="R541" s="42">
        <f t="shared" si="147"/>
        <v>1.6258412592468956</v>
      </c>
      <c r="S541" s="41">
        <f t="shared" si="148"/>
        <v>-0.23126133214737754</v>
      </c>
      <c r="T541" s="41">
        <f t="shared" si="151"/>
        <v>0.25416862736399531</v>
      </c>
      <c r="U541" s="41">
        <f t="shared" si="149"/>
        <v>0</v>
      </c>
      <c r="V541" s="41">
        <f t="shared" si="150"/>
        <v>2.353826388289082E-2</v>
      </c>
      <c r="W541" s="39">
        <f t="shared" si="136"/>
        <v>224.71</v>
      </c>
      <c r="X541" s="21"/>
    </row>
    <row r="542" spans="1:24" x14ac:dyDescent="0.2">
      <c r="A542" s="38">
        <v>45728</v>
      </c>
      <c r="B542" s="39">
        <v>227.17</v>
      </c>
      <c r="C542" s="39">
        <v>558.87</v>
      </c>
      <c r="D542" s="39">
        <v>42.465000000000003</v>
      </c>
      <c r="E542" s="41">
        <f t="shared" si="137"/>
        <v>1.0947443371456478E-2</v>
      </c>
      <c r="F542" s="41">
        <f t="shared" si="138"/>
        <v>5.3065189235861343E-3</v>
      </c>
      <c r="G542" s="41">
        <f t="shared" si="139"/>
        <v>-4.6876831126214658E-3</v>
      </c>
      <c r="H542" s="41">
        <f t="shared" si="140"/>
        <v>0.26352967350797907</v>
      </c>
      <c r="I542" s="41">
        <f t="shared" si="141"/>
        <v>0.38173412119563421</v>
      </c>
      <c r="J542" s="41">
        <f t="shared" si="142"/>
        <v>2.0425327405982907E-2</v>
      </c>
      <c r="K542" s="42">
        <f t="shared" si="133"/>
        <v>126.35296735079815</v>
      </c>
      <c r="L542" s="42">
        <f t="shared" si="134"/>
        <v>138.17341211956386</v>
      </c>
      <c r="M542" s="42">
        <f t="shared" si="135"/>
        <v>102.04253274059833</v>
      </c>
      <c r="N542" s="41">
        <f t="shared" si="143"/>
        <v>-8.5547896570268622E-2</v>
      </c>
      <c r="O542" s="41">
        <f t="shared" si="144"/>
        <v>0.23823825180818492</v>
      </c>
      <c r="P542" s="39">
        <f t="shared" si="145"/>
        <v>256.87412964220806</v>
      </c>
      <c r="Q542" s="42">
        <f t="shared" si="146"/>
        <v>1.2635296735079791</v>
      </c>
      <c r="R542" s="42">
        <f t="shared" si="147"/>
        <v>1.6258412592468956</v>
      </c>
      <c r="S542" s="41">
        <f t="shared" si="148"/>
        <v>-0.22284560911361206</v>
      </c>
      <c r="T542" s="41">
        <f t="shared" si="151"/>
        <v>0.25396765628098622</v>
      </c>
      <c r="U542" s="41">
        <f t="shared" si="149"/>
        <v>0</v>
      </c>
      <c r="V542" s="41">
        <f t="shared" si="150"/>
        <v>5.6409244478703435E-3</v>
      </c>
      <c r="W542" s="39">
        <f t="shared" si="136"/>
        <v>227.17</v>
      </c>
      <c r="X542" s="21"/>
    </row>
    <row r="543" spans="1:24" x14ac:dyDescent="0.2">
      <c r="A543" s="38">
        <v>45729</v>
      </c>
      <c r="B543" s="39">
        <v>225.04</v>
      </c>
      <c r="C543" s="39">
        <v>551.41999999999996</v>
      </c>
      <c r="D543" s="39">
        <v>42.435000000000002</v>
      </c>
      <c r="E543" s="41">
        <f t="shared" si="137"/>
        <v>-9.3762380596029704E-3</v>
      </c>
      <c r="F543" s="41">
        <f t="shared" si="138"/>
        <v>-1.3330470413513096E-2</v>
      </c>
      <c r="G543" s="41">
        <f t="shared" si="139"/>
        <v>-7.0646414694452986E-4</v>
      </c>
      <c r="H543" s="41">
        <f t="shared" si="140"/>
        <v>0.25168251849379586</v>
      </c>
      <c r="I543" s="41">
        <f t="shared" si="141"/>
        <v>0.36331495537369429</v>
      </c>
      <c r="J543" s="41">
        <f t="shared" si="142"/>
        <v>1.9704433497536478E-2</v>
      </c>
      <c r="K543" s="42">
        <f t="shared" si="133"/>
        <v>125.16825184937983</v>
      </c>
      <c r="L543" s="42">
        <f t="shared" si="134"/>
        <v>136.33149553736988</v>
      </c>
      <c r="M543" s="42">
        <f t="shared" si="135"/>
        <v>101.97044334975369</v>
      </c>
      <c r="N543" s="41">
        <f t="shared" si="143"/>
        <v>-8.1883086839093067E-2</v>
      </c>
      <c r="O543" s="41">
        <f t="shared" si="144"/>
        <v>0.22749541668715301</v>
      </c>
      <c r="P543" s="39">
        <f t="shared" si="145"/>
        <v>256.55737213333038</v>
      </c>
      <c r="Q543" s="42">
        <f t="shared" si="146"/>
        <v>1.2516825184937959</v>
      </c>
      <c r="R543" s="42">
        <f t="shared" si="147"/>
        <v>1.6258412592468956</v>
      </c>
      <c r="S543" s="41">
        <f t="shared" si="148"/>
        <v>-0.23013239369162852</v>
      </c>
      <c r="T543" s="41">
        <f t="shared" si="151"/>
        <v>0.25424378048495355</v>
      </c>
      <c r="U543" s="41">
        <f t="shared" si="149"/>
        <v>-9.5318879223942332E-3</v>
      </c>
      <c r="V543" s="41">
        <f t="shared" si="150"/>
        <v>3.9542323539101254E-3</v>
      </c>
      <c r="W543" s="39">
        <f t="shared" si="136"/>
        <v>225.04</v>
      </c>
      <c r="X543" s="21"/>
    </row>
    <row r="544" spans="1:24" x14ac:dyDescent="0.2">
      <c r="A544" s="38">
        <v>45730</v>
      </c>
      <c r="B544" s="39">
        <v>231.32</v>
      </c>
      <c r="C544" s="39">
        <v>562.80999999999995</v>
      </c>
      <c r="D544" s="39">
        <v>42.99</v>
      </c>
      <c r="E544" s="41">
        <f t="shared" si="137"/>
        <v>2.7906150017774634E-2</v>
      </c>
      <c r="F544" s="41">
        <f t="shared" si="138"/>
        <v>2.0655761488520552E-2</v>
      </c>
      <c r="G544" s="41">
        <f t="shared" si="139"/>
        <v>1.3078826440438229E-2</v>
      </c>
      <c r="H544" s="41">
        <f t="shared" si="140"/>
        <v>0.28661215862950962</v>
      </c>
      <c r="I544" s="41">
        <f t="shared" si="141"/>
        <v>0.39147526392562626</v>
      </c>
      <c r="J544" s="41">
        <f t="shared" si="142"/>
        <v>3.3040970803796199E-2</v>
      </c>
      <c r="K544" s="42">
        <f t="shared" si="133"/>
        <v>128.66121586295122</v>
      </c>
      <c r="L544" s="42">
        <f t="shared" si="134"/>
        <v>139.14752639256309</v>
      </c>
      <c r="M544" s="42">
        <f t="shared" si="135"/>
        <v>103.30409708037966</v>
      </c>
      <c r="N544" s="41">
        <f t="shared" si="143"/>
        <v>-7.5361099126029063E-2</v>
      </c>
      <c r="O544" s="41">
        <f t="shared" si="144"/>
        <v>0.24546092071102743</v>
      </c>
      <c r="P544" s="39">
        <f t="shared" si="145"/>
        <v>256.30625400265052</v>
      </c>
      <c r="Q544" s="42">
        <f t="shared" si="146"/>
        <v>1.2866121586295096</v>
      </c>
      <c r="R544" s="42">
        <f t="shared" si="147"/>
        <v>1.6258412592468956</v>
      </c>
      <c r="S544" s="41">
        <f t="shared" si="148"/>
        <v>-0.20864835277616212</v>
      </c>
      <c r="T544" s="41">
        <f t="shared" si="151"/>
        <v>0.26196038866080734</v>
      </c>
      <c r="U544" s="41">
        <f t="shared" si="149"/>
        <v>0</v>
      </c>
      <c r="V544" s="41">
        <f t="shared" si="150"/>
        <v>7.2503885292540815E-3</v>
      </c>
      <c r="W544" s="39">
        <f t="shared" si="136"/>
        <v>231.32</v>
      </c>
      <c r="X544" s="21"/>
    </row>
    <row r="545" spans="1:24" x14ac:dyDescent="0.2">
      <c r="A545" s="38">
        <v>45733</v>
      </c>
      <c r="B545" s="39">
        <v>235.08</v>
      </c>
      <c r="C545" s="39">
        <v>567.15</v>
      </c>
      <c r="D545" s="39">
        <v>43.53</v>
      </c>
      <c r="E545" s="41">
        <f t="shared" si="137"/>
        <v>1.6254539166522752E-2</v>
      </c>
      <c r="F545" s="41">
        <f t="shared" si="138"/>
        <v>7.7113057692650422E-3</v>
      </c>
      <c r="G545" s="41">
        <f t="shared" si="139"/>
        <v>1.2561060711793415E-2</v>
      </c>
      <c r="H545" s="41">
        <f t="shared" si="140"/>
        <v>0.3075254463540773</v>
      </c>
      <c r="I545" s="41">
        <f t="shared" si="141"/>
        <v>0.40220535515612554</v>
      </c>
      <c r="J545" s="41">
        <f t="shared" si="142"/>
        <v>4.6017061155832595E-2</v>
      </c>
      <c r="K545" s="42">
        <f t="shared" si="133"/>
        <v>130.75254463540799</v>
      </c>
      <c r="L545" s="42">
        <f t="shared" si="134"/>
        <v>140.22053551561299</v>
      </c>
      <c r="M545" s="42">
        <f t="shared" si="135"/>
        <v>104.60170611558333</v>
      </c>
      <c r="N545" s="41">
        <f t="shared" si="143"/>
        <v>-6.7522141784650547E-2</v>
      </c>
      <c r="O545" s="41">
        <f t="shared" si="144"/>
        <v>0.25000393866356441</v>
      </c>
      <c r="P545" s="39">
        <f t="shared" si="145"/>
        <v>256.09504749516145</v>
      </c>
      <c r="Q545" s="42">
        <f t="shared" si="146"/>
        <v>1.3075254463540773</v>
      </c>
      <c r="R545" s="42">
        <f t="shared" si="147"/>
        <v>1.6258412592468956</v>
      </c>
      <c r="S545" s="41">
        <f t="shared" si="148"/>
        <v>-0.19578529643187004</v>
      </c>
      <c r="T545" s="41">
        <f t="shared" si="151"/>
        <v>0.26445785395618082</v>
      </c>
      <c r="U545" s="41">
        <f t="shared" si="149"/>
        <v>0</v>
      </c>
      <c r="V545" s="41">
        <f t="shared" si="150"/>
        <v>8.5432333972577101E-3</v>
      </c>
      <c r="W545" s="39">
        <f t="shared" si="136"/>
        <v>235.08</v>
      </c>
      <c r="X545" s="21"/>
    </row>
    <row r="546" spans="1:24" x14ac:dyDescent="0.2">
      <c r="A546" s="38">
        <v>45734</v>
      </c>
      <c r="B546" s="39">
        <v>236.5</v>
      </c>
      <c r="C546" s="39">
        <v>561.02</v>
      </c>
      <c r="D546" s="39">
        <v>43.454999999999998</v>
      </c>
      <c r="E546" s="41">
        <f t="shared" si="137"/>
        <v>6.0404968521354796E-3</v>
      </c>
      <c r="F546" s="41">
        <f t="shared" si="138"/>
        <v>-1.0808428105439472E-2</v>
      </c>
      <c r="G546" s="41">
        <f t="shared" si="139"/>
        <v>-1.7229496898690799E-3</v>
      </c>
      <c r="H546" s="41">
        <f t="shared" si="140"/>
        <v>0.31542354969686603</v>
      </c>
      <c r="I546" s="41">
        <f t="shared" si="141"/>
        <v>0.38704971938585842</v>
      </c>
      <c r="J546" s="41">
        <f t="shared" si="142"/>
        <v>4.421482638471641E-2</v>
      </c>
      <c r="K546" s="42">
        <f t="shared" si="133"/>
        <v>131.54235496968687</v>
      </c>
      <c r="L546" s="42">
        <f t="shared" si="134"/>
        <v>138.70497193858628</v>
      </c>
      <c r="M546" s="42">
        <f t="shared" si="135"/>
        <v>104.42148263847169</v>
      </c>
      <c r="N546" s="41">
        <f t="shared" si="143"/>
        <v>-5.1639222940549123E-2</v>
      </c>
      <c r="O546" s="41">
        <f t="shared" si="144"/>
        <v>0.25972502636371231</v>
      </c>
      <c r="P546" s="39">
        <f t="shared" si="145"/>
        <v>255.90007189819468</v>
      </c>
      <c r="Q546" s="42">
        <f t="shared" si="146"/>
        <v>1.315423549696866</v>
      </c>
      <c r="R546" s="42">
        <f t="shared" si="147"/>
        <v>1.6258412592468956</v>
      </c>
      <c r="S546" s="41">
        <f t="shared" si="148"/>
        <v>-0.19092744004652573</v>
      </c>
      <c r="T546" s="41">
        <f t="shared" si="151"/>
        <v>0.26360676794885396</v>
      </c>
      <c r="U546" s="41">
        <f t="shared" si="149"/>
        <v>0</v>
      </c>
      <c r="V546" s="41">
        <f t="shared" si="150"/>
        <v>1.6848924957574951E-2</v>
      </c>
      <c r="W546" s="39">
        <f t="shared" si="136"/>
        <v>236.5</v>
      </c>
      <c r="X546" s="21"/>
    </row>
    <row r="547" spans="1:24" x14ac:dyDescent="0.2">
      <c r="A547" s="38">
        <v>45735</v>
      </c>
      <c r="B547" s="39">
        <v>241.11</v>
      </c>
      <c r="C547" s="39">
        <v>567.13</v>
      </c>
      <c r="D547" s="39">
        <v>43.6</v>
      </c>
      <c r="E547" s="41">
        <f t="shared" si="137"/>
        <v>1.9492600422833073E-2</v>
      </c>
      <c r="F547" s="41">
        <f t="shared" si="138"/>
        <v>1.0890877330576476E-2</v>
      </c>
      <c r="G547" s="41">
        <f t="shared" si="139"/>
        <v>3.336785180071411E-3</v>
      </c>
      <c r="H547" s="41">
        <f t="shared" si="140"/>
        <v>0.34106457533789181</v>
      </c>
      <c r="I547" s="41">
        <f t="shared" si="141"/>
        <v>0.40215590773110033</v>
      </c>
      <c r="J547" s="41">
        <f t="shared" si="142"/>
        <v>4.7699146942207671E-2</v>
      </c>
      <c r="K547" s="42">
        <f t="shared" si="133"/>
        <v>134.10645753378944</v>
      </c>
      <c r="L547" s="42">
        <f t="shared" si="134"/>
        <v>140.21559077311048</v>
      </c>
      <c r="M547" s="42">
        <f t="shared" si="135"/>
        <v>104.76991469422083</v>
      </c>
      <c r="N547" s="41">
        <f t="shared" si="143"/>
        <v>-4.356957172620235E-2</v>
      </c>
      <c r="O547" s="41">
        <f t="shared" si="144"/>
        <v>0.28000922712583498</v>
      </c>
      <c r="P547" s="39">
        <f t="shared" si="145"/>
        <v>255.75290700368529</v>
      </c>
      <c r="Q547" s="42">
        <f t="shared" si="146"/>
        <v>1.3410645753378918</v>
      </c>
      <c r="R547" s="42">
        <f t="shared" si="147"/>
        <v>1.6258412592468956</v>
      </c>
      <c r="S547" s="41">
        <f t="shared" si="148"/>
        <v>-0.17515651192227399</v>
      </c>
      <c r="T547" s="41">
        <f t="shared" si="151"/>
        <v>0.26153726469123323</v>
      </c>
      <c r="U547" s="41">
        <f t="shared" si="149"/>
        <v>0</v>
      </c>
      <c r="V547" s="41">
        <f t="shared" si="150"/>
        <v>8.6017230922565968E-3</v>
      </c>
      <c r="W547" s="39">
        <f t="shared" si="136"/>
        <v>241.11</v>
      </c>
      <c r="X547" s="21"/>
    </row>
    <row r="548" spans="1:24" x14ac:dyDescent="0.2">
      <c r="A548" s="38">
        <v>45736</v>
      </c>
      <c r="B548" s="39">
        <v>238.72</v>
      </c>
      <c r="C548" s="39">
        <v>565.49</v>
      </c>
      <c r="D548" s="39">
        <v>43.325000000000003</v>
      </c>
      <c r="E548" s="41">
        <f t="shared" si="137"/>
        <v>-9.9124880759819956E-3</v>
      </c>
      <c r="F548" s="41">
        <f t="shared" si="138"/>
        <v>-2.8917532135489532E-3</v>
      </c>
      <c r="G548" s="41">
        <f t="shared" si="139"/>
        <v>-6.307339449541205E-3</v>
      </c>
      <c r="H548" s="41">
        <f t="shared" si="140"/>
        <v>0.32777128872573313</v>
      </c>
      <c r="I548" s="41">
        <f t="shared" si="141"/>
        <v>0.39810121887902228</v>
      </c>
      <c r="J548" s="41">
        <f t="shared" si="142"/>
        <v>4.1090952781448475E-2</v>
      </c>
      <c r="K548" s="42">
        <f t="shared" ref="K548:K611" si="152">IFERROR(B548/$B$36*100,"")</f>
        <v>132.77712887257357</v>
      </c>
      <c r="L548" s="42">
        <f t="shared" ref="L548:L611" si="153">IFERROR(C548/$C$36*100,"")</f>
        <v>139.81012188790268</v>
      </c>
      <c r="M548" s="42">
        <f t="shared" ref="M548:M611" si="154">IFERROR(D548/$D$36*100,"")</f>
        <v>104.10909527814489</v>
      </c>
      <c r="N548" s="41">
        <f t="shared" si="143"/>
        <v>-5.0303890164460796E-2</v>
      </c>
      <c r="O548" s="41">
        <f t="shared" si="144"/>
        <v>0.27536531287527777</v>
      </c>
      <c r="P548" s="39">
        <f t="shared" si="145"/>
        <v>255.58342534195708</v>
      </c>
      <c r="Q548" s="42">
        <f t="shared" si="146"/>
        <v>1.3277712887257331</v>
      </c>
      <c r="R548" s="42">
        <f t="shared" si="147"/>
        <v>1.6258412592468956</v>
      </c>
      <c r="S548" s="41">
        <f t="shared" si="148"/>
        <v>-0.18333276316239577</v>
      </c>
      <c r="T548" s="41">
        <f t="shared" si="151"/>
        <v>0.26061898392406752</v>
      </c>
      <c r="U548" s="41">
        <f t="shared" si="149"/>
        <v>-1.0068137938773258E-2</v>
      </c>
      <c r="V548" s="41">
        <f t="shared" si="150"/>
        <v>-7.0207348624330423E-3</v>
      </c>
      <c r="W548" s="39">
        <f t="shared" ref="W548:W611" si="155">B548</f>
        <v>238.72</v>
      </c>
      <c r="X548" s="21"/>
    </row>
    <row r="549" spans="1:24" x14ac:dyDescent="0.2">
      <c r="A549" s="38">
        <v>45737</v>
      </c>
      <c r="B549" s="39">
        <v>234.08</v>
      </c>
      <c r="C549" s="39">
        <v>563.98</v>
      </c>
      <c r="D549" s="39">
        <v>42.895000000000003</v>
      </c>
      <c r="E549" s="41">
        <f t="shared" ref="E549:E612" si="156">IFERROR(B549/B548-1,"")</f>
        <v>-1.943699731903481E-2</v>
      </c>
      <c r="F549" s="41">
        <f t="shared" ref="F549:F612" si="157">IFERROR(C549/C548-1,"")</f>
        <v>-2.6702505791437181E-3</v>
      </c>
      <c r="G549" s="41">
        <f t="shared" ref="G549:G612" si="158">IFERROR(D549/D548-1,"")</f>
        <v>-9.9249855741488924E-3</v>
      </c>
      <c r="H549" s="41">
        <f t="shared" ref="H549:H612" si="159">IFERROR((1+E549)*(1+H548)-1,"")</f>
        <v>0.30196340174647962</v>
      </c>
      <c r="I549" s="41">
        <f t="shared" ref="I549:I612" si="160">IFERROR((1+F549)*(1+I548)-1,"")</f>
        <v>0.39436793828960903</v>
      </c>
      <c r="J549" s="41">
        <f t="shared" ref="J549:J612" si="161">IFERROR((1+G549)*(1+J548)-1,"")</f>
        <v>3.075814009371558E-2</v>
      </c>
      <c r="K549" s="42">
        <f t="shared" si="152"/>
        <v>130.19634017464821</v>
      </c>
      <c r="L549" s="42">
        <f t="shared" si="153"/>
        <v>139.43679382896136</v>
      </c>
      <c r="M549" s="42">
        <f t="shared" si="154"/>
        <v>103.07581400937163</v>
      </c>
      <c r="N549" s="41">
        <f t="shared" ref="N549:N612" si="162">IFERROR((1+H549)/(1+I549)-1,"")</f>
        <v>-6.6269837397779474E-2</v>
      </c>
      <c r="O549" s="41">
        <f t="shared" ref="O549:O612" si="163">IFERROR((1+H549)/(1+J549)-1,"")</f>
        <v>0.26311241318754597</v>
      </c>
      <c r="P549" s="39">
        <f t="shared" ref="P549:P612" si="164">IFERROR(B549*0.0099502487562189+P548*(1-0.0099502487562189),"")</f>
        <v>255.36946091069382</v>
      </c>
      <c r="Q549" s="42">
        <f t="shared" ref="Q549:Q612" si="165">Q548*(1+E549)</f>
        <v>1.3019634017464796</v>
      </c>
      <c r="R549" s="42">
        <f t="shared" ref="R549:R612" si="166">MAX(R548,Q549)</f>
        <v>1.6258412592468956</v>
      </c>
      <c r="S549" s="41">
        <f t="shared" ref="S549:S612" si="167">IFERROR(Q549/R549-1,"")</f>
        <v>-0.19920632205535194</v>
      </c>
      <c r="T549" s="41">
        <f t="shared" si="151"/>
        <v>0.26239831970425048</v>
      </c>
      <c r="U549" s="41">
        <f t="shared" ref="U549:U612" si="168">IFERROR(MIN(E549-$D$6,0),"")</f>
        <v>-1.9592647181826073E-2</v>
      </c>
      <c r="V549" s="41">
        <f t="shared" ref="V549:V612" si="169">IFERROR(E549-F549,"")</f>
        <v>-1.6766746739891092E-2</v>
      </c>
      <c r="W549" s="39">
        <f t="shared" si="155"/>
        <v>234.08</v>
      </c>
      <c r="X549" s="21"/>
    </row>
    <row r="550" spans="1:24" x14ac:dyDescent="0.2">
      <c r="A550" s="38">
        <v>45740</v>
      </c>
      <c r="B550" s="39">
        <v>240.81</v>
      </c>
      <c r="C550" s="39">
        <v>574.08000000000004</v>
      </c>
      <c r="D550" s="39">
        <v>43.27</v>
      </c>
      <c r="E550" s="41">
        <f t="shared" si="156"/>
        <v>2.8750854408749138E-2</v>
      </c>
      <c r="F550" s="41">
        <f t="shared" si="157"/>
        <v>1.7908436469378453E-2</v>
      </c>
      <c r="G550" s="41">
        <f t="shared" si="158"/>
        <v>8.7422776547383396E-3</v>
      </c>
      <c r="H550" s="41">
        <f t="shared" si="159"/>
        <v>0.33939596195561239</v>
      </c>
      <c r="I550" s="41">
        <f t="shared" si="160"/>
        <v>0.4193388879274067</v>
      </c>
      <c r="J550" s="41">
        <f t="shared" si="161"/>
        <v>3.9769313949296503E-2</v>
      </c>
      <c r="K550" s="42">
        <f t="shared" si="152"/>
        <v>133.93959619556151</v>
      </c>
      <c r="L550" s="42">
        <f t="shared" si="153"/>
        <v>141.9338887927411</v>
      </c>
      <c r="M550" s="42">
        <f t="shared" si="154"/>
        <v>103.97693139492972</v>
      </c>
      <c r="N550" s="41">
        <f t="shared" si="162"/>
        <v>-5.6324058089136986E-2</v>
      </c>
      <c r="O550" s="41">
        <f t="shared" si="163"/>
        <v>0.28816646537515234</v>
      </c>
      <c r="P550" s="39">
        <f t="shared" si="164"/>
        <v>255.22459065287597</v>
      </c>
      <c r="Q550" s="42">
        <f t="shared" si="165"/>
        <v>1.3393959619556124</v>
      </c>
      <c r="R550" s="42">
        <f t="shared" si="166"/>
        <v>1.6258412592468956</v>
      </c>
      <c r="S550" s="41">
        <f t="shared" si="167"/>
        <v>-0.17618281960931859</v>
      </c>
      <c r="T550" s="41">
        <f t="shared" si="151"/>
        <v>0.26977168143290492</v>
      </c>
      <c r="U550" s="41">
        <f t="shared" si="168"/>
        <v>0</v>
      </c>
      <c r="V550" s="41">
        <f t="shared" si="169"/>
        <v>1.0842417939370685E-2</v>
      </c>
      <c r="W550" s="39">
        <f t="shared" si="155"/>
        <v>240.81</v>
      </c>
      <c r="X550" s="21"/>
    </row>
    <row r="551" spans="1:24" x14ac:dyDescent="0.2">
      <c r="A551" s="38">
        <v>45741</v>
      </c>
      <c r="B551" s="39">
        <v>240.98</v>
      </c>
      <c r="C551" s="39">
        <v>575.46</v>
      </c>
      <c r="D551" s="39">
        <v>43.26</v>
      </c>
      <c r="E551" s="41">
        <f t="shared" si="156"/>
        <v>7.0595074955348558E-4</v>
      </c>
      <c r="F551" s="41">
        <f t="shared" si="157"/>
        <v>2.4038461538462563E-3</v>
      </c>
      <c r="G551" s="41">
        <f t="shared" si="158"/>
        <v>-2.3110700254225236E-4</v>
      </c>
      <c r="H551" s="41">
        <f t="shared" si="159"/>
        <v>0.34034150953890396</v>
      </c>
      <c r="I551" s="41">
        <f t="shared" si="160"/>
        <v>0.42275076025415537</v>
      </c>
      <c r="J551" s="41">
        <f t="shared" si="161"/>
        <v>3.9529015979814286E-2</v>
      </c>
      <c r="K551" s="42">
        <f t="shared" si="152"/>
        <v>134.03415095389065</v>
      </c>
      <c r="L551" s="42">
        <f t="shared" si="153"/>
        <v>142.27507602541598</v>
      </c>
      <c r="M551" s="42">
        <f t="shared" si="154"/>
        <v>103.95290159798149</v>
      </c>
      <c r="N551" s="41">
        <f t="shared" si="162"/>
        <v>-5.7922478776627151E-2</v>
      </c>
      <c r="O551" s="41">
        <f t="shared" si="163"/>
        <v>0.28937383077812129</v>
      </c>
      <c r="P551" s="39">
        <f t="shared" si="164"/>
        <v>255.08285343244935</v>
      </c>
      <c r="Q551" s="42">
        <f t="shared" si="165"/>
        <v>1.340341509538904</v>
      </c>
      <c r="R551" s="42">
        <f t="shared" si="166"/>
        <v>1.6258412592468956</v>
      </c>
      <c r="S551" s="41">
        <f t="shared" si="167"/>
        <v>-0.17560124525332665</v>
      </c>
      <c r="T551" s="41">
        <f t="shared" si="151"/>
        <v>0.26943537945417512</v>
      </c>
      <c r="U551" s="41">
        <f t="shared" si="168"/>
        <v>0</v>
      </c>
      <c r="V551" s="41">
        <f t="shared" si="169"/>
        <v>-1.6978954042927707E-3</v>
      </c>
      <c r="W551" s="39">
        <f t="shared" si="155"/>
        <v>240.98</v>
      </c>
      <c r="X551" s="21"/>
    </row>
    <row r="552" spans="1:24" x14ac:dyDescent="0.2">
      <c r="A552" s="38">
        <v>45742</v>
      </c>
      <c r="B552" s="39">
        <v>237.06</v>
      </c>
      <c r="C552" s="39">
        <v>568.59</v>
      </c>
      <c r="D552" s="39">
        <v>43.34</v>
      </c>
      <c r="E552" s="41">
        <f t="shared" si="156"/>
        <v>-1.6266910117022082E-2</v>
      </c>
      <c r="F552" s="41">
        <f t="shared" si="157"/>
        <v>-1.1938275466583215E-2</v>
      </c>
      <c r="G552" s="41">
        <f t="shared" si="158"/>
        <v>1.8492834026815341E-3</v>
      </c>
      <c r="H552" s="41">
        <f t="shared" si="159"/>
        <v>0.31853829467712091</v>
      </c>
      <c r="I552" s="41">
        <f t="shared" si="160"/>
        <v>0.40576556975795053</v>
      </c>
      <c r="J552" s="41">
        <f t="shared" si="161"/>
        <v>4.1451399735671579E-2</v>
      </c>
      <c r="K552" s="42">
        <f t="shared" si="152"/>
        <v>131.85382946771233</v>
      </c>
      <c r="L552" s="42">
        <f t="shared" si="153"/>
        <v>140.57655697579548</v>
      </c>
      <c r="M552" s="42">
        <f t="shared" si="154"/>
        <v>104.14513997356723</v>
      </c>
      <c r="N552" s="41">
        <f t="shared" si="162"/>
        <v>-6.2049659599963558E-2</v>
      </c>
      <c r="O552" s="41">
        <f t="shared" si="163"/>
        <v>0.26605840177638251</v>
      </c>
      <c r="P552" s="39">
        <f t="shared" si="164"/>
        <v>254.90352155749963</v>
      </c>
      <c r="Q552" s="42">
        <f t="shared" si="165"/>
        <v>1.3185382946771209</v>
      </c>
      <c r="R552" s="42">
        <f t="shared" si="166"/>
        <v>1.6258412592468956</v>
      </c>
      <c r="S552" s="41">
        <f t="shared" si="167"/>
        <v>-0.18901166569737582</v>
      </c>
      <c r="T552" s="41">
        <f t="shared" si="151"/>
        <v>0.27110195952924843</v>
      </c>
      <c r="U552" s="41">
        <f t="shared" si="168"/>
        <v>-1.6422559979813345E-2</v>
      </c>
      <c r="V552" s="41">
        <f t="shared" si="169"/>
        <v>-4.3286346504388673E-3</v>
      </c>
      <c r="W552" s="39">
        <f t="shared" si="155"/>
        <v>237.06</v>
      </c>
      <c r="X552" s="21"/>
    </row>
    <row r="553" spans="1:24" x14ac:dyDescent="0.2">
      <c r="A553" s="38">
        <v>45743</v>
      </c>
      <c r="B553" s="39">
        <v>237.54</v>
      </c>
      <c r="C553" s="39">
        <v>567.08000000000004</v>
      </c>
      <c r="D553" s="39">
        <v>43.32</v>
      </c>
      <c r="E553" s="41">
        <f t="shared" si="156"/>
        <v>2.0248038471273322E-3</v>
      </c>
      <c r="F553" s="41">
        <f t="shared" si="157"/>
        <v>-2.6556921507588926E-3</v>
      </c>
      <c r="G553" s="41">
        <f t="shared" si="158"/>
        <v>-4.6146746654363024E-4</v>
      </c>
      <c r="H553" s="41">
        <f t="shared" si="159"/>
        <v>0.32120807608876789</v>
      </c>
      <c r="I553" s="41">
        <f t="shared" si="160"/>
        <v>0.40203228916853728</v>
      </c>
      <c r="J553" s="41">
        <f t="shared" si="161"/>
        <v>4.0970803796707145E-2</v>
      </c>
      <c r="K553" s="42">
        <f t="shared" si="152"/>
        <v>132.12080760887704</v>
      </c>
      <c r="L553" s="42">
        <f t="shared" si="153"/>
        <v>140.20322891685416</v>
      </c>
      <c r="M553" s="42">
        <f t="shared" si="154"/>
        <v>104.09708037967079</v>
      </c>
      <c r="N553" s="41">
        <f t="shared" si="162"/>
        <v>-5.764789705927631E-2</v>
      </c>
      <c r="O553" s="41">
        <f t="shared" si="163"/>
        <v>0.26920761972377916</v>
      </c>
      <c r="P553" s="39">
        <f t="shared" si="164"/>
        <v>254.73075019871854</v>
      </c>
      <c r="Q553" s="42">
        <f t="shared" si="165"/>
        <v>1.3212080760887679</v>
      </c>
      <c r="R553" s="42">
        <f t="shared" si="166"/>
        <v>1.6258412592468956</v>
      </c>
      <c r="S553" s="41">
        <f t="shared" si="167"/>
        <v>-0.18736957339810445</v>
      </c>
      <c r="T553" s="41">
        <f t="shared" si="151"/>
        <v>0.27085346980321151</v>
      </c>
      <c r="U553" s="41">
        <f t="shared" si="168"/>
        <v>0</v>
      </c>
      <c r="V553" s="41">
        <f t="shared" si="169"/>
        <v>4.6804959978862248E-3</v>
      </c>
      <c r="W553" s="39">
        <f t="shared" si="155"/>
        <v>237.54</v>
      </c>
      <c r="X553" s="21"/>
    </row>
    <row r="554" spans="1:24" x14ac:dyDescent="0.2">
      <c r="A554" s="38">
        <v>45744</v>
      </c>
      <c r="B554" s="39">
        <v>232.94</v>
      </c>
      <c r="C554" s="39">
        <v>555.66</v>
      </c>
      <c r="D554" s="39">
        <v>42.524999999999999</v>
      </c>
      <c r="E554" s="41">
        <f t="shared" si="156"/>
        <v>-1.9365159552075406E-2</v>
      </c>
      <c r="F554" s="41">
        <f t="shared" si="157"/>
        <v>-2.0138252098469533E-2</v>
      </c>
      <c r="G554" s="41">
        <f t="shared" si="158"/>
        <v>-1.835180055401664E-2</v>
      </c>
      <c r="H554" s="41">
        <f t="shared" si="159"/>
        <v>0.29562267089381833</v>
      </c>
      <c r="I554" s="41">
        <f t="shared" si="160"/>
        <v>0.37379780947906704</v>
      </c>
      <c r="J554" s="41">
        <f t="shared" si="161"/>
        <v>2.1867115222875544E-2</v>
      </c>
      <c r="K554" s="42">
        <f t="shared" si="152"/>
        <v>129.56226708938206</v>
      </c>
      <c r="L554" s="42">
        <f t="shared" si="153"/>
        <v>137.37978094790714</v>
      </c>
      <c r="M554" s="42">
        <f t="shared" si="154"/>
        <v>102.18671152228762</v>
      </c>
      <c r="N554" s="41">
        <f t="shared" si="162"/>
        <v>-5.6904398919439325E-2</v>
      </c>
      <c r="O554" s="41">
        <f t="shared" si="163"/>
        <v>0.26789741209279927</v>
      </c>
      <c r="P554" s="39">
        <f t="shared" si="164"/>
        <v>254.51392681365667</v>
      </c>
      <c r="Q554" s="42">
        <f t="shared" si="165"/>
        <v>1.2956226708938183</v>
      </c>
      <c r="R554" s="42">
        <f t="shared" si="166"/>
        <v>1.6258412592468956</v>
      </c>
      <c r="S554" s="41">
        <f t="shared" si="167"/>
        <v>-0.20310629126612123</v>
      </c>
      <c r="T554" s="41">
        <f t="shared" si="151"/>
        <v>0.27170687657531595</v>
      </c>
      <c r="U554" s="41">
        <f t="shared" si="168"/>
        <v>-1.9520809414866669E-2</v>
      </c>
      <c r="V554" s="41">
        <f t="shared" si="169"/>
        <v>7.7309254639412739E-4</v>
      </c>
      <c r="W554" s="39">
        <f t="shared" si="155"/>
        <v>232.94</v>
      </c>
      <c r="X554" s="21"/>
    </row>
    <row r="555" spans="1:24" x14ac:dyDescent="0.2">
      <c r="A555" s="38">
        <v>45747</v>
      </c>
      <c r="B555" s="39">
        <v>233.3</v>
      </c>
      <c r="C555" s="39">
        <v>559.39</v>
      </c>
      <c r="D555" s="39">
        <v>42.99</v>
      </c>
      <c r="E555" s="41">
        <f t="shared" si="156"/>
        <v>1.5454623508199816E-3</v>
      </c>
      <c r="F555" s="41">
        <f t="shared" si="157"/>
        <v>6.712738005254959E-3</v>
      </c>
      <c r="G555" s="41">
        <f t="shared" si="158"/>
        <v>1.0934744268077612E-2</v>
      </c>
      <c r="H555" s="41">
        <f t="shared" si="159"/>
        <v>0.29762500695255345</v>
      </c>
      <c r="I555" s="41">
        <f t="shared" si="160"/>
        <v>0.3830197542462932</v>
      </c>
      <c r="J555" s="41">
        <f t="shared" si="161"/>
        <v>3.3040970803795977E-2</v>
      </c>
      <c r="K555" s="42">
        <f t="shared" si="152"/>
        <v>129.7625006952556</v>
      </c>
      <c r="L555" s="42">
        <f t="shared" si="153"/>
        <v>138.30197542462975</v>
      </c>
      <c r="M555" s="42">
        <f t="shared" si="154"/>
        <v>103.30409708037966</v>
      </c>
      <c r="N555" s="41">
        <f t="shared" si="162"/>
        <v>-6.1745139237203039E-2</v>
      </c>
      <c r="O555" s="41">
        <f t="shared" si="163"/>
        <v>0.25612153208491617</v>
      </c>
      <c r="P555" s="39">
        <f t="shared" si="164"/>
        <v>254.30284296476455</v>
      </c>
      <c r="Q555" s="42">
        <f t="shared" si="165"/>
        <v>1.2976250069525535</v>
      </c>
      <c r="R555" s="42">
        <f t="shared" si="166"/>
        <v>1.6258412592468956</v>
      </c>
      <c r="S555" s="41">
        <f t="shared" si="167"/>
        <v>-0.20187472204166779</v>
      </c>
      <c r="T555" s="41">
        <f t="shared" si="151"/>
        <v>0.27174695337971094</v>
      </c>
      <c r="U555" s="41">
        <f t="shared" si="168"/>
        <v>0</v>
      </c>
      <c r="V555" s="41">
        <f t="shared" si="169"/>
        <v>-5.1672756544349774E-3</v>
      </c>
      <c r="W555" s="39">
        <f t="shared" si="155"/>
        <v>233.3</v>
      </c>
      <c r="X555" s="21"/>
    </row>
    <row r="556" spans="1:24" x14ac:dyDescent="0.2">
      <c r="A556" s="38">
        <v>45748</v>
      </c>
      <c r="B556" s="39">
        <v>237.27</v>
      </c>
      <c r="C556" s="39">
        <v>560.97</v>
      </c>
      <c r="D556" s="39">
        <v>43.15</v>
      </c>
      <c r="E556" s="41">
        <f t="shared" si="156"/>
        <v>1.7016716673810439E-2</v>
      </c>
      <c r="F556" s="41">
        <f t="shared" si="157"/>
        <v>2.8245052646633795E-3</v>
      </c>
      <c r="G556" s="41">
        <f t="shared" si="158"/>
        <v>3.7217957664572587E-3</v>
      </c>
      <c r="H556" s="41">
        <f t="shared" si="159"/>
        <v>0.31970632404471644</v>
      </c>
      <c r="I556" s="41">
        <f t="shared" si="160"/>
        <v>0.38692610082329537</v>
      </c>
      <c r="J556" s="41">
        <f t="shared" si="161"/>
        <v>3.6885738315510341E-2</v>
      </c>
      <c r="K556" s="42">
        <f t="shared" si="152"/>
        <v>131.9706324044719</v>
      </c>
      <c r="L556" s="42">
        <f t="shared" si="153"/>
        <v>138.69261008232996</v>
      </c>
      <c r="M556" s="42">
        <f t="shared" si="154"/>
        <v>103.68857383155112</v>
      </c>
      <c r="N556" s="41">
        <f t="shared" si="162"/>
        <v>-4.846673282641123E-2</v>
      </c>
      <c r="O556" s="41">
        <f t="shared" si="163"/>
        <v>0.27275964484637139</v>
      </c>
      <c r="P556" s="39">
        <f t="shared" si="164"/>
        <v>254.13336194023955</v>
      </c>
      <c r="Q556" s="42">
        <f t="shared" si="165"/>
        <v>1.3197063240447164</v>
      </c>
      <c r="R556" s="42">
        <f t="shared" si="166"/>
        <v>1.6258412592468956</v>
      </c>
      <c r="S556" s="41">
        <f t="shared" si="167"/>
        <v>-0.18829325031644462</v>
      </c>
      <c r="T556" s="41">
        <f t="shared" si="151"/>
        <v>0.27415874078951652</v>
      </c>
      <c r="U556" s="41">
        <f t="shared" si="168"/>
        <v>0</v>
      </c>
      <c r="V556" s="41">
        <f t="shared" si="169"/>
        <v>1.419221140914706E-2</v>
      </c>
      <c r="W556" s="39">
        <f t="shared" si="155"/>
        <v>237.27</v>
      </c>
      <c r="X556" s="21"/>
    </row>
    <row r="557" spans="1:24" x14ac:dyDescent="0.2">
      <c r="A557" s="38">
        <v>45749</v>
      </c>
      <c r="B557" s="39">
        <v>240.1</v>
      </c>
      <c r="C557" s="39">
        <v>564.52</v>
      </c>
      <c r="D557" s="39">
        <v>43.505000000000003</v>
      </c>
      <c r="E557" s="41">
        <f t="shared" si="156"/>
        <v>1.1927340160998057E-2</v>
      </c>
      <c r="F557" s="41">
        <f t="shared" si="157"/>
        <v>6.328324152806708E-3</v>
      </c>
      <c r="G557" s="41">
        <f t="shared" si="158"/>
        <v>8.2271147161065983E-3</v>
      </c>
      <c r="H557" s="41">
        <f t="shared" si="159"/>
        <v>0.33544691028421814</v>
      </c>
      <c r="I557" s="41">
        <f t="shared" si="160"/>
        <v>0.39570301876529346</v>
      </c>
      <c r="J557" s="41">
        <f t="shared" si="161"/>
        <v>4.541631623212683E-2</v>
      </c>
      <c r="K557" s="42">
        <f t="shared" si="152"/>
        <v>133.54469102842205</v>
      </c>
      <c r="L557" s="42">
        <f t="shared" si="153"/>
        <v>139.57030187652975</v>
      </c>
      <c r="M557" s="42">
        <f t="shared" si="154"/>
        <v>104.54163162321279</v>
      </c>
      <c r="N557" s="41">
        <f t="shared" si="162"/>
        <v>-4.3172585908985761E-2</v>
      </c>
      <c r="O557" s="41">
        <f t="shared" si="163"/>
        <v>0.27743071305546008</v>
      </c>
      <c r="P557" s="39">
        <f t="shared" si="164"/>
        <v>253.99372649804812</v>
      </c>
      <c r="Q557" s="42">
        <f t="shared" si="165"/>
        <v>1.3354469102842181</v>
      </c>
      <c r="R557" s="42">
        <f t="shared" si="166"/>
        <v>1.6258412592468956</v>
      </c>
      <c r="S557" s="41">
        <f t="shared" si="167"/>
        <v>-0.17861174780199063</v>
      </c>
      <c r="T557" s="41">
        <f t="shared" si="151"/>
        <v>0.27506961563148891</v>
      </c>
      <c r="U557" s="41">
        <f t="shared" si="168"/>
        <v>0</v>
      </c>
      <c r="V557" s="41">
        <f t="shared" si="169"/>
        <v>5.5990160081913487E-3</v>
      </c>
      <c r="W557" s="39">
        <f t="shared" si="155"/>
        <v>240.1</v>
      </c>
      <c r="X557" s="21"/>
    </row>
    <row r="558" spans="1:24" x14ac:dyDescent="0.2">
      <c r="A558" s="38">
        <v>45750</v>
      </c>
      <c r="B558" s="39">
        <v>237.18</v>
      </c>
      <c r="C558" s="39">
        <v>536.70000000000005</v>
      </c>
      <c r="D558" s="39">
        <v>41.54</v>
      </c>
      <c r="E558" s="41">
        <f t="shared" si="156"/>
        <v>-1.216159933361094E-2</v>
      </c>
      <c r="F558" s="41">
        <f t="shared" si="157"/>
        <v>-4.9280804931623234E-2</v>
      </c>
      <c r="G558" s="41">
        <f t="shared" si="158"/>
        <v>-4.5167222158372655E-2</v>
      </c>
      <c r="H558" s="41">
        <f t="shared" si="159"/>
        <v>0.31920574003003277</v>
      </c>
      <c r="I558" s="41">
        <f t="shared" si="160"/>
        <v>0.32692165055504341</v>
      </c>
      <c r="J558" s="41">
        <f t="shared" si="161"/>
        <v>-1.8022347711171838E-3</v>
      </c>
      <c r="K558" s="42">
        <f t="shared" si="152"/>
        <v>131.92057400300351</v>
      </c>
      <c r="L558" s="42">
        <f t="shared" si="153"/>
        <v>132.69216505550474</v>
      </c>
      <c r="M558" s="42">
        <f t="shared" si="154"/>
        <v>99.819776522888375</v>
      </c>
      <c r="N558" s="41">
        <f t="shared" si="162"/>
        <v>-5.8148953419994154E-3</v>
      </c>
      <c r="O558" s="41">
        <f t="shared" si="163"/>
        <v>0.32158755106764247</v>
      </c>
      <c r="P558" s="39">
        <f t="shared" si="164"/>
        <v>253.82642573687352</v>
      </c>
      <c r="Q558" s="42">
        <f t="shared" si="165"/>
        <v>1.3192057400300328</v>
      </c>
      <c r="R558" s="42">
        <f t="shared" si="166"/>
        <v>1.6258412592468956</v>
      </c>
      <c r="S558" s="41">
        <f t="shared" si="167"/>
        <v>-0.18860114262255789</v>
      </c>
      <c r="T558" s="41">
        <f t="shared" si="151"/>
        <v>0.27598430418707592</v>
      </c>
      <c r="U558" s="41">
        <f t="shared" si="168"/>
        <v>-1.2317249196402202E-2</v>
      </c>
      <c r="V558" s="41">
        <f t="shared" si="169"/>
        <v>3.7119205598012295E-2</v>
      </c>
      <c r="W558" s="39">
        <f t="shared" si="155"/>
        <v>237.18</v>
      </c>
      <c r="X558" s="21"/>
    </row>
    <row r="559" spans="1:24" x14ac:dyDescent="0.2">
      <c r="A559" s="38">
        <v>45751</v>
      </c>
      <c r="B559" s="39">
        <v>230.74</v>
      </c>
      <c r="C559" s="39">
        <v>505.28</v>
      </c>
      <c r="D559" s="39">
        <v>38.94</v>
      </c>
      <c r="E559" s="41">
        <f t="shared" si="156"/>
        <v>-2.7152373724597334E-2</v>
      </c>
      <c r="F559" s="41">
        <f t="shared" si="157"/>
        <v>-5.8542947643003718E-2</v>
      </c>
      <c r="G559" s="41">
        <f t="shared" si="158"/>
        <v>-6.2590274434280224E-2</v>
      </c>
      <c r="H559" s="41">
        <f t="shared" si="159"/>
        <v>0.28338617275710343</v>
      </c>
      <c r="I559" s="41">
        <f t="shared" si="160"/>
        <v>0.24923974584023134</v>
      </c>
      <c r="J559" s="41">
        <f t="shared" si="161"/>
        <v>-6.4279706836478212E-2</v>
      </c>
      <c r="K559" s="42">
        <f t="shared" si="152"/>
        <v>128.33861727571056</v>
      </c>
      <c r="L559" s="42">
        <f t="shared" si="153"/>
        <v>124.92397458402351</v>
      </c>
      <c r="M559" s="42">
        <f t="shared" si="154"/>
        <v>93.572029316352271</v>
      </c>
      <c r="N559" s="41">
        <f t="shared" si="162"/>
        <v>2.7333766020953387E-2</v>
      </c>
      <c r="O559" s="41">
        <f t="shared" si="163"/>
        <v>0.37154893629396279</v>
      </c>
      <c r="P559" s="39">
        <f t="shared" si="164"/>
        <v>253.59671005789966</v>
      </c>
      <c r="Q559" s="42">
        <f t="shared" si="165"/>
        <v>1.2833861727571034</v>
      </c>
      <c r="R559" s="42">
        <f t="shared" si="166"/>
        <v>1.6258412592468956</v>
      </c>
      <c r="S559" s="41">
        <f t="shared" si="167"/>
        <v>-0.21063254763778139</v>
      </c>
      <c r="T559" s="41">
        <f t="shared" si="151"/>
        <v>0.27815385260528186</v>
      </c>
      <c r="U559" s="41">
        <f t="shared" si="168"/>
        <v>-2.7308023587388597E-2</v>
      </c>
      <c r="V559" s="41">
        <f t="shared" si="169"/>
        <v>3.1390573918406384E-2</v>
      </c>
      <c r="W559" s="39">
        <f t="shared" si="155"/>
        <v>230.74</v>
      </c>
      <c r="X559" s="21"/>
    </row>
    <row r="560" spans="1:24" x14ac:dyDescent="0.2">
      <c r="A560" s="38">
        <v>45754</v>
      </c>
      <c r="B560" s="39">
        <v>228.53</v>
      </c>
      <c r="C560" s="39">
        <v>504.38</v>
      </c>
      <c r="D560" s="39">
        <v>38.314999999999998</v>
      </c>
      <c r="E560" s="41">
        <f t="shared" si="156"/>
        <v>-9.5778798647828678E-3</v>
      </c>
      <c r="F560" s="41">
        <f t="shared" si="157"/>
        <v>-1.7811906269790123E-3</v>
      </c>
      <c r="G560" s="41">
        <f t="shared" si="158"/>
        <v>-1.6050333846943987E-2</v>
      </c>
      <c r="H560" s="41">
        <f t="shared" si="159"/>
        <v>0.27109405417431232</v>
      </c>
      <c r="I560" s="41">
        <f t="shared" si="160"/>
        <v>0.247014611714091</v>
      </c>
      <c r="J560" s="41">
        <f t="shared" si="161"/>
        <v>-7.9298329929113009E-2</v>
      </c>
      <c r="K560" s="42">
        <f t="shared" si="152"/>
        <v>127.10940541743145</v>
      </c>
      <c r="L560" s="42">
        <f t="shared" si="153"/>
        <v>124.70146117140951</v>
      </c>
      <c r="M560" s="42">
        <f t="shared" si="154"/>
        <v>92.07016700708877</v>
      </c>
      <c r="N560" s="41">
        <f t="shared" si="162"/>
        <v>1.9309671461766431E-2</v>
      </c>
      <c r="O560" s="41">
        <f t="shared" si="163"/>
        <v>0.38057103130533898</v>
      </c>
      <c r="P560" s="39">
        <f t="shared" si="164"/>
        <v>253.34729005732356</v>
      </c>
      <c r="Q560" s="42">
        <f t="shared" si="165"/>
        <v>1.2710940541743123</v>
      </c>
      <c r="R560" s="42">
        <f t="shared" si="166"/>
        <v>1.6258412592468956</v>
      </c>
      <c r="S560" s="41">
        <f t="shared" si="167"/>
        <v>-0.2181930142656765</v>
      </c>
      <c r="T560" s="41">
        <f t="shared" si="151"/>
        <v>0.27701559569937978</v>
      </c>
      <c r="U560" s="41">
        <f t="shared" si="168"/>
        <v>-9.7335297275741306E-3</v>
      </c>
      <c r="V560" s="41">
        <f t="shared" si="169"/>
        <v>-7.7966892378038555E-3</v>
      </c>
      <c r="W560" s="39">
        <f t="shared" si="155"/>
        <v>228.53</v>
      </c>
      <c r="X560" s="21"/>
    </row>
    <row r="561" spans="1:24" x14ac:dyDescent="0.2">
      <c r="A561" s="38">
        <v>45755</v>
      </c>
      <c r="B561" s="39">
        <v>226.49</v>
      </c>
      <c r="C561" s="39">
        <v>496.48</v>
      </c>
      <c r="D561" s="39">
        <v>37.134999999999998</v>
      </c>
      <c r="E561" s="41">
        <f t="shared" si="156"/>
        <v>-8.9266179495033349E-3</v>
      </c>
      <c r="F561" s="41">
        <f t="shared" si="157"/>
        <v>-1.5662793925215079E-2</v>
      </c>
      <c r="G561" s="41">
        <f t="shared" si="158"/>
        <v>-3.079733785723604E-2</v>
      </c>
      <c r="H561" s="41">
        <f t="shared" si="159"/>
        <v>0.259747483174813</v>
      </c>
      <c r="I561" s="41">
        <f t="shared" si="160"/>
        <v>0.22748287882908103</v>
      </c>
      <c r="J561" s="41">
        <f t="shared" si="161"/>
        <v>-0.10765349032800753</v>
      </c>
      <c r="K561" s="42">
        <f t="shared" si="152"/>
        <v>125.97474831748153</v>
      </c>
      <c r="L561" s="42">
        <f t="shared" si="153"/>
        <v>122.7482878829085</v>
      </c>
      <c r="M561" s="42">
        <f t="shared" si="154"/>
        <v>89.234650967199315</v>
      </c>
      <c r="N561" s="41">
        <f t="shared" si="162"/>
        <v>2.6285176683286782E-2</v>
      </c>
      <c r="O561" s="41">
        <f t="shared" si="163"/>
        <v>0.41172455937309516</v>
      </c>
      <c r="P561" s="39">
        <f t="shared" si="164"/>
        <v>253.0800533403353</v>
      </c>
      <c r="Q561" s="42">
        <f t="shared" si="165"/>
        <v>1.259747483174813</v>
      </c>
      <c r="R561" s="42">
        <f t="shared" si="166"/>
        <v>1.6258412592468956</v>
      </c>
      <c r="S561" s="41">
        <f t="shared" si="167"/>
        <v>-0.22517190653757957</v>
      </c>
      <c r="T561" s="41">
        <f t="shared" si="151"/>
        <v>0.27623479044797411</v>
      </c>
      <c r="U561" s="41">
        <f t="shared" si="168"/>
        <v>-9.0822678122945977E-3</v>
      </c>
      <c r="V561" s="41">
        <f t="shared" si="169"/>
        <v>6.7361759757117445E-3</v>
      </c>
      <c r="W561" s="39">
        <f t="shared" si="155"/>
        <v>226.49</v>
      </c>
      <c r="X561" s="21"/>
    </row>
    <row r="562" spans="1:24" x14ac:dyDescent="0.2">
      <c r="A562" s="38">
        <v>45756</v>
      </c>
      <c r="B562" s="39">
        <v>239.53</v>
      </c>
      <c r="C562" s="39">
        <v>548.62</v>
      </c>
      <c r="D562" s="39">
        <v>40.380000000000003</v>
      </c>
      <c r="E562" s="41">
        <f t="shared" si="156"/>
        <v>5.7574285840434447E-2</v>
      </c>
      <c r="F562" s="41">
        <f t="shared" si="157"/>
        <v>0.10501933612632941</v>
      </c>
      <c r="G562" s="41">
        <f t="shared" si="158"/>
        <v>8.738386966473688E-2</v>
      </c>
      <c r="H562" s="41">
        <f t="shared" si="159"/>
        <v>0.33227654485788749</v>
      </c>
      <c r="I562" s="41">
        <f t="shared" si="160"/>
        <v>0.35639231587014675</v>
      </c>
      <c r="J562" s="41">
        <f t="shared" si="161"/>
        <v>-2.9676799231047268E-2</v>
      </c>
      <c r="K562" s="42">
        <f t="shared" si="152"/>
        <v>133.227654485789</v>
      </c>
      <c r="L562" s="42">
        <f t="shared" si="153"/>
        <v>135.6392315870151</v>
      </c>
      <c r="M562" s="42">
        <f t="shared" si="154"/>
        <v>97.032320076895346</v>
      </c>
      <c r="N562" s="41">
        <f t="shared" si="162"/>
        <v>-1.7779348002859074E-2</v>
      </c>
      <c r="O562" s="41">
        <f t="shared" si="163"/>
        <v>0.37302348722786105</v>
      </c>
      <c r="P562" s="39">
        <f t="shared" si="164"/>
        <v>252.94522693893893</v>
      </c>
      <c r="Q562" s="42">
        <f t="shared" si="165"/>
        <v>1.3322765448578875</v>
      </c>
      <c r="R562" s="42">
        <f t="shared" si="166"/>
        <v>1.6258412592468956</v>
      </c>
      <c r="S562" s="41">
        <f t="shared" si="167"/>
        <v>-0.18056173240737539</v>
      </c>
      <c r="T562" s="41">
        <f t="shared" si="151"/>
        <v>0.29938528988501473</v>
      </c>
      <c r="U562" s="41">
        <f t="shared" si="168"/>
        <v>0</v>
      </c>
      <c r="V562" s="41">
        <f t="shared" si="169"/>
        <v>-4.7445050285894963E-2</v>
      </c>
      <c r="W562" s="39">
        <f t="shared" si="155"/>
        <v>239.53</v>
      </c>
      <c r="X562" s="21"/>
    </row>
    <row r="563" spans="1:24" x14ac:dyDescent="0.2">
      <c r="A563" s="38">
        <v>45757</v>
      </c>
      <c r="B563" s="39">
        <v>235.58</v>
      </c>
      <c r="C563" s="39">
        <v>524.58000000000004</v>
      </c>
      <c r="D563" s="39">
        <v>39.090000000000003</v>
      </c>
      <c r="E563" s="41">
        <f t="shared" si="156"/>
        <v>-1.6490627478812581E-2</v>
      </c>
      <c r="F563" s="41">
        <f t="shared" si="157"/>
        <v>-4.3819036856111659E-2</v>
      </c>
      <c r="G563" s="41">
        <f t="shared" si="158"/>
        <v>-3.1946508172362553E-2</v>
      </c>
      <c r="H563" s="41">
        <f t="shared" si="159"/>
        <v>0.31030646865787648</v>
      </c>
      <c r="I563" s="41">
        <f t="shared" si="160"/>
        <v>0.29695651098968612</v>
      </c>
      <c r="J563" s="41">
        <f t="shared" si="161"/>
        <v>-6.0675237294245621E-2</v>
      </c>
      <c r="K563" s="42">
        <f t="shared" si="152"/>
        <v>131.03064686578787</v>
      </c>
      <c r="L563" s="42">
        <f t="shared" si="153"/>
        <v>129.69565109896902</v>
      </c>
      <c r="M563" s="42">
        <f t="shared" si="154"/>
        <v>93.932476270575521</v>
      </c>
      <c r="N563" s="41">
        <f t="shared" si="162"/>
        <v>1.0293296309529465E-2</v>
      </c>
      <c r="O563" s="41">
        <f t="shared" si="163"/>
        <v>0.39494509320024496</v>
      </c>
      <c r="P563" s="39">
        <f t="shared" si="164"/>
        <v>252.77243861118831</v>
      </c>
      <c r="Q563" s="42">
        <f t="shared" si="165"/>
        <v>1.3103064686578765</v>
      </c>
      <c r="R563" s="42">
        <f t="shared" si="166"/>
        <v>1.6258412592468956</v>
      </c>
      <c r="S563" s="41">
        <f t="shared" si="167"/>
        <v>-0.19407478362012887</v>
      </c>
      <c r="T563" s="41">
        <f t="shared" si="151"/>
        <v>0.29899471879489781</v>
      </c>
      <c r="U563" s="41">
        <f t="shared" si="168"/>
        <v>-1.6646277341603843E-2</v>
      </c>
      <c r="V563" s="41">
        <f t="shared" si="169"/>
        <v>2.7328409377299079E-2</v>
      </c>
      <c r="W563" s="39">
        <f t="shared" si="155"/>
        <v>235.58</v>
      </c>
      <c r="X563" s="21"/>
    </row>
    <row r="564" spans="1:24" x14ac:dyDescent="0.2">
      <c r="A564" s="38">
        <v>45758</v>
      </c>
      <c r="B564" s="39">
        <v>242.3</v>
      </c>
      <c r="C564" s="39">
        <v>533.94000000000005</v>
      </c>
      <c r="D564" s="39">
        <v>40.25</v>
      </c>
      <c r="E564" s="41">
        <f t="shared" si="156"/>
        <v>2.8525341709822571E-2</v>
      </c>
      <c r="F564" s="41">
        <f t="shared" si="157"/>
        <v>1.7842845705135613E-2</v>
      </c>
      <c r="G564" s="41">
        <f t="shared" si="158"/>
        <v>2.9675108723458576E-2</v>
      </c>
      <c r="H564" s="41">
        <f t="shared" si="159"/>
        <v>0.34768340842093326</v>
      </c>
      <c r="I564" s="41">
        <f t="shared" si="160"/>
        <v>0.32009790590154608</v>
      </c>
      <c r="J564" s="41">
        <f t="shared" si="161"/>
        <v>-3.2800672834315425E-2</v>
      </c>
      <c r="K564" s="42">
        <f t="shared" si="152"/>
        <v>134.76834084209358</v>
      </c>
      <c r="L564" s="42">
        <f t="shared" si="153"/>
        <v>132.00979059015503</v>
      </c>
      <c r="M564" s="42">
        <f t="shared" si="154"/>
        <v>96.719932716568536</v>
      </c>
      <c r="N564" s="41">
        <f t="shared" si="162"/>
        <v>2.0896558047751812E-2</v>
      </c>
      <c r="O564" s="41">
        <f t="shared" si="163"/>
        <v>0.39338745444564438</v>
      </c>
      <c r="P564" s="39">
        <f t="shared" si="164"/>
        <v>252.66823524192279</v>
      </c>
      <c r="Q564" s="42">
        <f t="shared" si="165"/>
        <v>1.3476834084209333</v>
      </c>
      <c r="R564" s="42">
        <f t="shared" si="166"/>
        <v>1.6258412592468956</v>
      </c>
      <c r="S564" s="41">
        <f t="shared" si="167"/>
        <v>-0.17108549143033036</v>
      </c>
      <c r="T564" s="41">
        <f t="shared" si="151"/>
        <v>0.29778371386747221</v>
      </c>
      <c r="U564" s="41">
        <f t="shared" si="168"/>
        <v>0</v>
      </c>
      <c r="V564" s="41">
        <f t="shared" si="169"/>
        <v>1.0682496004686959E-2</v>
      </c>
      <c r="W564" s="39">
        <f t="shared" si="155"/>
        <v>242.3</v>
      </c>
      <c r="X564" s="21"/>
    </row>
    <row r="565" spans="1:24" x14ac:dyDescent="0.2">
      <c r="A565" s="38">
        <v>45761</v>
      </c>
      <c r="B565" s="39">
        <v>243.48</v>
      </c>
      <c r="C565" s="39">
        <v>539.12</v>
      </c>
      <c r="D565" s="39">
        <v>40.734999999999999</v>
      </c>
      <c r="E565" s="41">
        <f t="shared" si="156"/>
        <v>4.8699958728848358E-3</v>
      </c>
      <c r="F565" s="41">
        <f t="shared" si="157"/>
        <v>9.7014645840356462E-3</v>
      </c>
      <c r="G565" s="41">
        <f t="shared" si="158"/>
        <v>1.2049689440993827E-2</v>
      </c>
      <c r="H565" s="41">
        <f t="shared" si="159"/>
        <v>0.3542466210578985</v>
      </c>
      <c r="I565" s="41">
        <f t="shared" si="160"/>
        <v>0.3329047889831096</v>
      </c>
      <c r="J565" s="41">
        <f t="shared" si="161"/>
        <v>-2.114622131443078E-2</v>
      </c>
      <c r="K565" s="42">
        <f t="shared" si="152"/>
        <v>135.42466210579011</v>
      </c>
      <c r="L565" s="42">
        <f t="shared" si="153"/>
        <v>133.29047889831136</v>
      </c>
      <c r="M565" s="42">
        <f t="shared" si="154"/>
        <v>97.885377868557001</v>
      </c>
      <c r="N565" s="41">
        <f t="shared" si="162"/>
        <v>1.6011520291011161E-2</v>
      </c>
      <c r="O565" s="41">
        <f t="shared" si="163"/>
        <v>0.38350247048789732</v>
      </c>
      <c r="P565" s="39">
        <f t="shared" si="164"/>
        <v>252.57681001563503</v>
      </c>
      <c r="Q565" s="42">
        <f t="shared" si="165"/>
        <v>1.3542466210578985</v>
      </c>
      <c r="R565" s="42">
        <f t="shared" si="166"/>
        <v>1.6258412592468956</v>
      </c>
      <c r="S565" s="41">
        <f t="shared" si="167"/>
        <v>-0.1670486811946218</v>
      </c>
      <c r="T565" s="41">
        <f t="shared" si="151"/>
        <v>0.29788430936763644</v>
      </c>
      <c r="U565" s="41">
        <f t="shared" si="168"/>
        <v>0</v>
      </c>
      <c r="V565" s="41">
        <f t="shared" si="169"/>
        <v>-4.8314687111508103E-3</v>
      </c>
      <c r="W565" s="39">
        <f t="shared" si="155"/>
        <v>243.48</v>
      </c>
      <c r="X565" s="21"/>
    </row>
    <row r="566" spans="1:24" x14ac:dyDescent="0.2">
      <c r="A566" s="38">
        <v>45762</v>
      </c>
      <c r="B566" s="39">
        <v>244.53</v>
      </c>
      <c r="C566" s="39">
        <v>537.61</v>
      </c>
      <c r="D566" s="39">
        <v>40.414999999999999</v>
      </c>
      <c r="E566" s="41">
        <f t="shared" si="156"/>
        <v>4.3124691966487383E-3</v>
      </c>
      <c r="F566" s="41">
        <f t="shared" si="157"/>
        <v>-2.8008606618192822E-3</v>
      </c>
      <c r="G566" s="41">
        <f t="shared" si="158"/>
        <v>-7.8556523873818396E-3</v>
      </c>
      <c r="H566" s="41">
        <f t="shared" si="159"/>
        <v>0.36008676789587635</v>
      </c>
      <c r="I566" s="41">
        <f t="shared" si="160"/>
        <v>0.32917150839369635</v>
      </c>
      <c r="J566" s="41">
        <f t="shared" si="161"/>
        <v>-2.8835756337859841E-2</v>
      </c>
      <c r="K566" s="42">
        <f t="shared" si="152"/>
        <v>136.00867678958787</v>
      </c>
      <c r="L566" s="42">
        <f t="shared" si="153"/>
        <v>132.91715083937004</v>
      </c>
      <c r="M566" s="42">
        <f t="shared" si="154"/>
        <v>97.11642436621409</v>
      </c>
      <c r="N566" s="41">
        <f t="shared" si="162"/>
        <v>2.325904468080342E-2</v>
      </c>
      <c r="O566" s="41">
        <f t="shared" si="163"/>
        <v>0.4004703908446603</v>
      </c>
      <c r="P566" s="39">
        <f t="shared" si="164"/>
        <v>252.49674225428546</v>
      </c>
      <c r="Q566" s="42">
        <f t="shared" si="165"/>
        <v>1.3600867678958763</v>
      </c>
      <c r="R566" s="42">
        <f t="shared" si="166"/>
        <v>1.6258412592468956</v>
      </c>
      <c r="S566" s="41">
        <f t="shared" si="167"/>
        <v>-0.16345660428996567</v>
      </c>
      <c r="T566" s="41">
        <f t="shared" si="151"/>
        <v>0.29795036463225094</v>
      </c>
      <c r="U566" s="41">
        <f t="shared" si="168"/>
        <v>0</v>
      </c>
      <c r="V566" s="41">
        <f t="shared" si="169"/>
        <v>7.1133298584680205E-3</v>
      </c>
      <c r="W566" s="39">
        <f t="shared" si="155"/>
        <v>244.53</v>
      </c>
      <c r="X566" s="21"/>
    </row>
    <row r="567" spans="1:24" x14ac:dyDescent="0.2">
      <c r="A567" s="38">
        <v>45763</v>
      </c>
      <c r="B567" s="39">
        <v>240.55</v>
      </c>
      <c r="C567" s="39">
        <v>525.66</v>
      </c>
      <c r="D567" s="39">
        <v>40.1</v>
      </c>
      <c r="E567" s="41">
        <f t="shared" si="156"/>
        <v>-1.6276121539279376E-2</v>
      </c>
      <c r="F567" s="41">
        <f t="shared" si="157"/>
        <v>-2.2228009151615602E-2</v>
      </c>
      <c r="G567" s="41">
        <f t="shared" si="158"/>
        <v>-7.794135840653138E-3</v>
      </c>
      <c r="H567" s="41">
        <f t="shared" si="159"/>
        <v>0.33794983035763737</v>
      </c>
      <c r="I567" s="41">
        <f t="shared" si="160"/>
        <v>0.29962667194105452</v>
      </c>
      <c r="J567" s="41">
        <f t="shared" si="161"/>
        <v>-3.6405142376547683E-2</v>
      </c>
      <c r="K567" s="42">
        <f t="shared" si="152"/>
        <v>133.79498303576395</v>
      </c>
      <c r="L567" s="42">
        <f t="shared" si="153"/>
        <v>129.96266719410585</v>
      </c>
      <c r="M567" s="42">
        <f t="shared" si="154"/>
        <v>96.359485762345315</v>
      </c>
      <c r="N567" s="41">
        <f t="shared" si="162"/>
        <v>2.948782080575918E-2</v>
      </c>
      <c r="O567" s="41">
        <f t="shared" si="163"/>
        <v>0.38849830898586335</v>
      </c>
      <c r="P567" s="39">
        <f t="shared" si="164"/>
        <v>252.3778691970289</v>
      </c>
      <c r="Q567" s="42">
        <f t="shared" si="165"/>
        <v>1.3379498303576374</v>
      </c>
      <c r="R567" s="42">
        <f t="shared" si="166"/>
        <v>1.6258412592468956</v>
      </c>
      <c r="S567" s="41">
        <f t="shared" si="167"/>
        <v>-0.17707228627142368</v>
      </c>
      <c r="T567" s="41">
        <f t="shared" si="151"/>
        <v>0.29601465014721384</v>
      </c>
      <c r="U567" s="41">
        <f t="shared" si="168"/>
        <v>-1.6431771402070638E-2</v>
      </c>
      <c r="V567" s="41">
        <f t="shared" si="169"/>
        <v>5.9518876123362263E-3</v>
      </c>
      <c r="W567" s="39">
        <f t="shared" si="155"/>
        <v>240.55</v>
      </c>
      <c r="X567" s="21"/>
    </row>
    <row r="568" spans="1:24" x14ac:dyDescent="0.2">
      <c r="A568" s="38">
        <v>45764</v>
      </c>
      <c r="B568" s="39">
        <v>241.93</v>
      </c>
      <c r="C568" s="39">
        <v>526.41</v>
      </c>
      <c r="D568" s="39">
        <v>40.375</v>
      </c>
      <c r="E568" s="41">
        <f t="shared" si="156"/>
        <v>5.7368530451049615E-3</v>
      </c>
      <c r="F568" s="41">
        <f t="shared" si="157"/>
        <v>1.4267777650953661E-3</v>
      </c>
      <c r="G568" s="41">
        <f t="shared" si="158"/>
        <v>6.8578553615958882E-3</v>
      </c>
      <c r="H568" s="41">
        <f t="shared" si="159"/>
        <v>0.34562545191612215</v>
      </c>
      <c r="I568" s="41">
        <f t="shared" si="160"/>
        <v>0.30148095037950484</v>
      </c>
      <c r="J568" s="41">
        <f t="shared" si="161"/>
        <v>-2.9796948215788488E-2</v>
      </c>
      <c r="K568" s="42">
        <f t="shared" si="152"/>
        <v>134.56254519161243</v>
      </c>
      <c r="L568" s="42">
        <f t="shared" si="153"/>
        <v>130.1480950379509</v>
      </c>
      <c r="M568" s="42">
        <f t="shared" si="154"/>
        <v>97.020305178421239</v>
      </c>
      <c r="N568" s="41">
        <f t="shared" si="162"/>
        <v>3.3918668977632738E-2</v>
      </c>
      <c r="O568" s="41">
        <f t="shared" si="163"/>
        <v>0.38695240077992521</v>
      </c>
      <c r="P568" s="39">
        <f t="shared" si="164"/>
        <v>252.27391029954603</v>
      </c>
      <c r="Q568" s="42">
        <f t="shared" si="165"/>
        <v>1.3456254519161222</v>
      </c>
      <c r="R568" s="42">
        <f t="shared" si="166"/>
        <v>1.6258412592468956</v>
      </c>
      <c r="S568" s="41">
        <f t="shared" si="167"/>
        <v>-0.17235127091101865</v>
      </c>
      <c r="T568" s="41">
        <f t="shared" si="151"/>
        <v>0.29641306901131248</v>
      </c>
      <c r="U568" s="41">
        <f t="shared" si="168"/>
        <v>0</v>
      </c>
      <c r="V568" s="41">
        <f t="shared" si="169"/>
        <v>4.3100752800095954E-3</v>
      </c>
      <c r="W568" s="39">
        <f t="shared" si="155"/>
        <v>241.93</v>
      </c>
      <c r="X568" s="21"/>
    </row>
    <row r="569" spans="1:24" x14ac:dyDescent="0.2">
      <c r="A569" s="38">
        <v>45768</v>
      </c>
      <c r="B569" s="39">
        <v>234.17</v>
      </c>
      <c r="C569" s="39">
        <v>513.88</v>
      </c>
      <c r="D569" s="39">
        <v>39.76</v>
      </c>
      <c r="E569" s="41">
        <f t="shared" si="156"/>
        <v>-3.2075393708924094E-2</v>
      </c>
      <c r="F569" s="41">
        <f t="shared" si="157"/>
        <v>-2.3802739309663479E-2</v>
      </c>
      <c r="G569" s="41">
        <f t="shared" si="158"/>
        <v>-1.5232198142414943E-2</v>
      </c>
      <c r="H569" s="41">
        <f t="shared" si="159"/>
        <v>0.30246398576116373</v>
      </c>
      <c r="I569" s="41">
        <f t="shared" si="160"/>
        <v>0.27050213860112837</v>
      </c>
      <c r="J569" s="41">
        <f t="shared" si="161"/>
        <v>-4.457527333894129E-2</v>
      </c>
      <c r="K569" s="42">
        <f t="shared" si="152"/>
        <v>130.24639857611658</v>
      </c>
      <c r="L569" s="42">
        <f t="shared" si="153"/>
        <v>127.05021386011322</v>
      </c>
      <c r="M569" s="42">
        <f t="shared" si="154"/>
        <v>95.542472666105965</v>
      </c>
      <c r="N569" s="41">
        <f t="shared" si="162"/>
        <v>2.5156862148399517E-2</v>
      </c>
      <c r="O569" s="41">
        <f t="shared" si="163"/>
        <v>0.36323035129403647</v>
      </c>
      <c r="P569" s="39">
        <f t="shared" si="164"/>
        <v>252.09377188860529</v>
      </c>
      <c r="Q569" s="42">
        <f t="shared" si="165"/>
        <v>1.3024639857611637</v>
      </c>
      <c r="R569" s="42">
        <f t="shared" si="166"/>
        <v>1.6258412592468956</v>
      </c>
      <c r="S569" s="41">
        <f t="shared" si="167"/>
        <v>-0.19889842974923833</v>
      </c>
      <c r="T569" s="41">
        <f t="shared" si="151"/>
        <v>0.30266900711846029</v>
      </c>
      <c r="U569" s="41">
        <f t="shared" si="168"/>
        <v>-3.2231043571715356E-2</v>
      </c>
      <c r="V569" s="41">
        <f t="shared" si="169"/>
        <v>-8.272654399260615E-3</v>
      </c>
      <c r="W569" s="39">
        <f t="shared" si="155"/>
        <v>234.17</v>
      </c>
      <c r="X569" s="21"/>
    </row>
    <row r="570" spans="1:24" x14ac:dyDescent="0.2">
      <c r="A570" s="38">
        <v>45769</v>
      </c>
      <c r="B570" s="39">
        <v>240.57</v>
      </c>
      <c r="C570" s="39">
        <v>527.25</v>
      </c>
      <c r="D570" s="39">
        <v>40.69</v>
      </c>
      <c r="E570" s="41">
        <f t="shared" si="156"/>
        <v>2.7330571806807091E-2</v>
      </c>
      <c r="F570" s="41">
        <f t="shared" si="157"/>
        <v>2.6017747334007968E-2</v>
      </c>
      <c r="G570" s="41">
        <f t="shared" si="158"/>
        <v>2.3390342052313828E-2</v>
      </c>
      <c r="H570" s="41">
        <f t="shared" si="159"/>
        <v>0.33806107124978935</v>
      </c>
      <c r="I570" s="41">
        <f t="shared" si="160"/>
        <v>0.30355774223056931</v>
      </c>
      <c r="J570" s="41">
        <f t="shared" si="161"/>
        <v>-2.2227562177100646E-2</v>
      </c>
      <c r="K570" s="42">
        <f t="shared" si="152"/>
        <v>133.80610712497912</v>
      </c>
      <c r="L570" s="42">
        <f t="shared" si="153"/>
        <v>130.35577422305732</v>
      </c>
      <c r="M570" s="42">
        <f t="shared" si="154"/>
        <v>97.777243782290029</v>
      </c>
      <c r="N570" s="41">
        <f t="shared" si="162"/>
        <v>2.6468585089433727E-2</v>
      </c>
      <c r="O570" s="41">
        <f t="shared" si="163"/>
        <v>0.36847902384025666</v>
      </c>
      <c r="P570" s="39">
        <f t="shared" si="164"/>
        <v>251.97910749170376</v>
      </c>
      <c r="Q570" s="42">
        <f t="shared" si="165"/>
        <v>1.3380610712497893</v>
      </c>
      <c r="R570" s="42">
        <f t="shared" si="166"/>
        <v>1.6258412592468956</v>
      </c>
      <c r="S570" s="41">
        <f t="shared" si="167"/>
        <v>-0.17700386575895399</v>
      </c>
      <c r="T570" s="41">
        <f t="shared" si="151"/>
        <v>0.30778707022578938</v>
      </c>
      <c r="U570" s="41">
        <f t="shared" si="168"/>
        <v>0</v>
      </c>
      <c r="V570" s="41">
        <f t="shared" si="169"/>
        <v>1.3128244727991234E-3</v>
      </c>
      <c r="W570" s="39">
        <f t="shared" si="155"/>
        <v>240.57</v>
      </c>
      <c r="X570" s="21"/>
    </row>
    <row r="571" spans="1:24" x14ac:dyDescent="0.2">
      <c r="A571" s="38">
        <v>45770</v>
      </c>
      <c r="B571" s="39">
        <v>244.54</v>
      </c>
      <c r="C571" s="39">
        <v>535.41999999999996</v>
      </c>
      <c r="D571" s="39">
        <v>40.74</v>
      </c>
      <c r="E571" s="41">
        <f t="shared" si="156"/>
        <v>1.6502473292596687E-2</v>
      </c>
      <c r="F571" s="41">
        <f t="shared" si="157"/>
        <v>1.5495495495495337E-2</v>
      </c>
      <c r="G571" s="41">
        <f t="shared" si="158"/>
        <v>1.2288031457361459E-3</v>
      </c>
      <c r="H571" s="41">
        <f t="shared" si="159"/>
        <v>0.36014238834195234</v>
      </c>
      <c r="I571" s="41">
        <f t="shared" si="160"/>
        <v>0.32375701535342127</v>
      </c>
      <c r="J571" s="41">
        <f t="shared" si="161"/>
        <v>-2.1026072329689782E-2</v>
      </c>
      <c r="K571" s="42">
        <f t="shared" si="152"/>
        <v>136.01423883419545</v>
      </c>
      <c r="L571" s="42">
        <f t="shared" si="153"/>
        <v>132.37570153534253</v>
      </c>
      <c r="M571" s="42">
        <f t="shared" si="154"/>
        <v>97.897392767031121</v>
      </c>
      <c r="N571" s="41">
        <f t="shared" si="162"/>
        <v>2.748644393685562E-2</v>
      </c>
      <c r="O571" s="41">
        <f t="shared" si="163"/>
        <v>0.38935506850393731</v>
      </c>
      <c r="P571" s="39">
        <f t="shared" si="164"/>
        <v>251.90508652163706</v>
      </c>
      <c r="Q571" s="42">
        <f t="shared" si="165"/>
        <v>1.3601423883419523</v>
      </c>
      <c r="R571" s="42">
        <f t="shared" si="166"/>
        <v>1.6258412592468956</v>
      </c>
      <c r="S571" s="41">
        <f t="shared" si="167"/>
        <v>-0.16342239403373082</v>
      </c>
      <c r="T571" s="41">
        <f t="shared" si="151"/>
        <v>0.30979048865262293</v>
      </c>
      <c r="U571" s="41">
        <f t="shared" si="168"/>
        <v>0</v>
      </c>
      <c r="V571" s="41">
        <f t="shared" si="169"/>
        <v>1.0069777971013494E-3</v>
      </c>
      <c r="W571" s="39">
        <f t="shared" si="155"/>
        <v>244.54</v>
      </c>
      <c r="X571" s="21"/>
    </row>
    <row r="572" spans="1:24" x14ac:dyDescent="0.2">
      <c r="A572" s="38">
        <v>45771</v>
      </c>
      <c r="B572" s="39">
        <v>249.51</v>
      </c>
      <c r="C572" s="39">
        <v>546.69000000000005</v>
      </c>
      <c r="D572" s="39">
        <v>41.62</v>
      </c>
      <c r="E572" s="41">
        <f t="shared" si="156"/>
        <v>2.0323873394945569E-2</v>
      </c>
      <c r="F572" s="41">
        <f t="shared" si="157"/>
        <v>2.1048896193642586E-2</v>
      </c>
      <c r="G572" s="41">
        <f t="shared" si="158"/>
        <v>2.1600392734413276E-2</v>
      </c>
      <c r="H572" s="41">
        <f t="shared" si="159"/>
        <v>0.38778575004171301</v>
      </c>
      <c r="I572" s="41">
        <f t="shared" si="160"/>
        <v>0.35162063935520149</v>
      </c>
      <c r="J572" s="41">
        <f t="shared" si="161"/>
        <v>1.2014898473999835E-4</v>
      </c>
      <c r="K572" s="42">
        <f t="shared" si="152"/>
        <v>138.77857500417156</v>
      </c>
      <c r="L572" s="42">
        <f t="shared" si="153"/>
        <v>135.16206393552056</v>
      </c>
      <c r="M572" s="42">
        <f t="shared" si="154"/>
        <v>100.01201489847409</v>
      </c>
      <c r="N572" s="41">
        <f t="shared" si="162"/>
        <v>2.6756849986963926E-2</v>
      </c>
      <c r="O572" s="41">
        <f t="shared" si="163"/>
        <v>0.38761902902416989</v>
      </c>
      <c r="P572" s="39">
        <f t="shared" si="164"/>
        <v>251.8812548149541</v>
      </c>
      <c r="Q572" s="42">
        <f t="shared" si="165"/>
        <v>1.387785750041713</v>
      </c>
      <c r="R572" s="42">
        <f t="shared" si="166"/>
        <v>1.6258412592468956</v>
      </c>
      <c r="S572" s="41">
        <f t="shared" si="167"/>
        <v>-0.14641989668502575</v>
      </c>
      <c r="T572" s="41">
        <f t="shared" si="151"/>
        <v>0.31305927530971239</v>
      </c>
      <c r="U572" s="41">
        <f t="shared" si="168"/>
        <v>0</v>
      </c>
      <c r="V572" s="41">
        <f t="shared" si="169"/>
        <v>-7.2502279869701702E-4</v>
      </c>
      <c r="W572" s="39">
        <f t="shared" si="155"/>
        <v>249.51</v>
      </c>
      <c r="X572" s="21"/>
    </row>
    <row r="573" spans="1:24" x14ac:dyDescent="0.2">
      <c r="A573" s="38">
        <v>45772</v>
      </c>
      <c r="B573" s="39">
        <v>247.04</v>
      </c>
      <c r="C573" s="39">
        <v>550.64</v>
      </c>
      <c r="D573" s="39">
        <v>41.31</v>
      </c>
      <c r="E573" s="41">
        <f t="shared" si="156"/>
        <v>-9.8994028295459335E-3</v>
      </c>
      <c r="F573" s="41">
        <f t="shared" si="157"/>
        <v>7.2253013590881654E-3</v>
      </c>
      <c r="G573" s="41">
        <f t="shared" si="158"/>
        <v>-7.4483421432002261E-3</v>
      </c>
      <c r="H573" s="41">
        <f t="shared" si="159"/>
        <v>0.37404749986094665</v>
      </c>
      <c r="I573" s="41">
        <f t="shared" si="160"/>
        <v>0.36138650579770615</v>
      </c>
      <c r="J573" s="41">
        <f t="shared" si="161"/>
        <v>-7.3290880692067351E-3</v>
      </c>
      <c r="K573" s="42">
        <f t="shared" si="152"/>
        <v>137.40474998609488</v>
      </c>
      <c r="L573" s="42">
        <f t="shared" si="153"/>
        <v>136.13865057977102</v>
      </c>
      <c r="M573" s="42">
        <f t="shared" si="154"/>
        <v>99.267091193079409</v>
      </c>
      <c r="N573" s="41">
        <f t="shared" si="162"/>
        <v>9.3000731308274798E-3</v>
      </c>
      <c r="O573" s="41">
        <f t="shared" si="163"/>
        <v>0.38419236762801612</v>
      </c>
      <c r="P573" s="39">
        <f t="shared" si="164"/>
        <v>251.8330831252531</v>
      </c>
      <c r="Q573" s="42">
        <f t="shared" si="165"/>
        <v>1.3740474998609467</v>
      </c>
      <c r="R573" s="42">
        <f t="shared" si="166"/>
        <v>1.6258412592468956</v>
      </c>
      <c r="S573" s="41">
        <f t="shared" si="167"/>
        <v>-0.15486982997502607</v>
      </c>
      <c r="T573" s="41">
        <f t="shared" si="151"/>
        <v>0.31298223487481536</v>
      </c>
      <c r="U573" s="41">
        <f t="shared" si="168"/>
        <v>-1.0055052692337196E-2</v>
      </c>
      <c r="V573" s="41">
        <f t="shared" si="169"/>
        <v>-1.7124704188634099E-2</v>
      </c>
      <c r="W573" s="39">
        <f t="shared" si="155"/>
        <v>247.04</v>
      </c>
      <c r="X573" s="21"/>
    </row>
    <row r="574" spans="1:24" x14ac:dyDescent="0.2">
      <c r="A574" s="38">
        <v>45775</v>
      </c>
      <c r="B574" s="39">
        <v>245.39</v>
      </c>
      <c r="C574" s="39">
        <v>550.85</v>
      </c>
      <c r="D574" s="39">
        <v>41.384999999999998</v>
      </c>
      <c r="E574" s="41">
        <f t="shared" si="156"/>
        <v>-6.679080310880825E-3</v>
      </c>
      <c r="F574" s="41">
        <f t="shared" si="157"/>
        <v>3.813744006975206E-4</v>
      </c>
      <c r="G574" s="41">
        <f t="shared" si="158"/>
        <v>1.8155410312272746E-3</v>
      </c>
      <c r="H574" s="41">
        <f t="shared" si="159"/>
        <v>0.36487012625841042</v>
      </c>
      <c r="I574" s="41">
        <f t="shared" si="160"/>
        <v>0.36190570376047249</v>
      </c>
      <c r="J574" s="41">
        <f t="shared" si="161"/>
        <v>-5.5268532980905505E-3</v>
      </c>
      <c r="K574" s="42">
        <f t="shared" si="152"/>
        <v>136.48701262584126</v>
      </c>
      <c r="L574" s="42">
        <f t="shared" si="153"/>
        <v>136.19057037604767</v>
      </c>
      <c r="M574" s="42">
        <f t="shared" si="154"/>
        <v>99.44731467019102</v>
      </c>
      <c r="N574" s="41">
        <f t="shared" si="162"/>
        <v>2.1766723567957502E-3</v>
      </c>
      <c r="O574" s="41">
        <f t="shared" si="163"/>
        <v>0.3724554863898466</v>
      </c>
      <c r="P574" s="39">
        <f t="shared" si="164"/>
        <v>251.76897284539984</v>
      </c>
      <c r="Q574" s="42">
        <f t="shared" si="165"/>
        <v>1.3648701262584104</v>
      </c>
      <c r="R574" s="42">
        <f t="shared" si="166"/>
        <v>1.6258412592468956</v>
      </c>
      <c r="S574" s="41">
        <f t="shared" si="167"/>
        <v>-0.16051452225377116</v>
      </c>
      <c r="T574" s="41">
        <f t="shared" si="151"/>
        <v>0.31120632775278012</v>
      </c>
      <c r="U574" s="41">
        <f t="shared" si="168"/>
        <v>-6.8347301736720878E-3</v>
      </c>
      <c r="V574" s="41">
        <f t="shared" si="169"/>
        <v>-7.0604547115783456E-3</v>
      </c>
      <c r="W574" s="39">
        <f t="shared" si="155"/>
        <v>245.39</v>
      </c>
      <c r="X574" s="21"/>
    </row>
    <row r="575" spans="1:24" x14ac:dyDescent="0.2">
      <c r="A575" s="38">
        <v>45776</v>
      </c>
      <c r="B575" s="39">
        <v>245.35</v>
      </c>
      <c r="C575" s="39">
        <v>554.32000000000005</v>
      </c>
      <c r="D575" s="39">
        <v>41.73</v>
      </c>
      <c r="E575" s="41">
        <f t="shared" si="156"/>
        <v>-1.6300582745831793E-4</v>
      </c>
      <c r="F575" s="41">
        <f t="shared" si="157"/>
        <v>6.2993555414359026E-3</v>
      </c>
      <c r="G575" s="41">
        <f t="shared" si="158"/>
        <v>8.3363537513592156E-3</v>
      </c>
      <c r="H575" s="41">
        <f t="shared" si="159"/>
        <v>0.36464764447410647</v>
      </c>
      <c r="I575" s="41">
        <f t="shared" si="160"/>
        <v>0.37048483200236926</v>
      </c>
      <c r="J575" s="41">
        <f t="shared" si="161"/>
        <v>2.763426649043943E-3</v>
      </c>
      <c r="K575" s="42">
        <f t="shared" si="152"/>
        <v>136.46476444741086</v>
      </c>
      <c r="L575" s="42">
        <f t="shared" si="153"/>
        <v>137.04848320023734</v>
      </c>
      <c r="M575" s="42">
        <f t="shared" si="154"/>
        <v>100.27634266490446</v>
      </c>
      <c r="N575" s="41">
        <f t="shared" si="162"/>
        <v>-4.2592135220747007E-3</v>
      </c>
      <c r="O575" s="41">
        <f t="shared" si="163"/>
        <v>0.36088693325640997</v>
      </c>
      <c r="P575" s="39">
        <f t="shared" si="164"/>
        <v>251.7051024688287</v>
      </c>
      <c r="Q575" s="42">
        <f t="shared" si="165"/>
        <v>1.3646476444741065</v>
      </c>
      <c r="R575" s="42">
        <f t="shared" si="166"/>
        <v>1.6258412592468956</v>
      </c>
      <c r="S575" s="41">
        <f t="shared" si="167"/>
        <v>-0.16065136327871044</v>
      </c>
      <c r="T575" s="41">
        <f t="shared" si="151"/>
        <v>0.31095297590947751</v>
      </c>
      <c r="U575" s="41">
        <f t="shared" si="168"/>
        <v>-3.1865569024958074E-4</v>
      </c>
      <c r="V575" s="41">
        <f t="shared" si="169"/>
        <v>-6.4623613688942205E-3</v>
      </c>
      <c r="W575" s="39">
        <f t="shared" si="155"/>
        <v>245.35</v>
      </c>
      <c r="X575" s="21"/>
    </row>
    <row r="576" spans="1:24" x14ac:dyDescent="0.2">
      <c r="A576" s="38">
        <v>45777</v>
      </c>
      <c r="B576" s="39">
        <v>262.33</v>
      </c>
      <c r="C576" s="39">
        <v>554.54</v>
      </c>
      <c r="D576" s="39">
        <v>41.945</v>
      </c>
      <c r="E576" s="41">
        <f t="shared" si="156"/>
        <v>6.9207254941919594E-2</v>
      </c>
      <c r="F576" s="41">
        <f t="shared" si="157"/>
        <v>3.9688266705129038E-4</v>
      </c>
      <c r="G576" s="41">
        <f t="shared" si="158"/>
        <v>5.1521687035707142E-3</v>
      </c>
      <c r="H576" s="41">
        <f t="shared" si="159"/>
        <v>0.45909116191111599</v>
      </c>
      <c r="I576" s="41">
        <f t="shared" si="160"/>
        <v>0.37102875367764776</v>
      </c>
      <c r="J576" s="41">
        <f t="shared" si="161"/>
        <v>7.9298329929105016E-3</v>
      </c>
      <c r="K576" s="42">
        <f t="shared" si="152"/>
        <v>145.90911619111185</v>
      </c>
      <c r="L576" s="42">
        <f t="shared" si="153"/>
        <v>137.10287536776519</v>
      </c>
      <c r="M576" s="42">
        <f t="shared" si="154"/>
        <v>100.79298329929112</v>
      </c>
      <c r="N576" s="41">
        <f t="shared" si="162"/>
        <v>6.4230898146555804E-2</v>
      </c>
      <c r="O576" s="41">
        <f t="shared" si="163"/>
        <v>0.44761184176734137</v>
      </c>
      <c r="P576" s="39">
        <f t="shared" si="164"/>
        <v>251.81082284227321</v>
      </c>
      <c r="Q576" s="42">
        <f t="shared" si="165"/>
        <v>1.459091161911116</v>
      </c>
      <c r="R576" s="42">
        <f t="shared" si="166"/>
        <v>1.6258412592468956</v>
      </c>
      <c r="S576" s="41">
        <f t="shared" si="167"/>
        <v>-0.10256234819198751</v>
      </c>
      <c r="T576" s="41">
        <f t="shared" si="151"/>
        <v>0.3425196995682131</v>
      </c>
      <c r="U576" s="41">
        <f t="shared" si="168"/>
        <v>0</v>
      </c>
      <c r="V576" s="41">
        <f t="shared" si="169"/>
        <v>6.8810372274868303E-2</v>
      </c>
      <c r="W576" s="39">
        <f t="shared" si="155"/>
        <v>262.33</v>
      </c>
      <c r="X576" s="21"/>
    </row>
    <row r="577" spans="1:24" x14ac:dyDescent="0.2">
      <c r="A577" s="38">
        <v>45778</v>
      </c>
      <c r="B577" s="39">
        <v>263.63</v>
      </c>
      <c r="C577" s="39">
        <v>558.47</v>
      </c>
      <c r="D577" s="39">
        <v>41.76</v>
      </c>
      <c r="E577" s="41">
        <f t="shared" si="156"/>
        <v>4.9555902870430657E-3</v>
      </c>
      <c r="F577" s="41">
        <f t="shared" si="157"/>
        <v>7.0869549536554111E-3</v>
      </c>
      <c r="G577" s="41">
        <f t="shared" si="158"/>
        <v>-4.4105376087734127E-3</v>
      </c>
      <c r="H577" s="41">
        <f t="shared" si="159"/>
        <v>0.46632181990099308</v>
      </c>
      <c r="I577" s="41">
        <f t="shared" si="160"/>
        <v>0.38074517269512764</v>
      </c>
      <c r="J577" s="41">
        <f t="shared" si="161"/>
        <v>3.4843205574905944E-3</v>
      </c>
      <c r="K577" s="42">
        <f t="shared" si="152"/>
        <v>146.63218199009958</v>
      </c>
      <c r="L577" s="42">
        <f t="shared" si="153"/>
        <v>138.07451726951319</v>
      </c>
      <c r="M577" s="42">
        <f t="shared" si="154"/>
        <v>100.34843205574913</v>
      </c>
      <c r="N577" s="41">
        <f t="shared" si="162"/>
        <v>6.1978595977145501E-2</v>
      </c>
      <c r="O577" s="41">
        <f t="shared" si="163"/>
        <v>0.46123042469300457</v>
      </c>
      <c r="P577" s="39">
        <f t="shared" si="164"/>
        <v>251.92842659508642</v>
      </c>
      <c r="Q577" s="42">
        <f t="shared" si="165"/>
        <v>1.4663218199009931</v>
      </c>
      <c r="R577" s="42">
        <f t="shared" si="166"/>
        <v>1.6258412592468956</v>
      </c>
      <c r="S577" s="41">
        <f t="shared" si="167"/>
        <v>-9.8115014881461016E-2</v>
      </c>
      <c r="T577" s="41">
        <f t="shared" si="151"/>
        <v>0.34260878053725813</v>
      </c>
      <c r="U577" s="41">
        <f t="shared" si="168"/>
        <v>0</v>
      </c>
      <c r="V577" s="41">
        <f t="shared" si="169"/>
        <v>-2.1313646666123454E-3</v>
      </c>
      <c r="W577" s="39">
        <f t="shared" si="155"/>
        <v>263.63</v>
      </c>
      <c r="X577" s="21"/>
    </row>
    <row r="578" spans="1:24" x14ac:dyDescent="0.2">
      <c r="A578" s="38">
        <v>45779</v>
      </c>
      <c r="B578" s="39">
        <v>267.05</v>
      </c>
      <c r="C578" s="39">
        <v>566.76</v>
      </c>
      <c r="D578" s="39">
        <v>42.465000000000003</v>
      </c>
      <c r="E578" s="41">
        <f t="shared" si="156"/>
        <v>1.297272692789142E-2</v>
      </c>
      <c r="F578" s="41">
        <f t="shared" si="157"/>
        <v>1.4844127706054033E-2</v>
      </c>
      <c r="G578" s="41">
        <f t="shared" si="158"/>
        <v>1.6882183908046189E-2</v>
      </c>
      <c r="H578" s="41">
        <f t="shared" si="159"/>
        <v>0.4853440124589774</v>
      </c>
      <c r="I578" s="41">
        <f t="shared" si="160"/>
        <v>0.4012411303681318</v>
      </c>
      <c r="J578" s="41">
        <f t="shared" si="161"/>
        <v>2.0425327405982907E-2</v>
      </c>
      <c r="K578" s="42">
        <f t="shared" si="152"/>
        <v>148.53440124589801</v>
      </c>
      <c r="L578" s="42">
        <f t="shared" si="153"/>
        <v>140.12411303681361</v>
      </c>
      <c r="M578" s="42">
        <f t="shared" si="154"/>
        <v>102.04253274059833</v>
      </c>
      <c r="N578" s="41">
        <f t="shared" si="162"/>
        <v>6.0020277929431209E-2</v>
      </c>
      <c r="O578" s="41">
        <f t="shared" si="163"/>
        <v>0.45561264755634934</v>
      </c>
      <c r="P578" s="39">
        <f t="shared" si="164"/>
        <v>252.07889001205075</v>
      </c>
      <c r="Q578" s="42">
        <f t="shared" si="165"/>
        <v>1.4853440124589774</v>
      </c>
      <c r="R578" s="42">
        <f t="shared" si="166"/>
        <v>1.6258412592468956</v>
      </c>
      <c r="S578" s="41">
        <f t="shared" si="167"/>
        <v>-8.6415107249152801E-2</v>
      </c>
      <c r="T578" s="41">
        <f t="shared" si="151"/>
        <v>0.34324213759972283</v>
      </c>
      <c r="U578" s="41">
        <f t="shared" si="168"/>
        <v>0</v>
      </c>
      <c r="V578" s="41">
        <f t="shared" si="169"/>
        <v>-1.871400778162613E-3</v>
      </c>
      <c r="W578" s="39">
        <f t="shared" si="155"/>
        <v>267.05</v>
      </c>
      <c r="X578" s="21"/>
    </row>
    <row r="579" spans="1:24" x14ac:dyDescent="0.2">
      <c r="A579" s="38">
        <v>45782</v>
      </c>
      <c r="B579" s="39">
        <v>270.04000000000002</v>
      </c>
      <c r="C579" s="39">
        <v>563.51</v>
      </c>
      <c r="D579" s="39">
        <v>42.15</v>
      </c>
      <c r="E579" s="41">
        <f t="shared" si="156"/>
        <v>1.1196405167571699E-2</v>
      </c>
      <c r="F579" s="41">
        <f t="shared" si="157"/>
        <v>-5.7343496365304114E-3</v>
      </c>
      <c r="G579" s="41">
        <f t="shared" si="158"/>
        <v>-7.4178735429177856E-3</v>
      </c>
      <c r="H579" s="41">
        <f t="shared" si="159"/>
        <v>0.50197452583569468</v>
      </c>
      <c r="I579" s="41">
        <f t="shared" si="160"/>
        <v>0.39320592380151376</v>
      </c>
      <c r="J579" s="41">
        <f t="shared" si="161"/>
        <v>1.2855941367294843E-2</v>
      </c>
      <c r="K579" s="42">
        <f t="shared" si="152"/>
        <v>150.19745258356974</v>
      </c>
      <c r="L579" s="42">
        <f t="shared" si="153"/>
        <v>139.32059238015179</v>
      </c>
      <c r="M579" s="42">
        <f t="shared" si="154"/>
        <v>101.28559413672953</v>
      </c>
      <c r="N579" s="41">
        <f t="shared" si="162"/>
        <v>7.8070728939620082E-2</v>
      </c>
      <c r="O579" s="41">
        <f t="shared" si="163"/>
        <v>0.48291031773789972</v>
      </c>
      <c r="P579" s="39">
        <f t="shared" si="164"/>
        <v>252.25760752436864</v>
      </c>
      <c r="Q579" s="42">
        <f t="shared" si="165"/>
        <v>1.5019745258356947</v>
      </c>
      <c r="R579" s="42">
        <f t="shared" si="166"/>
        <v>1.6258412592468956</v>
      </c>
      <c r="S579" s="41">
        <f t="shared" si="167"/>
        <v>-7.6186240634941838E-2</v>
      </c>
      <c r="T579" s="41">
        <f t="shared" si="151"/>
        <v>0.34333821066304926</v>
      </c>
      <c r="U579" s="41">
        <f t="shared" si="168"/>
        <v>0</v>
      </c>
      <c r="V579" s="41">
        <f t="shared" si="169"/>
        <v>1.6930754804102111E-2</v>
      </c>
      <c r="W579" s="39">
        <f t="shared" si="155"/>
        <v>270.04000000000002</v>
      </c>
      <c r="X579" s="21"/>
    </row>
    <row r="580" spans="1:24" x14ac:dyDescent="0.2">
      <c r="A580" s="38">
        <v>45783</v>
      </c>
      <c r="B580" s="39">
        <v>267.24</v>
      </c>
      <c r="C580" s="39">
        <v>558.79999999999995</v>
      </c>
      <c r="D580" s="39">
        <v>41.844999999999999</v>
      </c>
      <c r="E580" s="41">
        <f t="shared" si="156"/>
        <v>-1.0368834246778258E-2</v>
      </c>
      <c r="F580" s="41">
        <f t="shared" si="157"/>
        <v>-8.3583254955547082E-3</v>
      </c>
      <c r="G580" s="41">
        <f t="shared" si="158"/>
        <v>-7.2360616844602266E-3</v>
      </c>
      <c r="H580" s="41">
        <f t="shared" si="159"/>
        <v>0.48640080093442095</v>
      </c>
      <c r="I580" s="41">
        <f t="shared" si="160"/>
        <v>0.38156105520804573</v>
      </c>
      <c r="J580" s="41">
        <f t="shared" si="161"/>
        <v>5.5268532980889962E-3</v>
      </c>
      <c r="K580" s="42">
        <f t="shared" si="152"/>
        <v>148.64008009344235</v>
      </c>
      <c r="L580" s="42">
        <f t="shared" si="153"/>
        <v>138.15610552080497</v>
      </c>
      <c r="M580" s="42">
        <f t="shared" si="154"/>
        <v>100.55268532980897</v>
      </c>
      <c r="N580" s="41">
        <f t="shared" si="162"/>
        <v>7.5884989180291962E-2</v>
      </c>
      <c r="O580" s="41">
        <f t="shared" si="163"/>
        <v>0.47823083596334004</v>
      </c>
      <c r="P580" s="39">
        <f t="shared" si="164"/>
        <v>252.40668605646448</v>
      </c>
      <c r="Q580" s="42">
        <f t="shared" si="165"/>
        <v>1.486400800934421</v>
      </c>
      <c r="R580" s="42">
        <f t="shared" si="166"/>
        <v>1.6258412592468956</v>
      </c>
      <c r="S580" s="41">
        <f t="shared" si="167"/>
        <v>-8.5765112380691289E-2</v>
      </c>
      <c r="T580" s="41">
        <f t="shared" si="151"/>
        <v>0.34252681290081555</v>
      </c>
      <c r="U580" s="41">
        <f t="shared" si="168"/>
        <v>-1.0524484109569521E-2</v>
      </c>
      <c r="V580" s="41">
        <f t="shared" si="169"/>
        <v>-2.0105087512235498E-3</v>
      </c>
      <c r="W580" s="39">
        <f t="shared" si="155"/>
        <v>267.24</v>
      </c>
      <c r="X580" s="21"/>
    </row>
    <row r="581" spans="1:24" x14ac:dyDescent="0.2">
      <c r="A581" s="38">
        <v>45784</v>
      </c>
      <c r="B581" s="39">
        <v>265.83999999999997</v>
      </c>
      <c r="C581" s="39">
        <v>561.15</v>
      </c>
      <c r="D581" s="39">
        <v>41.615000000000002</v>
      </c>
      <c r="E581" s="41">
        <f t="shared" si="156"/>
        <v>-5.2387367160605658E-3</v>
      </c>
      <c r="F581" s="41">
        <f t="shared" si="157"/>
        <v>4.2054402290623294E-3</v>
      </c>
      <c r="G581" s="41">
        <f t="shared" si="158"/>
        <v>-5.4964750866292045E-3</v>
      </c>
      <c r="H581" s="41">
        <f t="shared" si="159"/>
        <v>0.47861393848378397</v>
      </c>
      <c r="I581" s="41">
        <f t="shared" si="160"/>
        <v>0.38737112764852344</v>
      </c>
      <c r="J581" s="41">
        <f t="shared" si="161"/>
        <v>-5.5511151231257827E-16</v>
      </c>
      <c r="K581" s="42">
        <f t="shared" si="152"/>
        <v>147.86139384837867</v>
      </c>
      <c r="L581" s="42">
        <f t="shared" si="153"/>
        <v>138.73711276485275</v>
      </c>
      <c r="M581" s="42">
        <f t="shared" si="154"/>
        <v>100</v>
      </c>
      <c r="N581" s="41">
        <f t="shared" si="162"/>
        <v>6.5766692860265374E-2</v>
      </c>
      <c r="O581" s="41">
        <f t="shared" si="163"/>
        <v>0.47861393848378486</v>
      </c>
      <c r="P581" s="39">
        <f t="shared" si="164"/>
        <v>252.54035087182305</v>
      </c>
      <c r="Q581" s="42">
        <f t="shared" si="165"/>
        <v>1.478613938483784</v>
      </c>
      <c r="R581" s="42">
        <f t="shared" si="166"/>
        <v>1.6258412592468956</v>
      </c>
      <c r="S581" s="41">
        <f t="shared" si="167"/>
        <v>-9.0554548253566014E-2</v>
      </c>
      <c r="T581" s="41">
        <f t="shared" si="151"/>
        <v>0.34110823922754957</v>
      </c>
      <c r="U581" s="41">
        <f t="shared" si="168"/>
        <v>-5.3943865788518286E-3</v>
      </c>
      <c r="V581" s="41">
        <f t="shared" si="169"/>
        <v>-9.4441769451228952E-3</v>
      </c>
      <c r="W581" s="39">
        <f t="shared" si="155"/>
        <v>265.83999999999997</v>
      </c>
      <c r="X581" s="21"/>
    </row>
    <row r="582" spans="1:24" x14ac:dyDescent="0.2">
      <c r="A582" s="38">
        <v>45785</v>
      </c>
      <c r="B582" s="39">
        <v>268.42</v>
      </c>
      <c r="C582" s="39">
        <v>565.05999999999995</v>
      </c>
      <c r="D582" s="39">
        <v>42.17</v>
      </c>
      <c r="E582" s="41">
        <f t="shared" si="156"/>
        <v>9.7050857658742551E-3</v>
      </c>
      <c r="F582" s="41">
        <f t="shared" si="157"/>
        <v>6.967833912500998E-3</v>
      </c>
      <c r="G582" s="41">
        <f t="shared" si="158"/>
        <v>1.3336537306259721E-2</v>
      </c>
      <c r="H582" s="41">
        <f t="shared" si="159"/>
        <v>0.49296401357138619</v>
      </c>
      <c r="I582" s="41">
        <f t="shared" si="160"/>
        <v>0.39703809924097766</v>
      </c>
      <c r="J582" s="41">
        <f t="shared" si="161"/>
        <v>1.3336537306259055E-2</v>
      </c>
      <c r="K582" s="42">
        <f t="shared" si="152"/>
        <v>149.2964013571389</v>
      </c>
      <c r="L582" s="42">
        <f t="shared" si="153"/>
        <v>139.70380992409818</v>
      </c>
      <c r="M582" s="42">
        <f t="shared" si="154"/>
        <v>101.33365373062597</v>
      </c>
      <c r="N582" s="41">
        <f t="shared" si="162"/>
        <v>6.8663778305348977E-2</v>
      </c>
      <c r="O582" s="41">
        <f t="shared" si="163"/>
        <v>0.47331509188459275</v>
      </c>
      <c r="P582" s="39">
        <f t="shared" si="164"/>
        <v>252.6983573308099</v>
      </c>
      <c r="Q582" s="42">
        <f t="shared" si="165"/>
        <v>1.4929640135713862</v>
      </c>
      <c r="R582" s="42">
        <f t="shared" si="166"/>
        <v>1.6258412592468956</v>
      </c>
      <c r="S582" s="41">
        <f t="shared" si="167"/>
        <v>-8.1728302144982723E-2</v>
      </c>
      <c r="T582" s="41">
        <f t="shared" si="151"/>
        <v>0.34161779164338801</v>
      </c>
      <c r="U582" s="41">
        <f t="shared" si="168"/>
        <v>0</v>
      </c>
      <c r="V582" s="41">
        <f t="shared" si="169"/>
        <v>2.737251853373257E-3</v>
      </c>
      <c r="W582" s="39">
        <f t="shared" si="155"/>
        <v>268.42</v>
      </c>
      <c r="X582" s="21"/>
    </row>
    <row r="583" spans="1:24" x14ac:dyDescent="0.2">
      <c r="A583" s="38">
        <v>45786</v>
      </c>
      <c r="B583" s="39">
        <v>269.63</v>
      </c>
      <c r="C583" s="39">
        <v>564.34</v>
      </c>
      <c r="D583" s="39">
        <v>42.28</v>
      </c>
      <c r="E583" s="41">
        <f t="shared" si="156"/>
        <v>4.5078608151403188E-3</v>
      </c>
      <c r="F583" s="41">
        <f t="shared" si="157"/>
        <v>-1.2742009698083478E-3</v>
      </c>
      <c r="G583" s="41">
        <f t="shared" si="158"/>
        <v>2.6084894474744935E-3</v>
      </c>
      <c r="H583" s="41">
        <f t="shared" si="159"/>
        <v>0.49969408754657918</v>
      </c>
      <c r="I583" s="41">
        <f t="shared" si="160"/>
        <v>0.39525799194006561</v>
      </c>
      <c r="J583" s="41">
        <f t="shared" si="161"/>
        <v>1.5979814970562778E-2</v>
      </c>
      <c r="K583" s="42">
        <f t="shared" si="152"/>
        <v>149.96940875465822</v>
      </c>
      <c r="L583" s="42">
        <f t="shared" si="153"/>
        <v>139.52579919400696</v>
      </c>
      <c r="M583" s="42">
        <f t="shared" si="154"/>
        <v>101.59798149705634</v>
      </c>
      <c r="N583" s="41">
        <f t="shared" si="162"/>
        <v>7.4850741733647475E-2</v>
      </c>
      <c r="O583" s="41">
        <f t="shared" si="163"/>
        <v>0.4761061838517251</v>
      </c>
      <c r="P583" s="39">
        <f t="shared" si="164"/>
        <v>252.86683138721975</v>
      </c>
      <c r="Q583" s="42">
        <f t="shared" si="165"/>
        <v>1.4996940875465792</v>
      </c>
      <c r="R583" s="42">
        <f t="shared" si="166"/>
        <v>1.6258412592468956</v>
      </c>
      <c r="S583" s="41">
        <f t="shared" si="167"/>
        <v>-7.7588861140569731E-2</v>
      </c>
      <c r="T583" s="41">
        <f t="shared" si="151"/>
        <v>0.34027173269477817</v>
      </c>
      <c r="U583" s="41">
        <f t="shared" si="168"/>
        <v>0</v>
      </c>
      <c r="V583" s="41">
        <f t="shared" si="169"/>
        <v>5.7820617849486666E-3</v>
      </c>
      <c r="W583" s="39">
        <f t="shared" si="155"/>
        <v>269.63</v>
      </c>
      <c r="X583" s="21"/>
    </row>
    <row r="584" spans="1:24" x14ac:dyDescent="0.2">
      <c r="A584" s="38">
        <v>45789</v>
      </c>
      <c r="B584" s="39">
        <v>272.36</v>
      </c>
      <c r="C584" s="39">
        <v>582.99</v>
      </c>
      <c r="D584" s="39">
        <v>43.26</v>
      </c>
      <c r="E584" s="41">
        <f t="shared" si="156"/>
        <v>1.0124986092052035E-2</v>
      </c>
      <c r="F584" s="41">
        <f t="shared" si="157"/>
        <v>3.3047453662685466E-2</v>
      </c>
      <c r="G584" s="41">
        <f t="shared" si="158"/>
        <v>2.3178807947019875E-2</v>
      </c>
      <c r="H584" s="41">
        <f t="shared" si="159"/>
        <v>0.514878469325321</v>
      </c>
      <c r="I584" s="41">
        <f t="shared" si="160"/>
        <v>0.4413677157761966</v>
      </c>
      <c r="J584" s="41">
        <f t="shared" si="161"/>
        <v>3.9529015979814286E-2</v>
      </c>
      <c r="K584" s="42">
        <f t="shared" si="152"/>
        <v>151.48784693253242</v>
      </c>
      <c r="L584" s="42">
        <f t="shared" si="153"/>
        <v>144.1367715776201</v>
      </c>
      <c r="M584" s="42">
        <f t="shared" si="154"/>
        <v>103.95290159798149</v>
      </c>
      <c r="N584" s="41">
        <f t="shared" si="162"/>
        <v>5.1000693816385168E-2</v>
      </c>
      <c r="O584" s="41">
        <f t="shared" si="163"/>
        <v>0.45727386733641406</v>
      </c>
      <c r="P584" s="39">
        <f t="shared" si="164"/>
        <v>253.06079326396386</v>
      </c>
      <c r="Q584" s="42">
        <f t="shared" si="165"/>
        <v>1.514878469325321</v>
      </c>
      <c r="R584" s="42">
        <f t="shared" si="166"/>
        <v>1.6258412592468956</v>
      </c>
      <c r="S584" s="41">
        <f t="shared" si="167"/>
        <v>-6.8249461188464089E-2</v>
      </c>
      <c r="T584" s="41">
        <f t="shared" si="151"/>
        <v>0.33822876313933481</v>
      </c>
      <c r="U584" s="41">
        <f t="shared" si="168"/>
        <v>0</v>
      </c>
      <c r="V584" s="41">
        <f t="shared" si="169"/>
        <v>-2.2922467570633431E-2</v>
      </c>
      <c r="W584" s="39">
        <f t="shared" si="155"/>
        <v>272.36</v>
      </c>
      <c r="X584" s="21"/>
    </row>
    <row r="585" spans="1:24" x14ac:dyDescent="0.2">
      <c r="A585" s="38">
        <v>45790</v>
      </c>
      <c r="B585" s="39">
        <v>268.58999999999997</v>
      </c>
      <c r="C585" s="39">
        <v>586.84</v>
      </c>
      <c r="D585" s="39">
        <v>43.045000000000002</v>
      </c>
      <c r="E585" s="41">
        <f t="shared" si="156"/>
        <v>-1.3841973858129131E-2</v>
      </c>
      <c r="F585" s="41">
        <f t="shared" si="157"/>
        <v>6.6038868591229427E-3</v>
      </c>
      <c r="G585" s="41">
        <f t="shared" si="158"/>
        <v>-4.969949144706387E-3</v>
      </c>
      <c r="H585" s="41">
        <f t="shared" si="159"/>
        <v>0.49390956115467732</v>
      </c>
      <c r="I585" s="41">
        <f t="shared" si="160"/>
        <v>0.45088634509357517</v>
      </c>
      <c r="J585" s="41">
        <f t="shared" si="161"/>
        <v>3.4362609635947949E-2</v>
      </c>
      <c r="K585" s="42">
        <f t="shared" si="152"/>
        <v>149.39095611546804</v>
      </c>
      <c r="L585" s="42">
        <f t="shared" si="153"/>
        <v>145.08863450935792</v>
      </c>
      <c r="M585" s="42">
        <f t="shared" si="154"/>
        <v>103.43626096359486</v>
      </c>
      <c r="N585" s="41">
        <f t="shared" si="162"/>
        <v>2.9653057392532878E-2</v>
      </c>
      <c r="O585" s="41">
        <f t="shared" si="163"/>
        <v>0.44428032030321596</v>
      </c>
      <c r="P585" s="39">
        <f t="shared" si="164"/>
        <v>253.21531273397417</v>
      </c>
      <c r="Q585" s="42">
        <f t="shared" si="165"/>
        <v>1.4939095611546773</v>
      </c>
      <c r="R585" s="42">
        <f t="shared" si="166"/>
        <v>1.6258412592468956</v>
      </c>
      <c r="S585" s="41">
        <f t="shared" si="167"/>
        <v>-8.1146727788991013E-2</v>
      </c>
      <c r="T585" s="41">
        <f t="shared" si="151"/>
        <v>0.33938424322871591</v>
      </c>
      <c r="U585" s="41">
        <f t="shared" si="168"/>
        <v>-1.3997623720920394E-2</v>
      </c>
      <c r="V585" s="41">
        <f t="shared" si="169"/>
        <v>-2.0445860717252073E-2</v>
      </c>
      <c r="W585" s="39">
        <f t="shared" si="155"/>
        <v>268.58999999999997</v>
      </c>
      <c r="X585" s="21"/>
    </row>
    <row r="586" spans="1:24" x14ac:dyDescent="0.2">
      <c r="A586" s="38">
        <v>45791</v>
      </c>
      <c r="B586" s="39">
        <v>266.32</v>
      </c>
      <c r="C586" s="39">
        <v>587.59</v>
      </c>
      <c r="D586" s="39">
        <v>42.65</v>
      </c>
      <c r="E586" s="41">
        <f t="shared" si="156"/>
        <v>-8.451543244350046E-3</v>
      </c>
      <c r="F586" s="41">
        <f t="shared" si="157"/>
        <v>1.2780314906959411E-3</v>
      </c>
      <c r="G586" s="41">
        <f t="shared" si="158"/>
        <v>-9.1764432570566878E-3</v>
      </c>
      <c r="H586" s="41">
        <f t="shared" si="159"/>
        <v>0.48128371989543051</v>
      </c>
      <c r="I586" s="41">
        <f t="shared" si="160"/>
        <v>0.45274062353202549</v>
      </c>
      <c r="J586" s="41">
        <f t="shared" si="161"/>
        <v>2.4870839841402592E-2</v>
      </c>
      <c r="K586" s="42">
        <f t="shared" si="152"/>
        <v>148.12837198954335</v>
      </c>
      <c r="L586" s="42">
        <f t="shared" si="153"/>
        <v>145.27406235320294</v>
      </c>
      <c r="M586" s="42">
        <f t="shared" si="154"/>
        <v>102.48708398414033</v>
      </c>
      <c r="N586" s="41">
        <f t="shared" si="162"/>
        <v>1.964775810702446E-2</v>
      </c>
      <c r="O586" s="41">
        <f t="shared" si="163"/>
        <v>0.44533697546186124</v>
      </c>
      <c r="P586" s="39">
        <f t="shared" si="164"/>
        <v>253.34570763214361</v>
      </c>
      <c r="Q586" s="42">
        <f t="shared" si="165"/>
        <v>1.4812837198954305</v>
      </c>
      <c r="R586" s="42">
        <f t="shared" si="166"/>
        <v>1.6258412592468956</v>
      </c>
      <c r="S586" s="41">
        <f t="shared" si="167"/>
        <v>-8.8912455954294978E-2</v>
      </c>
      <c r="T586" s="41">
        <f t="shared" si="151"/>
        <v>0.33937152681139876</v>
      </c>
      <c r="U586" s="41">
        <f t="shared" si="168"/>
        <v>-8.6071931071413088E-3</v>
      </c>
      <c r="V586" s="41">
        <f t="shared" si="169"/>
        <v>-9.7295747350459871E-3</v>
      </c>
      <c r="W586" s="39">
        <f t="shared" si="155"/>
        <v>266.32</v>
      </c>
      <c r="X586" s="21"/>
    </row>
    <row r="587" spans="1:24" x14ac:dyDescent="0.2">
      <c r="A587" s="38">
        <v>45792</v>
      </c>
      <c r="B587" s="39">
        <v>271.07</v>
      </c>
      <c r="C587" s="39">
        <v>590.46</v>
      </c>
      <c r="D587" s="39">
        <v>43.085000000000001</v>
      </c>
      <c r="E587" s="41">
        <f t="shared" si="156"/>
        <v>1.7835686392309924E-2</v>
      </c>
      <c r="F587" s="41">
        <f t="shared" si="157"/>
        <v>4.884358140880618E-3</v>
      </c>
      <c r="G587" s="41">
        <f t="shared" si="158"/>
        <v>1.0199296600234442E-2</v>
      </c>
      <c r="H587" s="41">
        <f t="shared" si="159"/>
        <v>0.50770343178151967</v>
      </c>
      <c r="I587" s="41">
        <f t="shared" si="160"/>
        <v>0.45983632902316218</v>
      </c>
      <c r="J587" s="41">
        <f t="shared" si="161"/>
        <v>3.5323801513876374E-2</v>
      </c>
      <c r="K587" s="42">
        <f t="shared" si="152"/>
        <v>150.7703431781523</v>
      </c>
      <c r="L587" s="42">
        <f t="shared" si="153"/>
        <v>145.98363290231663</v>
      </c>
      <c r="M587" s="42">
        <f t="shared" si="154"/>
        <v>103.53238015138773</v>
      </c>
      <c r="N587" s="41">
        <f t="shared" si="162"/>
        <v>3.2789362620114559E-2</v>
      </c>
      <c r="O587" s="41">
        <f t="shared" si="163"/>
        <v>0.45626269730968994</v>
      </c>
      <c r="P587" s="39">
        <f t="shared" si="164"/>
        <v>253.52206875023174</v>
      </c>
      <c r="Q587" s="42">
        <f t="shared" si="165"/>
        <v>1.5077034317815197</v>
      </c>
      <c r="R587" s="42">
        <f t="shared" si="166"/>
        <v>1.6258412592468956</v>
      </c>
      <c r="S587" s="41">
        <f t="shared" si="167"/>
        <v>-7.2662584242755957E-2</v>
      </c>
      <c r="T587" s="41">
        <f t="shared" si="151"/>
        <v>0.33610096816435758</v>
      </c>
      <c r="U587" s="41">
        <f t="shared" si="168"/>
        <v>0</v>
      </c>
      <c r="V587" s="41">
        <f t="shared" si="169"/>
        <v>1.2951328251429306E-2</v>
      </c>
      <c r="W587" s="39">
        <f t="shared" si="155"/>
        <v>271.07</v>
      </c>
      <c r="X587" s="21"/>
    </row>
    <row r="588" spans="1:24" x14ac:dyDescent="0.2">
      <c r="A588" s="38">
        <v>45793</v>
      </c>
      <c r="B588" s="39">
        <v>275.51</v>
      </c>
      <c r="C588" s="39">
        <v>594.20000000000005</v>
      </c>
      <c r="D588" s="39">
        <v>43.524999999999999</v>
      </c>
      <c r="E588" s="41">
        <f t="shared" si="156"/>
        <v>1.6379532961965593E-2</v>
      </c>
      <c r="F588" s="41">
        <f t="shared" si="157"/>
        <v>6.3340446431596753E-3</v>
      </c>
      <c r="G588" s="41">
        <f t="shared" si="158"/>
        <v>1.0212370894742806E-2</v>
      </c>
      <c r="H588" s="41">
        <f t="shared" si="159"/>
        <v>0.53239890983925364</v>
      </c>
      <c r="I588" s="41">
        <f t="shared" si="160"/>
        <v>0.46908299750290117</v>
      </c>
      <c r="J588" s="41">
        <f t="shared" si="161"/>
        <v>4.5896912171091264E-2</v>
      </c>
      <c r="K588" s="42">
        <f t="shared" si="152"/>
        <v>153.2398909839257</v>
      </c>
      <c r="L588" s="42">
        <f t="shared" si="153"/>
        <v>146.9082997502905</v>
      </c>
      <c r="M588" s="42">
        <f t="shared" si="154"/>
        <v>104.58969121710922</v>
      </c>
      <c r="N588" s="41">
        <f t="shared" si="162"/>
        <v>4.3098934807614508E-2</v>
      </c>
      <c r="O588" s="41">
        <f t="shared" si="163"/>
        <v>0.46515291517428126</v>
      </c>
      <c r="P588" s="39">
        <f t="shared" si="164"/>
        <v>253.74085413580158</v>
      </c>
      <c r="Q588" s="42">
        <f t="shared" si="165"/>
        <v>1.5323989098392536</v>
      </c>
      <c r="R588" s="42">
        <f t="shared" si="166"/>
        <v>1.6258412592468956</v>
      </c>
      <c r="S588" s="41">
        <f t="shared" si="167"/>
        <v>-5.7473230474496151E-2</v>
      </c>
      <c r="T588" s="41">
        <f t="shared" si="151"/>
        <v>0.33363169504802981</v>
      </c>
      <c r="U588" s="41">
        <f t="shared" si="168"/>
        <v>0</v>
      </c>
      <c r="V588" s="41">
        <f t="shared" si="169"/>
        <v>1.0045488318805917E-2</v>
      </c>
      <c r="W588" s="39">
        <f t="shared" si="155"/>
        <v>275.51</v>
      </c>
      <c r="X588" s="21"/>
    </row>
    <row r="589" spans="1:24" x14ac:dyDescent="0.2">
      <c r="A589" s="38">
        <v>45796</v>
      </c>
      <c r="B589" s="39">
        <v>276.01</v>
      </c>
      <c r="C589" s="39">
        <v>594.85</v>
      </c>
      <c r="D589" s="39">
        <v>43.634999999999998</v>
      </c>
      <c r="E589" s="41">
        <f t="shared" si="156"/>
        <v>1.814816159123156E-3</v>
      </c>
      <c r="F589" s="41">
        <f t="shared" si="157"/>
        <v>1.0939077751599413E-3</v>
      </c>
      <c r="G589" s="41">
        <f t="shared" si="158"/>
        <v>2.5272831705915877E-3</v>
      </c>
      <c r="H589" s="41">
        <f t="shared" si="159"/>
        <v>0.53517993214305259</v>
      </c>
      <c r="I589" s="41">
        <f t="shared" si="160"/>
        <v>0.47069003881622495</v>
      </c>
      <c r="J589" s="41">
        <f t="shared" si="161"/>
        <v>4.8540189835394987E-2</v>
      </c>
      <c r="K589" s="42">
        <f t="shared" si="152"/>
        <v>153.51799321430556</v>
      </c>
      <c r="L589" s="42">
        <f t="shared" si="153"/>
        <v>147.06900388162285</v>
      </c>
      <c r="M589" s="42">
        <f t="shared" si="154"/>
        <v>104.85401898353959</v>
      </c>
      <c r="N589" s="41">
        <f t="shared" si="162"/>
        <v>4.3850091878460118E-2</v>
      </c>
      <c r="O589" s="41">
        <f t="shared" si="163"/>
        <v>0.46411167356785121</v>
      </c>
      <c r="P589" s="39">
        <f t="shared" si="164"/>
        <v>253.96243767673889</v>
      </c>
      <c r="Q589" s="42">
        <f t="shared" si="165"/>
        <v>1.5351799321430526</v>
      </c>
      <c r="R589" s="42">
        <f t="shared" si="166"/>
        <v>1.6258412592468956</v>
      </c>
      <c r="S589" s="41">
        <f t="shared" si="167"/>
        <v>-5.5762717662755201E-2</v>
      </c>
      <c r="T589" s="41">
        <f t="shared" si="151"/>
        <v>0.3300384975239205</v>
      </c>
      <c r="U589" s="41">
        <f t="shared" si="168"/>
        <v>0</v>
      </c>
      <c r="V589" s="41">
        <f t="shared" si="169"/>
        <v>7.2090838396321466E-4</v>
      </c>
      <c r="W589" s="39">
        <f t="shared" si="155"/>
        <v>276.01</v>
      </c>
      <c r="X589" s="21"/>
    </row>
    <row r="590" spans="1:24" x14ac:dyDescent="0.2">
      <c r="A590" s="38">
        <v>45797</v>
      </c>
      <c r="B590" s="39">
        <v>273.33</v>
      </c>
      <c r="C590" s="39">
        <v>592.85</v>
      </c>
      <c r="D590" s="39">
        <v>43.56</v>
      </c>
      <c r="E590" s="41">
        <f t="shared" si="156"/>
        <v>-9.7097931234375601E-3</v>
      </c>
      <c r="F590" s="41">
        <f t="shared" si="157"/>
        <v>-3.3621921492813511E-3</v>
      </c>
      <c r="G590" s="41">
        <f t="shared" si="158"/>
        <v>-1.7188037126159017E-3</v>
      </c>
      <c r="H590" s="41">
        <f t="shared" si="159"/>
        <v>0.52027365259469072</v>
      </c>
      <c r="I590" s="41">
        <f t="shared" si="160"/>
        <v>0.46574529631369077</v>
      </c>
      <c r="J590" s="41">
        <f t="shared" si="161"/>
        <v>4.6737955064279024E-2</v>
      </c>
      <c r="K590" s="42">
        <f t="shared" si="152"/>
        <v>152.02736525946938</v>
      </c>
      <c r="L590" s="42">
        <f t="shared" si="153"/>
        <v>146.57452963136944</v>
      </c>
      <c r="M590" s="42">
        <f t="shared" si="154"/>
        <v>104.67379550642796</v>
      </c>
      <c r="N590" s="41">
        <f t="shared" si="162"/>
        <v>3.7201795167371321E-2</v>
      </c>
      <c r="O590" s="41">
        <f t="shared" si="163"/>
        <v>0.45239182857502525</v>
      </c>
      <c r="P590" s="39">
        <f t="shared" si="164"/>
        <v>254.15514973965693</v>
      </c>
      <c r="Q590" s="42">
        <f t="shared" si="165"/>
        <v>1.5202736525946907</v>
      </c>
      <c r="R590" s="42">
        <f t="shared" si="166"/>
        <v>1.6258412592468956</v>
      </c>
      <c r="S590" s="41">
        <f t="shared" si="167"/>
        <v>-6.4931066333686727E-2</v>
      </c>
      <c r="T590" s="41">
        <f t="shared" si="151"/>
        <v>0.33057372516706829</v>
      </c>
      <c r="U590" s="41">
        <f t="shared" si="168"/>
        <v>-9.8654429862288229E-3</v>
      </c>
      <c r="V590" s="41">
        <f t="shared" si="169"/>
        <v>-6.3476009741562089E-3</v>
      </c>
      <c r="W590" s="39">
        <f t="shared" si="155"/>
        <v>273.33</v>
      </c>
      <c r="X590" s="21"/>
    </row>
    <row r="591" spans="1:24" x14ac:dyDescent="0.2">
      <c r="A591" s="38">
        <v>45798</v>
      </c>
      <c r="B591" s="39">
        <v>270.54000000000002</v>
      </c>
      <c r="C591" s="39">
        <v>582.86</v>
      </c>
      <c r="D591" s="39">
        <v>42.98</v>
      </c>
      <c r="E591" s="41">
        <f t="shared" si="156"/>
        <v>-1.0207441554165197E-2</v>
      </c>
      <c r="F591" s="41">
        <f t="shared" si="157"/>
        <v>-1.6850805431390725E-2</v>
      </c>
      <c r="G591" s="41">
        <f t="shared" si="158"/>
        <v>-1.3314967860422522E-2</v>
      </c>
      <c r="H591" s="41">
        <f t="shared" si="159"/>
        <v>0.50475554813949319</v>
      </c>
      <c r="I591" s="41">
        <f t="shared" si="160"/>
        <v>0.44104630751353269</v>
      </c>
      <c r="J591" s="41">
        <f t="shared" si="161"/>
        <v>3.280067283431376E-2</v>
      </c>
      <c r="K591" s="42">
        <f t="shared" si="152"/>
        <v>150.47555481394963</v>
      </c>
      <c r="L591" s="42">
        <f t="shared" si="153"/>
        <v>144.10463075135362</v>
      </c>
      <c r="M591" s="42">
        <f t="shared" si="154"/>
        <v>103.28006728343144</v>
      </c>
      <c r="N591" s="41">
        <f t="shared" si="162"/>
        <v>4.4210404824455818E-2</v>
      </c>
      <c r="O591" s="41">
        <f t="shared" si="163"/>
        <v>0.45696608040542253</v>
      </c>
      <c r="P591" s="39">
        <f t="shared" si="164"/>
        <v>254.31818307558075</v>
      </c>
      <c r="Q591" s="42">
        <f t="shared" si="165"/>
        <v>1.5047555481394932</v>
      </c>
      <c r="R591" s="42">
        <f t="shared" si="166"/>
        <v>1.6258412592468956</v>
      </c>
      <c r="S591" s="41">
        <f t="shared" si="167"/>
        <v>-7.447572782320111E-2</v>
      </c>
      <c r="T591" s="41">
        <f t="shared" si="151"/>
        <v>0.33099106996164274</v>
      </c>
      <c r="U591" s="41">
        <f t="shared" si="168"/>
        <v>-1.036309141695646E-2</v>
      </c>
      <c r="V591" s="41">
        <f t="shared" si="169"/>
        <v>6.6433638772255277E-3</v>
      </c>
      <c r="W591" s="39">
        <f t="shared" si="155"/>
        <v>270.54000000000002</v>
      </c>
      <c r="X591" s="21"/>
    </row>
    <row r="592" spans="1:24" x14ac:dyDescent="0.2">
      <c r="A592" s="38">
        <v>45799</v>
      </c>
      <c r="B592" s="39">
        <v>271.68</v>
      </c>
      <c r="C592" s="39">
        <v>583.09</v>
      </c>
      <c r="D592" s="39">
        <v>42.935000000000002</v>
      </c>
      <c r="E592" s="41">
        <f t="shared" si="156"/>
        <v>4.2137946329563469E-3</v>
      </c>
      <c r="F592" s="41">
        <f t="shared" si="157"/>
        <v>3.9460590879469848E-4</v>
      </c>
      <c r="G592" s="41">
        <f t="shared" si="158"/>
        <v>-1.0469986040017032E-3</v>
      </c>
      <c r="H592" s="41">
        <f t="shared" si="159"/>
        <v>0.51109627899215471</v>
      </c>
      <c r="I592" s="41">
        <f t="shared" si="160"/>
        <v>0.44161495290132424</v>
      </c>
      <c r="J592" s="41">
        <f t="shared" si="161"/>
        <v>3.1719331971644227E-2</v>
      </c>
      <c r="K592" s="42">
        <f t="shared" si="152"/>
        <v>151.10962789921575</v>
      </c>
      <c r="L592" s="42">
        <f t="shared" si="153"/>
        <v>144.16149529013276</v>
      </c>
      <c r="M592" s="42">
        <f t="shared" si="154"/>
        <v>103.17193319716449</v>
      </c>
      <c r="N592" s="41">
        <f t="shared" si="162"/>
        <v>4.8196868346152888E-2</v>
      </c>
      <c r="O592" s="41">
        <f t="shared" si="163"/>
        <v>0.46463891115077582</v>
      </c>
      <c r="P592" s="39">
        <f t="shared" si="164"/>
        <v>254.49093747283865</v>
      </c>
      <c r="Q592" s="42">
        <f t="shared" si="165"/>
        <v>1.5110962789921547</v>
      </c>
      <c r="R592" s="42">
        <f t="shared" si="166"/>
        <v>1.6258412592468956</v>
      </c>
      <c r="S592" s="41">
        <f t="shared" si="167"/>
        <v>-7.0575758612431705E-2</v>
      </c>
      <c r="T592" s="41">
        <f t="shared" si="151"/>
        <v>0.33102391559275463</v>
      </c>
      <c r="U592" s="41">
        <f t="shared" si="168"/>
        <v>0</v>
      </c>
      <c r="V592" s="41">
        <f t="shared" si="169"/>
        <v>3.8191887241616485E-3</v>
      </c>
      <c r="W592" s="39">
        <f t="shared" si="155"/>
        <v>271.68</v>
      </c>
      <c r="X592" s="21"/>
    </row>
    <row r="593" spans="1:24" x14ac:dyDescent="0.2">
      <c r="A593" s="38">
        <v>45800</v>
      </c>
      <c r="B593" s="39">
        <v>268.19</v>
      </c>
      <c r="C593" s="39">
        <v>579.11</v>
      </c>
      <c r="D593" s="39">
        <v>42.85</v>
      </c>
      <c r="E593" s="41">
        <f t="shared" si="156"/>
        <v>-1.2845995288574774E-2</v>
      </c>
      <c r="F593" s="41">
        <f t="shared" si="157"/>
        <v>-6.8257044367079356E-3</v>
      </c>
      <c r="G593" s="41">
        <f t="shared" si="158"/>
        <v>-1.9797368114592429E-3</v>
      </c>
      <c r="H593" s="41">
        <f t="shared" si="159"/>
        <v>0.49168474331163869</v>
      </c>
      <c r="I593" s="41">
        <f t="shared" si="160"/>
        <v>0.43177491532128109</v>
      </c>
      <c r="J593" s="41">
        <f t="shared" si="161"/>
        <v>2.9676799231045825E-2</v>
      </c>
      <c r="K593" s="42">
        <f t="shared" si="152"/>
        <v>149.16847433116413</v>
      </c>
      <c r="L593" s="42">
        <f t="shared" si="153"/>
        <v>143.17749153212847</v>
      </c>
      <c r="M593" s="42">
        <f t="shared" si="154"/>
        <v>102.96767992310465</v>
      </c>
      <c r="N593" s="41">
        <f t="shared" si="162"/>
        <v>4.1843049036037971E-2</v>
      </c>
      <c r="O593" s="41">
        <f t="shared" si="163"/>
        <v>0.4486921958673018</v>
      </c>
      <c r="P593" s="39">
        <f t="shared" si="164"/>
        <v>254.62724655271091</v>
      </c>
      <c r="Q593" s="42">
        <f t="shared" si="165"/>
        <v>1.4916847433116387</v>
      </c>
      <c r="R593" s="42">
        <f t="shared" si="166"/>
        <v>1.6258412592468956</v>
      </c>
      <c r="S593" s="41">
        <f t="shared" si="167"/>
        <v>-8.2515138038383506E-2</v>
      </c>
      <c r="T593" s="41">
        <f t="shared" si="151"/>
        <v>0.32888845048043852</v>
      </c>
      <c r="U593" s="41">
        <f t="shared" si="168"/>
        <v>-1.3001645151366037E-2</v>
      </c>
      <c r="V593" s="41">
        <f t="shared" si="169"/>
        <v>-6.0202908518668385E-3</v>
      </c>
      <c r="W593" s="39">
        <f t="shared" si="155"/>
        <v>268.19</v>
      </c>
      <c r="X593" s="21"/>
    </row>
    <row r="594" spans="1:24" x14ac:dyDescent="0.2">
      <c r="A594" s="38">
        <v>45804</v>
      </c>
      <c r="B594" s="39">
        <v>270.16000000000003</v>
      </c>
      <c r="C594" s="39">
        <v>591.15</v>
      </c>
      <c r="D594" s="39">
        <v>43.6</v>
      </c>
      <c r="E594" s="41">
        <f t="shared" si="156"/>
        <v>7.3455386106866527E-3</v>
      </c>
      <c r="F594" s="41">
        <f t="shared" si="157"/>
        <v>2.0790523389338844E-2</v>
      </c>
      <c r="G594" s="41">
        <f t="shared" si="158"/>
        <v>1.7502917152858899E-2</v>
      </c>
      <c r="H594" s="41">
        <f t="shared" si="159"/>
        <v>0.50264197118860654</v>
      </c>
      <c r="I594" s="41">
        <f t="shared" si="160"/>
        <v>0.46154226518653685</v>
      </c>
      <c r="J594" s="41">
        <f t="shared" si="161"/>
        <v>4.7699146942207671E-2</v>
      </c>
      <c r="K594" s="42">
        <f t="shared" si="152"/>
        <v>150.26419711886092</v>
      </c>
      <c r="L594" s="42">
        <f t="shared" si="153"/>
        <v>146.15422651865401</v>
      </c>
      <c r="M594" s="42">
        <f t="shared" si="154"/>
        <v>104.76991469422083</v>
      </c>
      <c r="N594" s="41">
        <f t="shared" si="162"/>
        <v>2.8120778290885884E-2</v>
      </c>
      <c r="O594" s="41">
        <f t="shared" si="163"/>
        <v>0.43423040438105276</v>
      </c>
      <c r="P594" s="39">
        <f t="shared" si="164"/>
        <v>254.78180131338047</v>
      </c>
      <c r="Q594" s="42">
        <f t="shared" si="165"/>
        <v>1.5026419711886065</v>
      </c>
      <c r="R594" s="42">
        <f t="shared" si="166"/>
        <v>1.6258412592468956</v>
      </c>
      <c r="S594" s="41">
        <f t="shared" si="167"/>
        <v>-7.5775717560124023E-2</v>
      </c>
      <c r="T594" s="41">
        <f t="shared" si="151"/>
        <v>0.3287554763251142</v>
      </c>
      <c r="U594" s="41">
        <f t="shared" si="168"/>
        <v>0</v>
      </c>
      <c r="V594" s="41">
        <f t="shared" si="169"/>
        <v>-1.3444984778652191E-2</v>
      </c>
      <c r="W594" s="39">
        <f t="shared" si="155"/>
        <v>270.16000000000003</v>
      </c>
      <c r="X594" s="21"/>
    </row>
    <row r="595" spans="1:24" x14ac:dyDescent="0.2">
      <c r="A595" s="38">
        <v>45805</v>
      </c>
      <c r="B595" s="39">
        <v>262.52999999999997</v>
      </c>
      <c r="C595" s="39">
        <v>587.73</v>
      </c>
      <c r="D595" s="39">
        <v>43.005000000000003</v>
      </c>
      <c r="E595" s="41">
        <f t="shared" si="156"/>
        <v>-2.824252294936358E-2</v>
      </c>
      <c r="F595" s="41">
        <f t="shared" si="157"/>
        <v>-5.7853336716569004E-3</v>
      </c>
      <c r="G595" s="41">
        <f t="shared" si="158"/>
        <v>-1.3646788990825609E-2</v>
      </c>
      <c r="H595" s="41">
        <f t="shared" si="159"/>
        <v>0.4602035708326353</v>
      </c>
      <c r="I595" s="41">
        <f t="shared" si="160"/>
        <v>0.45308675550720356</v>
      </c>
      <c r="J595" s="41">
        <f t="shared" si="161"/>
        <v>3.3401417758019303E-2</v>
      </c>
      <c r="K595" s="42">
        <f t="shared" si="152"/>
        <v>146.0203570832638</v>
      </c>
      <c r="L595" s="42">
        <f t="shared" si="153"/>
        <v>145.30867555072069</v>
      </c>
      <c r="M595" s="42">
        <f t="shared" si="154"/>
        <v>103.340141775802</v>
      </c>
      <c r="N595" s="41">
        <f t="shared" si="162"/>
        <v>4.8977222443593593E-3</v>
      </c>
      <c r="O595" s="41">
        <f t="shared" si="163"/>
        <v>0.41300712940821205</v>
      </c>
      <c r="P595" s="39">
        <f t="shared" si="164"/>
        <v>254.85889781772497</v>
      </c>
      <c r="Q595" s="42">
        <f t="shared" si="165"/>
        <v>1.4602035708326353</v>
      </c>
      <c r="R595" s="42">
        <f t="shared" si="166"/>
        <v>1.6258412592468956</v>
      </c>
      <c r="S595" s="41">
        <f t="shared" si="167"/>
        <v>-0.10187814306729126</v>
      </c>
      <c r="T595" s="41">
        <f t="shared" si="151"/>
        <v>0.32784785986769616</v>
      </c>
      <c r="U595" s="41">
        <f t="shared" si="168"/>
        <v>-2.8398172812154843E-2</v>
      </c>
      <c r="V595" s="41">
        <f t="shared" si="169"/>
        <v>-2.2457189277706679E-2</v>
      </c>
      <c r="W595" s="39">
        <f t="shared" si="155"/>
        <v>262.52999999999997</v>
      </c>
      <c r="X595" s="21"/>
    </row>
    <row r="596" spans="1:24" x14ac:dyDescent="0.2">
      <c r="A596" s="38">
        <v>45806</v>
      </c>
      <c r="B596" s="39">
        <v>265.31</v>
      </c>
      <c r="C596" s="39">
        <v>590.04999999999995</v>
      </c>
      <c r="D596" s="39">
        <v>43.164999999999999</v>
      </c>
      <c r="E596" s="41">
        <f t="shared" si="156"/>
        <v>1.0589265988649066E-2</v>
      </c>
      <c r="F596" s="41">
        <f t="shared" si="157"/>
        <v>3.9473908087046539E-3</v>
      </c>
      <c r="G596" s="41">
        <f t="shared" si="158"/>
        <v>3.7204976165561288E-3</v>
      </c>
      <c r="H596" s="41">
        <f t="shared" si="159"/>
        <v>0.47566605484175728</v>
      </c>
      <c r="I596" s="41">
        <f t="shared" si="160"/>
        <v>0.45882265681014323</v>
      </c>
      <c r="J596" s="41">
        <f t="shared" si="161"/>
        <v>3.7246185269733667E-2</v>
      </c>
      <c r="K596" s="42">
        <f t="shared" si="152"/>
        <v>147.56660548417599</v>
      </c>
      <c r="L596" s="42">
        <f t="shared" si="153"/>
        <v>145.88226568101464</v>
      </c>
      <c r="M596" s="42">
        <f t="shared" si="154"/>
        <v>103.72461852697343</v>
      </c>
      <c r="N596" s="41">
        <f t="shared" si="162"/>
        <v>1.1545884589182265E-2</v>
      </c>
      <c r="O596" s="41">
        <f t="shared" si="163"/>
        <v>0.42267677220525379</v>
      </c>
      <c r="P596" s="39">
        <f t="shared" si="164"/>
        <v>254.96288888421526</v>
      </c>
      <c r="Q596" s="42">
        <f t="shared" si="165"/>
        <v>1.4756660548417573</v>
      </c>
      <c r="R596" s="42">
        <f t="shared" si="166"/>
        <v>1.6258412592468956</v>
      </c>
      <c r="S596" s="41">
        <f t="shared" si="167"/>
        <v>-9.2367691834011389E-2</v>
      </c>
      <c r="T596" s="41">
        <f t="shared" si="151"/>
        <v>0.32503321573280392</v>
      </c>
      <c r="U596" s="41">
        <f t="shared" si="168"/>
        <v>0</v>
      </c>
      <c r="V596" s="41">
        <f t="shared" si="169"/>
        <v>6.641875179944412E-3</v>
      </c>
      <c r="W596" s="39">
        <f t="shared" si="155"/>
        <v>265.31</v>
      </c>
      <c r="X596" s="21"/>
    </row>
    <row r="597" spans="1:24" x14ac:dyDescent="0.2">
      <c r="A597" s="38">
        <v>45807</v>
      </c>
      <c r="B597" s="39">
        <v>265.07</v>
      </c>
      <c r="C597" s="39">
        <v>589.39</v>
      </c>
      <c r="D597" s="39">
        <v>43.17</v>
      </c>
      <c r="E597" s="41">
        <f t="shared" si="156"/>
        <v>-9.046021635068513E-4</v>
      </c>
      <c r="F597" s="41">
        <f t="shared" si="157"/>
        <v>-1.1185492754850479E-3</v>
      </c>
      <c r="G597" s="41">
        <f t="shared" si="158"/>
        <v>1.1583458820818571E-4</v>
      </c>
      <c r="H597" s="41">
        <f t="shared" si="159"/>
        <v>0.47433116413593379</v>
      </c>
      <c r="I597" s="41">
        <f t="shared" si="160"/>
        <v>0.45719089178430705</v>
      </c>
      <c r="J597" s="41">
        <f t="shared" si="161"/>
        <v>3.7366334254474998E-2</v>
      </c>
      <c r="K597" s="42">
        <f t="shared" si="152"/>
        <v>147.43311641359364</v>
      </c>
      <c r="L597" s="42">
        <f t="shared" si="153"/>
        <v>145.71908917843101</v>
      </c>
      <c r="M597" s="42">
        <f t="shared" si="154"/>
        <v>103.73663342544755</v>
      </c>
      <c r="N597" s="41">
        <f t="shared" si="162"/>
        <v>1.1762544254334983E-2</v>
      </c>
      <c r="O597" s="41">
        <f t="shared" si="163"/>
        <v>0.42122518868466341</v>
      </c>
      <c r="P597" s="39">
        <f t="shared" si="164"/>
        <v>255.06345715402409</v>
      </c>
      <c r="Q597" s="42">
        <f t="shared" si="165"/>
        <v>1.4743311641359338</v>
      </c>
      <c r="R597" s="42">
        <f t="shared" si="166"/>
        <v>1.6258412592468956</v>
      </c>
      <c r="S597" s="41">
        <f t="shared" si="167"/>
        <v>-9.318873798364713E-2</v>
      </c>
      <c r="T597" s="41">
        <f t="shared" si="151"/>
        <v>0.32208480531888634</v>
      </c>
      <c r="U597" s="41">
        <f t="shared" si="168"/>
        <v>-1.0602520262981141E-3</v>
      </c>
      <c r="V597" s="41">
        <f t="shared" si="169"/>
        <v>2.139471119781966E-4</v>
      </c>
      <c r="W597" s="39">
        <f t="shared" si="155"/>
        <v>265.07</v>
      </c>
      <c r="X597" s="21"/>
    </row>
    <row r="598" spans="1:24" x14ac:dyDescent="0.2">
      <c r="A598" s="38">
        <v>45810</v>
      </c>
      <c r="B598" s="39">
        <v>263.38</v>
      </c>
      <c r="C598" s="39">
        <v>592.71</v>
      </c>
      <c r="D598" s="39">
        <v>43.424999999999997</v>
      </c>
      <c r="E598" s="41">
        <f t="shared" si="156"/>
        <v>-6.3756743501716118E-3</v>
      </c>
      <c r="F598" s="41">
        <f t="shared" si="157"/>
        <v>5.6329425338061956E-3</v>
      </c>
      <c r="G598" s="41">
        <f t="shared" si="158"/>
        <v>5.9068797776231641E-3</v>
      </c>
      <c r="H598" s="41">
        <f t="shared" si="159"/>
        <v>0.46493130874909361</v>
      </c>
      <c r="I598" s="41">
        <f t="shared" si="160"/>
        <v>0.4653991643385138</v>
      </c>
      <c r="J598" s="41">
        <f t="shared" si="161"/>
        <v>4.3493932476269759E-2</v>
      </c>
      <c r="K598" s="42">
        <f t="shared" si="152"/>
        <v>146.49313087490964</v>
      </c>
      <c r="L598" s="42">
        <f t="shared" si="153"/>
        <v>146.53991643385172</v>
      </c>
      <c r="M598" s="42">
        <f t="shared" si="154"/>
        <v>104.34939324762705</v>
      </c>
      <c r="N598" s="41">
        <f t="shared" si="162"/>
        <v>-3.1926836100759637E-4</v>
      </c>
      <c r="O598" s="41">
        <f t="shared" si="163"/>
        <v>0.40387142000215492</v>
      </c>
      <c r="P598" s="39">
        <f t="shared" si="164"/>
        <v>255.14620882413331</v>
      </c>
      <c r="Q598" s="42">
        <f t="shared" si="165"/>
        <v>1.4649313087490936</v>
      </c>
      <c r="R598" s="42">
        <f t="shared" si="166"/>
        <v>1.6258412592468956</v>
      </c>
      <c r="S598" s="41">
        <f t="shared" si="167"/>
        <v>-9.897027128733149E-2</v>
      </c>
      <c r="T598" s="41">
        <f t="shared" si="151"/>
        <v>0.31886385900563302</v>
      </c>
      <c r="U598" s="41">
        <f t="shared" si="168"/>
        <v>-6.5313242129628746E-3</v>
      </c>
      <c r="V598" s="41">
        <f t="shared" si="169"/>
        <v>-1.2008616883977807E-2</v>
      </c>
      <c r="W598" s="39">
        <f t="shared" si="155"/>
        <v>263.38</v>
      </c>
      <c r="X598" s="21"/>
    </row>
    <row r="599" spans="1:24" x14ac:dyDescent="0.2">
      <c r="A599" s="38">
        <v>45811</v>
      </c>
      <c r="B599" s="39">
        <v>264.94</v>
      </c>
      <c r="C599" s="39">
        <v>596.09</v>
      </c>
      <c r="D599" s="39">
        <v>43.87</v>
      </c>
      <c r="E599" s="41">
        <f t="shared" si="156"/>
        <v>5.9230009871669154E-3</v>
      </c>
      <c r="F599" s="41">
        <f t="shared" si="157"/>
        <v>5.7026201683791911E-3</v>
      </c>
      <c r="G599" s="41">
        <f t="shared" si="158"/>
        <v>1.0247553252734631E-2</v>
      </c>
      <c r="H599" s="41">
        <f t="shared" si="159"/>
        <v>0.47360809833694617</v>
      </c>
      <c r="I599" s="41">
        <f t="shared" si="160"/>
        <v>0.47375577916779665</v>
      </c>
      <c r="J599" s="41">
        <f t="shared" si="161"/>
        <v>5.4187192118225758E-2</v>
      </c>
      <c r="K599" s="42">
        <f t="shared" si="152"/>
        <v>147.36080983369487</v>
      </c>
      <c r="L599" s="42">
        <f t="shared" si="153"/>
        <v>147.37557791677997</v>
      </c>
      <c r="M599" s="42">
        <f t="shared" si="154"/>
        <v>105.41871921182265</v>
      </c>
      <c r="N599" s="41">
        <f t="shared" si="162"/>
        <v>-1.0020712586034097E-4</v>
      </c>
      <c r="O599" s="41">
        <f t="shared" si="163"/>
        <v>0.39786188767476771</v>
      </c>
      <c r="P599" s="39">
        <f t="shared" si="164"/>
        <v>255.24365948259967</v>
      </c>
      <c r="Q599" s="42">
        <f t="shared" si="165"/>
        <v>1.4736080983369462</v>
      </c>
      <c r="R599" s="42">
        <f t="shared" si="166"/>
        <v>1.6258412592468956</v>
      </c>
      <c r="S599" s="41">
        <f t="shared" si="167"/>
        <v>-9.3633471314699679E-2</v>
      </c>
      <c r="T599" s="41">
        <f t="shared" si="151"/>
        <v>0.2908509065330237</v>
      </c>
      <c r="U599" s="41">
        <f t="shared" si="168"/>
        <v>0</v>
      </c>
      <c r="V599" s="41">
        <f t="shared" si="169"/>
        <v>2.2038081878772431E-4</v>
      </c>
      <c r="W599" s="39">
        <f t="shared" si="155"/>
        <v>264.94</v>
      </c>
      <c r="X599" s="21"/>
    </row>
    <row r="600" spans="1:24" x14ac:dyDescent="0.2">
      <c r="A600" s="38">
        <v>45812</v>
      </c>
      <c r="B600" s="39">
        <v>266.08</v>
      </c>
      <c r="C600" s="39">
        <v>595.92999999999995</v>
      </c>
      <c r="D600" s="39">
        <v>44.034999999999997</v>
      </c>
      <c r="E600" s="41">
        <f t="shared" si="156"/>
        <v>4.3028610251376609E-3</v>
      </c>
      <c r="F600" s="41">
        <f t="shared" si="157"/>
        <v>-2.6841584324532874E-4</v>
      </c>
      <c r="G600" s="41">
        <f t="shared" si="158"/>
        <v>3.7611123774790034E-3</v>
      </c>
      <c r="H600" s="41">
        <f t="shared" si="159"/>
        <v>0.47994882918960746</v>
      </c>
      <c r="I600" s="41">
        <f t="shared" si="160"/>
        <v>0.47336019976759358</v>
      </c>
      <c r="J600" s="41">
        <f t="shared" si="161"/>
        <v>5.8152108614681453E-2</v>
      </c>
      <c r="K600" s="42">
        <f t="shared" si="152"/>
        <v>147.99488291896103</v>
      </c>
      <c r="L600" s="42">
        <f t="shared" si="153"/>
        <v>147.3360199767597</v>
      </c>
      <c r="M600" s="42">
        <f t="shared" si="154"/>
        <v>105.81521086146822</v>
      </c>
      <c r="N600" s="41">
        <f t="shared" si="162"/>
        <v>4.4718388775895068E-3</v>
      </c>
      <c r="O600" s="41">
        <f t="shared" si="163"/>
        <v>0.39861633988249245</v>
      </c>
      <c r="P600" s="39">
        <f t="shared" si="164"/>
        <v>255.3514837663549</v>
      </c>
      <c r="Q600" s="42">
        <f t="shared" si="165"/>
        <v>1.4799488291896075</v>
      </c>
      <c r="R600" s="42">
        <f t="shared" si="166"/>
        <v>1.6258412592468956</v>
      </c>
      <c r="S600" s="41">
        <f t="shared" si="167"/>
        <v>-8.9733502103930385E-2</v>
      </c>
      <c r="T600" s="41">
        <f t="shared" si="151"/>
        <v>0.29084856247193791</v>
      </c>
      <c r="U600" s="41">
        <f t="shared" si="168"/>
        <v>0</v>
      </c>
      <c r="V600" s="41">
        <f t="shared" si="169"/>
        <v>4.5712768683829896E-3</v>
      </c>
      <c r="W600" s="39">
        <f t="shared" si="155"/>
        <v>266.08</v>
      </c>
      <c r="X600" s="21"/>
    </row>
    <row r="601" spans="1:24" x14ac:dyDescent="0.2">
      <c r="A601" s="38">
        <v>45813</v>
      </c>
      <c r="B601" s="39">
        <v>265.67</v>
      </c>
      <c r="C601" s="39">
        <v>593.04999999999995</v>
      </c>
      <c r="D601" s="39">
        <v>43.774999999999999</v>
      </c>
      <c r="E601" s="41">
        <f t="shared" si="156"/>
        <v>-1.5408899579072433E-3</v>
      </c>
      <c r="F601" s="41">
        <f t="shared" si="157"/>
        <v>-4.8327823737687181E-3</v>
      </c>
      <c r="G601" s="41">
        <f t="shared" si="158"/>
        <v>-5.9043942318609544E-3</v>
      </c>
      <c r="H601" s="41">
        <f t="shared" si="159"/>
        <v>0.47766839090049262</v>
      </c>
      <c r="I601" s="41">
        <f t="shared" si="160"/>
        <v>0.4662397705639445</v>
      </c>
      <c r="J601" s="41">
        <f t="shared" si="161"/>
        <v>5.1904361408145361E-2</v>
      </c>
      <c r="K601" s="42">
        <f t="shared" si="152"/>
        <v>147.7668390900495</v>
      </c>
      <c r="L601" s="42">
        <f t="shared" si="153"/>
        <v>146.62397705639475</v>
      </c>
      <c r="M601" s="42">
        <f t="shared" si="154"/>
        <v>105.1904361408146</v>
      </c>
      <c r="N601" s="41">
        <f t="shared" si="162"/>
        <v>7.7945098516543077E-3</v>
      </c>
      <c r="O601" s="41">
        <f t="shared" si="163"/>
        <v>0.40475545602110885</v>
      </c>
      <c r="P601" s="39">
        <f t="shared" si="164"/>
        <v>255.45415556967478</v>
      </c>
      <c r="Q601" s="42">
        <f t="shared" si="165"/>
        <v>1.4776683909004926</v>
      </c>
      <c r="R601" s="42">
        <f t="shared" si="166"/>
        <v>1.6258412592468956</v>
      </c>
      <c r="S601" s="41">
        <f t="shared" si="167"/>
        <v>-9.1136122609557835E-2</v>
      </c>
      <c r="T601" s="41">
        <f t="shared" si="151"/>
        <v>0.28992468563709167</v>
      </c>
      <c r="U601" s="41">
        <f t="shared" si="168"/>
        <v>-1.6965398206985061E-3</v>
      </c>
      <c r="V601" s="41">
        <f t="shared" si="169"/>
        <v>3.2918924158614749E-3</v>
      </c>
      <c r="W601" s="39">
        <f t="shared" si="155"/>
        <v>265.67</v>
      </c>
      <c r="X601" s="21"/>
    </row>
    <row r="602" spans="1:24" x14ac:dyDescent="0.2">
      <c r="A602" s="38">
        <v>45814</v>
      </c>
      <c r="B602" s="39">
        <v>264.81</v>
      </c>
      <c r="C602" s="39">
        <v>599.14</v>
      </c>
      <c r="D602" s="39">
        <v>43.89</v>
      </c>
      <c r="E602" s="41">
        <f t="shared" si="156"/>
        <v>-3.2370986562276771E-3</v>
      </c>
      <c r="F602" s="41">
        <f t="shared" si="157"/>
        <v>1.0268948655256738E-2</v>
      </c>
      <c r="G602" s="41">
        <f t="shared" si="158"/>
        <v>2.6270702455739592E-3</v>
      </c>
      <c r="H602" s="41">
        <f t="shared" si="159"/>
        <v>0.47288503253795855</v>
      </c>
      <c r="I602" s="41">
        <f t="shared" si="160"/>
        <v>0.48129651148416097</v>
      </c>
      <c r="J602" s="41">
        <f t="shared" si="161"/>
        <v>5.4667788057190192E-2</v>
      </c>
      <c r="K602" s="42">
        <f t="shared" si="152"/>
        <v>147.28850325379611</v>
      </c>
      <c r="L602" s="42">
        <f t="shared" si="153"/>
        <v>148.12965114841643</v>
      </c>
      <c r="M602" s="42">
        <f t="shared" si="154"/>
        <v>105.46677880571909</v>
      </c>
      <c r="N602" s="41">
        <f t="shared" si="162"/>
        <v>-5.6784572710393277E-3</v>
      </c>
      <c r="O602" s="41">
        <f t="shared" si="163"/>
        <v>0.39653931713527424</v>
      </c>
      <c r="P602" s="39">
        <f t="shared" si="164"/>
        <v>255.54724854908102</v>
      </c>
      <c r="Q602" s="42">
        <f t="shared" si="165"/>
        <v>1.4728850325379585</v>
      </c>
      <c r="R602" s="42">
        <f t="shared" si="166"/>
        <v>1.6258412592468956</v>
      </c>
      <c r="S602" s="41">
        <f t="shared" si="167"/>
        <v>-9.4078204645752339E-2</v>
      </c>
      <c r="T602" s="41">
        <f t="shared" si="151"/>
        <v>0.28971206030041929</v>
      </c>
      <c r="U602" s="41">
        <f t="shared" si="168"/>
        <v>-3.3927485190189399E-3</v>
      </c>
      <c r="V602" s="41">
        <f t="shared" si="169"/>
        <v>-1.3506047311484415E-2</v>
      </c>
      <c r="W602" s="39">
        <f t="shared" si="155"/>
        <v>264.81</v>
      </c>
      <c r="X602" s="21"/>
    </row>
    <row r="603" spans="1:24" x14ac:dyDescent="0.2">
      <c r="A603" s="38">
        <v>45817</v>
      </c>
      <c r="B603" s="39">
        <v>266</v>
      </c>
      <c r="C603" s="39">
        <v>599.67999999999995</v>
      </c>
      <c r="D603" s="39">
        <v>44.185000000000002</v>
      </c>
      <c r="E603" s="41">
        <f t="shared" si="156"/>
        <v>4.4937879989426222E-3</v>
      </c>
      <c r="F603" s="41">
        <f t="shared" si="157"/>
        <v>9.0129185165399583E-4</v>
      </c>
      <c r="G603" s="41">
        <f t="shared" si="158"/>
        <v>6.7213488266120169E-3</v>
      </c>
      <c r="H603" s="41">
        <f t="shared" si="159"/>
        <v>0.47950386562099978</v>
      </c>
      <c r="I603" s="41">
        <f t="shared" si="160"/>
        <v>0.48263159195984517</v>
      </c>
      <c r="J603" s="41">
        <f t="shared" si="161"/>
        <v>6.1756578156913822E-2</v>
      </c>
      <c r="K603" s="42">
        <f t="shared" si="152"/>
        <v>147.95038656210025</v>
      </c>
      <c r="L603" s="42">
        <f t="shared" si="153"/>
        <v>148.26315919598485</v>
      </c>
      <c r="M603" s="42">
        <f t="shared" si="154"/>
        <v>106.17565781569145</v>
      </c>
      <c r="N603" s="41">
        <f t="shared" si="162"/>
        <v>-2.1095775618209522E-3</v>
      </c>
      <c r="O603" s="41">
        <f t="shared" si="163"/>
        <v>0.39344921054244542</v>
      </c>
      <c r="P603" s="39">
        <f t="shared" si="164"/>
        <v>255.65125602620461</v>
      </c>
      <c r="Q603" s="42">
        <f t="shared" si="165"/>
        <v>1.4795038656209998</v>
      </c>
      <c r="R603" s="42">
        <f t="shared" si="166"/>
        <v>1.6258412592468956</v>
      </c>
      <c r="S603" s="41">
        <f t="shared" si="167"/>
        <v>-9.0007184153808817E-2</v>
      </c>
      <c r="T603" s="41">
        <f t="shared" si="151"/>
        <v>0.28863105429338948</v>
      </c>
      <c r="U603" s="41">
        <f t="shared" si="168"/>
        <v>0</v>
      </c>
      <c r="V603" s="41">
        <f t="shared" si="169"/>
        <v>3.5924961472886263E-3</v>
      </c>
      <c r="W603" s="39">
        <f t="shared" si="155"/>
        <v>266</v>
      </c>
      <c r="X603" s="21"/>
    </row>
    <row r="604" spans="1:24" x14ac:dyDescent="0.2">
      <c r="A604" s="38">
        <v>45818</v>
      </c>
      <c r="B604" s="39">
        <v>265.10000000000002</v>
      </c>
      <c r="C604" s="39">
        <v>603.08000000000004</v>
      </c>
      <c r="D604" s="39">
        <v>44.46</v>
      </c>
      <c r="E604" s="41">
        <f t="shared" si="156"/>
        <v>-3.3834586466164884E-3</v>
      </c>
      <c r="F604" s="41">
        <f t="shared" si="157"/>
        <v>5.6696905016009325E-3</v>
      </c>
      <c r="G604" s="41">
        <f t="shared" si="158"/>
        <v>6.2238316170646346E-3</v>
      </c>
      <c r="H604" s="41">
        <f t="shared" si="159"/>
        <v>0.47449802547416198</v>
      </c>
      <c r="I604" s="41">
        <f t="shared" si="160"/>
        <v>0.49103765421415346</v>
      </c>
      <c r="J604" s="41">
        <f t="shared" si="161"/>
        <v>6.8364772317673239E-2</v>
      </c>
      <c r="K604" s="42">
        <f t="shared" si="152"/>
        <v>147.44980254741645</v>
      </c>
      <c r="L604" s="42">
        <f t="shared" si="153"/>
        <v>149.10376542141569</v>
      </c>
      <c r="M604" s="42">
        <f t="shared" si="154"/>
        <v>106.83647723176739</v>
      </c>
      <c r="N604" s="41">
        <f t="shared" si="162"/>
        <v>-1.1092696883438946E-2</v>
      </c>
      <c r="O604" s="41">
        <f t="shared" si="163"/>
        <v>0.38014474426692058</v>
      </c>
      <c r="P604" s="39">
        <f t="shared" si="164"/>
        <v>255.74527337917769</v>
      </c>
      <c r="Q604" s="42">
        <f t="shared" si="165"/>
        <v>1.474498025474162</v>
      </c>
      <c r="R604" s="42">
        <f t="shared" si="166"/>
        <v>1.6258412592468956</v>
      </c>
      <c r="S604" s="41">
        <f t="shared" si="167"/>
        <v>-9.3086107214942482E-2</v>
      </c>
      <c r="T604" s="41">
        <f t="shared" ref="T604:T667" si="170">IFERROR(_xlfn.STDEV.S(E545:E604)*SQRT($D$7),"")</f>
        <v>0.28416483425565808</v>
      </c>
      <c r="U604" s="41">
        <f t="shared" si="168"/>
        <v>-3.5391085094077512E-3</v>
      </c>
      <c r="V604" s="41">
        <f t="shared" si="169"/>
        <v>-9.0531491482174209E-3</v>
      </c>
      <c r="W604" s="39">
        <f t="shared" si="155"/>
        <v>265.10000000000002</v>
      </c>
      <c r="X604" s="21"/>
    </row>
    <row r="605" spans="1:24" x14ac:dyDescent="0.2">
      <c r="A605" s="38">
        <v>45819</v>
      </c>
      <c r="B605" s="39">
        <v>261.12</v>
      </c>
      <c r="C605" s="39">
        <v>601.36</v>
      </c>
      <c r="D605" s="39">
        <v>44.02</v>
      </c>
      <c r="E605" s="41">
        <f t="shared" si="156"/>
        <v>-1.5013202565069883E-2</v>
      </c>
      <c r="F605" s="41">
        <f t="shared" si="157"/>
        <v>-2.852026265172114E-3</v>
      </c>
      <c r="G605" s="41">
        <f t="shared" si="158"/>
        <v>-9.8965362123256684E-3</v>
      </c>
      <c r="H605" s="41">
        <f t="shared" si="159"/>
        <v>0.45236108793592278</v>
      </c>
      <c r="I605" s="41">
        <f t="shared" si="160"/>
        <v>0.4867851756619741</v>
      </c>
      <c r="J605" s="41">
        <f t="shared" si="161"/>
        <v>5.7791661660458349E-2</v>
      </c>
      <c r="K605" s="42">
        <f t="shared" si="152"/>
        <v>145.23610879359254</v>
      </c>
      <c r="L605" s="42">
        <f t="shared" si="153"/>
        <v>148.67851756619774</v>
      </c>
      <c r="M605" s="42">
        <f t="shared" si="154"/>
        <v>105.7791661660459</v>
      </c>
      <c r="N605" s="41">
        <f t="shared" si="162"/>
        <v>-2.3153370298250597E-2</v>
      </c>
      <c r="O605" s="41">
        <f t="shared" si="163"/>
        <v>0.37301241877449942</v>
      </c>
      <c r="P605" s="39">
        <f t="shared" si="164"/>
        <v>255.79875324605155</v>
      </c>
      <c r="Q605" s="42">
        <f t="shared" si="165"/>
        <v>1.4523610879359228</v>
      </c>
      <c r="R605" s="42">
        <f t="shared" si="166"/>
        <v>1.6258412592468956</v>
      </c>
      <c r="S605" s="41">
        <f t="shared" si="167"/>
        <v>-0.10670178919640061</v>
      </c>
      <c r="T605" s="41">
        <f t="shared" si="170"/>
        <v>0.28489155650273751</v>
      </c>
      <c r="U605" s="41">
        <f t="shared" si="168"/>
        <v>-1.5168852427861146E-2</v>
      </c>
      <c r="V605" s="41">
        <f t="shared" si="169"/>
        <v>-1.2161176299897769E-2</v>
      </c>
      <c r="W605" s="39">
        <f t="shared" si="155"/>
        <v>261.12</v>
      </c>
      <c r="X605" s="21"/>
    </row>
    <row r="606" spans="1:24" x14ac:dyDescent="0.2">
      <c r="A606" s="38">
        <v>45820</v>
      </c>
      <c r="B606" s="39">
        <v>265.52999999999997</v>
      </c>
      <c r="C606" s="39">
        <v>603.75</v>
      </c>
      <c r="D606" s="39">
        <v>44.204999999999998</v>
      </c>
      <c r="E606" s="41">
        <f t="shared" si="156"/>
        <v>1.6888786764705843E-2</v>
      </c>
      <c r="F606" s="41">
        <f t="shared" si="157"/>
        <v>3.9743248636423534E-3</v>
      </c>
      <c r="G606" s="41">
        <f t="shared" si="158"/>
        <v>4.2026351658335237E-3</v>
      </c>
      <c r="H606" s="41">
        <f t="shared" si="159"/>
        <v>0.47688970465542879</v>
      </c>
      <c r="I606" s="41">
        <f t="shared" si="160"/>
        <v>0.49269414295250225</v>
      </c>
      <c r="J606" s="41">
        <f t="shared" si="161"/>
        <v>6.2237174095878034E-2</v>
      </c>
      <c r="K606" s="42">
        <f t="shared" si="152"/>
        <v>147.68897046554312</v>
      </c>
      <c r="L606" s="42">
        <f t="shared" si="153"/>
        <v>149.26941429525056</v>
      </c>
      <c r="M606" s="42">
        <f t="shared" si="154"/>
        <v>106.22371740958786</v>
      </c>
      <c r="N606" s="41">
        <f t="shared" si="162"/>
        <v>-1.058786113129162E-2</v>
      </c>
      <c r="O606" s="41">
        <f t="shared" si="163"/>
        <v>0.39035776629873808</v>
      </c>
      <c r="P606" s="39">
        <f t="shared" si="164"/>
        <v>255.89558157196151</v>
      </c>
      <c r="Q606" s="42">
        <f t="shared" si="165"/>
        <v>1.4768897046554288</v>
      </c>
      <c r="R606" s="42">
        <f t="shared" si="166"/>
        <v>1.6258412592468956</v>
      </c>
      <c r="S606" s="41">
        <f t="shared" si="167"/>
        <v>-9.1615066196845341E-2</v>
      </c>
      <c r="T606" s="41">
        <f t="shared" si="170"/>
        <v>0.28642695642479993</v>
      </c>
      <c r="U606" s="41">
        <f t="shared" si="168"/>
        <v>0</v>
      </c>
      <c r="V606" s="41">
        <f t="shared" si="169"/>
        <v>1.291446190106349E-2</v>
      </c>
      <c r="W606" s="39">
        <f t="shared" si="155"/>
        <v>265.52999999999997</v>
      </c>
      <c r="X606" s="21"/>
    </row>
    <row r="607" spans="1:24" x14ac:dyDescent="0.2">
      <c r="A607" s="38">
        <v>45821</v>
      </c>
      <c r="B607" s="39">
        <v>260.77</v>
      </c>
      <c r="C607" s="39">
        <v>597</v>
      </c>
      <c r="D607" s="39">
        <v>43.69</v>
      </c>
      <c r="E607" s="41">
        <f t="shared" si="156"/>
        <v>-1.7926411328286762E-2</v>
      </c>
      <c r="F607" s="41">
        <f t="shared" si="157"/>
        <v>-1.1180124223602483E-2</v>
      </c>
      <c r="G607" s="41">
        <f t="shared" si="158"/>
        <v>-1.1650265807035431E-2</v>
      </c>
      <c r="H607" s="41">
        <f t="shared" si="159"/>
        <v>0.45041437232326365</v>
      </c>
      <c r="I607" s="41">
        <f t="shared" si="160"/>
        <v>0.47600563700644938</v>
      </c>
      <c r="J607" s="41">
        <f t="shared" si="161"/>
        <v>4.9861828667546959E-2</v>
      </c>
      <c r="K607" s="42">
        <f t="shared" si="152"/>
        <v>145.04143723232662</v>
      </c>
      <c r="L607" s="42">
        <f t="shared" si="153"/>
        <v>147.60056370064527</v>
      </c>
      <c r="M607" s="42">
        <f t="shared" si="154"/>
        <v>104.98618286675476</v>
      </c>
      <c r="N607" s="41">
        <f t="shared" si="162"/>
        <v>-1.7338188988958336E-2</v>
      </c>
      <c r="O607" s="41">
        <f t="shared" si="163"/>
        <v>0.3815288190485846</v>
      </c>
      <c r="P607" s="39">
        <f t="shared" si="164"/>
        <v>255.94408324786241</v>
      </c>
      <c r="Q607" s="42">
        <f t="shared" si="165"/>
        <v>1.4504143723232636</v>
      </c>
      <c r="R607" s="42">
        <f t="shared" si="166"/>
        <v>1.6258412592468956</v>
      </c>
      <c r="S607" s="41">
        <f t="shared" si="167"/>
        <v>-0.10789914816461932</v>
      </c>
      <c r="T607" s="41">
        <f t="shared" si="170"/>
        <v>0.28698121143702349</v>
      </c>
      <c r="U607" s="41">
        <f t="shared" si="168"/>
        <v>-1.8082061191078025E-2</v>
      </c>
      <c r="V607" s="41">
        <f t="shared" si="169"/>
        <v>-6.7462871046842787E-3</v>
      </c>
      <c r="W607" s="39">
        <f t="shared" si="155"/>
        <v>260.77</v>
      </c>
      <c r="X607" s="21"/>
    </row>
    <row r="608" spans="1:24" x14ac:dyDescent="0.2">
      <c r="A608" s="38">
        <v>45824</v>
      </c>
      <c r="B608" s="39">
        <v>261.18</v>
      </c>
      <c r="C608" s="39">
        <v>602.67999999999995</v>
      </c>
      <c r="D608" s="39">
        <v>44.06</v>
      </c>
      <c r="E608" s="41">
        <f t="shared" si="156"/>
        <v>1.5722667484756592E-3</v>
      </c>
      <c r="F608" s="41">
        <f t="shared" si="157"/>
        <v>9.5142378559462948E-3</v>
      </c>
      <c r="G608" s="41">
        <f t="shared" si="158"/>
        <v>8.468757152666706E-3</v>
      </c>
      <c r="H608" s="41">
        <f t="shared" si="159"/>
        <v>0.45269481061237871</v>
      </c>
      <c r="I608" s="41">
        <f t="shared" si="160"/>
        <v>0.49004870571364623</v>
      </c>
      <c r="J608" s="41">
        <f t="shared" si="161"/>
        <v>5.8752853538386995E-2</v>
      </c>
      <c r="K608" s="42">
        <f t="shared" si="152"/>
        <v>145.26948106123811</v>
      </c>
      <c r="L608" s="42">
        <f t="shared" si="153"/>
        <v>149.00487057136499</v>
      </c>
      <c r="M608" s="42">
        <f t="shared" si="154"/>
        <v>105.87528535383876</v>
      </c>
      <c r="N608" s="41">
        <f t="shared" si="162"/>
        <v>-2.506890879340562E-2</v>
      </c>
      <c r="O608" s="41">
        <f t="shared" si="163"/>
        <v>0.37208112899759804</v>
      </c>
      <c r="P608" s="39">
        <f t="shared" si="164"/>
        <v>255.99618192201302</v>
      </c>
      <c r="Q608" s="42">
        <f t="shared" si="165"/>
        <v>1.4526948106123787</v>
      </c>
      <c r="R608" s="42">
        <f t="shared" si="166"/>
        <v>1.6258412592468956</v>
      </c>
      <c r="S608" s="41">
        <f t="shared" si="167"/>
        <v>-0.10649652765899165</v>
      </c>
      <c r="T608" s="41">
        <f t="shared" si="170"/>
        <v>0.28599987688267975</v>
      </c>
      <c r="U608" s="41">
        <f t="shared" si="168"/>
        <v>0</v>
      </c>
      <c r="V608" s="41">
        <f t="shared" si="169"/>
        <v>-7.9419711074706356E-3</v>
      </c>
      <c r="W608" s="39">
        <f t="shared" si="155"/>
        <v>261.18</v>
      </c>
      <c r="X608" s="21"/>
    </row>
    <row r="609" spans="1:24" x14ac:dyDescent="0.2">
      <c r="A609" s="38">
        <v>45825</v>
      </c>
      <c r="B609" s="39">
        <v>259.04000000000002</v>
      </c>
      <c r="C609" s="39">
        <v>597.53</v>
      </c>
      <c r="D609" s="39">
        <v>43.63</v>
      </c>
      <c r="E609" s="41">
        <f t="shared" si="156"/>
        <v>-8.1935829695994888E-3</v>
      </c>
      <c r="F609" s="41">
        <f t="shared" si="157"/>
        <v>-8.5451649299793653E-3</v>
      </c>
      <c r="G609" s="41">
        <f t="shared" si="158"/>
        <v>-9.7594189741261328E-3</v>
      </c>
      <c r="H609" s="41">
        <f t="shared" si="159"/>
        <v>0.44079203515211951</v>
      </c>
      <c r="I609" s="41">
        <f t="shared" si="160"/>
        <v>0.47731599376962075</v>
      </c>
      <c r="J609" s="41">
        <f t="shared" si="161"/>
        <v>4.8420040850654322E-2</v>
      </c>
      <c r="K609" s="42">
        <f t="shared" si="152"/>
        <v>144.07920351521221</v>
      </c>
      <c r="L609" s="42">
        <f t="shared" si="153"/>
        <v>147.73159937696244</v>
      </c>
      <c r="M609" s="42">
        <f t="shared" si="154"/>
        <v>104.84200408506548</v>
      </c>
      <c r="N609" s="41">
        <f t="shared" si="162"/>
        <v>-2.4723186353857951E-2</v>
      </c>
      <c r="O609" s="41">
        <f t="shared" si="163"/>
        <v>0.37425075734255064</v>
      </c>
      <c r="P609" s="39">
        <f t="shared" si="164"/>
        <v>256.02646866905769</v>
      </c>
      <c r="Q609" s="42">
        <f t="shared" si="165"/>
        <v>1.4407920351521195</v>
      </c>
      <c r="R609" s="42">
        <f t="shared" si="166"/>
        <v>1.6258412592468956</v>
      </c>
      <c r="S609" s="41">
        <f t="shared" si="167"/>
        <v>-0.11381752249324306</v>
      </c>
      <c r="T609" s="41">
        <f t="shared" si="170"/>
        <v>0.28337412140390444</v>
      </c>
      <c r="U609" s="41">
        <f t="shared" si="168"/>
        <v>-8.3492328323907516E-3</v>
      </c>
      <c r="V609" s="41">
        <f t="shared" si="169"/>
        <v>3.5158196037987643E-4</v>
      </c>
      <c r="W609" s="39">
        <f t="shared" si="155"/>
        <v>259.04000000000002</v>
      </c>
      <c r="X609" s="21"/>
    </row>
    <row r="610" spans="1:24" x14ac:dyDescent="0.2">
      <c r="A610" s="38">
        <v>45826</v>
      </c>
      <c r="B610" s="39">
        <v>258.14</v>
      </c>
      <c r="C610" s="39">
        <v>597.44000000000005</v>
      </c>
      <c r="D610" s="39">
        <v>43.505000000000003</v>
      </c>
      <c r="E610" s="41">
        <f t="shared" si="156"/>
        <v>-3.4743668931440652E-3</v>
      </c>
      <c r="F610" s="41">
        <f t="shared" si="157"/>
        <v>-1.506200525495105E-4</v>
      </c>
      <c r="G610" s="41">
        <f t="shared" si="158"/>
        <v>-2.8650011460004121E-3</v>
      </c>
      <c r="H610" s="41">
        <f t="shared" si="159"/>
        <v>0.43578619500528126</v>
      </c>
      <c r="I610" s="41">
        <f t="shared" si="160"/>
        <v>0.47709348035700683</v>
      </c>
      <c r="J610" s="41">
        <f t="shared" si="161"/>
        <v>4.5416316232127496E-2</v>
      </c>
      <c r="K610" s="42">
        <f t="shared" si="152"/>
        <v>143.57861950052839</v>
      </c>
      <c r="L610" s="42">
        <f t="shared" si="153"/>
        <v>147.70934803570103</v>
      </c>
      <c r="M610" s="42">
        <f t="shared" si="154"/>
        <v>104.54163162321279</v>
      </c>
      <c r="N610" s="41">
        <f t="shared" si="162"/>
        <v>-2.7965247901400092E-2</v>
      </c>
      <c r="O610" s="41">
        <f t="shared" si="163"/>
        <v>0.37341092989644409</v>
      </c>
      <c r="P610" s="39">
        <f t="shared" si="164"/>
        <v>256.04749883155461</v>
      </c>
      <c r="Q610" s="42">
        <f t="shared" si="165"/>
        <v>1.4357861950052813</v>
      </c>
      <c r="R610" s="42">
        <f t="shared" si="166"/>
        <v>1.6258412592468956</v>
      </c>
      <c r="S610" s="41">
        <f t="shared" si="167"/>
        <v>-0.11689644555437695</v>
      </c>
      <c r="T610" s="41">
        <f t="shared" si="170"/>
        <v>0.27794895818569565</v>
      </c>
      <c r="U610" s="41">
        <f t="shared" si="168"/>
        <v>-3.630016755935328E-3</v>
      </c>
      <c r="V610" s="41">
        <f t="shared" si="169"/>
        <v>-3.3237468405945547E-3</v>
      </c>
      <c r="W610" s="39">
        <f t="shared" si="155"/>
        <v>258.14</v>
      </c>
      <c r="X610" s="21"/>
    </row>
    <row r="611" spans="1:24" x14ac:dyDescent="0.2">
      <c r="A611" s="38">
        <v>45828</v>
      </c>
      <c r="B611" s="39">
        <v>255.94</v>
      </c>
      <c r="C611" s="39">
        <v>594.28</v>
      </c>
      <c r="D611" s="39">
        <v>43.21</v>
      </c>
      <c r="E611" s="41">
        <f t="shared" si="156"/>
        <v>-8.5225071666537033E-3</v>
      </c>
      <c r="F611" s="41">
        <f t="shared" si="157"/>
        <v>-5.2892340653456493E-3</v>
      </c>
      <c r="G611" s="41">
        <f t="shared" si="158"/>
        <v>-6.7808297896794212E-3</v>
      </c>
      <c r="H611" s="41">
        <f t="shared" si="159"/>
        <v>0.42354969686856636</v>
      </c>
      <c r="I611" s="41">
        <f t="shared" si="160"/>
        <v>0.46928078720300248</v>
      </c>
      <c r="J611" s="41">
        <f t="shared" si="161"/>
        <v>3.8327526132403866E-2</v>
      </c>
      <c r="K611" s="42">
        <f t="shared" si="152"/>
        <v>142.35496968685689</v>
      </c>
      <c r="L611" s="42">
        <f t="shared" si="153"/>
        <v>146.92807872030062</v>
      </c>
      <c r="M611" s="42">
        <f t="shared" si="154"/>
        <v>103.83275261324042</v>
      </c>
      <c r="N611" s="41">
        <f t="shared" si="162"/>
        <v>-3.1124813400365881E-2</v>
      </c>
      <c r="O611" s="41">
        <f t="shared" si="163"/>
        <v>0.37100256040697532</v>
      </c>
      <c r="P611" s="39">
        <f t="shared" si="164"/>
        <v>256.04642919143964</v>
      </c>
      <c r="Q611" s="42">
        <f t="shared" si="165"/>
        <v>1.4235496968685664</v>
      </c>
      <c r="R611" s="42">
        <f t="shared" si="166"/>
        <v>1.6258412592468956</v>
      </c>
      <c r="S611" s="41">
        <f t="shared" si="167"/>
        <v>-0.1244227019260371</v>
      </c>
      <c r="T611" s="41">
        <f t="shared" si="170"/>
        <v>0.27867672360433793</v>
      </c>
      <c r="U611" s="41">
        <f t="shared" si="168"/>
        <v>-8.6781570294449661E-3</v>
      </c>
      <c r="V611" s="41">
        <f t="shared" si="169"/>
        <v>-3.233273101308054E-3</v>
      </c>
      <c r="W611" s="39">
        <f t="shared" si="155"/>
        <v>255.94</v>
      </c>
      <c r="X611" s="21"/>
    </row>
    <row r="612" spans="1:24" x14ac:dyDescent="0.2">
      <c r="A612" s="38">
        <v>45831</v>
      </c>
      <c r="B612" s="39">
        <v>261.04000000000002</v>
      </c>
      <c r="C612" s="39">
        <v>600.15</v>
      </c>
      <c r="D612" s="39">
        <v>43.47</v>
      </c>
      <c r="E612" s="41">
        <f t="shared" si="156"/>
        <v>1.9926545284051134E-2</v>
      </c>
      <c r="F612" s="41">
        <f t="shared" si="157"/>
        <v>9.8774988221039806E-3</v>
      </c>
      <c r="G612" s="41">
        <f t="shared" si="158"/>
        <v>6.0171256653551719E-3</v>
      </c>
      <c r="H612" s="41">
        <f t="shared" si="159"/>
        <v>0.4519161243673151</v>
      </c>
      <c r="I612" s="41">
        <f t="shared" si="160"/>
        <v>0.48379360644794023</v>
      </c>
      <c r="J612" s="41">
        <f t="shared" si="161"/>
        <v>4.4575273338939958E-2</v>
      </c>
      <c r="K612" s="42">
        <f t="shared" ref="K612:K675" si="171">IFERROR(B612/$B$36*100,"")</f>
        <v>145.19161243673176</v>
      </c>
      <c r="L612" s="42">
        <f t="shared" ref="L612:L675" si="172">IFERROR(C612/$C$36*100,"")</f>
        <v>148.37936064479439</v>
      </c>
      <c r="M612" s="42">
        <f t="shared" ref="M612:M675" si="173">IFERROR(D612/$D$36*100,"")</f>
        <v>104.45752733389402</v>
      </c>
      <c r="N612" s="41">
        <f t="shared" si="162"/>
        <v>-2.1483771019162656E-2</v>
      </c>
      <c r="O612" s="41">
        <f t="shared" si="163"/>
        <v>0.3899583509442337</v>
      </c>
      <c r="P612" s="39">
        <f t="shared" si="164"/>
        <v>256.09611646316665</v>
      </c>
      <c r="Q612" s="42">
        <f t="shared" si="165"/>
        <v>1.4519161243673151</v>
      </c>
      <c r="R612" s="42">
        <f t="shared" si="166"/>
        <v>1.6258412592468956</v>
      </c>
      <c r="S612" s="41">
        <f t="shared" si="167"/>
        <v>-0.10697547124627915</v>
      </c>
      <c r="T612" s="41">
        <f t="shared" si="170"/>
        <v>0.27888453585163209</v>
      </c>
      <c r="U612" s="41">
        <f t="shared" si="168"/>
        <v>0</v>
      </c>
      <c r="V612" s="41">
        <f t="shared" si="169"/>
        <v>1.0049046461947153E-2</v>
      </c>
      <c r="W612" s="39">
        <f t="shared" ref="W612:W675" si="174">B612</f>
        <v>261.04000000000002</v>
      </c>
      <c r="X612" s="21"/>
    </row>
    <row r="613" spans="1:24" x14ac:dyDescent="0.2">
      <c r="A613" s="38">
        <v>45832</v>
      </c>
      <c r="B613" s="39">
        <v>264.48</v>
      </c>
      <c r="C613" s="39">
        <v>606.78</v>
      </c>
      <c r="D613" s="39">
        <v>43.83</v>
      </c>
      <c r="E613" s="41">
        <f t="shared" ref="E613:E676" si="175">IFERROR(B613/B612-1,"")</f>
        <v>1.3178057002758203E-2</v>
      </c>
      <c r="F613" s="41">
        <f t="shared" ref="F613:F676" si="176">IFERROR(C613/C612-1,"")</f>
        <v>1.104723819045228E-2</v>
      </c>
      <c r="G613" s="41">
        <f t="shared" ref="G613:G676" si="177">IFERROR(D613/D612-1,"")</f>
        <v>8.2815734989647449E-3</v>
      </c>
      <c r="H613" s="41">
        <f t="shared" ref="H613:H676" si="178">IFERROR((1+E613)*(1+H612)-1,"")</f>
        <v>0.47104955781745139</v>
      </c>
      <c r="I613" s="41">
        <f t="shared" ref="I613:I676" si="179">IFERROR((1+F613)*(1+I612)-1,"")</f>
        <v>0.5001854278438409</v>
      </c>
      <c r="J613" s="41">
        <f t="shared" ref="J613:J676" si="180">IFERROR((1+G613)*(1+J612)-1,"")</f>
        <v>5.3226000240297555E-2</v>
      </c>
      <c r="K613" s="42">
        <f t="shared" si="171"/>
        <v>147.10495578174539</v>
      </c>
      <c r="L613" s="42">
        <f t="shared" si="172"/>
        <v>150.01854278438449</v>
      </c>
      <c r="M613" s="42">
        <f t="shared" si="173"/>
        <v>105.32260002402978</v>
      </c>
      <c r="N613" s="41">
        <f t="shared" ref="N613:N676" si="181">IFERROR((1+H613)/(1+I613)-1,"")</f>
        <v>-1.9421512491469395E-2</v>
      </c>
      <c r="O613" s="41">
        <f t="shared" ref="O613:O676" si="182">IFERROR((1+H613)/(1+J613)-1,"")</f>
        <v>0.39670835839774732</v>
      </c>
      <c r="P613" s="39">
        <f t="shared" ref="P613:P676" si="183">IFERROR(B613*0.0099502487562189+P612*(1-0.0099502487562189),"")</f>
        <v>256.17953818990134</v>
      </c>
      <c r="Q613" s="42">
        <f t="shared" ref="Q613:Q676" si="184">Q612*(1+E613)</f>
        <v>1.4710495578174514</v>
      </c>
      <c r="R613" s="42">
        <f t="shared" ref="R613:R676" si="185">MAX(R612,Q613)</f>
        <v>1.6258412592468956</v>
      </c>
      <c r="S613" s="41">
        <f t="shared" ref="S613:S676" si="186">IFERROR(Q613/R613-1,"")</f>
        <v>-9.5207143101501246E-2</v>
      </c>
      <c r="T613" s="41">
        <f t="shared" si="170"/>
        <v>0.27986530738312482</v>
      </c>
      <c r="U613" s="41">
        <f t="shared" ref="U613:U676" si="187">IFERROR(MIN(E613-$D$6,0),"")</f>
        <v>0</v>
      </c>
      <c r="V613" s="41">
        <f t="shared" ref="V613:V676" si="188">IFERROR(E613-F613,"")</f>
        <v>2.1308188123059235E-3</v>
      </c>
      <c r="W613" s="39">
        <f t="shared" si="174"/>
        <v>264.48</v>
      </c>
      <c r="X613" s="21"/>
    </row>
    <row r="614" spans="1:24" x14ac:dyDescent="0.2">
      <c r="A614" s="38">
        <v>45833</v>
      </c>
      <c r="B614" s="39">
        <v>254.64</v>
      </c>
      <c r="C614" s="39">
        <v>607.12</v>
      </c>
      <c r="D614" s="39">
        <v>43.41</v>
      </c>
      <c r="E614" s="41">
        <f t="shared" si="175"/>
        <v>-3.7205081669691609E-2</v>
      </c>
      <c r="F614" s="41">
        <f t="shared" si="176"/>
        <v>5.6033488249451757E-4</v>
      </c>
      <c r="G614" s="41">
        <f t="shared" si="177"/>
        <v>-9.5824777549623485E-3</v>
      </c>
      <c r="H614" s="41">
        <f t="shared" si="178"/>
        <v>0.41631903887868948</v>
      </c>
      <c r="I614" s="41">
        <f t="shared" si="179"/>
        <v>0.50102603406927182</v>
      </c>
      <c r="J614" s="41">
        <f t="shared" si="180"/>
        <v>4.3133485522046877E-2</v>
      </c>
      <c r="K614" s="42">
        <f t="shared" si="171"/>
        <v>141.63190388786916</v>
      </c>
      <c r="L614" s="42">
        <f t="shared" si="172"/>
        <v>150.10260340692759</v>
      </c>
      <c r="M614" s="42">
        <f t="shared" si="173"/>
        <v>104.31334855220472</v>
      </c>
      <c r="N614" s="41">
        <f t="shared" si="181"/>
        <v>-5.6432728858767489E-2</v>
      </c>
      <c r="O614" s="41">
        <f t="shared" si="182"/>
        <v>0.3577543608140219</v>
      </c>
      <c r="P614" s="39">
        <f t="shared" si="183"/>
        <v>256.16421940194215</v>
      </c>
      <c r="Q614" s="42">
        <f t="shared" si="184"/>
        <v>1.4163190388786895</v>
      </c>
      <c r="R614" s="42">
        <f t="shared" si="185"/>
        <v>1.6258412592468956</v>
      </c>
      <c r="S614" s="41">
        <f t="shared" si="186"/>
        <v>-0.12887003523656348</v>
      </c>
      <c r="T614" s="41">
        <f t="shared" si="170"/>
        <v>0.28793834246846423</v>
      </c>
      <c r="U614" s="41">
        <f t="shared" si="187"/>
        <v>-3.7360731532482871E-2</v>
      </c>
      <c r="V614" s="41">
        <f t="shared" si="188"/>
        <v>-3.7765416552186126E-2</v>
      </c>
      <c r="W614" s="39">
        <f t="shared" si="174"/>
        <v>254.64</v>
      </c>
      <c r="X614" s="21"/>
    </row>
    <row r="615" spans="1:24" x14ac:dyDescent="0.2">
      <c r="A615" s="38">
        <v>45834</v>
      </c>
      <c r="B615" s="39">
        <v>256.95999999999998</v>
      </c>
      <c r="C615" s="39">
        <v>611.87</v>
      </c>
      <c r="D615" s="39">
        <v>43.89</v>
      </c>
      <c r="E615" s="41">
        <f t="shared" si="175"/>
        <v>9.1109016650958718E-3</v>
      </c>
      <c r="F615" s="41">
        <f t="shared" si="176"/>
        <v>7.8238239557253397E-3</v>
      </c>
      <c r="G615" s="41">
        <f t="shared" si="177"/>
        <v>1.1057360055286791E-2</v>
      </c>
      <c r="H615" s="41">
        <f t="shared" si="178"/>
        <v>0.42922298236831624</v>
      </c>
      <c r="I615" s="41">
        <f t="shared" si="179"/>
        <v>0.51276979751279028</v>
      </c>
      <c r="J615" s="41">
        <f t="shared" si="180"/>
        <v>5.4667788057190414E-2</v>
      </c>
      <c r="K615" s="42">
        <f t="shared" si="171"/>
        <v>142.92229823683184</v>
      </c>
      <c r="L615" s="42">
        <f t="shared" si="172"/>
        <v>151.27697975127944</v>
      </c>
      <c r="M615" s="42">
        <f t="shared" si="173"/>
        <v>105.46677880571909</v>
      </c>
      <c r="N615" s="41">
        <f t="shared" si="181"/>
        <v>-5.5227712294254494E-2</v>
      </c>
      <c r="O615" s="41">
        <f t="shared" si="182"/>
        <v>0.35514045138431327</v>
      </c>
      <c r="P615" s="39">
        <f t="shared" si="183"/>
        <v>256.1721376168482</v>
      </c>
      <c r="Q615" s="42">
        <f t="shared" si="184"/>
        <v>1.4292229823683162</v>
      </c>
      <c r="R615" s="42">
        <f t="shared" si="185"/>
        <v>1.6258412592468956</v>
      </c>
      <c r="S615" s="41">
        <f t="shared" si="186"/>
        <v>-0.1209332557900854</v>
      </c>
      <c r="T615" s="41">
        <f t="shared" si="170"/>
        <v>0.28834429503195041</v>
      </c>
      <c r="U615" s="41">
        <f t="shared" si="187"/>
        <v>0</v>
      </c>
      <c r="V615" s="41">
        <f t="shared" si="188"/>
        <v>1.2870777093705321E-3</v>
      </c>
      <c r="W615" s="39">
        <f t="shared" si="174"/>
        <v>256.95999999999998</v>
      </c>
      <c r="X615" s="21"/>
    </row>
    <row r="616" spans="1:24" x14ac:dyDescent="0.2">
      <c r="A616" s="38">
        <v>45835</v>
      </c>
      <c r="B616" s="39">
        <v>262.18</v>
      </c>
      <c r="C616" s="39">
        <v>614.91</v>
      </c>
      <c r="D616" s="39">
        <v>43.945</v>
      </c>
      <c r="E616" s="41">
        <f t="shared" si="175"/>
        <v>2.0314445828144567E-2</v>
      </c>
      <c r="F616" s="41">
        <f t="shared" si="176"/>
        <v>4.9683756353473552E-3</v>
      </c>
      <c r="G616" s="41">
        <f t="shared" si="177"/>
        <v>1.2531328320801727E-3</v>
      </c>
      <c r="H616" s="41">
        <f t="shared" si="178"/>
        <v>0.45825685521997661</v>
      </c>
      <c r="I616" s="41">
        <f t="shared" si="179"/>
        <v>0.52028580611664221</v>
      </c>
      <c r="J616" s="41">
        <f t="shared" si="180"/>
        <v>5.5989426889342164E-2</v>
      </c>
      <c r="K616" s="42">
        <f t="shared" si="171"/>
        <v>145.82568552199791</v>
      </c>
      <c r="L616" s="42">
        <f t="shared" si="172"/>
        <v>152.02858061166461</v>
      </c>
      <c r="M616" s="42">
        <f t="shared" si="173"/>
        <v>105.59894268893429</v>
      </c>
      <c r="N616" s="41">
        <f t="shared" si="181"/>
        <v>-4.0800848529336631E-2</v>
      </c>
      <c r="O616" s="41">
        <f t="shared" si="182"/>
        <v>0.38093887882533539</v>
      </c>
      <c r="P616" s="39">
        <f t="shared" si="183"/>
        <v>256.23191734205369</v>
      </c>
      <c r="Q616" s="42">
        <f t="shared" si="184"/>
        <v>1.4582568552199766</v>
      </c>
      <c r="R616" s="42">
        <f t="shared" si="185"/>
        <v>1.6258412592468956</v>
      </c>
      <c r="S616" s="41">
        <f t="shared" si="186"/>
        <v>-0.10307550203550964</v>
      </c>
      <c r="T616" s="41">
        <f t="shared" si="170"/>
        <v>0.28916704017898553</v>
      </c>
      <c r="U616" s="41">
        <f t="shared" si="187"/>
        <v>0</v>
      </c>
      <c r="V616" s="41">
        <f t="shared" si="188"/>
        <v>1.5346070192797212E-2</v>
      </c>
      <c r="W616" s="39">
        <f t="shared" si="174"/>
        <v>262.18</v>
      </c>
      <c r="X616" s="21"/>
    </row>
    <row r="617" spans="1:24" x14ac:dyDescent="0.2">
      <c r="A617" s="38">
        <v>45838</v>
      </c>
      <c r="B617" s="39">
        <v>260.82</v>
      </c>
      <c r="C617" s="39">
        <v>617.85</v>
      </c>
      <c r="D617" s="39">
        <v>43.905000000000001</v>
      </c>
      <c r="E617" s="41">
        <f t="shared" si="175"/>
        <v>-5.1872759173087202E-3</v>
      </c>
      <c r="F617" s="41">
        <f t="shared" si="176"/>
        <v>4.7811874908523233E-3</v>
      </c>
      <c r="G617" s="41">
        <f t="shared" si="177"/>
        <v>-9.1022869495960279E-4</v>
      </c>
      <c r="H617" s="41">
        <f t="shared" si="178"/>
        <v>0.45069247455364359</v>
      </c>
      <c r="I617" s="41">
        <f t="shared" si="179"/>
        <v>0.52755457759536739</v>
      </c>
      <c r="J617" s="41">
        <f t="shared" si="180"/>
        <v>5.5028235011413518E-2</v>
      </c>
      <c r="K617" s="42">
        <f t="shared" si="171"/>
        <v>145.0692474553646</v>
      </c>
      <c r="L617" s="42">
        <f t="shared" si="172"/>
        <v>152.75545775953717</v>
      </c>
      <c r="M617" s="42">
        <f t="shared" si="173"/>
        <v>105.50282350114142</v>
      </c>
      <c r="N617" s="41">
        <f t="shared" si="181"/>
        <v>-5.0317091231344313E-2</v>
      </c>
      <c r="O617" s="41">
        <f t="shared" si="182"/>
        <v>0.3750271570105892</v>
      </c>
      <c r="P617" s="39">
        <f t="shared" si="183"/>
        <v>256.27756990581435</v>
      </c>
      <c r="Q617" s="42">
        <f t="shared" si="184"/>
        <v>1.4506924745536436</v>
      </c>
      <c r="R617" s="42">
        <f t="shared" si="185"/>
        <v>1.6258412592468956</v>
      </c>
      <c r="S617" s="41">
        <f t="shared" si="186"/>
        <v>-0.10772809688344509</v>
      </c>
      <c r="T617" s="41">
        <f t="shared" si="170"/>
        <v>0.28874041921029386</v>
      </c>
      <c r="U617" s="41">
        <f t="shared" si="187"/>
        <v>-5.342925780099983E-3</v>
      </c>
      <c r="V617" s="41">
        <f t="shared" si="188"/>
        <v>-9.9684634081610435E-3</v>
      </c>
      <c r="W617" s="39">
        <f t="shared" si="174"/>
        <v>260.82</v>
      </c>
      <c r="X617" s="21"/>
    </row>
    <row r="618" spans="1:24" x14ac:dyDescent="0.2">
      <c r="A618" s="38">
        <v>45839</v>
      </c>
      <c r="B618" s="39">
        <v>264.67</v>
      </c>
      <c r="C618" s="39">
        <v>617.65</v>
      </c>
      <c r="D618" s="39">
        <v>45.04</v>
      </c>
      <c r="E618" s="41">
        <f t="shared" si="175"/>
        <v>1.4761137949543812E-2</v>
      </c>
      <c r="F618" s="41">
        <f t="shared" si="176"/>
        <v>-3.2370316419849665E-4</v>
      </c>
      <c r="G618" s="41">
        <f t="shared" si="177"/>
        <v>2.585126978704011E-2</v>
      </c>
      <c r="H618" s="41">
        <f t="shared" si="178"/>
        <v>0.47210634629289494</v>
      </c>
      <c r="I618" s="41">
        <f t="shared" si="179"/>
        <v>0.52706010334511388</v>
      </c>
      <c r="J618" s="41">
        <f t="shared" si="180"/>
        <v>8.2302054547638281E-2</v>
      </c>
      <c r="K618" s="42">
        <f t="shared" si="171"/>
        <v>147.21063462928973</v>
      </c>
      <c r="L618" s="42">
        <f t="shared" si="172"/>
        <v>152.7060103345118</v>
      </c>
      <c r="M618" s="42">
        <f t="shared" si="173"/>
        <v>108.23020545476389</v>
      </c>
      <c r="N618" s="41">
        <f t="shared" si="181"/>
        <v>-3.598663663063395E-2</v>
      </c>
      <c r="O618" s="41">
        <f t="shared" si="182"/>
        <v>0.36016220250841191</v>
      </c>
      <c r="P618" s="39">
        <f t="shared" si="183"/>
        <v>256.36107667292066</v>
      </c>
      <c r="Q618" s="42">
        <f t="shared" si="184"/>
        <v>1.4721063462928949</v>
      </c>
      <c r="R618" s="42">
        <f t="shared" si="185"/>
        <v>1.6258412592468956</v>
      </c>
      <c r="S618" s="41">
        <f t="shared" si="186"/>
        <v>-9.4557148233039734E-2</v>
      </c>
      <c r="T618" s="41">
        <f t="shared" si="170"/>
        <v>0.28855492474960476</v>
      </c>
      <c r="U618" s="41">
        <f t="shared" si="187"/>
        <v>0</v>
      </c>
      <c r="V618" s="41">
        <f t="shared" si="188"/>
        <v>1.5084841113742309E-2</v>
      </c>
      <c r="W618" s="39">
        <f t="shared" si="174"/>
        <v>264.67</v>
      </c>
      <c r="X618" s="21"/>
    </row>
    <row r="619" spans="1:24" x14ac:dyDescent="0.2">
      <c r="A619" s="38">
        <v>45840</v>
      </c>
      <c r="B619" s="39">
        <v>265.70999999999998</v>
      </c>
      <c r="C619" s="39">
        <v>620.45000000000005</v>
      </c>
      <c r="D619" s="39">
        <v>45.715000000000003</v>
      </c>
      <c r="E619" s="41">
        <f t="shared" si="175"/>
        <v>3.9294215438090419E-3</v>
      </c>
      <c r="F619" s="41">
        <f t="shared" si="176"/>
        <v>4.5333117461345829E-3</v>
      </c>
      <c r="G619" s="41">
        <f t="shared" si="177"/>
        <v>1.4986678507993068E-2</v>
      </c>
      <c r="H619" s="41">
        <f t="shared" si="178"/>
        <v>0.47789087268479635</v>
      </c>
      <c r="I619" s="41">
        <f t="shared" si="179"/>
        <v>0.53398274284866187</v>
      </c>
      <c r="J619" s="41">
        <f t="shared" si="180"/>
        <v>9.8522167487684165E-2</v>
      </c>
      <c r="K619" s="42">
        <f t="shared" si="171"/>
        <v>147.78908726847988</v>
      </c>
      <c r="L619" s="42">
        <f t="shared" si="172"/>
        <v>153.3982742848666</v>
      </c>
      <c r="M619" s="42">
        <f t="shared" si="173"/>
        <v>109.85221674876848</v>
      </c>
      <c r="N619" s="41">
        <f t="shared" si="181"/>
        <v>-3.6566167660857074E-2</v>
      </c>
      <c r="O619" s="41">
        <f t="shared" si="182"/>
        <v>0.34534460607629502</v>
      </c>
      <c r="P619" s="39">
        <f t="shared" si="183"/>
        <v>256.45410078562793</v>
      </c>
      <c r="Q619" s="42">
        <f t="shared" si="184"/>
        <v>1.4778908726847964</v>
      </c>
      <c r="R619" s="42">
        <f t="shared" si="185"/>
        <v>1.6258412592468956</v>
      </c>
      <c r="S619" s="41">
        <f t="shared" si="186"/>
        <v>-9.0999281584618674E-2</v>
      </c>
      <c r="T619" s="41">
        <f t="shared" si="170"/>
        <v>0.28210615313471699</v>
      </c>
      <c r="U619" s="41">
        <f t="shared" si="187"/>
        <v>0</v>
      </c>
      <c r="V619" s="41">
        <f t="shared" si="188"/>
        <v>-6.0389020232554103E-4</v>
      </c>
      <c r="W619" s="39">
        <f t="shared" si="174"/>
        <v>265.70999999999998</v>
      </c>
      <c r="X619" s="21"/>
    </row>
    <row r="620" spans="1:24" x14ac:dyDescent="0.2">
      <c r="A620" s="38">
        <v>45841</v>
      </c>
      <c r="B620" s="39">
        <v>266.24</v>
      </c>
      <c r="C620" s="39">
        <v>625.34</v>
      </c>
      <c r="D620" s="39">
        <v>45.685000000000002</v>
      </c>
      <c r="E620" s="41">
        <f t="shared" si="175"/>
        <v>1.9946558277823545E-3</v>
      </c>
      <c r="F620" s="41">
        <f t="shared" si="176"/>
        <v>7.881376420340036E-3</v>
      </c>
      <c r="G620" s="41">
        <f t="shared" si="177"/>
        <v>-6.5623974625395043E-4</v>
      </c>
      <c r="H620" s="41">
        <f t="shared" si="178"/>
        <v>0.48083875632682349</v>
      </c>
      <c r="I620" s="41">
        <f t="shared" si="179"/>
        <v>0.54607263826735775</v>
      </c>
      <c r="J620" s="41">
        <f t="shared" si="180"/>
        <v>9.7801273579237735E-2</v>
      </c>
      <c r="K620" s="42">
        <f t="shared" si="171"/>
        <v>148.08387563268261</v>
      </c>
      <c r="L620" s="42">
        <f t="shared" si="172"/>
        <v>154.60726382673622</v>
      </c>
      <c r="M620" s="42">
        <f t="shared" si="173"/>
        <v>109.78012735792382</v>
      </c>
      <c r="N620" s="41">
        <f t="shared" si="181"/>
        <v>-4.2193284019074406E-2</v>
      </c>
      <c r="O620" s="41">
        <f t="shared" si="182"/>
        <v>0.34891331606743536</v>
      </c>
      <c r="P620" s="39">
        <f t="shared" si="183"/>
        <v>256.55147291711421</v>
      </c>
      <c r="Q620" s="42">
        <f t="shared" si="184"/>
        <v>1.4808387563268235</v>
      </c>
      <c r="R620" s="42">
        <f t="shared" si="185"/>
        <v>1.6258412592468956</v>
      </c>
      <c r="S620" s="41">
        <f t="shared" si="186"/>
        <v>-8.9186138004173077E-2</v>
      </c>
      <c r="T620" s="41">
        <f t="shared" si="170"/>
        <v>0.28098329154527041</v>
      </c>
      <c r="U620" s="41">
        <f t="shared" si="187"/>
        <v>0</v>
      </c>
      <c r="V620" s="41">
        <f t="shared" si="188"/>
        <v>-5.8867205925576815E-3</v>
      </c>
      <c r="W620" s="39">
        <f t="shared" si="174"/>
        <v>266.24</v>
      </c>
      <c r="X620" s="21"/>
    </row>
    <row r="621" spans="1:24" x14ac:dyDescent="0.2">
      <c r="A621" s="38">
        <v>45845</v>
      </c>
      <c r="B621" s="39">
        <v>267</v>
      </c>
      <c r="C621" s="39">
        <v>620.67999999999995</v>
      </c>
      <c r="D621" s="39">
        <v>45.244999999999997</v>
      </c>
      <c r="E621" s="41">
        <f t="shared" si="175"/>
        <v>2.8545673076922906E-3</v>
      </c>
      <c r="F621" s="41">
        <f t="shared" si="176"/>
        <v>-7.4519461412992927E-3</v>
      </c>
      <c r="G621" s="41">
        <f t="shared" si="177"/>
        <v>-9.6311699682610774E-3</v>
      </c>
      <c r="H621" s="41">
        <f t="shared" si="178"/>
        <v>0.48506591022859769</v>
      </c>
      <c r="I621" s="41">
        <f t="shared" si="179"/>
        <v>0.53455138823645298</v>
      </c>
      <c r="J621" s="41">
        <f t="shared" si="180"/>
        <v>8.7228162922022623E-2</v>
      </c>
      <c r="K621" s="42">
        <f t="shared" si="171"/>
        <v>148.50659102286002</v>
      </c>
      <c r="L621" s="42">
        <f t="shared" si="172"/>
        <v>153.45513882364574</v>
      </c>
      <c r="M621" s="42">
        <f t="shared" si="173"/>
        <v>108.72281629220232</v>
      </c>
      <c r="N621" s="41">
        <f t="shared" si="181"/>
        <v>-3.2247520928396778E-2</v>
      </c>
      <c r="O621" s="41">
        <f t="shared" si="182"/>
        <v>0.36591928067550294</v>
      </c>
      <c r="P621" s="39">
        <f t="shared" si="183"/>
        <v>256.65543836072504</v>
      </c>
      <c r="Q621" s="42">
        <f t="shared" si="184"/>
        <v>1.4850659102285977</v>
      </c>
      <c r="R621" s="42">
        <f t="shared" si="185"/>
        <v>1.6258412592468956</v>
      </c>
      <c r="S621" s="41">
        <f t="shared" si="186"/>
        <v>-8.6586158530326807E-2</v>
      </c>
      <c r="T621" s="41">
        <f t="shared" si="170"/>
        <v>0.27993641205432285</v>
      </c>
      <c r="U621" s="41">
        <f t="shared" si="187"/>
        <v>0</v>
      </c>
      <c r="V621" s="41">
        <f t="shared" si="188"/>
        <v>1.0306513448991583E-2</v>
      </c>
      <c r="W621" s="39">
        <f t="shared" si="174"/>
        <v>267</v>
      </c>
      <c r="X621" s="21"/>
    </row>
    <row r="622" spans="1:24" x14ac:dyDescent="0.2">
      <c r="A622" s="38">
        <v>45846</v>
      </c>
      <c r="B622" s="39">
        <v>266.45</v>
      </c>
      <c r="C622" s="39">
        <v>620.34</v>
      </c>
      <c r="D622" s="39">
        <v>45.615000000000002</v>
      </c>
      <c r="E622" s="41">
        <f t="shared" si="175"/>
        <v>-2.0599250936329527E-3</v>
      </c>
      <c r="F622" s="41">
        <f t="shared" si="176"/>
        <v>-5.4778629889784547E-4</v>
      </c>
      <c r="G622" s="41">
        <f t="shared" si="177"/>
        <v>8.1776991932811516E-3</v>
      </c>
      <c r="H622" s="41">
        <f t="shared" si="178"/>
        <v>0.48200678569441902</v>
      </c>
      <c r="I622" s="41">
        <f t="shared" si="179"/>
        <v>0.53371078201102229</v>
      </c>
      <c r="J622" s="41">
        <f t="shared" si="180"/>
        <v>9.6119187792862659E-2</v>
      </c>
      <c r="K622" s="42">
        <f t="shared" si="171"/>
        <v>148.20067856944212</v>
      </c>
      <c r="L622" s="42">
        <f t="shared" si="172"/>
        <v>153.37107820110268</v>
      </c>
      <c r="M622" s="42">
        <f t="shared" si="173"/>
        <v>109.61191877928631</v>
      </c>
      <c r="N622" s="41">
        <f t="shared" si="181"/>
        <v>-3.3711699052417332E-2</v>
      </c>
      <c r="O622" s="41">
        <f t="shared" si="182"/>
        <v>0.35204893974949636</v>
      </c>
      <c r="P622" s="39">
        <f t="shared" si="183"/>
        <v>256.75289668549397</v>
      </c>
      <c r="Q622" s="42">
        <f t="shared" si="184"/>
        <v>1.482006785694419</v>
      </c>
      <c r="R622" s="42">
        <f t="shared" si="185"/>
        <v>1.6258412592468956</v>
      </c>
      <c r="S622" s="41">
        <f t="shared" si="186"/>
        <v>-8.8467722623241873E-2</v>
      </c>
      <c r="T622" s="41">
        <f t="shared" si="170"/>
        <v>0.25582616282688664</v>
      </c>
      <c r="U622" s="41">
        <f t="shared" si="187"/>
        <v>-2.2155749564242155E-3</v>
      </c>
      <c r="V622" s="41">
        <f t="shared" si="188"/>
        <v>-1.5121387947351073E-3</v>
      </c>
      <c r="W622" s="39">
        <f t="shared" si="174"/>
        <v>266.45</v>
      </c>
      <c r="X622" s="21"/>
    </row>
    <row r="623" spans="1:24" x14ac:dyDescent="0.2">
      <c r="A623" s="38">
        <v>45847</v>
      </c>
      <c r="B623" s="39">
        <v>269.95</v>
      </c>
      <c r="C623" s="39">
        <v>624.05999999999995</v>
      </c>
      <c r="D623" s="39">
        <v>45.89</v>
      </c>
      <c r="E623" s="41">
        <f t="shared" si="175"/>
        <v>1.3135672734096548E-2</v>
      </c>
      <c r="F623" s="41">
        <f t="shared" si="176"/>
        <v>5.9967114808006095E-3</v>
      </c>
      <c r="G623" s="41">
        <f t="shared" si="177"/>
        <v>6.0287186232599321E-3</v>
      </c>
      <c r="H623" s="41">
        <f t="shared" si="178"/>
        <v>0.50147394182101124</v>
      </c>
      <c r="I623" s="41">
        <f t="shared" si="179"/>
        <v>0.54290800306573539</v>
      </c>
      <c r="J623" s="41">
        <f t="shared" si="180"/>
        <v>0.10272738195362208</v>
      </c>
      <c r="K623" s="42">
        <f t="shared" si="171"/>
        <v>150.14739418210135</v>
      </c>
      <c r="L623" s="42">
        <f t="shared" si="172"/>
        <v>154.290800306574</v>
      </c>
      <c r="M623" s="42">
        <f t="shared" si="173"/>
        <v>110.27273819536225</v>
      </c>
      <c r="N623" s="41">
        <f t="shared" si="181"/>
        <v>-2.6854524807957025E-2</v>
      </c>
      <c r="O623" s="41">
        <f t="shared" si="182"/>
        <v>0.36160030701419488</v>
      </c>
      <c r="P623" s="39">
        <f t="shared" si="183"/>
        <v>256.88421114633479</v>
      </c>
      <c r="Q623" s="42">
        <f t="shared" si="184"/>
        <v>1.5014739418210112</v>
      </c>
      <c r="R623" s="42">
        <f t="shared" si="185"/>
        <v>1.6258412592468956</v>
      </c>
      <c r="S623" s="41">
        <f t="shared" si="186"/>
        <v>-7.6494132941055004E-2</v>
      </c>
      <c r="T623" s="41">
        <f t="shared" si="170"/>
        <v>0.25392592494116939</v>
      </c>
      <c r="U623" s="41">
        <f t="shared" si="187"/>
        <v>0</v>
      </c>
      <c r="V623" s="41">
        <f t="shared" si="188"/>
        <v>7.138961253295939E-3</v>
      </c>
      <c r="W623" s="39">
        <f t="shared" si="174"/>
        <v>269.95</v>
      </c>
      <c r="X623" s="21"/>
    </row>
    <row r="624" spans="1:24" x14ac:dyDescent="0.2">
      <c r="A624" s="38">
        <v>45848</v>
      </c>
      <c r="B624" s="39">
        <v>270.73</v>
      </c>
      <c r="C624" s="39">
        <v>625.82000000000005</v>
      </c>
      <c r="D624" s="39">
        <v>46.134999999999998</v>
      </c>
      <c r="E624" s="41">
        <f t="shared" si="175"/>
        <v>2.8894239674015498E-3</v>
      </c>
      <c r="F624" s="41">
        <f t="shared" si="176"/>
        <v>2.8202416434319755E-3</v>
      </c>
      <c r="G624" s="41">
        <f t="shared" si="177"/>
        <v>5.3388537807801395E-3</v>
      </c>
      <c r="H624" s="41">
        <f t="shared" si="178"/>
        <v>0.50581233661493785</v>
      </c>
      <c r="I624" s="41">
        <f t="shared" si="179"/>
        <v>0.54725937646796585</v>
      </c>
      <c r="J624" s="41">
        <f t="shared" si="180"/>
        <v>0.10861468220593506</v>
      </c>
      <c r="K624" s="42">
        <f t="shared" si="171"/>
        <v>150.581233661494</v>
      </c>
      <c r="L624" s="42">
        <f t="shared" si="172"/>
        <v>154.72593764679706</v>
      </c>
      <c r="M624" s="42">
        <f t="shared" si="173"/>
        <v>110.86146822059352</v>
      </c>
      <c r="N624" s="41">
        <f t="shared" si="181"/>
        <v>-2.6787389679707063E-2</v>
      </c>
      <c r="O624" s="41">
        <f t="shared" si="182"/>
        <v>0.35828287391851421</v>
      </c>
      <c r="P624" s="39">
        <f t="shared" si="183"/>
        <v>257.02198018965487</v>
      </c>
      <c r="Q624" s="42">
        <f t="shared" si="184"/>
        <v>1.5058123366149379</v>
      </c>
      <c r="R624" s="42">
        <f t="shared" si="185"/>
        <v>1.6258412592468956</v>
      </c>
      <c r="S624" s="41">
        <f t="shared" si="186"/>
        <v>-7.3825732954738932E-2</v>
      </c>
      <c r="T624" s="41">
        <f t="shared" si="170"/>
        <v>0.24802560739320498</v>
      </c>
      <c r="U624" s="41">
        <f t="shared" si="187"/>
        <v>0</v>
      </c>
      <c r="V624" s="41">
        <f t="shared" si="188"/>
        <v>6.9182323969574355E-5</v>
      </c>
      <c r="W624" s="39">
        <f t="shared" si="174"/>
        <v>270.73</v>
      </c>
      <c r="X624" s="21"/>
    </row>
    <row r="625" spans="1:24" x14ac:dyDescent="0.2">
      <c r="A625" s="38">
        <v>45849</v>
      </c>
      <c r="B625" s="39">
        <v>269</v>
      </c>
      <c r="C625" s="39">
        <v>623.62</v>
      </c>
      <c r="D625" s="39">
        <v>45.76</v>
      </c>
      <c r="E625" s="41">
        <f t="shared" si="175"/>
        <v>-6.3901303882096805E-3</v>
      </c>
      <c r="F625" s="41">
        <f t="shared" si="176"/>
        <v>-3.5153878111917614E-3</v>
      </c>
      <c r="G625" s="41">
        <f t="shared" si="177"/>
        <v>-8.1283190636176617E-3</v>
      </c>
      <c r="H625" s="41">
        <f t="shared" si="178"/>
        <v>0.49618999944379372</v>
      </c>
      <c r="I625" s="41">
        <f t="shared" si="179"/>
        <v>0.54182015971517816</v>
      </c>
      <c r="J625" s="41">
        <f t="shared" si="180"/>
        <v>9.9603508350354142E-2</v>
      </c>
      <c r="K625" s="42">
        <f t="shared" si="171"/>
        <v>149.61899994437957</v>
      </c>
      <c r="L625" s="42">
        <f t="shared" si="172"/>
        <v>154.1820159715183</v>
      </c>
      <c r="M625" s="42">
        <f t="shared" si="173"/>
        <v>109.96035083503544</v>
      </c>
      <c r="N625" s="41">
        <f t="shared" si="181"/>
        <v>-2.9594995229413668E-2</v>
      </c>
      <c r="O625" s="41">
        <f t="shared" si="182"/>
        <v>0.36066317366375644</v>
      </c>
      <c r="P625" s="39">
        <f t="shared" si="183"/>
        <v>257.14116446637473</v>
      </c>
      <c r="Q625" s="42">
        <f t="shared" si="184"/>
        <v>1.4961899994437937</v>
      </c>
      <c r="R625" s="42">
        <f t="shared" si="185"/>
        <v>1.6258412592468956</v>
      </c>
      <c r="S625" s="41">
        <f t="shared" si="186"/>
        <v>-7.9744107283362675E-2</v>
      </c>
      <c r="T625" s="41">
        <f t="shared" si="170"/>
        <v>0.24853619165502597</v>
      </c>
      <c r="U625" s="41">
        <f t="shared" si="187"/>
        <v>-6.5457802510009433E-3</v>
      </c>
      <c r="V625" s="41">
        <f t="shared" si="188"/>
        <v>-2.8747425770179191E-3</v>
      </c>
      <c r="W625" s="39">
        <f t="shared" si="174"/>
        <v>269</v>
      </c>
      <c r="X625" s="21"/>
    </row>
    <row r="626" spans="1:24" x14ac:dyDescent="0.2">
      <c r="A626" s="38">
        <v>45852</v>
      </c>
      <c r="B626" s="39">
        <v>269.93</v>
      </c>
      <c r="C626" s="39">
        <v>624.80999999999995</v>
      </c>
      <c r="D626" s="39">
        <v>45.505000000000003</v>
      </c>
      <c r="E626" s="41">
        <f t="shared" si="175"/>
        <v>3.4572490706319403E-3</v>
      </c>
      <c r="F626" s="41">
        <f t="shared" si="176"/>
        <v>1.9082133350436514E-3</v>
      </c>
      <c r="G626" s="41">
        <f t="shared" si="177"/>
        <v>-5.5725524475523924E-3</v>
      </c>
      <c r="H626" s="41">
        <f t="shared" si="178"/>
        <v>0.50136270092885948</v>
      </c>
      <c r="I626" s="41">
        <f t="shared" si="179"/>
        <v>0.54476228150418571</v>
      </c>
      <c r="J626" s="41">
        <f t="shared" si="180"/>
        <v>9.3475910128559159E-2</v>
      </c>
      <c r="K626" s="42">
        <f t="shared" si="171"/>
        <v>150.13627009288615</v>
      </c>
      <c r="L626" s="42">
        <f t="shared" si="172"/>
        <v>154.47622815041905</v>
      </c>
      <c r="M626" s="42">
        <f t="shared" si="173"/>
        <v>109.34759101285594</v>
      </c>
      <c r="N626" s="41">
        <f t="shared" si="181"/>
        <v>-2.8094666146992298E-2</v>
      </c>
      <c r="O626" s="41">
        <f t="shared" si="182"/>
        <v>0.37301854299867054</v>
      </c>
      <c r="P626" s="39">
        <f t="shared" si="183"/>
        <v>257.26841656123668</v>
      </c>
      <c r="Q626" s="42">
        <f t="shared" si="184"/>
        <v>1.5013627009288595</v>
      </c>
      <c r="R626" s="42">
        <f t="shared" si="185"/>
        <v>1.6258412592468956</v>
      </c>
      <c r="S626" s="41">
        <f t="shared" si="186"/>
        <v>-7.6562553453524584E-2</v>
      </c>
      <c r="T626" s="41">
        <f t="shared" si="170"/>
        <v>0.24850517776236111</v>
      </c>
      <c r="U626" s="41">
        <f t="shared" si="187"/>
        <v>0</v>
      </c>
      <c r="V626" s="41">
        <f t="shared" si="188"/>
        <v>1.5490357355882889E-3</v>
      </c>
      <c r="W626" s="39">
        <f t="shared" si="174"/>
        <v>269.93</v>
      </c>
      <c r="X626" s="21"/>
    </row>
    <row r="627" spans="1:24" x14ac:dyDescent="0.2">
      <c r="A627" s="38">
        <v>45853</v>
      </c>
      <c r="B627" s="39">
        <v>261.56</v>
      </c>
      <c r="C627" s="39">
        <v>622.14</v>
      </c>
      <c r="D627" s="39">
        <v>44.57</v>
      </c>
      <c r="E627" s="41">
        <f t="shared" si="175"/>
        <v>-3.1008039121253717E-2</v>
      </c>
      <c r="F627" s="41">
        <f t="shared" si="176"/>
        <v>-4.2732990829211781E-3</v>
      </c>
      <c r="G627" s="41">
        <f t="shared" si="177"/>
        <v>-2.0547192616196086E-2</v>
      </c>
      <c r="H627" s="41">
        <f t="shared" si="178"/>
        <v>0.45480838756326625</v>
      </c>
      <c r="I627" s="41">
        <f t="shared" si="179"/>
        <v>0.53816105026330274</v>
      </c>
      <c r="J627" s="41">
        <f t="shared" si="180"/>
        <v>7.1008049981977406E-2</v>
      </c>
      <c r="K627" s="42">
        <f t="shared" si="171"/>
        <v>145.48083875632682</v>
      </c>
      <c r="L627" s="42">
        <f t="shared" si="172"/>
        <v>153.81610502633075</v>
      </c>
      <c r="M627" s="42">
        <f t="shared" si="173"/>
        <v>107.10080499819776</v>
      </c>
      <c r="N627" s="41">
        <f t="shared" si="181"/>
        <v>-5.4189814964933691E-2</v>
      </c>
      <c r="O627" s="41">
        <f t="shared" si="182"/>
        <v>0.35835429769902039</v>
      </c>
      <c r="P627" s="39">
        <f t="shared" si="183"/>
        <v>257.31111888401045</v>
      </c>
      <c r="Q627" s="42">
        <f t="shared" si="184"/>
        <v>1.4548083875632662</v>
      </c>
      <c r="R627" s="42">
        <f t="shared" si="185"/>
        <v>1.6258412592468956</v>
      </c>
      <c r="S627" s="41">
        <f t="shared" si="186"/>
        <v>-0.10519653792206829</v>
      </c>
      <c r="T627" s="41">
        <f t="shared" si="170"/>
        <v>0.2548275479157544</v>
      </c>
      <c r="U627" s="41">
        <f t="shared" si="187"/>
        <v>-3.1163688984044979E-2</v>
      </c>
      <c r="V627" s="41">
        <f t="shared" si="188"/>
        <v>-2.6734740038332538E-2</v>
      </c>
      <c r="W627" s="39">
        <f t="shared" si="174"/>
        <v>261.56</v>
      </c>
      <c r="X627" s="21"/>
    </row>
    <row r="628" spans="1:24" x14ac:dyDescent="0.2">
      <c r="A628" s="38">
        <v>45854</v>
      </c>
      <c r="B628" s="39">
        <v>260.62</v>
      </c>
      <c r="C628" s="39">
        <v>624.22</v>
      </c>
      <c r="D628" s="39">
        <v>44.69</v>
      </c>
      <c r="E628" s="41">
        <f t="shared" si="175"/>
        <v>-3.5938216852730021E-3</v>
      </c>
      <c r="F628" s="41">
        <f t="shared" si="176"/>
        <v>3.3432989359309939E-3</v>
      </c>
      <c r="G628" s="41">
        <f t="shared" si="177"/>
        <v>2.6923939869867297E-3</v>
      </c>
      <c r="H628" s="41">
        <f t="shared" si="178"/>
        <v>0.44958006563212427</v>
      </c>
      <c r="I628" s="41">
        <f t="shared" si="179"/>
        <v>0.54330358246593846</v>
      </c>
      <c r="J628" s="41">
        <f t="shared" si="180"/>
        <v>7.3891625615763346E-2</v>
      </c>
      <c r="K628" s="42">
        <f t="shared" si="171"/>
        <v>144.95800656321265</v>
      </c>
      <c r="L628" s="42">
        <f t="shared" si="172"/>
        <v>154.3303582465943</v>
      </c>
      <c r="M628" s="42">
        <f t="shared" si="173"/>
        <v>107.38916256157634</v>
      </c>
      <c r="N628" s="41">
        <f t="shared" si="181"/>
        <v>-6.0729151346917698E-2</v>
      </c>
      <c r="O628" s="41">
        <f t="shared" si="182"/>
        <v>0.34983831799688669</v>
      </c>
      <c r="P628" s="39">
        <f t="shared" si="183"/>
        <v>257.34404307421931</v>
      </c>
      <c r="Q628" s="42">
        <f t="shared" si="184"/>
        <v>1.4495800656321243</v>
      </c>
      <c r="R628" s="42">
        <f t="shared" si="185"/>
        <v>1.6258412592468956</v>
      </c>
      <c r="S628" s="41">
        <f t="shared" si="186"/>
        <v>-0.10841230200814134</v>
      </c>
      <c r="T628" s="41">
        <f t="shared" si="170"/>
        <v>0.25488585691212945</v>
      </c>
      <c r="U628" s="41">
        <f t="shared" si="187"/>
        <v>-3.7494715480642649E-3</v>
      </c>
      <c r="V628" s="41">
        <f t="shared" si="188"/>
        <v>-6.937120621203996E-3</v>
      </c>
      <c r="W628" s="39">
        <f t="shared" si="174"/>
        <v>260.62</v>
      </c>
      <c r="X628" s="21"/>
    </row>
    <row r="629" spans="1:24" x14ac:dyDescent="0.2">
      <c r="A629" s="38">
        <v>45855</v>
      </c>
      <c r="B629" s="39">
        <v>263.01</v>
      </c>
      <c r="C629" s="39">
        <v>628.04</v>
      </c>
      <c r="D629" s="39">
        <v>45.005000000000003</v>
      </c>
      <c r="E629" s="41">
        <f t="shared" si="175"/>
        <v>9.1704397206660015E-3</v>
      </c>
      <c r="F629" s="41">
        <f t="shared" si="176"/>
        <v>6.1196373073595378E-3</v>
      </c>
      <c r="G629" s="41">
        <f t="shared" si="177"/>
        <v>7.0485567240994307E-3</v>
      </c>
      <c r="H629" s="41">
        <f t="shared" si="178"/>
        <v>0.46287335224428272</v>
      </c>
      <c r="I629" s="41">
        <f t="shared" si="179"/>
        <v>0.55274804064577854</v>
      </c>
      <c r="J629" s="41">
        <f t="shared" si="180"/>
        <v>8.146101165445141E-2</v>
      </c>
      <c r="K629" s="42">
        <f t="shared" si="171"/>
        <v>146.28733522442849</v>
      </c>
      <c r="L629" s="42">
        <f t="shared" si="172"/>
        <v>155.27480406457832</v>
      </c>
      <c r="M629" s="42">
        <f t="shared" si="173"/>
        <v>108.14610116544516</v>
      </c>
      <c r="N629" s="41">
        <f t="shared" si="181"/>
        <v>-5.7881050916746002E-2</v>
      </c>
      <c r="O629" s="41">
        <f t="shared" si="182"/>
        <v>0.35268246980659557</v>
      </c>
      <c r="P629" s="39">
        <f t="shared" si="183"/>
        <v>257.40042075507284</v>
      </c>
      <c r="Q629" s="42">
        <f t="shared" si="184"/>
        <v>1.4628733522442827</v>
      </c>
      <c r="R629" s="42">
        <f t="shared" si="185"/>
        <v>1.6258412592468956</v>
      </c>
      <c r="S629" s="41">
        <f t="shared" si="186"/>
        <v>-0.10023605076801967</v>
      </c>
      <c r="T629" s="41">
        <f t="shared" si="170"/>
        <v>0.2456197123732394</v>
      </c>
      <c r="U629" s="41">
        <f t="shared" si="187"/>
        <v>0</v>
      </c>
      <c r="V629" s="41">
        <f t="shared" si="188"/>
        <v>3.0508024133064637E-3</v>
      </c>
      <c r="W629" s="39">
        <f t="shared" si="174"/>
        <v>263.01</v>
      </c>
      <c r="X629" s="21"/>
    </row>
    <row r="630" spans="1:24" x14ac:dyDescent="0.2">
      <c r="A630" s="38">
        <v>45856</v>
      </c>
      <c r="B630" s="39">
        <v>266.60000000000002</v>
      </c>
      <c r="C630" s="39">
        <v>627.58000000000004</v>
      </c>
      <c r="D630" s="39">
        <v>45.11</v>
      </c>
      <c r="E630" s="41">
        <f t="shared" si="175"/>
        <v>1.3649671115166795E-2</v>
      </c>
      <c r="F630" s="41">
        <f t="shared" si="176"/>
        <v>-7.3243742436779335E-4</v>
      </c>
      <c r="G630" s="41">
        <f t="shared" si="177"/>
        <v>2.3330741028773083E-3</v>
      </c>
      <c r="H630" s="41">
        <f t="shared" si="178"/>
        <v>0.48284109238555883</v>
      </c>
      <c r="I630" s="41">
        <f t="shared" si="179"/>
        <v>0.55161074987019587</v>
      </c>
      <c r="J630" s="41">
        <f t="shared" si="180"/>
        <v>8.3984140334013802E-2</v>
      </c>
      <c r="K630" s="42">
        <f t="shared" si="171"/>
        <v>148.28410923855611</v>
      </c>
      <c r="L630" s="42">
        <f t="shared" si="172"/>
        <v>155.16107498702004</v>
      </c>
      <c r="M630" s="42">
        <f t="shared" si="173"/>
        <v>108.39841403340141</v>
      </c>
      <c r="N630" s="41">
        <f t="shared" si="181"/>
        <v>-4.4321462383777765E-2</v>
      </c>
      <c r="O630" s="41">
        <f t="shared" si="182"/>
        <v>0.367954601188762</v>
      </c>
      <c r="P630" s="39">
        <f t="shared" si="183"/>
        <v>257.49195885701243</v>
      </c>
      <c r="Q630" s="42">
        <f t="shared" si="184"/>
        <v>1.4828410923855588</v>
      </c>
      <c r="R630" s="42">
        <f t="shared" si="185"/>
        <v>1.6258412592468956</v>
      </c>
      <c r="S630" s="41">
        <f t="shared" si="186"/>
        <v>-8.7954568779719411E-2</v>
      </c>
      <c r="T630" s="41">
        <f t="shared" si="170"/>
        <v>0.24116622264826823</v>
      </c>
      <c r="U630" s="41">
        <f t="shared" si="187"/>
        <v>0</v>
      </c>
      <c r="V630" s="41">
        <f t="shared" si="188"/>
        <v>1.4382108539534588E-2</v>
      </c>
      <c r="W630" s="39">
        <f t="shared" si="174"/>
        <v>266.60000000000002</v>
      </c>
      <c r="X630" s="21"/>
    </row>
    <row r="631" spans="1:24" x14ac:dyDescent="0.2">
      <c r="A631" s="38">
        <v>45859</v>
      </c>
      <c r="B631" s="39">
        <v>265.01</v>
      </c>
      <c r="C631" s="39">
        <v>628.77</v>
      </c>
      <c r="D631" s="39">
        <v>45.34</v>
      </c>
      <c r="E631" s="41">
        <f t="shared" si="175"/>
        <v>-5.9639909977495797E-3</v>
      </c>
      <c r="F631" s="41">
        <f t="shared" si="176"/>
        <v>1.8961725995090273E-3</v>
      </c>
      <c r="G631" s="41">
        <f t="shared" si="177"/>
        <v>5.0986477499446181E-3</v>
      </c>
      <c r="H631" s="41">
        <f t="shared" si="178"/>
        <v>0.47399744145947831</v>
      </c>
      <c r="I631" s="41">
        <f t="shared" si="179"/>
        <v>0.55455287165920342</v>
      </c>
      <c r="J631" s="41">
        <f t="shared" si="180"/>
        <v>8.9510993632103464E-2</v>
      </c>
      <c r="K631" s="42">
        <f t="shared" si="171"/>
        <v>147.39974414594806</v>
      </c>
      <c r="L631" s="42">
        <f t="shared" si="172"/>
        <v>155.45528716592082</v>
      </c>
      <c r="M631" s="42">
        <f t="shared" si="173"/>
        <v>108.95109936321039</v>
      </c>
      <c r="N631" s="41">
        <f t="shared" si="181"/>
        <v>-5.1819035343421138E-2</v>
      </c>
      <c r="O631" s="41">
        <f t="shared" si="182"/>
        <v>0.35289818099550518</v>
      </c>
      <c r="P631" s="39">
        <f t="shared" si="183"/>
        <v>257.56676523654465</v>
      </c>
      <c r="Q631" s="42">
        <f t="shared" si="184"/>
        <v>1.4739974414594783</v>
      </c>
      <c r="R631" s="42">
        <f t="shared" si="185"/>
        <v>1.6258412592468956</v>
      </c>
      <c r="S631" s="41">
        <f t="shared" si="186"/>
        <v>-9.3393999521055759E-2</v>
      </c>
      <c r="T631" s="41">
        <f t="shared" si="170"/>
        <v>0.23971735600047975</v>
      </c>
      <c r="U631" s="41">
        <f t="shared" si="187"/>
        <v>-6.1196408605408426E-3</v>
      </c>
      <c r="V631" s="41">
        <f t="shared" si="188"/>
        <v>-7.860163597258607E-3</v>
      </c>
      <c r="W631" s="39">
        <f t="shared" si="174"/>
        <v>265.01</v>
      </c>
      <c r="X631" s="21"/>
    </row>
    <row r="632" spans="1:24" x14ac:dyDescent="0.2">
      <c r="A632" s="38">
        <v>45860</v>
      </c>
      <c r="B632" s="39">
        <v>267.77999999999997</v>
      </c>
      <c r="C632" s="39">
        <v>628.86</v>
      </c>
      <c r="D632" s="39">
        <v>45.965000000000003</v>
      </c>
      <c r="E632" s="41">
        <f t="shared" si="175"/>
        <v>1.0452435757141165E-2</v>
      </c>
      <c r="F632" s="41">
        <f t="shared" si="176"/>
        <v>1.4313660002862605E-4</v>
      </c>
      <c r="G632" s="41">
        <f t="shared" si="177"/>
        <v>1.3784737538597325E-2</v>
      </c>
      <c r="H632" s="41">
        <f t="shared" si="178"/>
        <v>0.48940430502252386</v>
      </c>
      <c r="I632" s="41">
        <f t="shared" si="179"/>
        <v>0.55477538507181756</v>
      </c>
      <c r="J632" s="41">
        <f t="shared" si="180"/>
        <v>0.10452961672473848</v>
      </c>
      <c r="K632" s="42">
        <f t="shared" si="171"/>
        <v>148.94043050225264</v>
      </c>
      <c r="L632" s="42">
        <f t="shared" si="172"/>
        <v>155.47753850718223</v>
      </c>
      <c r="M632" s="42">
        <f t="shared" si="173"/>
        <v>110.45296167247388</v>
      </c>
      <c r="N632" s="41">
        <f t="shared" si="181"/>
        <v>-4.2045353095343851E-2</v>
      </c>
      <c r="O632" s="41">
        <f t="shared" si="182"/>
        <v>0.34845121621913067</v>
      </c>
      <c r="P632" s="39">
        <f t="shared" si="183"/>
        <v>257.66838946304671</v>
      </c>
      <c r="Q632" s="42">
        <f t="shared" si="184"/>
        <v>1.4894043050225239</v>
      </c>
      <c r="R632" s="42">
        <f t="shared" si="185"/>
        <v>1.6258412592468956</v>
      </c>
      <c r="S632" s="41">
        <f t="shared" si="186"/>
        <v>-8.3917758544010956E-2</v>
      </c>
      <c r="T632" s="41">
        <f t="shared" si="170"/>
        <v>0.23723884237294857</v>
      </c>
      <c r="U632" s="41">
        <f t="shared" si="187"/>
        <v>0</v>
      </c>
      <c r="V632" s="41">
        <f t="shared" si="188"/>
        <v>1.0309299157112539E-2</v>
      </c>
      <c r="W632" s="39">
        <f t="shared" si="174"/>
        <v>267.77999999999997</v>
      </c>
      <c r="X632" s="21"/>
    </row>
    <row r="633" spans="1:24" x14ac:dyDescent="0.2">
      <c r="A633" s="38">
        <v>45861</v>
      </c>
      <c r="B633" s="39">
        <v>269.11</v>
      </c>
      <c r="C633" s="39">
        <v>634.21</v>
      </c>
      <c r="D633" s="39">
        <v>46.12</v>
      </c>
      <c r="E633" s="41">
        <f t="shared" si="175"/>
        <v>4.9667637612966775E-3</v>
      </c>
      <c r="F633" s="41">
        <f t="shared" si="176"/>
        <v>8.5074579397641514E-3</v>
      </c>
      <c r="G633" s="41">
        <f t="shared" si="177"/>
        <v>3.3721309692156254E-3</v>
      </c>
      <c r="H633" s="41">
        <f t="shared" si="178"/>
        <v>0.49680182435062892</v>
      </c>
      <c r="I633" s="41">
        <f t="shared" si="179"/>
        <v>0.56800257126609677</v>
      </c>
      <c r="J633" s="41">
        <f t="shared" si="180"/>
        <v>0.10825423525171174</v>
      </c>
      <c r="K633" s="42">
        <f t="shared" si="171"/>
        <v>149.68018243506313</v>
      </c>
      <c r="L633" s="42">
        <f t="shared" si="172"/>
        <v>156.80025712661012</v>
      </c>
      <c r="M633" s="42">
        <f t="shared" si="173"/>
        <v>110.8254235251712</v>
      </c>
      <c r="N633" s="41">
        <f t="shared" si="181"/>
        <v>-4.5408565151762614E-2</v>
      </c>
      <c r="O633" s="41">
        <f t="shared" si="182"/>
        <v>0.35059427407526988</v>
      </c>
      <c r="P633" s="39">
        <f t="shared" si="183"/>
        <v>257.78223633406117</v>
      </c>
      <c r="Q633" s="42">
        <f t="shared" si="184"/>
        <v>1.4968018243506289</v>
      </c>
      <c r="R633" s="42">
        <f t="shared" si="185"/>
        <v>1.6258412592468956</v>
      </c>
      <c r="S633" s="41">
        <f t="shared" si="186"/>
        <v>-7.9367794464780039E-2</v>
      </c>
      <c r="T633" s="41">
        <f t="shared" si="170"/>
        <v>0.23619881771450635</v>
      </c>
      <c r="U633" s="41">
        <f t="shared" si="187"/>
        <v>0</v>
      </c>
      <c r="V633" s="41">
        <f t="shared" si="188"/>
        <v>-3.5406941784674739E-3</v>
      </c>
      <c r="W633" s="39">
        <f t="shared" si="174"/>
        <v>269.11</v>
      </c>
      <c r="X633" s="21"/>
    </row>
    <row r="634" spans="1:24" x14ac:dyDescent="0.2">
      <c r="A634" s="38">
        <v>45862</v>
      </c>
      <c r="B634" s="39">
        <v>271.42</v>
      </c>
      <c r="C634" s="39">
        <v>634.41999999999996</v>
      </c>
      <c r="D634" s="39">
        <v>45.645000000000003</v>
      </c>
      <c r="E634" s="41">
        <f t="shared" si="175"/>
        <v>8.583850470067933E-3</v>
      </c>
      <c r="F634" s="41">
        <f t="shared" si="176"/>
        <v>3.3112060673889943E-4</v>
      </c>
      <c r="G634" s="41">
        <f t="shared" si="177"/>
        <v>-1.0299219427580053E-2</v>
      </c>
      <c r="H634" s="41">
        <f t="shared" si="178"/>
        <v>0.50965014739417969</v>
      </c>
      <c r="I634" s="41">
        <f t="shared" si="179"/>
        <v>0.56852176922886266</v>
      </c>
      <c r="J634" s="41">
        <f t="shared" si="180"/>
        <v>9.6840081701309533E-2</v>
      </c>
      <c r="K634" s="42">
        <f t="shared" si="171"/>
        <v>150.96501473941822</v>
      </c>
      <c r="L634" s="42">
        <f t="shared" si="172"/>
        <v>156.85217692288671</v>
      </c>
      <c r="M634" s="42">
        <f t="shared" si="173"/>
        <v>109.68400817013098</v>
      </c>
      <c r="N634" s="41">
        <f t="shared" si="181"/>
        <v>-3.753318760990243E-2</v>
      </c>
      <c r="O634" s="41">
        <f t="shared" si="182"/>
        <v>0.37636303831326079</v>
      </c>
      <c r="P634" s="39">
        <f t="shared" si="183"/>
        <v>257.91793547501578</v>
      </c>
      <c r="Q634" s="42">
        <f t="shared" si="184"/>
        <v>1.5096501473941797</v>
      </c>
      <c r="R634" s="42">
        <f t="shared" si="185"/>
        <v>1.6258412592468956</v>
      </c>
      <c r="S634" s="41">
        <f t="shared" si="186"/>
        <v>-7.1465225274536803E-2</v>
      </c>
      <c r="T634" s="41">
        <f t="shared" si="170"/>
        <v>0.23600286853831104</v>
      </c>
      <c r="U634" s="41">
        <f t="shared" si="187"/>
        <v>0</v>
      </c>
      <c r="V634" s="41">
        <f t="shared" si="188"/>
        <v>8.2527298633290336E-3</v>
      </c>
      <c r="W634" s="39">
        <f t="shared" si="174"/>
        <v>271.42</v>
      </c>
      <c r="X634" s="21"/>
    </row>
    <row r="635" spans="1:24" x14ac:dyDescent="0.2">
      <c r="A635" s="38">
        <v>45863</v>
      </c>
      <c r="B635" s="39">
        <v>274.83</v>
      </c>
      <c r="C635" s="39">
        <v>637.1</v>
      </c>
      <c r="D635" s="39">
        <v>46.185000000000002</v>
      </c>
      <c r="E635" s="41">
        <f t="shared" si="175"/>
        <v>1.2563554638567398E-2</v>
      </c>
      <c r="F635" s="41">
        <f t="shared" si="176"/>
        <v>4.2243308849028161E-3</v>
      </c>
      <c r="G635" s="41">
        <f t="shared" si="177"/>
        <v>1.1830430496220901E-2</v>
      </c>
      <c r="H635" s="41">
        <f t="shared" si="178"/>
        <v>0.5286167195060878</v>
      </c>
      <c r="I635" s="41">
        <f t="shared" si="179"/>
        <v>0.57514772418225846</v>
      </c>
      <c r="J635" s="41">
        <f t="shared" si="180"/>
        <v>0.10981617205334615</v>
      </c>
      <c r="K635" s="42">
        <f t="shared" si="171"/>
        <v>152.86167195060904</v>
      </c>
      <c r="L635" s="42">
        <f t="shared" si="172"/>
        <v>157.5147724182263</v>
      </c>
      <c r="M635" s="42">
        <f t="shared" si="173"/>
        <v>110.98161720533462</v>
      </c>
      <c r="N635" s="41">
        <f t="shared" si="181"/>
        <v>-2.9540724315446298E-2</v>
      </c>
      <c r="O635" s="41">
        <f t="shared" si="182"/>
        <v>0.37736028542266631</v>
      </c>
      <c r="P635" s="39">
        <f t="shared" si="183"/>
        <v>258.08621472402064</v>
      </c>
      <c r="Q635" s="42">
        <f t="shared" si="184"/>
        <v>1.5286167195060878</v>
      </c>
      <c r="R635" s="42">
        <f t="shared" si="185"/>
        <v>1.6258412592468956</v>
      </c>
      <c r="S635" s="41">
        <f t="shared" si="186"/>
        <v>-5.9799527898463545E-2</v>
      </c>
      <c r="T635" s="41">
        <f t="shared" si="170"/>
        <v>0.23699234082571591</v>
      </c>
      <c r="U635" s="41">
        <f t="shared" si="187"/>
        <v>0</v>
      </c>
      <c r="V635" s="41">
        <f t="shared" si="188"/>
        <v>8.3392237536645819E-3</v>
      </c>
      <c r="W635" s="39">
        <f t="shared" si="174"/>
        <v>274.83</v>
      </c>
      <c r="X635" s="21"/>
    </row>
    <row r="636" spans="1:24" x14ac:dyDescent="0.2">
      <c r="A636" s="38">
        <v>45866</v>
      </c>
      <c r="B636" s="39">
        <v>270.11</v>
      </c>
      <c r="C636" s="39">
        <v>636.94000000000005</v>
      </c>
      <c r="D636" s="39">
        <v>45.515000000000001</v>
      </c>
      <c r="E636" s="41">
        <f t="shared" si="175"/>
        <v>-1.717425317468968E-2</v>
      </c>
      <c r="F636" s="41">
        <f t="shared" si="176"/>
        <v>-2.5113796892162199E-4</v>
      </c>
      <c r="G636" s="41">
        <f t="shared" si="177"/>
        <v>-1.4506874526361457E-2</v>
      </c>
      <c r="H636" s="41">
        <f t="shared" si="178"/>
        <v>0.5023638689582266</v>
      </c>
      <c r="I636" s="41">
        <f t="shared" si="179"/>
        <v>0.57475214478205583</v>
      </c>
      <c r="J636" s="41">
        <f t="shared" si="180"/>
        <v>9.3716208098041376E-2</v>
      </c>
      <c r="K636" s="42">
        <f t="shared" si="171"/>
        <v>150.23638689582293</v>
      </c>
      <c r="L636" s="42">
        <f t="shared" si="172"/>
        <v>157.47521447820606</v>
      </c>
      <c r="M636" s="42">
        <f t="shared" si="173"/>
        <v>109.37162080980416</v>
      </c>
      <c r="N636" s="41">
        <f t="shared" si="181"/>
        <v>-4.5968043964053629E-2</v>
      </c>
      <c r="O636" s="41">
        <f t="shared" si="182"/>
        <v>0.37363226203881372</v>
      </c>
      <c r="P636" s="39">
        <f t="shared" si="183"/>
        <v>258.20585437850798</v>
      </c>
      <c r="Q636" s="42">
        <f t="shared" si="184"/>
        <v>1.5023638689582266</v>
      </c>
      <c r="R636" s="42">
        <f t="shared" si="185"/>
        <v>1.6258412592468956</v>
      </c>
      <c r="S636" s="41">
        <f t="shared" si="186"/>
        <v>-7.594676884129814E-2</v>
      </c>
      <c r="T636" s="41">
        <f t="shared" si="170"/>
        <v>0.19471348623157347</v>
      </c>
      <c r="U636" s="41">
        <f t="shared" si="187"/>
        <v>-1.7329903037480943E-2</v>
      </c>
      <c r="V636" s="41">
        <f t="shared" si="188"/>
        <v>-1.6923115205768058E-2</v>
      </c>
      <c r="W636" s="39">
        <f t="shared" si="174"/>
        <v>270.11</v>
      </c>
      <c r="X636" s="21"/>
    </row>
    <row r="637" spans="1:24" x14ac:dyDescent="0.2">
      <c r="A637" s="38">
        <v>45867</v>
      </c>
      <c r="B637" s="39">
        <v>273.92</v>
      </c>
      <c r="C637" s="39">
        <v>635.26</v>
      </c>
      <c r="D637" s="39">
        <v>45.34</v>
      </c>
      <c r="E637" s="41">
        <f t="shared" si="175"/>
        <v>1.4105364481137306E-2</v>
      </c>
      <c r="F637" s="41">
        <f t="shared" si="176"/>
        <v>-2.6376110779666728E-3</v>
      </c>
      <c r="G637" s="41">
        <f t="shared" si="177"/>
        <v>-3.8448863012192636E-3</v>
      </c>
      <c r="H637" s="41">
        <f t="shared" si="178"/>
        <v>0.523555258913174</v>
      </c>
      <c r="I637" s="41">
        <f t="shared" si="179"/>
        <v>0.5705985610799269</v>
      </c>
      <c r="J637" s="41">
        <f t="shared" si="180"/>
        <v>8.9510993632103686E-2</v>
      </c>
      <c r="K637" s="42">
        <f t="shared" si="171"/>
        <v>152.35552589131765</v>
      </c>
      <c r="L637" s="42">
        <f t="shared" si="172"/>
        <v>157.05985610799317</v>
      </c>
      <c r="M637" s="42">
        <f t="shared" si="173"/>
        <v>108.95109936321039</v>
      </c>
      <c r="N637" s="41">
        <f t="shared" si="181"/>
        <v>-2.9952467379319669E-2</v>
      </c>
      <c r="O637" s="41">
        <f t="shared" si="182"/>
        <v>0.39838447506995456</v>
      </c>
      <c r="P637" s="39">
        <f t="shared" si="183"/>
        <v>258.36221403643327</v>
      </c>
      <c r="Q637" s="42">
        <f t="shared" si="184"/>
        <v>1.523555258913174</v>
      </c>
      <c r="R637" s="42">
        <f t="shared" si="185"/>
        <v>1.6258412592468956</v>
      </c>
      <c r="S637" s="41">
        <f t="shared" si="186"/>
        <v>-6.2912661215831944E-2</v>
      </c>
      <c r="T637" s="41">
        <f t="shared" si="170"/>
        <v>0.1964901825877455</v>
      </c>
      <c r="U637" s="41">
        <f t="shared" si="187"/>
        <v>0</v>
      </c>
      <c r="V637" s="41">
        <f t="shared" si="188"/>
        <v>1.6742975559103979E-2</v>
      </c>
      <c r="W637" s="39">
        <f t="shared" si="174"/>
        <v>273.92</v>
      </c>
      <c r="X637" s="21"/>
    </row>
    <row r="638" spans="1:24" x14ac:dyDescent="0.2">
      <c r="A638" s="38">
        <v>45868</v>
      </c>
      <c r="B638" s="39">
        <v>272.77</v>
      </c>
      <c r="C638" s="39">
        <v>634.46</v>
      </c>
      <c r="D638" s="39">
        <v>44.424999999999997</v>
      </c>
      <c r="E638" s="41">
        <f t="shared" si="175"/>
        <v>-4.1983060747664558E-3</v>
      </c>
      <c r="F638" s="41">
        <f t="shared" si="176"/>
        <v>-1.259326889777368E-3</v>
      </c>
      <c r="G638" s="41">
        <f t="shared" si="177"/>
        <v>-2.0180855756506522E-2</v>
      </c>
      <c r="H638" s="41">
        <f t="shared" si="178"/>
        <v>0.5171589076144365</v>
      </c>
      <c r="I638" s="41">
        <f t="shared" si="179"/>
        <v>0.56862066407891332</v>
      </c>
      <c r="J638" s="41">
        <f t="shared" si="180"/>
        <v>6.7523729424486145E-2</v>
      </c>
      <c r="K638" s="42">
        <f t="shared" si="171"/>
        <v>151.71589076144389</v>
      </c>
      <c r="L638" s="42">
        <f t="shared" si="172"/>
        <v>156.8620664078918</v>
      </c>
      <c r="M638" s="42">
        <f t="shared" si="173"/>
        <v>106.75237294244862</v>
      </c>
      <c r="N638" s="41">
        <f t="shared" si="181"/>
        <v>-3.2807011690551002E-2</v>
      </c>
      <c r="O638" s="41">
        <f t="shared" si="182"/>
        <v>0.42119455127461536</v>
      </c>
      <c r="P638" s="39">
        <f t="shared" si="183"/>
        <v>258.50557509079709</v>
      </c>
      <c r="Q638" s="42">
        <f t="shared" si="184"/>
        <v>1.5171589076144365</v>
      </c>
      <c r="R638" s="42">
        <f t="shared" si="185"/>
        <v>1.6258412592468956</v>
      </c>
      <c r="S638" s="41">
        <f t="shared" si="186"/>
        <v>-6.6846840682836195E-2</v>
      </c>
      <c r="T638" s="41">
        <f t="shared" si="170"/>
        <v>0.19506059162383577</v>
      </c>
      <c r="U638" s="41">
        <f t="shared" si="187"/>
        <v>-4.3539559375577186E-3</v>
      </c>
      <c r="V638" s="41">
        <f t="shared" si="188"/>
        <v>-2.9389791849890878E-3</v>
      </c>
      <c r="W638" s="39">
        <f t="shared" si="174"/>
        <v>272.77</v>
      </c>
      <c r="X638" s="21"/>
    </row>
    <row r="639" spans="1:24" x14ac:dyDescent="0.2">
      <c r="A639" s="38">
        <v>45869</v>
      </c>
      <c r="B639" s="39">
        <v>274.67</v>
      </c>
      <c r="C639" s="39">
        <v>632.08000000000004</v>
      </c>
      <c r="D639" s="39">
        <v>43.865000000000002</v>
      </c>
      <c r="E639" s="41">
        <f t="shared" si="175"/>
        <v>6.9655753931885389E-3</v>
      </c>
      <c r="F639" s="41">
        <f t="shared" si="176"/>
        <v>-3.7512215112063263E-3</v>
      </c>
      <c r="G639" s="41">
        <f t="shared" si="177"/>
        <v>-1.2605514912774285E-2</v>
      </c>
      <c r="H639" s="41">
        <f t="shared" si="178"/>
        <v>0.52772679236887243</v>
      </c>
      <c r="I639" s="41">
        <f t="shared" si="179"/>
        <v>0.56273642050089778</v>
      </c>
      <c r="J639" s="41">
        <f t="shared" si="180"/>
        <v>5.4067043133485315E-2</v>
      </c>
      <c r="K639" s="42">
        <f t="shared" si="171"/>
        <v>152.77267923688748</v>
      </c>
      <c r="L639" s="42">
        <f t="shared" si="172"/>
        <v>156.27364205009025</v>
      </c>
      <c r="M639" s="42">
        <f t="shared" si="173"/>
        <v>105.40670431334856</v>
      </c>
      <c r="N639" s="41">
        <f t="shared" si="181"/>
        <v>-2.2402772260727066E-2</v>
      </c>
      <c r="O639" s="41">
        <f t="shared" si="182"/>
        <v>0.44936396818489999</v>
      </c>
      <c r="P639" s="39">
        <f t="shared" si="183"/>
        <v>258.66641513964487</v>
      </c>
      <c r="Q639" s="42">
        <f t="shared" si="184"/>
        <v>1.5277267923688724</v>
      </c>
      <c r="R639" s="42">
        <f t="shared" si="185"/>
        <v>1.6258412592468956</v>
      </c>
      <c r="S639" s="41">
        <f t="shared" si="186"/>
        <v>-6.0346891998220409E-2</v>
      </c>
      <c r="T639" s="41">
        <f t="shared" si="170"/>
        <v>0.19425403124595539</v>
      </c>
      <c r="U639" s="41">
        <f t="shared" si="187"/>
        <v>0</v>
      </c>
      <c r="V639" s="41">
        <f t="shared" si="188"/>
        <v>1.0716796904394865E-2</v>
      </c>
      <c r="W639" s="39">
        <f t="shared" si="174"/>
        <v>274.67</v>
      </c>
      <c r="X639" s="21"/>
    </row>
    <row r="640" spans="1:24" x14ac:dyDescent="0.2">
      <c r="A640" s="38">
        <v>45870</v>
      </c>
      <c r="B640" s="39">
        <v>274.94</v>
      </c>
      <c r="C640" s="39">
        <v>621.72</v>
      </c>
      <c r="D640" s="39">
        <v>43.36</v>
      </c>
      <c r="E640" s="41">
        <f t="shared" si="175"/>
        <v>9.8299777915311637E-4</v>
      </c>
      <c r="F640" s="41">
        <f t="shared" si="176"/>
        <v>-1.6390330337931913E-2</v>
      </c>
      <c r="G640" s="41">
        <f t="shared" si="177"/>
        <v>-1.1512595463353481E-2</v>
      </c>
      <c r="H640" s="41">
        <f t="shared" si="178"/>
        <v>0.52922854441292366</v>
      </c>
      <c r="I640" s="41">
        <f t="shared" si="179"/>
        <v>0.53712265433777073</v>
      </c>
      <c r="J640" s="41">
        <f t="shared" si="180"/>
        <v>4.1931995674636235E-2</v>
      </c>
      <c r="K640" s="42">
        <f t="shared" si="171"/>
        <v>152.92285444129263</v>
      </c>
      <c r="L640" s="42">
        <f t="shared" si="172"/>
        <v>153.71226543377753</v>
      </c>
      <c r="M640" s="42">
        <f t="shared" si="173"/>
        <v>104.19319956746365</v>
      </c>
      <c r="N640" s="41">
        <f t="shared" si="181"/>
        <v>-5.1356408693671307E-3</v>
      </c>
      <c r="O640" s="41">
        <f t="shared" si="182"/>
        <v>0.46768555986494098</v>
      </c>
      <c r="P640" s="39">
        <f t="shared" si="183"/>
        <v>258.82834135716087</v>
      </c>
      <c r="Q640" s="42">
        <f t="shared" si="184"/>
        <v>1.5292285444129237</v>
      </c>
      <c r="R640" s="42">
        <f t="shared" si="185"/>
        <v>1.6258412592468956</v>
      </c>
      <c r="S640" s="41">
        <f t="shared" si="186"/>
        <v>-5.9423215079880465E-2</v>
      </c>
      <c r="T640" s="41">
        <f t="shared" si="170"/>
        <v>0.19296557258103489</v>
      </c>
      <c r="U640" s="41">
        <f t="shared" si="187"/>
        <v>0</v>
      </c>
      <c r="V640" s="41">
        <f t="shared" si="188"/>
        <v>1.737332811708503E-2</v>
      </c>
      <c r="W640" s="39">
        <f t="shared" si="174"/>
        <v>274.94</v>
      </c>
      <c r="X640" s="21"/>
    </row>
    <row r="641" spans="1:24" x14ac:dyDescent="0.2">
      <c r="A641" s="38">
        <v>45873</v>
      </c>
      <c r="B641" s="39">
        <v>281.85000000000002</v>
      </c>
      <c r="C641" s="39">
        <v>631.16999999999996</v>
      </c>
      <c r="D641" s="39">
        <v>43.935000000000002</v>
      </c>
      <c r="E641" s="41">
        <f t="shared" si="175"/>
        <v>2.5132756237724596E-2</v>
      </c>
      <c r="F641" s="41">
        <f t="shared" si="176"/>
        <v>1.519976838448156E-2</v>
      </c>
      <c r="G641" s="41">
        <f t="shared" si="177"/>
        <v>1.3261070110701212E-2</v>
      </c>
      <c r="H641" s="41">
        <f t="shared" si="178"/>
        <v>0.56766227265142399</v>
      </c>
      <c r="I641" s="41">
        <f t="shared" si="179"/>
        <v>0.56048656266224439</v>
      </c>
      <c r="J641" s="41">
        <f t="shared" si="180"/>
        <v>5.5749128919860391E-2</v>
      </c>
      <c r="K641" s="42">
        <f t="shared" si="171"/>
        <v>156.76622726514267</v>
      </c>
      <c r="L641" s="42">
        <f t="shared" si="172"/>
        <v>156.0486562662249</v>
      </c>
      <c r="M641" s="42">
        <f t="shared" si="173"/>
        <v>105.57491289198606</v>
      </c>
      <c r="N641" s="41">
        <f t="shared" si="181"/>
        <v>4.598379864891422E-3</v>
      </c>
      <c r="O641" s="41">
        <f t="shared" si="182"/>
        <v>0.48488142657082101</v>
      </c>
      <c r="P641" s="39">
        <f t="shared" si="183"/>
        <v>259.05741258743785</v>
      </c>
      <c r="Q641" s="42">
        <f t="shared" si="184"/>
        <v>1.567662272651424</v>
      </c>
      <c r="R641" s="42">
        <f t="shared" si="185"/>
        <v>1.6258412592468956</v>
      </c>
      <c r="S641" s="41">
        <f t="shared" si="186"/>
        <v>-3.5783928021620448E-2</v>
      </c>
      <c r="T641" s="41">
        <f t="shared" si="170"/>
        <v>0.19901989594332686</v>
      </c>
      <c r="U641" s="41">
        <f t="shared" si="187"/>
        <v>0</v>
      </c>
      <c r="V641" s="41">
        <f t="shared" si="188"/>
        <v>9.932987853243036E-3</v>
      </c>
      <c r="W641" s="39">
        <f t="shared" si="174"/>
        <v>281.85000000000002</v>
      </c>
      <c r="X641" s="21"/>
    </row>
    <row r="642" spans="1:24" x14ac:dyDescent="0.2">
      <c r="A642" s="38">
        <v>45874</v>
      </c>
      <c r="B642" s="39">
        <v>283.17</v>
      </c>
      <c r="C642" s="39">
        <v>627.97</v>
      </c>
      <c r="D642" s="39">
        <v>44.244999999999997</v>
      </c>
      <c r="E642" s="41">
        <f t="shared" si="175"/>
        <v>4.6833422032996896E-3</v>
      </c>
      <c r="F642" s="41">
        <f t="shared" si="176"/>
        <v>-5.0699494589412364E-3</v>
      </c>
      <c r="G642" s="41">
        <f t="shared" si="177"/>
        <v>7.055878001593241E-3</v>
      </c>
      <c r="H642" s="41">
        <f t="shared" si="178"/>
        <v>0.57500417153345307</v>
      </c>
      <c r="I642" s="41">
        <f t="shared" si="179"/>
        <v>0.55257497465818983</v>
      </c>
      <c r="J642" s="41">
        <f t="shared" si="180"/>
        <v>6.3198365973807347E-2</v>
      </c>
      <c r="K642" s="42">
        <f t="shared" si="171"/>
        <v>157.50041715334561</v>
      </c>
      <c r="L642" s="42">
        <f t="shared" si="172"/>
        <v>155.25749746581948</v>
      </c>
      <c r="M642" s="42">
        <f t="shared" si="173"/>
        <v>106.31983659738073</v>
      </c>
      <c r="N642" s="41">
        <f t="shared" si="181"/>
        <v>1.4446450085414453E-2</v>
      </c>
      <c r="O642" s="41">
        <f t="shared" si="182"/>
        <v>0.4813831754630955</v>
      </c>
      <c r="P642" s="39">
        <f t="shared" si="183"/>
        <v>259.29733883034891</v>
      </c>
      <c r="Q642" s="42">
        <f t="shared" si="184"/>
        <v>1.5750041715334531</v>
      </c>
      <c r="R642" s="42">
        <f t="shared" si="185"/>
        <v>1.6258412592468956</v>
      </c>
      <c r="S642" s="41">
        <f t="shared" si="186"/>
        <v>-3.1268174198624266E-2</v>
      </c>
      <c r="T642" s="41">
        <f t="shared" si="170"/>
        <v>0.19835239827709786</v>
      </c>
      <c r="U642" s="41">
        <f t="shared" si="187"/>
        <v>0</v>
      </c>
      <c r="V642" s="41">
        <f t="shared" si="188"/>
        <v>9.753291662240926E-3</v>
      </c>
      <c r="W642" s="39">
        <f t="shared" si="174"/>
        <v>283.17</v>
      </c>
      <c r="X642" s="21"/>
    </row>
    <row r="643" spans="1:24" x14ac:dyDescent="0.2">
      <c r="A643" s="38">
        <v>45875</v>
      </c>
      <c r="B643" s="39">
        <v>281.58999999999997</v>
      </c>
      <c r="C643" s="39">
        <v>632.78</v>
      </c>
      <c r="D643" s="39">
        <v>43.765000000000001</v>
      </c>
      <c r="E643" s="41">
        <f t="shared" si="175"/>
        <v>-5.5796871137481219E-3</v>
      </c>
      <c r="F643" s="41">
        <f t="shared" si="176"/>
        <v>7.6596015733234601E-3</v>
      </c>
      <c r="G643" s="41">
        <f t="shared" si="177"/>
        <v>-1.0848683467058362E-2</v>
      </c>
      <c r="H643" s="41">
        <f t="shared" si="178"/>
        <v>0.56621614105344831</v>
      </c>
      <c r="I643" s="41">
        <f t="shared" si="179"/>
        <v>0.56446708037678439</v>
      </c>
      <c r="J643" s="41">
        <f t="shared" si="180"/>
        <v>5.166406343866381E-2</v>
      </c>
      <c r="K643" s="42">
        <f t="shared" si="171"/>
        <v>156.62161410534512</v>
      </c>
      <c r="L643" s="42">
        <f t="shared" si="172"/>
        <v>156.44670803767892</v>
      </c>
      <c r="M643" s="42">
        <f t="shared" si="173"/>
        <v>105.16640634386638</v>
      </c>
      <c r="N643" s="41">
        <f t="shared" si="181"/>
        <v>1.1179913585925849E-3</v>
      </c>
      <c r="O643" s="41">
        <f t="shared" si="182"/>
        <v>0.48927418507801357</v>
      </c>
      <c r="P643" s="39">
        <f t="shared" si="183"/>
        <v>259.51915635442504</v>
      </c>
      <c r="Q643" s="42">
        <f t="shared" si="184"/>
        <v>1.5662161410534483</v>
      </c>
      <c r="R643" s="42">
        <f t="shared" si="185"/>
        <v>1.6258412592468956</v>
      </c>
      <c r="S643" s="41">
        <f t="shared" si="186"/>
        <v>-3.667339468372588E-2</v>
      </c>
      <c r="T643" s="41">
        <f t="shared" si="170"/>
        <v>0.19866082639164145</v>
      </c>
      <c r="U643" s="41">
        <f t="shared" si="187"/>
        <v>-5.7353369765393847E-3</v>
      </c>
      <c r="V643" s="41">
        <f t="shared" si="188"/>
        <v>-1.3239288687071582E-2</v>
      </c>
      <c r="W643" s="39">
        <f t="shared" si="174"/>
        <v>281.58999999999997</v>
      </c>
      <c r="X643" s="21"/>
    </row>
    <row r="644" spans="1:24" x14ac:dyDescent="0.2">
      <c r="A644" s="38">
        <v>45876</v>
      </c>
      <c r="B644" s="39">
        <v>282.10000000000002</v>
      </c>
      <c r="C644" s="39">
        <v>632.25</v>
      </c>
      <c r="D644" s="39">
        <v>43.954999999999998</v>
      </c>
      <c r="E644" s="41">
        <f t="shared" si="175"/>
        <v>1.8111438616430497E-3</v>
      </c>
      <c r="F644" s="41">
        <f t="shared" si="176"/>
        <v>-8.3757388033756097E-4</v>
      </c>
      <c r="G644" s="41">
        <f t="shared" si="177"/>
        <v>4.3413686735975787E-3</v>
      </c>
      <c r="H644" s="41">
        <f t="shared" si="178"/>
        <v>0.56905278380332347</v>
      </c>
      <c r="I644" s="41">
        <f t="shared" si="179"/>
        <v>0.5631567236136128</v>
      </c>
      <c r="J644" s="41">
        <f t="shared" si="180"/>
        <v>5.6229724858824826E-2</v>
      </c>
      <c r="K644" s="42">
        <f t="shared" si="171"/>
        <v>156.90527838033265</v>
      </c>
      <c r="L644" s="42">
        <f t="shared" si="172"/>
        <v>156.31567236136178</v>
      </c>
      <c r="M644" s="42">
        <f t="shared" si="173"/>
        <v>105.62297248588249</v>
      </c>
      <c r="N644" s="41">
        <f t="shared" si="181"/>
        <v>3.7718931829691105E-3</v>
      </c>
      <c r="O644" s="41">
        <f t="shared" si="182"/>
        <v>0.48552227500796974</v>
      </c>
      <c r="P644" s="39">
        <f t="shared" si="183"/>
        <v>259.74384136582381</v>
      </c>
      <c r="Q644" s="42">
        <f t="shared" si="184"/>
        <v>1.5690527838033235</v>
      </c>
      <c r="R644" s="42">
        <f t="shared" si="185"/>
        <v>1.6258412592468956</v>
      </c>
      <c r="S644" s="41">
        <f t="shared" si="186"/>
        <v>-3.4928671615749862E-2</v>
      </c>
      <c r="T644" s="41">
        <f t="shared" si="170"/>
        <v>0.19772263592981618</v>
      </c>
      <c r="U644" s="41">
        <f t="shared" si="187"/>
        <v>0</v>
      </c>
      <c r="V644" s="41">
        <f t="shared" si="188"/>
        <v>2.6487177419806107E-3</v>
      </c>
      <c r="W644" s="39">
        <f t="shared" si="174"/>
        <v>282.10000000000002</v>
      </c>
      <c r="X644" s="21"/>
    </row>
    <row r="645" spans="1:24" x14ac:dyDescent="0.2">
      <c r="A645" s="38">
        <v>45877</v>
      </c>
      <c r="B645" s="39">
        <v>286.52</v>
      </c>
      <c r="C645" s="39">
        <v>637.17999999999995</v>
      </c>
      <c r="D645" s="39">
        <v>44.174999999999997</v>
      </c>
      <c r="E645" s="41">
        <f t="shared" si="175"/>
        <v>1.5668202764976824E-2</v>
      </c>
      <c r="F645" s="41">
        <f t="shared" si="176"/>
        <v>7.7975484381178628E-3</v>
      </c>
      <c r="G645" s="41">
        <f t="shared" si="177"/>
        <v>5.0051188715731776E-3</v>
      </c>
      <c r="H645" s="41">
        <f t="shared" si="178"/>
        <v>0.59363702096890525</v>
      </c>
      <c r="I645" s="41">
        <f t="shared" si="179"/>
        <v>0.57534551388235955</v>
      </c>
      <c r="J645" s="41">
        <f t="shared" si="180"/>
        <v>6.1516280187432271E-2</v>
      </c>
      <c r="K645" s="42">
        <f t="shared" si="171"/>
        <v>159.36370209689082</v>
      </c>
      <c r="L645" s="42">
        <f t="shared" si="172"/>
        <v>157.53455138823645</v>
      </c>
      <c r="M645" s="42">
        <f t="shared" si="173"/>
        <v>106.15162801874322</v>
      </c>
      <c r="N645" s="41">
        <f t="shared" si="181"/>
        <v>1.1611108119048197E-2</v>
      </c>
      <c r="O645" s="41">
        <f t="shared" si="182"/>
        <v>0.50128363616572735</v>
      </c>
      <c r="P645" s="39">
        <f t="shared" si="183"/>
        <v>260.01027080496988</v>
      </c>
      <c r="Q645" s="42">
        <f t="shared" si="184"/>
        <v>1.5936370209689052</v>
      </c>
      <c r="R645" s="42">
        <f t="shared" si="185"/>
        <v>1.6258412592468956</v>
      </c>
      <c r="S645" s="41">
        <f t="shared" si="186"/>
        <v>-1.980773835995997E-2</v>
      </c>
      <c r="T645" s="41">
        <f t="shared" si="170"/>
        <v>0.19772565375052725</v>
      </c>
      <c r="U645" s="41">
        <f t="shared" si="187"/>
        <v>0</v>
      </c>
      <c r="V645" s="41">
        <f t="shared" si="188"/>
        <v>7.8706543268589613E-3</v>
      </c>
      <c r="W645" s="39">
        <f t="shared" si="174"/>
        <v>286.52</v>
      </c>
      <c r="X645" s="21"/>
    </row>
    <row r="646" spans="1:24" x14ac:dyDescent="0.2">
      <c r="A646" s="38">
        <v>45880</v>
      </c>
      <c r="B646" s="39">
        <v>285.24</v>
      </c>
      <c r="C646" s="39">
        <v>635.91999999999996</v>
      </c>
      <c r="D646" s="39">
        <v>44.075000000000003</v>
      </c>
      <c r="E646" s="41">
        <f t="shared" si="175"/>
        <v>-4.4674019265670273E-3</v>
      </c>
      <c r="F646" s="41">
        <f t="shared" si="176"/>
        <v>-1.9774631972127032E-3</v>
      </c>
      <c r="G646" s="41">
        <f t="shared" si="177"/>
        <v>-2.2637238256931758E-3</v>
      </c>
      <c r="H646" s="41">
        <f t="shared" si="178"/>
        <v>0.58651760387118013</v>
      </c>
      <c r="I646" s="41">
        <f t="shared" si="179"/>
        <v>0.57223032610576308</v>
      </c>
      <c r="J646" s="41">
        <f t="shared" si="180"/>
        <v>5.9113300492610765E-2</v>
      </c>
      <c r="K646" s="42">
        <f t="shared" si="171"/>
        <v>158.65176038711832</v>
      </c>
      <c r="L646" s="42">
        <f t="shared" si="172"/>
        <v>157.22303261057678</v>
      </c>
      <c r="M646" s="42">
        <f t="shared" si="173"/>
        <v>105.91133004926108</v>
      </c>
      <c r="N646" s="41">
        <f t="shared" si="181"/>
        <v>9.0872676402349306E-3</v>
      </c>
      <c r="O646" s="41">
        <f t="shared" si="182"/>
        <v>0.49796778412023057</v>
      </c>
      <c r="P646" s="39">
        <f t="shared" si="183"/>
        <v>260.26131288651248</v>
      </c>
      <c r="Q646" s="42">
        <f t="shared" si="184"/>
        <v>1.5865176038711801</v>
      </c>
      <c r="R646" s="42">
        <f t="shared" si="185"/>
        <v>1.6258412592468956</v>
      </c>
      <c r="S646" s="41">
        <f t="shared" si="186"/>
        <v>-2.4186651158016881E-2</v>
      </c>
      <c r="T646" s="41">
        <f t="shared" si="170"/>
        <v>0.19706642772670765</v>
      </c>
      <c r="U646" s="41">
        <f t="shared" si="187"/>
        <v>-4.6230517893582901E-3</v>
      </c>
      <c r="V646" s="41">
        <f t="shared" si="188"/>
        <v>-2.489938729354324E-3</v>
      </c>
      <c r="W646" s="39">
        <f t="shared" si="174"/>
        <v>285.24</v>
      </c>
      <c r="X646" s="21"/>
    </row>
    <row r="647" spans="1:24" x14ac:dyDescent="0.2">
      <c r="A647" s="38">
        <v>45881</v>
      </c>
      <c r="B647" s="39">
        <v>291.89</v>
      </c>
      <c r="C647" s="39">
        <v>642.69000000000005</v>
      </c>
      <c r="D647" s="39">
        <v>44.65</v>
      </c>
      <c r="E647" s="41">
        <f t="shared" si="175"/>
        <v>2.3313700743233579E-2</v>
      </c>
      <c r="F647" s="41">
        <f t="shared" si="176"/>
        <v>1.0645993206692905E-2</v>
      </c>
      <c r="G647" s="41">
        <f t="shared" si="177"/>
        <v>1.3045944412932498E-2</v>
      </c>
      <c r="H647" s="41">
        <f t="shared" si="178"/>
        <v>0.62350520051170477</v>
      </c>
      <c r="I647" s="41">
        <f t="shared" si="179"/>
        <v>0.58896827947684161</v>
      </c>
      <c r="J647" s="41">
        <f t="shared" si="180"/>
        <v>7.2930433737834921E-2</v>
      </c>
      <c r="K647" s="42">
        <f t="shared" si="171"/>
        <v>162.3505200511708</v>
      </c>
      <c r="L647" s="42">
        <f t="shared" si="172"/>
        <v>158.89682794768461</v>
      </c>
      <c r="M647" s="42">
        <f t="shared" si="173"/>
        <v>107.29304337378349</v>
      </c>
      <c r="N647" s="41">
        <f t="shared" si="181"/>
        <v>2.1735437693088722E-2</v>
      </c>
      <c r="O647" s="41">
        <f t="shared" si="182"/>
        <v>0.51315047971544447</v>
      </c>
      <c r="P647" s="39">
        <f t="shared" si="183"/>
        <v>260.5760261911243</v>
      </c>
      <c r="Q647" s="42">
        <f t="shared" si="184"/>
        <v>1.6235052005117048</v>
      </c>
      <c r="R647" s="42">
        <f t="shared" si="185"/>
        <v>1.6258412592468956</v>
      </c>
      <c r="S647" s="41">
        <f t="shared" si="186"/>
        <v>-1.4368307618622955E-3</v>
      </c>
      <c r="T647" s="41">
        <f t="shared" si="170"/>
        <v>0.19934571850046226</v>
      </c>
      <c r="U647" s="41">
        <f t="shared" si="187"/>
        <v>0</v>
      </c>
      <c r="V647" s="41">
        <f t="shared" si="188"/>
        <v>1.2667707536540673E-2</v>
      </c>
      <c r="W647" s="39">
        <f t="shared" si="174"/>
        <v>291.89</v>
      </c>
      <c r="X647" s="21"/>
    </row>
    <row r="648" spans="1:24" x14ac:dyDescent="0.2">
      <c r="A648" s="38">
        <v>45882</v>
      </c>
      <c r="B648" s="39">
        <v>295.64</v>
      </c>
      <c r="C648" s="39">
        <v>644.89</v>
      </c>
      <c r="D648" s="39">
        <v>45.49</v>
      </c>
      <c r="E648" s="41">
        <f t="shared" si="175"/>
        <v>1.2847305491794803E-2</v>
      </c>
      <c r="F648" s="41">
        <f t="shared" si="176"/>
        <v>3.4231122314023477E-3</v>
      </c>
      <c r="G648" s="41">
        <f t="shared" si="177"/>
        <v>1.8812989921612511E-2</v>
      </c>
      <c r="H648" s="41">
        <f t="shared" si="178"/>
        <v>0.64436286779019625</v>
      </c>
      <c r="I648" s="41">
        <f t="shared" si="179"/>
        <v>0.59440749622962907</v>
      </c>
      <c r="J648" s="41">
        <f t="shared" si="180"/>
        <v>9.3115463174336055E-2</v>
      </c>
      <c r="K648" s="42">
        <f t="shared" si="171"/>
        <v>164.43628677901995</v>
      </c>
      <c r="L648" s="42">
        <f t="shared" si="172"/>
        <v>159.44074962296338</v>
      </c>
      <c r="M648" s="42">
        <f t="shared" si="173"/>
        <v>109.31154631743362</v>
      </c>
      <c r="N648" s="41">
        <f t="shared" si="181"/>
        <v>3.133162110608434E-2</v>
      </c>
      <c r="O648" s="41">
        <f t="shared" si="182"/>
        <v>0.50429018999975872</v>
      </c>
      <c r="P648" s="39">
        <f t="shared" si="183"/>
        <v>260.92492145290413</v>
      </c>
      <c r="Q648" s="42">
        <f t="shared" si="184"/>
        <v>1.6443628677901962</v>
      </c>
      <c r="R648" s="42">
        <f t="shared" si="185"/>
        <v>1.6443628677901962</v>
      </c>
      <c r="S648" s="41">
        <f t="shared" si="186"/>
        <v>0</v>
      </c>
      <c r="T648" s="41">
        <f t="shared" si="170"/>
        <v>0.19833425219414669</v>
      </c>
      <c r="U648" s="41">
        <f t="shared" si="187"/>
        <v>0</v>
      </c>
      <c r="V648" s="41">
        <f t="shared" si="188"/>
        <v>9.424193260392455E-3</v>
      </c>
      <c r="W648" s="39">
        <f t="shared" si="174"/>
        <v>295.64</v>
      </c>
      <c r="X648" s="21"/>
    </row>
    <row r="649" spans="1:24" x14ac:dyDescent="0.2">
      <c r="A649" s="38">
        <v>45883</v>
      </c>
      <c r="B649" s="39">
        <v>293.10000000000002</v>
      </c>
      <c r="C649" s="39">
        <v>644.95000000000005</v>
      </c>
      <c r="D649" s="39">
        <v>45.015000000000001</v>
      </c>
      <c r="E649" s="41">
        <f t="shared" si="175"/>
        <v>-8.5915302394803383E-3</v>
      </c>
      <c r="F649" s="41">
        <f t="shared" si="176"/>
        <v>9.3039122951221742E-5</v>
      </c>
      <c r="G649" s="41">
        <f t="shared" si="177"/>
        <v>-1.0441855352824825E-2</v>
      </c>
      <c r="H649" s="41">
        <f t="shared" si="178"/>
        <v>0.6302352744868982</v>
      </c>
      <c r="I649" s="41">
        <f t="shared" si="179"/>
        <v>0.59455583850470517</v>
      </c>
      <c r="J649" s="41">
        <f t="shared" si="180"/>
        <v>8.1701309623933627E-2</v>
      </c>
      <c r="K649" s="42">
        <f t="shared" si="171"/>
        <v>163.02352744869015</v>
      </c>
      <c r="L649" s="42">
        <f t="shared" si="172"/>
        <v>159.45558385047099</v>
      </c>
      <c r="M649" s="42">
        <f t="shared" si="173"/>
        <v>108.17013096239336</v>
      </c>
      <c r="N649" s="41">
        <f t="shared" si="181"/>
        <v>2.2375783350209622E-2</v>
      </c>
      <c r="O649" s="41">
        <f t="shared" si="182"/>
        <v>0.50710298673269505</v>
      </c>
      <c r="P649" s="39">
        <f t="shared" si="183"/>
        <v>261.24507148819862</v>
      </c>
      <c r="Q649" s="42">
        <f t="shared" si="184"/>
        <v>1.6302352744868982</v>
      </c>
      <c r="R649" s="42">
        <f t="shared" si="185"/>
        <v>1.6443628677901962</v>
      </c>
      <c r="S649" s="41">
        <f t="shared" si="186"/>
        <v>-8.5915302394803383E-3</v>
      </c>
      <c r="T649" s="41">
        <f t="shared" si="170"/>
        <v>0.19935237950491869</v>
      </c>
      <c r="U649" s="41">
        <f t="shared" si="187"/>
        <v>-8.7471801022716011E-3</v>
      </c>
      <c r="V649" s="41">
        <f t="shared" si="188"/>
        <v>-8.6845693624315601E-3</v>
      </c>
      <c r="W649" s="39">
        <f t="shared" si="174"/>
        <v>293.10000000000002</v>
      </c>
      <c r="X649" s="21"/>
    </row>
    <row r="650" spans="1:24" x14ac:dyDescent="0.2">
      <c r="A650" s="38">
        <v>45884</v>
      </c>
      <c r="B650" s="39">
        <v>291.62</v>
      </c>
      <c r="C650" s="39">
        <v>643.44000000000005</v>
      </c>
      <c r="D650" s="39">
        <v>45.015000000000001</v>
      </c>
      <c r="E650" s="41">
        <f t="shared" si="175"/>
        <v>-5.0494711702491202E-3</v>
      </c>
      <c r="F650" s="41">
        <f t="shared" si="176"/>
        <v>-2.3412667648654573E-3</v>
      </c>
      <c r="G650" s="41">
        <f t="shared" si="177"/>
        <v>0</v>
      </c>
      <c r="H650" s="41">
        <f t="shared" si="178"/>
        <v>0.62200344846765354</v>
      </c>
      <c r="I650" s="41">
        <f t="shared" si="179"/>
        <v>0.59082255791529192</v>
      </c>
      <c r="J650" s="41">
        <f t="shared" si="180"/>
        <v>8.1701309623933627E-2</v>
      </c>
      <c r="K650" s="42">
        <f t="shared" si="171"/>
        <v>162.20034484676569</v>
      </c>
      <c r="L650" s="42">
        <f t="shared" si="172"/>
        <v>159.08225579152966</v>
      </c>
      <c r="M650" s="42">
        <f t="shared" si="173"/>
        <v>108.17013096239336</v>
      </c>
      <c r="N650" s="41">
        <f t="shared" si="181"/>
        <v>1.9600483031384064E-2</v>
      </c>
      <c r="O650" s="41">
        <f t="shared" si="182"/>
        <v>0.49949291365059212</v>
      </c>
      <c r="P650" s="39">
        <f t="shared" si="183"/>
        <v>261.54730958284341</v>
      </c>
      <c r="Q650" s="42">
        <f t="shared" si="184"/>
        <v>1.6220034484676535</v>
      </c>
      <c r="R650" s="42">
        <f t="shared" si="185"/>
        <v>1.6443628677901962</v>
      </c>
      <c r="S650" s="41">
        <f t="shared" si="186"/>
        <v>-1.3597618725476823E-2</v>
      </c>
      <c r="T650" s="41">
        <f t="shared" si="170"/>
        <v>0.19850203452025386</v>
      </c>
      <c r="U650" s="41">
        <f t="shared" si="187"/>
        <v>-5.205121033040383E-3</v>
      </c>
      <c r="V650" s="41">
        <f t="shared" si="188"/>
        <v>-2.7082044053836629E-3</v>
      </c>
      <c r="W650" s="39">
        <f t="shared" si="174"/>
        <v>291.62</v>
      </c>
      <c r="X650" s="21"/>
    </row>
    <row r="651" spans="1:24" x14ac:dyDescent="0.2">
      <c r="A651" s="38">
        <v>45887</v>
      </c>
      <c r="B651" s="39">
        <v>289.88</v>
      </c>
      <c r="C651" s="39">
        <v>643.29999999999995</v>
      </c>
      <c r="D651" s="39">
        <v>44.755000000000003</v>
      </c>
      <c r="E651" s="41">
        <f t="shared" si="175"/>
        <v>-5.9666689527467787E-3</v>
      </c>
      <c r="F651" s="41">
        <f t="shared" si="176"/>
        <v>-2.1758050478692947E-4</v>
      </c>
      <c r="G651" s="41">
        <f t="shared" si="177"/>
        <v>-5.7758524936132316E-3</v>
      </c>
      <c r="H651" s="41">
        <f t="shared" si="178"/>
        <v>0.61232549085043342</v>
      </c>
      <c r="I651" s="41">
        <f t="shared" si="179"/>
        <v>0.59047642594011429</v>
      </c>
      <c r="J651" s="41">
        <f t="shared" si="180"/>
        <v>7.5453562417397535E-2</v>
      </c>
      <c r="K651" s="42">
        <f t="shared" si="171"/>
        <v>161.23254908504367</v>
      </c>
      <c r="L651" s="42">
        <f t="shared" si="172"/>
        <v>159.0476425940119</v>
      </c>
      <c r="M651" s="42">
        <f t="shared" si="173"/>
        <v>107.54535624173975</v>
      </c>
      <c r="N651" s="41">
        <f t="shared" si="181"/>
        <v>1.3737433987683456E-2</v>
      </c>
      <c r="O651" s="41">
        <f t="shared" si="182"/>
        <v>0.49920512348878976</v>
      </c>
      <c r="P651" s="39">
        <f t="shared" si="183"/>
        <v>261.82922690042705</v>
      </c>
      <c r="Q651" s="42">
        <f t="shared" si="184"/>
        <v>1.6123254908504334</v>
      </c>
      <c r="R651" s="42">
        <f t="shared" si="185"/>
        <v>1.6443628677901962</v>
      </c>
      <c r="S651" s="41">
        <f t="shared" si="186"/>
        <v>-1.9483155188742995E-2</v>
      </c>
      <c r="T651" s="41">
        <f t="shared" si="170"/>
        <v>0.19765345115067204</v>
      </c>
      <c r="U651" s="41">
        <f t="shared" si="187"/>
        <v>-6.1223188155380415E-3</v>
      </c>
      <c r="V651" s="41">
        <f t="shared" si="188"/>
        <v>-5.7490884479598492E-3</v>
      </c>
      <c r="W651" s="39">
        <f t="shared" si="174"/>
        <v>289.88</v>
      </c>
      <c r="X651" s="21"/>
    </row>
    <row r="652" spans="1:24" x14ac:dyDescent="0.2">
      <c r="A652" s="38">
        <v>45888</v>
      </c>
      <c r="B652" s="39">
        <v>292.83999999999997</v>
      </c>
      <c r="C652" s="39">
        <v>639.80999999999995</v>
      </c>
      <c r="D652" s="39">
        <v>45.024999999999999</v>
      </c>
      <c r="E652" s="41">
        <f t="shared" si="175"/>
        <v>1.0211121843521465E-2</v>
      </c>
      <c r="F652" s="41">
        <f t="shared" si="176"/>
        <v>-5.4251515622570912E-3</v>
      </c>
      <c r="G652" s="41">
        <f t="shared" si="177"/>
        <v>6.032845492123684E-3</v>
      </c>
      <c r="H652" s="41">
        <f t="shared" si="178"/>
        <v>0.62878914288892274</v>
      </c>
      <c r="I652" s="41">
        <f t="shared" si="179"/>
        <v>0.5818478502731923</v>
      </c>
      <c r="J652" s="41">
        <f t="shared" si="180"/>
        <v>8.1941607593415622E-2</v>
      </c>
      <c r="K652" s="42">
        <f t="shared" si="171"/>
        <v>162.87891428889259</v>
      </c>
      <c r="L652" s="42">
        <f t="shared" si="172"/>
        <v>158.18478502731966</v>
      </c>
      <c r="M652" s="42">
        <f t="shared" si="173"/>
        <v>108.19416075934159</v>
      </c>
      <c r="N652" s="41">
        <f t="shared" si="181"/>
        <v>2.9674973233123181E-2</v>
      </c>
      <c r="O652" s="41">
        <f t="shared" si="182"/>
        <v>0.50543165311099458</v>
      </c>
      <c r="P652" s="39">
        <f t="shared" si="183"/>
        <v>262.13779180689045</v>
      </c>
      <c r="Q652" s="42">
        <f t="shared" si="184"/>
        <v>1.6287891428889227</v>
      </c>
      <c r="R652" s="42">
        <f t="shared" si="185"/>
        <v>1.6443628677901962</v>
      </c>
      <c r="S652" s="41">
        <f t="shared" si="186"/>
        <v>-9.4709782167500256E-3</v>
      </c>
      <c r="T652" s="41">
        <f t="shared" si="170"/>
        <v>0.19842105815083391</v>
      </c>
      <c r="U652" s="41">
        <f t="shared" si="187"/>
        <v>0</v>
      </c>
      <c r="V652" s="41">
        <f t="shared" si="188"/>
        <v>1.5636273405778556E-2</v>
      </c>
      <c r="W652" s="39">
        <f t="shared" si="174"/>
        <v>292.83999999999997</v>
      </c>
      <c r="X652" s="21"/>
    </row>
    <row r="653" spans="1:24" x14ac:dyDescent="0.2">
      <c r="A653" s="38">
        <v>45889</v>
      </c>
      <c r="B653" s="39">
        <v>286.27999999999997</v>
      </c>
      <c r="C653" s="39">
        <v>638.11</v>
      </c>
      <c r="D653" s="39">
        <v>45.06</v>
      </c>
      <c r="E653" s="41">
        <f t="shared" si="175"/>
        <v>-2.2401311296270987E-2</v>
      </c>
      <c r="F653" s="41">
        <f t="shared" si="176"/>
        <v>-2.6570388083961838E-3</v>
      </c>
      <c r="G653" s="41">
        <f t="shared" si="177"/>
        <v>7.7734591893396932E-4</v>
      </c>
      <c r="H653" s="41">
        <f t="shared" si="178"/>
        <v>0.59230213026308154</v>
      </c>
      <c r="I653" s="41">
        <f t="shared" si="179"/>
        <v>0.57764481914603838</v>
      </c>
      <c r="J653" s="41">
        <f t="shared" si="180"/>
        <v>8.278265048660316E-2</v>
      </c>
      <c r="K653" s="42">
        <f t="shared" si="171"/>
        <v>159.23021302630846</v>
      </c>
      <c r="L653" s="42">
        <f t="shared" si="172"/>
        <v>157.76448191460429</v>
      </c>
      <c r="M653" s="42">
        <f t="shared" si="173"/>
        <v>108.27826504866034</v>
      </c>
      <c r="N653" s="41">
        <f t="shared" si="181"/>
        <v>9.2906279912718936E-3</v>
      </c>
      <c r="O653" s="41">
        <f t="shared" si="182"/>
        <v>0.47056487241229816</v>
      </c>
      <c r="P653" s="39">
        <f t="shared" si="183"/>
        <v>262.3780127839363</v>
      </c>
      <c r="Q653" s="42">
        <f t="shared" si="184"/>
        <v>1.5923021302630815</v>
      </c>
      <c r="R653" s="42">
        <f t="shared" si="185"/>
        <v>1.6443628677901962</v>
      </c>
      <c r="S653" s="41">
        <f t="shared" si="186"/>
        <v>-3.1660127181707409E-2</v>
      </c>
      <c r="T653" s="41">
        <f t="shared" si="170"/>
        <v>0.20226553503533232</v>
      </c>
      <c r="U653" s="41">
        <f t="shared" si="187"/>
        <v>-2.255696115906225E-2</v>
      </c>
      <c r="V653" s="41">
        <f t="shared" si="188"/>
        <v>-1.9744272487874803E-2</v>
      </c>
      <c r="W653" s="39">
        <f t="shared" si="174"/>
        <v>286.27999999999997</v>
      </c>
      <c r="X653" s="21"/>
    </row>
    <row r="654" spans="1:24" x14ac:dyDescent="0.2">
      <c r="A654" s="38">
        <v>45890</v>
      </c>
      <c r="B654" s="39">
        <v>288.27999999999997</v>
      </c>
      <c r="C654" s="39">
        <v>635.54999999999995</v>
      </c>
      <c r="D654" s="39">
        <v>45.195</v>
      </c>
      <c r="E654" s="41">
        <f t="shared" si="175"/>
        <v>6.9861673885707187E-3</v>
      </c>
      <c r="F654" s="41">
        <f t="shared" si="176"/>
        <v>-4.0118474871104759E-3</v>
      </c>
      <c r="G654" s="41">
        <f t="shared" si="177"/>
        <v>2.9960053262316766E-3</v>
      </c>
      <c r="H654" s="41">
        <f t="shared" si="178"/>
        <v>0.60342621947827713</v>
      </c>
      <c r="I654" s="41">
        <f t="shared" si="179"/>
        <v>0.57131554874279455</v>
      </c>
      <c r="J654" s="41">
        <f t="shared" si="180"/>
        <v>8.6026673074612203E-2</v>
      </c>
      <c r="K654" s="42">
        <f t="shared" si="171"/>
        <v>160.34262194782804</v>
      </c>
      <c r="L654" s="42">
        <f t="shared" si="172"/>
        <v>157.13155487427991</v>
      </c>
      <c r="M654" s="42">
        <f t="shared" si="173"/>
        <v>108.60266730746125</v>
      </c>
      <c r="N654" s="41">
        <f t="shared" si="181"/>
        <v>2.0435532990922267E-2</v>
      </c>
      <c r="O654" s="41">
        <f t="shared" si="182"/>
        <v>0.47641513715208594</v>
      </c>
      <c r="P654" s="39">
        <f t="shared" si="183"/>
        <v>262.63574400001653</v>
      </c>
      <c r="Q654" s="42">
        <f t="shared" si="184"/>
        <v>1.6034262194782771</v>
      </c>
      <c r="R654" s="42">
        <f t="shared" si="185"/>
        <v>1.6443628677901962</v>
      </c>
      <c r="S654" s="41">
        <f t="shared" si="186"/>
        <v>-2.489514274117155E-2</v>
      </c>
      <c r="T654" s="41">
        <f t="shared" si="170"/>
        <v>0.20221999664885862</v>
      </c>
      <c r="U654" s="41">
        <f t="shared" si="187"/>
        <v>0</v>
      </c>
      <c r="V654" s="41">
        <f t="shared" si="188"/>
        <v>1.0998014875681195E-2</v>
      </c>
      <c r="W654" s="39">
        <f t="shared" si="174"/>
        <v>288.27999999999997</v>
      </c>
      <c r="X654" s="21"/>
    </row>
    <row r="655" spans="1:24" x14ac:dyDescent="0.2">
      <c r="A655" s="38">
        <v>45891</v>
      </c>
      <c r="B655" s="39">
        <v>292.39999999999998</v>
      </c>
      <c r="C655" s="39">
        <v>645.30999999999995</v>
      </c>
      <c r="D655" s="39">
        <v>46.09</v>
      </c>
      <c r="E655" s="41">
        <f t="shared" si="175"/>
        <v>1.4291660885250579E-2</v>
      </c>
      <c r="F655" s="41">
        <f t="shared" si="176"/>
        <v>1.5356777594209836E-2</v>
      </c>
      <c r="G655" s="41">
        <f t="shared" si="177"/>
        <v>1.9803075561455996E-2</v>
      </c>
      <c r="H655" s="41">
        <f t="shared" si="178"/>
        <v>0.62634184326157993</v>
      </c>
      <c r="I655" s="41">
        <f t="shared" si="179"/>
        <v>0.59544589215516153</v>
      </c>
      <c r="J655" s="41">
        <f t="shared" si="180"/>
        <v>0.10753334134326531</v>
      </c>
      <c r="K655" s="42">
        <f t="shared" si="171"/>
        <v>162.63418432615828</v>
      </c>
      <c r="L655" s="42">
        <f t="shared" si="172"/>
        <v>159.54458921551657</v>
      </c>
      <c r="M655" s="42">
        <f t="shared" si="173"/>
        <v>110.75333413432658</v>
      </c>
      <c r="N655" s="41">
        <f t="shared" si="181"/>
        <v>1.9365088630290961E-2</v>
      </c>
      <c r="O655" s="41">
        <f t="shared" si="182"/>
        <v>0.46843601230919218</v>
      </c>
      <c r="P655" s="39">
        <f t="shared" si="183"/>
        <v>262.93190575126016</v>
      </c>
      <c r="Q655" s="42">
        <f t="shared" si="184"/>
        <v>1.6263418432615799</v>
      </c>
      <c r="R655" s="42">
        <f t="shared" si="185"/>
        <v>1.6443628677901962</v>
      </c>
      <c r="S655" s="41">
        <f t="shared" si="186"/>
        <v>-1.0959274793667761E-2</v>
      </c>
      <c r="T655" s="41">
        <f t="shared" si="170"/>
        <v>0.19444070630011431</v>
      </c>
      <c r="U655" s="41">
        <f t="shared" si="187"/>
        <v>0</v>
      </c>
      <c r="V655" s="41">
        <f t="shared" si="188"/>
        <v>-1.0651167089592573E-3</v>
      </c>
      <c r="W655" s="39">
        <f t="shared" si="174"/>
        <v>292.39999999999998</v>
      </c>
      <c r="X655" s="21"/>
    </row>
    <row r="656" spans="1:24" x14ac:dyDescent="0.2">
      <c r="A656" s="38">
        <v>45894</v>
      </c>
      <c r="B656" s="39">
        <v>290.3</v>
      </c>
      <c r="C656" s="39">
        <v>642.47</v>
      </c>
      <c r="D656" s="39">
        <v>45.835000000000001</v>
      </c>
      <c r="E656" s="41">
        <f t="shared" si="175"/>
        <v>-7.1819425444594742E-3</v>
      </c>
      <c r="F656" s="41">
        <f t="shared" si="176"/>
        <v>-4.4009855728253111E-3</v>
      </c>
      <c r="G656" s="41">
        <f t="shared" si="177"/>
        <v>-5.5326535040139957E-3</v>
      </c>
      <c r="H656" s="41">
        <f t="shared" si="178"/>
        <v>0.61466154958562491</v>
      </c>
      <c r="I656" s="41">
        <f t="shared" si="179"/>
        <v>0.58842435780156332</v>
      </c>
      <c r="J656" s="41">
        <f t="shared" si="180"/>
        <v>0.1014057431214701</v>
      </c>
      <c r="K656" s="42">
        <f t="shared" si="171"/>
        <v>161.46615495856278</v>
      </c>
      <c r="L656" s="42">
        <f t="shared" si="172"/>
        <v>158.84243578015676</v>
      </c>
      <c r="M656" s="42">
        <f t="shared" si="173"/>
        <v>110.14057431214705</v>
      </c>
      <c r="N656" s="41">
        <f t="shared" si="181"/>
        <v>1.6517747071302047E-2</v>
      </c>
      <c r="O656" s="41">
        <f t="shared" si="182"/>
        <v>0.46600066294329245</v>
      </c>
      <c r="P656" s="39">
        <f t="shared" si="183"/>
        <v>263.20422509701882</v>
      </c>
      <c r="Q656" s="42">
        <f t="shared" si="184"/>
        <v>1.6146615495856249</v>
      </c>
      <c r="R656" s="42">
        <f t="shared" si="185"/>
        <v>1.6443628677901962</v>
      </c>
      <c r="S656" s="41">
        <f t="shared" si="186"/>
        <v>-1.8062508456230142E-2</v>
      </c>
      <c r="T656" s="41">
        <f t="shared" si="170"/>
        <v>0.19444847522524272</v>
      </c>
      <c r="U656" s="41">
        <f t="shared" si="187"/>
        <v>-7.337592407250737E-3</v>
      </c>
      <c r="V656" s="41">
        <f t="shared" si="188"/>
        <v>-2.7809569716341631E-3</v>
      </c>
      <c r="W656" s="39">
        <f t="shared" si="174"/>
        <v>290.3</v>
      </c>
      <c r="X656" s="21"/>
    </row>
    <row r="657" spans="1:24" x14ac:dyDescent="0.2">
      <c r="A657" s="38">
        <v>45895</v>
      </c>
      <c r="B657" s="39">
        <v>291.2</v>
      </c>
      <c r="C657" s="39">
        <v>645.16</v>
      </c>
      <c r="D657" s="39">
        <v>45.96</v>
      </c>
      <c r="E657" s="41">
        <f t="shared" si="175"/>
        <v>3.1002411298655108E-3</v>
      </c>
      <c r="F657" s="41">
        <f t="shared" si="176"/>
        <v>4.186965928370201E-3</v>
      </c>
      <c r="G657" s="41">
        <f t="shared" si="177"/>
        <v>2.7271735573251021E-3</v>
      </c>
      <c r="H657" s="41">
        <f t="shared" si="178"/>
        <v>0.61966738973246271</v>
      </c>
      <c r="I657" s="41">
        <f t="shared" si="179"/>
        <v>0.59507503646747173</v>
      </c>
      <c r="J657" s="41">
        <f t="shared" si="180"/>
        <v>0.10440946773999693</v>
      </c>
      <c r="K657" s="42">
        <f t="shared" si="171"/>
        <v>161.96673897324655</v>
      </c>
      <c r="L657" s="42">
        <f t="shared" si="172"/>
        <v>159.50750364674758</v>
      </c>
      <c r="M657" s="42">
        <f t="shared" si="173"/>
        <v>110.44094677399976</v>
      </c>
      <c r="N657" s="41">
        <f t="shared" si="181"/>
        <v>1.541767797924698E-2</v>
      </c>
      <c r="O657" s="41">
        <f t="shared" si="182"/>
        <v>0.46654609277015835</v>
      </c>
      <c r="P657" s="39">
        <f t="shared" si="183"/>
        <v>263.48279002142658</v>
      </c>
      <c r="Q657" s="42">
        <f t="shared" si="184"/>
        <v>1.6196673897324627</v>
      </c>
      <c r="R657" s="42">
        <f t="shared" si="185"/>
        <v>1.6443628677901962</v>
      </c>
      <c r="S657" s="41">
        <f t="shared" si="186"/>
        <v>-1.5018265457989233E-2</v>
      </c>
      <c r="T657" s="41">
        <f t="shared" si="170"/>
        <v>0.19440351574721715</v>
      </c>
      <c r="U657" s="41">
        <f t="shared" si="187"/>
        <v>0</v>
      </c>
      <c r="V657" s="41">
        <f t="shared" si="188"/>
        <v>-1.0867247985046902E-3</v>
      </c>
      <c r="W657" s="39">
        <f t="shared" si="174"/>
        <v>291.2</v>
      </c>
      <c r="X657" s="21"/>
    </row>
    <row r="658" spans="1:24" x14ac:dyDescent="0.2">
      <c r="A658" s="38">
        <v>45896</v>
      </c>
      <c r="B658" s="39">
        <v>291.14999999999998</v>
      </c>
      <c r="C658" s="39">
        <v>646.63</v>
      </c>
      <c r="D658" s="39">
        <v>46.075000000000003</v>
      </c>
      <c r="E658" s="41">
        <f t="shared" si="175"/>
        <v>-1.717032967033516E-4</v>
      </c>
      <c r="F658" s="41">
        <f t="shared" si="176"/>
        <v>2.2785045570090645E-3</v>
      </c>
      <c r="G658" s="41">
        <f t="shared" si="177"/>
        <v>2.5021758050478571E-3</v>
      </c>
      <c r="H658" s="41">
        <f t="shared" si="178"/>
        <v>0.61938928750208277</v>
      </c>
      <c r="I658" s="41">
        <f t="shared" si="179"/>
        <v>0.59870942220683432</v>
      </c>
      <c r="J658" s="41">
        <f t="shared" si="180"/>
        <v>0.10717289438904176</v>
      </c>
      <c r="K658" s="42">
        <f t="shared" si="171"/>
        <v>161.93892875020856</v>
      </c>
      <c r="L658" s="42">
        <f t="shared" si="172"/>
        <v>159.87094222068384</v>
      </c>
      <c r="M658" s="42">
        <f t="shared" si="173"/>
        <v>110.71728943890425</v>
      </c>
      <c r="N658" s="41">
        <f t="shared" si="181"/>
        <v>1.2935349606373325E-2</v>
      </c>
      <c r="O658" s="41">
        <f t="shared" si="182"/>
        <v>0.46263451328050387</v>
      </c>
      <c r="P658" s="39">
        <f t="shared" si="183"/>
        <v>263.75808564310393</v>
      </c>
      <c r="Q658" s="42">
        <f t="shared" si="184"/>
        <v>1.6193892875020828</v>
      </c>
      <c r="R658" s="42">
        <f t="shared" si="185"/>
        <v>1.6443628677901962</v>
      </c>
      <c r="S658" s="41">
        <f t="shared" si="186"/>
        <v>-1.5187390069002604E-2</v>
      </c>
      <c r="T658" s="41">
        <f t="shared" si="170"/>
        <v>0.1937252191515072</v>
      </c>
      <c r="U658" s="41">
        <f t="shared" si="187"/>
        <v>-3.2735315949461441E-4</v>
      </c>
      <c r="V658" s="41">
        <f t="shared" si="188"/>
        <v>-2.4502078537124161E-3</v>
      </c>
      <c r="W658" s="39">
        <f t="shared" si="174"/>
        <v>291.14999999999998</v>
      </c>
      <c r="X658" s="21"/>
    </row>
    <row r="659" spans="1:24" x14ac:dyDescent="0.2">
      <c r="A659" s="38">
        <v>45897</v>
      </c>
      <c r="B659" s="39">
        <v>291.16000000000003</v>
      </c>
      <c r="C659" s="39">
        <v>648.91999999999996</v>
      </c>
      <c r="D659" s="39">
        <v>46.075000000000003</v>
      </c>
      <c r="E659" s="41">
        <f t="shared" si="175"/>
        <v>3.4346556757824942E-5</v>
      </c>
      <c r="F659" s="41">
        <f t="shared" si="176"/>
        <v>3.5414379165827903E-3</v>
      </c>
      <c r="G659" s="41">
        <f t="shared" si="177"/>
        <v>0</v>
      </c>
      <c r="H659" s="41">
        <f t="shared" si="178"/>
        <v>0.61944490794815898</v>
      </c>
      <c r="I659" s="41">
        <f t="shared" si="179"/>
        <v>0.60437115237223571</v>
      </c>
      <c r="J659" s="41">
        <f t="shared" si="180"/>
        <v>0.10717289438904176</v>
      </c>
      <c r="K659" s="42">
        <f t="shared" si="171"/>
        <v>161.94449079481618</v>
      </c>
      <c r="L659" s="42">
        <f t="shared" si="172"/>
        <v>160.43711523722399</v>
      </c>
      <c r="M659" s="42">
        <f t="shared" si="173"/>
        <v>110.71728943890425</v>
      </c>
      <c r="N659" s="41">
        <f t="shared" si="181"/>
        <v>9.3954292020490549E-3</v>
      </c>
      <c r="O659" s="41">
        <f t="shared" si="182"/>
        <v>0.46268474973983009</v>
      </c>
      <c r="P659" s="39">
        <f t="shared" si="183"/>
        <v>264.03074150735165</v>
      </c>
      <c r="Q659" s="42">
        <f t="shared" si="184"/>
        <v>1.619444907948159</v>
      </c>
      <c r="R659" s="42">
        <f t="shared" si="185"/>
        <v>1.6443628677901962</v>
      </c>
      <c r="S659" s="41">
        <f t="shared" si="186"/>
        <v>-1.5153565146799775E-2</v>
      </c>
      <c r="T659" s="41">
        <f t="shared" si="170"/>
        <v>0.1935586874810164</v>
      </c>
      <c r="U659" s="41">
        <f t="shared" si="187"/>
        <v>-1.2130330603343786E-4</v>
      </c>
      <c r="V659" s="41">
        <f t="shared" si="188"/>
        <v>-3.5070913598249653E-3</v>
      </c>
      <c r="W659" s="39">
        <f t="shared" si="174"/>
        <v>291.16000000000003</v>
      </c>
      <c r="X659" s="21"/>
    </row>
    <row r="660" spans="1:24" x14ac:dyDescent="0.2">
      <c r="A660" s="38">
        <v>45898</v>
      </c>
      <c r="B660" s="39">
        <v>291.16000000000003</v>
      </c>
      <c r="C660" s="39">
        <v>645.04999999999995</v>
      </c>
      <c r="D660" s="39">
        <v>46.14</v>
      </c>
      <c r="E660" s="41">
        <f t="shared" si="175"/>
        <v>0</v>
      </c>
      <c r="F660" s="41">
        <f t="shared" si="176"/>
        <v>-5.9637551624237561E-3</v>
      </c>
      <c r="G660" s="41">
        <f t="shared" si="177"/>
        <v>1.4107433532284386E-3</v>
      </c>
      <c r="H660" s="41">
        <f t="shared" si="178"/>
        <v>0.61944490794815898</v>
      </c>
      <c r="I660" s="41">
        <f t="shared" si="179"/>
        <v>0.59480307562983215</v>
      </c>
      <c r="J660" s="41">
        <f t="shared" si="180"/>
        <v>0.10873483119067573</v>
      </c>
      <c r="K660" s="42">
        <f t="shared" si="171"/>
        <v>161.94449079481618</v>
      </c>
      <c r="L660" s="42">
        <f t="shared" si="172"/>
        <v>159.48030756298363</v>
      </c>
      <c r="M660" s="42">
        <f t="shared" si="173"/>
        <v>110.87348311906764</v>
      </c>
      <c r="N660" s="41">
        <f t="shared" si="181"/>
        <v>1.5451332327406586E-2</v>
      </c>
      <c r="O660" s="41">
        <f t="shared" si="182"/>
        <v>0.46062418388085558</v>
      </c>
      <c r="P660" s="39">
        <f t="shared" si="183"/>
        <v>264.30068437792528</v>
      </c>
      <c r="Q660" s="42">
        <f t="shared" si="184"/>
        <v>1.619444907948159</v>
      </c>
      <c r="R660" s="42">
        <f t="shared" si="185"/>
        <v>1.6443628677901962</v>
      </c>
      <c r="S660" s="41">
        <f t="shared" si="186"/>
        <v>-1.5153565146799775E-2</v>
      </c>
      <c r="T660" s="41">
        <f t="shared" si="170"/>
        <v>0.19350742547428354</v>
      </c>
      <c r="U660" s="41">
        <f t="shared" si="187"/>
        <v>-1.5564986279126281E-4</v>
      </c>
      <c r="V660" s="41">
        <f t="shared" si="188"/>
        <v>5.9637551624237561E-3</v>
      </c>
      <c r="W660" s="39">
        <f t="shared" si="174"/>
        <v>291.16000000000003</v>
      </c>
      <c r="X660" s="21"/>
    </row>
    <row r="661" spans="1:24" x14ac:dyDescent="0.2">
      <c r="A661" s="38">
        <v>45902</v>
      </c>
      <c r="B661" s="39">
        <v>292.49</v>
      </c>
      <c r="C661" s="39">
        <v>640.27</v>
      </c>
      <c r="D661" s="39">
        <v>45.795000000000002</v>
      </c>
      <c r="E661" s="41">
        <f t="shared" si="175"/>
        <v>4.5679351559280157E-3</v>
      </c>
      <c r="F661" s="41">
        <f t="shared" si="176"/>
        <v>-7.4102782730020023E-3</v>
      </c>
      <c r="G661" s="41">
        <f t="shared" si="177"/>
        <v>-7.4772431729518418E-3</v>
      </c>
      <c r="H661" s="41">
        <f t="shared" si="178"/>
        <v>0.62684242727626405</v>
      </c>
      <c r="I661" s="41">
        <f t="shared" si="179"/>
        <v>0.58298514104877563</v>
      </c>
      <c r="J661" s="41">
        <f t="shared" si="180"/>
        <v>0.10044455124354124</v>
      </c>
      <c r="K661" s="42">
        <f t="shared" si="171"/>
        <v>162.6842427276267</v>
      </c>
      <c r="L661" s="42">
        <f t="shared" si="172"/>
        <v>158.29851410487797</v>
      </c>
      <c r="M661" s="42">
        <f t="shared" si="173"/>
        <v>110.04445512435419</v>
      </c>
      <c r="N661" s="41">
        <f t="shared" si="181"/>
        <v>2.7705431396804814E-2</v>
      </c>
      <c r="O661" s="41">
        <f t="shared" si="182"/>
        <v>0.47835020441318421</v>
      </c>
      <c r="P661" s="39">
        <f t="shared" si="183"/>
        <v>264.58117508063248</v>
      </c>
      <c r="Q661" s="42">
        <f t="shared" si="184"/>
        <v>1.626842427276264</v>
      </c>
      <c r="R661" s="42">
        <f t="shared" si="185"/>
        <v>1.6443628677901962</v>
      </c>
      <c r="S661" s="41">
        <f t="shared" si="186"/>
        <v>-1.0654850493843404E-2</v>
      </c>
      <c r="T661" s="41">
        <f t="shared" si="170"/>
        <v>0.19349216907321062</v>
      </c>
      <c r="U661" s="41">
        <f t="shared" si="187"/>
        <v>0</v>
      </c>
      <c r="V661" s="41">
        <f t="shared" si="188"/>
        <v>1.1978213428930018E-2</v>
      </c>
      <c r="W661" s="39">
        <f t="shared" si="174"/>
        <v>292.49</v>
      </c>
      <c r="X661" s="21"/>
    </row>
    <row r="662" spans="1:24" x14ac:dyDescent="0.2">
      <c r="A662" s="38">
        <v>45903</v>
      </c>
      <c r="B662" s="39">
        <v>288.05</v>
      </c>
      <c r="C662" s="39">
        <v>643.74</v>
      </c>
      <c r="D662" s="39">
        <v>45.484999999999999</v>
      </c>
      <c r="E662" s="41">
        <f t="shared" si="175"/>
        <v>-1.5180006154056569E-2</v>
      </c>
      <c r="F662" s="41">
        <f t="shared" si="176"/>
        <v>5.4195886110548486E-3</v>
      </c>
      <c r="G662" s="41">
        <f t="shared" si="177"/>
        <v>-6.7692979582923973E-3</v>
      </c>
      <c r="H662" s="41">
        <f t="shared" si="178"/>
        <v>0.60214694921853007</v>
      </c>
      <c r="I662" s="41">
        <f t="shared" si="179"/>
        <v>0.59156426929067263</v>
      </c>
      <c r="J662" s="41">
        <f t="shared" si="180"/>
        <v>9.299531418959428E-2</v>
      </c>
      <c r="K662" s="42">
        <f t="shared" si="171"/>
        <v>160.21469492185329</v>
      </c>
      <c r="L662" s="42">
        <f t="shared" si="172"/>
        <v>159.15642692906766</v>
      </c>
      <c r="M662" s="42">
        <f t="shared" si="173"/>
        <v>109.29953141895949</v>
      </c>
      <c r="N662" s="41">
        <f t="shared" si="181"/>
        <v>6.6492319110518228E-3</v>
      </c>
      <c r="O662" s="41">
        <f t="shared" si="182"/>
        <v>0.46583148932019736</v>
      </c>
      <c r="P662" s="39">
        <f t="shared" si="183"/>
        <v>264.81469572659631</v>
      </c>
      <c r="Q662" s="42">
        <f t="shared" si="184"/>
        <v>1.6021469492185301</v>
      </c>
      <c r="R662" s="42">
        <f t="shared" si="185"/>
        <v>1.6443628677901962</v>
      </c>
      <c r="S662" s="41">
        <f t="shared" si="186"/>
        <v>-2.5673115951832859E-2</v>
      </c>
      <c r="T662" s="41">
        <f t="shared" si="170"/>
        <v>0.19631524839621295</v>
      </c>
      <c r="U662" s="41">
        <f t="shared" si="187"/>
        <v>-1.5335656016847832E-2</v>
      </c>
      <c r="V662" s="41">
        <f t="shared" si="188"/>
        <v>-2.0599594765111418E-2</v>
      </c>
      <c r="W662" s="39">
        <f t="shared" si="174"/>
        <v>288.05</v>
      </c>
      <c r="X662" s="21"/>
    </row>
    <row r="663" spans="1:24" x14ac:dyDescent="0.2">
      <c r="A663" s="38">
        <v>45904</v>
      </c>
      <c r="B663" s="39">
        <v>292.33</v>
      </c>
      <c r="C663" s="39">
        <v>649.12</v>
      </c>
      <c r="D663" s="39">
        <v>45.66</v>
      </c>
      <c r="E663" s="41">
        <f t="shared" si="175"/>
        <v>1.4858531504946981E-2</v>
      </c>
      <c r="F663" s="41">
        <f t="shared" si="176"/>
        <v>8.3574113772642011E-3</v>
      </c>
      <c r="G663" s="41">
        <f t="shared" si="177"/>
        <v>3.8474222271078773E-3</v>
      </c>
      <c r="H663" s="41">
        <f t="shared" si="178"/>
        <v>0.62595250013904824</v>
      </c>
      <c r="I663" s="41">
        <f t="shared" si="179"/>
        <v>0.60486562662248966</v>
      </c>
      <c r="J663" s="41">
        <f t="shared" si="180"/>
        <v>9.7200528655532192E-2</v>
      </c>
      <c r="K663" s="42">
        <f t="shared" si="171"/>
        <v>162.59525001390512</v>
      </c>
      <c r="L663" s="42">
        <f t="shared" si="172"/>
        <v>160.48656266224936</v>
      </c>
      <c r="M663" s="42">
        <f t="shared" si="173"/>
        <v>109.72005286555327</v>
      </c>
      <c r="N663" s="41">
        <f t="shared" si="181"/>
        <v>1.3139338999325956E-2</v>
      </c>
      <c r="O663" s="41">
        <f t="shared" si="182"/>
        <v>0.48191005898568839</v>
      </c>
      <c r="P663" s="39">
        <f t="shared" si="183"/>
        <v>265.08847984871971</v>
      </c>
      <c r="Q663" s="42">
        <f t="shared" si="184"/>
        <v>1.6259525001390482</v>
      </c>
      <c r="R663" s="42">
        <f t="shared" si="185"/>
        <v>1.6443628677901962</v>
      </c>
      <c r="S663" s="41">
        <f t="shared" si="186"/>
        <v>-1.1196049249086459E-2</v>
      </c>
      <c r="T663" s="41">
        <f t="shared" si="170"/>
        <v>0.19813592297504956</v>
      </c>
      <c r="U663" s="41">
        <f t="shared" si="187"/>
        <v>0</v>
      </c>
      <c r="V663" s="41">
        <f t="shared" si="188"/>
        <v>6.5011201276827801E-3</v>
      </c>
      <c r="W663" s="39">
        <f t="shared" si="174"/>
        <v>292.33</v>
      </c>
      <c r="X663" s="21"/>
    </row>
    <row r="664" spans="1:24" x14ac:dyDescent="0.2">
      <c r="A664" s="38">
        <v>45905</v>
      </c>
      <c r="B664" s="39">
        <v>294.81</v>
      </c>
      <c r="C664" s="39">
        <v>647.24</v>
      </c>
      <c r="D664" s="39">
        <v>45.98</v>
      </c>
      <c r="E664" s="41">
        <f t="shared" si="175"/>
        <v>8.4835630965005571E-3</v>
      </c>
      <c r="F664" s="41">
        <f t="shared" si="176"/>
        <v>-2.896228740448592E-3</v>
      </c>
      <c r="G664" s="41">
        <f t="shared" si="177"/>
        <v>7.0083223828296681E-3</v>
      </c>
      <c r="H664" s="41">
        <f t="shared" si="178"/>
        <v>0.63974637076589058</v>
      </c>
      <c r="I664" s="41">
        <f t="shared" si="179"/>
        <v>0.60021756867010767</v>
      </c>
      <c r="J664" s="41">
        <f t="shared" si="180"/>
        <v>0.10489006367896136</v>
      </c>
      <c r="K664" s="42">
        <f t="shared" si="171"/>
        <v>163.97463707658937</v>
      </c>
      <c r="L664" s="42">
        <f t="shared" si="172"/>
        <v>160.02175686701113</v>
      </c>
      <c r="M664" s="42">
        <f t="shared" si="173"/>
        <v>110.48900636789618</v>
      </c>
      <c r="N664" s="41">
        <f t="shared" si="181"/>
        <v>2.4702142302208463E-2</v>
      </c>
      <c r="O664" s="41">
        <f t="shared" si="182"/>
        <v>0.48408101825625427</v>
      </c>
      <c r="P664" s="39">
        <f t="shared" si="183"/>
        <v>265.38421636763792</v>
      </c>
      <c r="Q664" s="42">
        <f t="shared" si="184"/>
        <v>1.6397463707658906</v>
      </c>
      <c r="R664" s="42">
        <f t="shared" si="185"/>
        <v>1.6443628677901962</v>
      </c>
      <c r="S664" s="41">
        <f t="shared" si="186"/>
        <v>-2.8074685428221002E-3</v>
      </c>
      <c r="T664" s="41">
        <f t="shared" si="170"/>
        <v>0.19834044202002504</v>
      </c>
      <c r="U664" s="41">
        <f t="shared" si="187"/>
        <v>0</v>
      </c>
      <c r="V664" s="41">
        <f t="shared" si="188"/>
        <v>1.1379791836949149E-2</v>
      </c>
      <c r="W664" s="39">
        <f t="shared" si="174"/>
        <v>294.81</v>
      </c>
      <c r="X664" s="21"/>
    </row>
    <row r="665" spans="1:24" x14ac:dyDescent="0.2">
      <c r="A665" s="38">
        <v>45908</v>
      </c>
      <c r="B665" s="39">
        <v>298.91000000000003</v>
      </c>
      <c r="C665" s="39">
        <v>648.83000000000004</v>
      </c>
      <c r="D665" s="39">
        <v>46.02</v>
      </c>
      <c r="E665" s="41">
        <f t="shared" si="175"/>
        <v>1.3907262304535095E-2</v>
      </c>
      <c r="F665" s="41">
        <f t="shared" si="176"/>
        <v>2.4565848835054194E-3</v>
      </c>
      <c r="G665" s="41">
        <f t="shared" si="177"/>
        <v>8.6994345367563675E-4</v>
      </c>
      <c r="H665" s="41">
        <f t="shared" si="178"/>
        <v>0.66255075365704119</v>
      </c>
      <c r="I665" s="41">
        <f t="shared" si="179"/>
        <v>0.60414863895962245</v>
      </c>
      <c r="J665" s="41">
        <f t="shared" si="180"/>
        <v>0.10585125555689023</v>
      </c>
      <c r="K665" s="42">
        <f t="shared" si="171"/>
        <v>166.25507536570444</v>
      </c>
      <c r="L665" s="42">
        <f t="shared" si="172"/>
        <v>160.41486389596261</v>
      </c>
      <c r="M665" s="42">
        <f t="shared" si="173"/>
        <v>110.58512555568905</v>
      </c>
      <c r="N665" s="41">
        <f t="shared" si="181"/>
        <v>3.6406922200984848E-2</v>
      </c>
      <c r="O665" s="41">
        <f t="shared" si="182"/>
        <v>0.50341263827548421</v>
      </c>
      <c r="P665" s="39">
        <f t="shared" si="183"/>
        <v>265.71780625452709</v>
      </c>
      <c r="Q665" s="42">
        <f t="shared" si="184"/>
        <v>1.6625507536570412</v>
      </c>
      <c r="R665" s="42">
        <f t="shared" si="185"/>
        <v>1.6625507536570412</v>
      </c>
      <c r="S665" s="41">
        <f t="shared" si="186"/>
        <v>0</v>
      </c>
      <c r="T665" s="41">
        <f t="shared" si="170"/>
        <v>0.19668750009695679</v>
      </c>
      <c r="U665" s="41">
        <f t="shared" si="187"/>
        <v>0</v>
      </c>
      <c r="V665" s="41">
        <f t="shared" si="188"/>
        <v>1.1450677421029676E-2</v>
      </c>
      <c r="W665" s="39">
        <f t="shared" si="174"/>
        <v>298.91000000000003</v>
      </c>
      <c r="X665" s="21"/>
    </row>
    <row r="666" spans="1:24" x14ac:dyDescent="0.2">
      <c r="A666" s="38">
        <v>45909</v>
      </c>
      <c r="B666" s="39">
        <v>292.44</v>
      </c>
      <c r="C666" s="39">
        <v>650.33000000000004</v>
      </c>
      <c r="D666" s="39">
        <v>45.27</v>
      </c>
      <c r="E666" s="41">
        <f t="shared" si="175"/>
        <v>-2.1645311297715075E-2</v>
      </c>
      <c r="F666" s="41">
        <f t="shared" si="176"/>
        <v>2.3118536442519044E-3</v>
      </c>
      <c r="G666" s="41">
        <f t="shared" si="177"/>
        <v>-1.6297262059973949E-2</v>
      </c>
      <c r="H666" s="41">
        <f t="shared" si="178"/>
        <v>0.62656432504588366</v>
      </c>
      <c r="I666" s="41">
        <f t="shared" si="179"/>
        <v>0.60785719583652309</v>
      </c>
      <c r="J666" s="41">
        <f t="shared" si="180"/>
        <v>8.7828907845728388E-2</v>
      </c>
      <c r="K666" s="42">
        <f t="shared" si="171"/>
        <v>162.65643250458871</v>
      </c>
      <c r="L666" s="42">
        <f t="shared" si="172"/>
        <v>160.78571958365268</v>
      </c>
      <c r="M666" s="42">
        <f t="shared" si="173"/>
        <v>108.78289078457288</v>
      </c>
      <c r="N666" s="41">
        <f t="shared" si="181"/>
        <v>1.1634820093352705E-2</v>
      </c>
      <c r="O666" s="41">
        <f t="shared" si="182"/>
        <v>0.49523910728483478</v>
      </c>
      <c r="P666" s="39">
        <f t="shared" si="183"/>
        <v>265.98369872960643</v>
      </c>
      <c r="Q666" s="42">
        <f t="shared" si="184"/>
        <v>1.6265643250458837</v>
      </c>
      <c r="R666" s="42">
        <f t="shared" si="185"/>
        <v>1.6625507536570412</v>
      </c>
      <c r="S666" s="41">
        <f t="shared" si="186"/>
        <v>-2.1645311297715075E-2</v>
      </c>
      <c r="T666" s="41">
        <f t="shared" si="170"/>
        <v>0.2003258592924296</v>
      </c>
      <c r="U666" s="41">
        <f t="shared" si="187"/>
        <v>-2.1800961160506338E-2</v>
      </c>
      <c r="V666" s="41">
        <f t="shared" si="188"/>
        <v>-2.395716494196698E-2</v>
      </c>
      <c r="W666" s="39">
        <f t="shared" si="174"/>
        <v>292.44</v>
      </c>
      <c r="X666" s="21"/>
    </row>
    <row r="667" spans="1:24" x14ac:dyDescent="0.2">
      <c r="A667" s="38">
        <v>45910</v>
      </c>
      <c r="B667" s="39">
        <v>294.43</v>
      </c>
      <c r="C667" s="39">
        <v>652.21</v>
      </c>
      <c r="D667" s="39">
        <v>45.354999999999997</v>
      </c>
      <c r="E667" s="41">
        <f t="shared" si="175"/>
        <v>6.8048146628367778E-3</v>
      </c>
      <c r="F667" s="41">
        <f t="shared" si="176"/>
        <v>2.8908400350591279E-3</v>
      </c>
      <c r="G667" s="41">
        <f t="shared" si="177"/>
        <v>1.8776231499888496E-3</v>
      </c>
      <c r="H667" s="41">
        <f t="shared" si="178"/>
        <v>0.63763279381500304</v>
      </c>
      <c r="I667" s="41">
        <f t="shared" si="179"/>
        <v>0.6125052537889053</v>
      </c>
      <c r="J667" s="41">
        <f t="shared" si="180"/>
        <v>8.9871440586326568E-2</v>
      </c>
      <c r="K667" s="42">
        <f t="shared" si="171"/>
        <v>163.76327938150067</v>
      </c>
      <c r="L667" s="42">
        <f t="shared" si="172"/>
        <v>161.2505253788909</v>
      </c>
      <c r="M667" s="42">
        <f t="shared" si="173"/>
        <v>108.98714405863271</v>
      </c>
      <c r="N667" s="41">
        <f t="shared" si="181"/>
        <v>1.5582919787117344E-2</v>
      </c>
      <c r="O667" s="41">
        <f t="shared" si="182"/>
        <v>0.50259262958023099</v>
      </c>
      <c r="P667" s="39">
        <f t="shared" si="183"/>
        <v>266.2667465034412</v>
      </c>
      <c r="Q667" s="42">
        <f t="shared" si="184"/>
        <v>1.637632793815003</v>
      </c>
      <c r="R667" s="42">
        <f t="shared" si="185"/>
        <v>1.6625507536570412</v>
      </c>
      <c r="S667" s="41">
        <f t="shared" si="186"/>
        <v>-1.4987788966578708E-2</v>
      </c>
      <c r="T667" s="41">
        <f t="shared" si="170"/>
        <v>0.19635511187318153</v>
      </c>
      <c r="U667" s="41">
        <f t="shared" si="187"/>
        <v>0</v>
      </c>
      <c r="V667" s="41">
        <f t="shared" si="188"/>
        <v>3.9139746277776499E-3</v>
      </c>
      <c r="W667" s="39">
        <f t="shared" si="174"/>
        <v>294.43</v>
      </c>
      <c r="X667" s="21"/>
    </row>
    <row r="668" spans="1:24" x14ac:dyDescent="0.2">
      <c r="A668" s="38">
        <v>45911</v>
      </c>
      <c r="B668" s="39">
        <v>301.64999999999998</v>
      </c>
      <c r="C668" s="39">
        <v>657.63</v>
      </c>
      <c r="D668" s="39">
        <v>46.305</v>
      </c>
      <c r="E668" s="41">
        <f t="shared" si="175"/>
        <v>2.4521957680942785E-2</v>
      </c>
      <c r="F668" s="41">
        <f t="shared" si="176"/>
        <v>8.3102068352216563E-3</v>
      </c>
      <c r="G668" s="41">
        <f t="shared" si="177"/>
        <v>2.0945871458494247E-2</v>
      </c>
      <c r="H668" s="41">
        <f t="shared" si="178"/>
        <v>0.67779075588185855</v>
      </c>
      <c r="I668" s="41">
        <f t="shared" si="179"/>
        <v>0.62590550597077277</v>
      </c>
      <c r="J668" s="41">
        <f t="shared" si="180"/>
        <v>0.11269974768713165</v>
      </c>
      <c r="K668" s="42">
        <f t="shared" si="171"/>
        <v>167.7790755881862</v>
      </c>
      <c r="L668" s="42">
        <f t="shared" si="172"/>
        <v>162.59055059707765</v>
      </c>
      <c r="M668" s="42">
        <f t="shared" si="173"/>
        <v>111.26997476871321</v>
      </c>
      <c r="N668" s="41">
        <f t="shared" si="181"/>
        <v>3.191160231670831E-2</v>
      </c>
      <c r="O668" s="41">
        <f t="shared" si="182"/>
        <v>0.50785578892179184</v>
      </c>
      <c r="P668" s="39">
        <f t="shared" si="183"/>
        <v>266.6188186775363</v>
      </c>
      <c r="Q668" s="42">
        <f t="shared" si="184"/>
        <v>1.6777907558818586</v>
      </c>
      <c r="R668" s="42">
        <f t="shared" si="185"/>
        <v>1.6777907558818586</v>
      </c>
      <c r="S668" s="41">
        <f t="shared" si="186"/>
        <v>0</v>
      </c>
      <c r="T668" s="41">
        <f t="shared" ref="T668:T731" si="189">IFERROR(_xlfn.STDEV.S(E609:E668)*SQRT($D$7),"")</f>
        <v>0.20165257974761827</v>
      </c>
      <c r="U668" s="41">
        <f t="shared" si="187"/>
        <v>0</v>
      </c>
      <c r="V668" s="41">
        <f t="shared" si="188"/>
        <v>1.6211750845721129E-2</v>
      </c>
      <c r="W668" s="39">
        <f t="shared" si="174"/>
        <v>301.64999999999998</v>
      </c>
      <c r="X668" s="21"/>
    </row>
    <row r="669" spans="1:24" x14ac:dyDescent="0.2">
      <c r="A669" s="38">
        <v>45912</v>
      </c>
      <c r="B669" s="39">
        <v>294.94</v>
      </c>
      <c r="C669" s="39">
        <v>657.41</v>
      </c>
      <c r="D669" s="39">
        <v>45.84</v>
      </c>
      <c r="E669" s="41">
        <f t="shared" si="175"/>
        <v>-2.2244322890767387E-2</v>
      </c>
      <c r="F669" s="41">
        <f t="shared" si="176"/>
        <v>-3.3453461672983131E-4</v>
      </c>
      <c r="G669" s="41">
        <f t="shared" si="177"/>
        <v>-1.0042112082928378E-2</v>
      </c>
      <c r="H669" s="41">
        <f t="shared" si="178"/>
        <v>0.64046943656487776</v>
      </c>
      <c r="I669" s="41">
        <f t="shared" si="179"/>
        <v>0.62536158429549382</v>
      </c>
      <c r="J669" s="41">
        <f t="shared" si="180"/>
        <v>0.10152589210621144</v>
      </c>
      <c r="K669" s="42">
        <f t="shared" si="171"/>
        <v>164.04694365648814</v>
      </c>
      <c r="L669" s="42">
        <f t="shared" si="172"/>
        <v>162.53615842954977</v>
      </c>
      <c r="M669" s="42">
        <f t="shared" si="173"/>
        <v>110.15258921062116</v>
      </c>
      <c r="N669" s="41">
        <f t="shared" si="181"/>
        <v>9.2950715799846595E-3</v>
      </c>
      <c r="O669" s="41">
        <f t="shared" si="182"/>
        <v>0.48926997387974258</v>
      </c>
      <c r="P669" s="39">
        <f t="shared" si="183"/>
        <v>266.9006214767648</v>
      </c>
      <c r="Q669" s="42">
        <f t="shared" si="184"/>
        <v>1.6404694365648778</v>
      </c>
      <c r="R669" s="42">
        <f t="shared" si="185"/>
        <v>1.6777907558818586</v>
      </c>
      <c r="S669" s="41">
        <f t="shared" si="186"/>
        <v>-2.2244322890767387E-2</v>
      </c>
      <c r="T669" s="41">
        <f t="shared" si="189"/>
        <v>0.20681991270189287</v>
      </c>
      <c r="U669" s="41">
        <f t="shared" si="187"/>
        <v>-2.239997275355865E-2</v>
      </c>
      <c r="V669" s="41">
        <f t="shared" si="188"/>
        <v>-2.1909788274037556E-2</v>
      </c>
      <c r="W669" s="39">
        <f t="shared" si="174"/>
        <v>294.94</v>
      </c>
      <c r="X669" s="21"/>
    </row>
    <row r="670" spans="1:24" x14ac:dyDescent="0.2">
      <c r="A670" s="38">
        <v>45915</v>
      </c>
      <c r="B670" s="39">
        <v>294.02999999999997</v>
      </c>
      <c r="C670" s="39">
        <v>660.91</v>
      </c>
      <c r="D670" s="39">
        <v>45.47</v>
      </c>
      <c r="E670" s="41">
        <f t="shared" si="175"/>
        <v>-3.0853732962636826E-3</v>
      </c>
      <c r="F670" s="41">
        <f t="shared" si="176"/>
        <v>5.3239226662205041E-3</v>
      </c>
      <c r="G670" s="41">
        <f t="shared" si="177"/>
        <v>-8.0715532286214087E-3</v>
      </c>
      <c r="H670" s="41">
        <f t="shared" si="178"/>
        <v>0.63540797597196375</v>
      </c>
      <c r="I670" s="41">
        <f t="shared" si="179"/>
        <v>0.63401488367492864</v>
      </c>
      <c r="J670" s="41">
        <f t="shared" si="180"/>
        <v>9.2634867235371399E-2</v>
      </c>
      <c r="K670" s="42">
        <f t="shared" si="171"/>
        <v>163.54079759719673</v>
      </c>
      <c r="L670" s="42">
        <f t="shared" si="172"/>
        <v>163.40148836749324</v>
      </c>
      <c r="M670" s="42">
        <f t="shared" si="173"/>
        <v>109.26348672353718</v>
      </c>
      <c r="N670" s="41">
        <f t="shared" si="181"/>
        <v>8.5255789953508909E-4</v>
      </c>
      <c r="O670" s="41">
        <f t="shared" si="182"/>
        <v>0.49675616714478332</v>
      </c>
      <c r="P670" s="39">
        <f t="shared" si="183"/>
        <v>267.1705655416726</v>
      </c>
      <c r="Q670" s="42">
        <f t="shared" si="184"/>
        <v>1.6354079759719637</v>
      </c>
      <c r="R670" s="42">
        <f t="shared" si="185"/>
        <v>1.6777907558818586</v>
      </c>
      <c r="S670" s="41">
        <f t="shared" si="186"/>
        <v>-2.5261064147190426E-2</v>
      </c>
      <c r="T670" s="41">
        <f t="shared" si="189"/>
        <v>0.20677546369551814</v>
      </c>
      <c r="U670" s="41">
        <f t="shared" si="187"/>
        <v>-3.2410231590549454E-3</v>
      </c>
      <c r="V670" s="41">
        <f t="shared" si="188"/>
        <v>-8.4092959624841868E-3</v>
      </c>
      <c r="W670" s="39">
        <f t="shared" si="174"/>
        <v>294.02999999999997</v>
      </c>
      <c r="X670" s="21"/>
    </row>
    <row r="671" spans="1:24" x14ac:dyDescent="0.2">
      <c r="A671" s="38">
        <v>45916</v>
      </c>
      <c r="B671" s="39">
        <v>291.95999999999998</v>
      </c>
      <c r="C671" s="39">
        <v>660</v>
      </c>
      <c r="D671" s="39">
        <v>45.33</v>
      </c>
      <c r="E671" s="41">
        <f t="shared" si="175"/>
        <v>-7.040097949188806E-3</v>
      </c>
      <c r="F671" s="41">
        <f t="shared" si="176"/>
        <v>-1.3768894403171084E-3</v>
      </c>
      <c r="G671" s="41">
        <f t="shared" si="177"/>
        <v>-3.0789531559269889E-3</v>
      </c>
      <c r="H671" s="41">
        <f t="shared" si="178"/>
        <v>0.62389454363423646</v>
      </c>
      <c r="I671" s="41">
        <f t="shared" si="179"/>
        <v>0.6317650258362757</v>
      </c>
      <c r="J671" s="41">
        <f t="shared" si="180"/>
        <v>8.9270695662621247E-2</v>
      </c>
      <c r="K671" s="42">
        <f t="shared" si="171"/>
        <v>162.38945436342397</v>
      </c>
      <c r="L671" s="42">
        <f t="shared" si="172"/>
        <v>163.17650258362795</v>
      </c>
      <c r="M671" s="42">
        <f t="shared" si="173"/>
        <v>108.92706956626215</v>
      </c>
      <c r="N671" s="41">
        <f t="shared" si="181"/>
        <v>-4.823293842816434E-3</v>
      </c>
      <c r="O671" s="41">
        <f t="shared" si="182"/>
        <v>0.49080898816101426</v>
      </c>
      <c r="P671" s="39">
        <f t="shared" si="183"/>
        <v>267.41722658105891</v>
      </c>
      <c r="Q671" s="42">
        <f t="shared" si="184"/>
        <v>1.6238945436342365</v>
      </c>
      <c r="R671" s="42">
        <f t="shared" si="185"/>
        <v>1.6777907558818586</v>
      </c>
      <c r="S671" s="41">
        <f t="shared" si="186"/>
        <v>-3.2123321730482379E-2</v>
      </c>
      <c r="T671" s="41">
        <f t="shared" si="189"/>
        <v>0.20646751084727308</v>
      </c>
      <c r="U671" s="41">
        <f t="shared" si="187"/>
        <v>-7.1957478119800689E-3</v>
      </c>
      <c r="V671" s="41">
        <f t="shared" si="188"/>
        <v>-5.6632085088716977E-3</v>
      </c>
      <c r="W671" s="39">
        <f t="shared" si="174"/>
        <v>291.95999999999998</v>
      </c>
      <c r="X671" s="21"/>
    </row>
    <row r="672" spans="1:24" x14ac:dyDescent="0.2">
      <c r="A672" s="38">
        <v>45917</v>
      </c>
      <c r="B672" s="39">
        <v>292.25</v>
      </c>
      <c r="C672" s="39">
        <v>659.18</v>
      </c>
      <c r="D672" s="39">
        <v>45.435000000000002</v>
      </c>
      <c r="E672" s="41">
        <f t="shared" si="175"/>
        <v>9.9328675160981206E-4</v>
      </c>
      <c r="F672" s="41">
        <f t="shared" si="176"/>
        <v>-1.2424242424242671E-3</v>
      </c>
      <c r="G672" s="41">
        <f t="shared" si="177"/>
        <v>2.3163467902052037E-3</v>
      </c>
      <c r="H672" s="41">
        <f t="shared" si="178"/>
        <v>0.62550753657043989</v>
      </c>
      <c r="I672" s="41">
        <f t="shared" si="179"/>
        <v>0.62973768141023667</v>
      </c>
      <c r="J672" s="41">
        <f t="shared" si="180"/>
        <v>9.1793824342183861E-2</v>
      </c>
      <c r="K672" s="42">
        <f t="shared" si="171"/>
        <v>162.55075365704434</v>
      </c>
      <c r="L672" s="42">
        <f t="shared" si="172"/>
        <v>162.97376814102401</v>
      </c>
      <c r="M672" s="42">
        <f t="shared" si="173"/>
        <v>109.17938243421843</v>
      </c>
      <c r="N672" s="41">
        <f t="shared" si="181"/>
        <v>-2.5955985972763163E-3</v>
      </c>
      <c r="O672" s="41">
        <f t="shared" si="182"/>
        <v>0.48884111663648921</v>
      </c>
      <c r="P672" s="39">
        <f t="shared" si="183"/>
        <v>267.6643188538842</v>
      </c>
      <c r="Q672" s="42">
        <f t="shared" si="184"/>
        <v>1.6255075365704399</v>
      </c>
      <c r="R672" s="42">
        <f t="shared" si="185"/>
        <v>1.6777907558818586</v>
      </c>
      <c r="S672" s="41">
        <f t="shared" si="186"/>
        <v>-3.116194264876504E-2</v>
      </c>
      <c r="T672" s="41">
        <f t="shared" si="189"/>
        <v>0.20317583648687484</v>
      </c>
      <c r="U672" s="41">
        <f t="shared" si="187"/>
        <v>0</v>
      </c>
      <c r="V672" s="41">
        <f t="shared" si="188"/>
        <v>2.2357109940340791E-3</v>
      </c>
      <c r="W672" s="39">
        <f t="shared" si="174"/>
        <v>292.25</v>
      </c>
      <c r="X672" s="21"/>
    </row>
    <row r="673" spans="1:24" x14ac:dyDescent="0.2">
      <c r="A673" s="38">
        <v>45918</v>
      </c>
      <c r="B673" s="39">
        <v>298.58</v>
      </c>
      <c r="C673" s="39">
        <v>662.26</v>
      </c>
      <c r="D673" s="39">
        <v>45.435000000000002</v>
      </c>
      <c r="E673" s="41">
        <f t="shared" si="175"/>
        <v>2.1659538066723716E-2</v>
      </c>
      <c r="F673" s="41">
        <f t="shared" si="176"/>
        <v>4.6724718589763459E-3</v>
      </c>
      <c r="G673" s="41">
        <f t="shared" si="177"/>
        <v>0</v>
      </c>
      <c r="H673" s="41">
        <f t="shared" si="178"/>
        <v>0.66071527893653359</v>
      </c>
      <c r="I673" s="41">
        <f t="shared" si="179"/>
        <v>0.63735258486413926</v>
      </c>
      <c r="J673" s="41">
        <f t="shared" si="180"/>
        <v>9.1793824342183861E-2</v>
      </c>
      <c r="K673" s="42">
        <f t="shared" si="171"/>
        <v>166.07152789365372</v>
      </c>
      <c r="L673" s="42">
        <f t="shared" si="172"/>
        <v>163.7352584864143</v>
      </c>
      <c r="M673" s="42">
        <f t="shared" si="173"/>
        <v>109.17938243421843</v>
      </c>
      <c r="N673" s="41">
        <f t="shared" si="181"/>
        <v>1.4268578611816185E-2</v>
      </c>
      <c r="O673" s="41">
        <f t="shared" si="182"/>
        <v>0.52108872747758062</v>
      </c>
      <c r="P673" s="39">
        <f t="shared" si="183"/>
        <v>267.97193757175603</v>
      </c>
      <c r="Q673" s="42">
        <f t="shared" si="184"/>
        <v>1.6607152789365336</v>
      </c>
      <c r="R673" s="42">
        <f t="shared" si="185"/>
        <v>1.6777907558818586</v>
      </c>
      <c r="S673" s="41">
        <f t="shared" si="186"/>
        <v>-1.0177357865075343E-2</v>
      </c>
      <c r="T673" s="41">
        <f t="shared" si="189"/>
        <v>0.2059003652261325</v>
      </c>
      <c r="U673" s="41">
        <f t="shared" si="187"/>
        <v>0</v>
      </c>
      <c r="V673" s="41">
        <f t="shared" si="188"/>
        <v>1.698706620774737E-2</v>
      </c>
      <c r="W673" s="39">
        <f t="shared" si="174"/>
        <v>298.58</v>
      </c>
      <c r="X673" s="21"/>
    </row>
    <row r="674" spans="1:24" x14ac:dyDescent="0.2">
      <c r="A674" s="38">
        <v>45919</v>
      </c>
      <c r="B674" s="39">
        <v>297.79000000000002</v>
      </c>
      <c r="C674" s="39">
        <v>663.7</v>
      </c>
      <c r="D674" s="39">
        <v>45.414999999999999</v>
      </c>
      <c r="E674" s="41">
        <f t="shared" si="175"/>
        <v>-2.6458570567351458E-3</v>
      </c>
      <c r="F674" s="41">
        <f t="shared" si="176"/>
        <v>2.1743726029053168E-3</v>
      </c>
      <c r="G674" s="41">
        <f t="shared" si="177"/>
        <v>-4.4018928139111235E-4</v>
      </c>
      <c r="H674" s="41">
        <f t="shared" si="178"/>
        <v>0.65632126369653143</v>
      </c>
      <c r="I674" s="41">
        <f t="shared" si="179"/>
        <v>0.64091279946596402</v>
      </c>
      <c r="J674" s="41">
        <f t="shared" si="180"/>
        <v>9.1313228403219426E-2</v>
      </c>
      <c r="K674" s="42">
        <f t="shared" si="171"/>
        <v>165.63212636965349</v>
      </c>
      <c r="L674" s="42">
        <f t="shared" si="172"/>
        <v>164.09127994659679</v>
      </c>
      <c r="M674" s="42">
        <f t="shared" si="173"/>
        <v>109.13132284032199</v>
      </c>
      <c r="N674" s="41">
        <f t="shared" si="181"/>
        <v>9.3901785857128939E-3</v>
      </c>
      <c r="O674" s="41">
        <f t="shared" si="182"/>
        <v>0.51773223359531406</v>
      </c>
      <c r="P674" s="39">
        <f t="shared" si="183"/>
        <v>268.26863471034557</v>
      </c>
      <c r="Q674" s="42">
        <f t="shared" si="184"/>
        <v>1.6563212636965314</v>
      </c>
      <c r="R674" s="42">
        <f t="shared" si="185"/>
        <v>1.6777907558818586</v>
      </c>
      <c r="S674" s="41">
        <f t="shared" si="186"/>
        <v>-1.2796287087684322E-2</v>
      </c>
      <c r="T674" s="41">
        <f t="shared" si="189"/>
        <v>0.18922410736715339</v>
      </c>
      <c r="U674" s="41">
        <f t="shared" si="187"/>
        <v>-2.8015069195264086E-3</v>
      </c>
      <c r="V674" s="41">
        <f t="shared" si="188"/>
        <v>-4.8202296596404626E-3</v>
      </c>
      <c r="W674" s="39">
        <f t="shared" si="174"/>
        <v>297.79000000000002</v>
      </c>
      <c r="X674" s="21"/>
    </row>
    <row r="675" spans="1:24" x14ac:dyDescent="0.2">
      <c r="A675" s="38">
        <v>45922</v>
      </c>
      <c r="B675" s="39">
        <v>298.89</v>
      </c>
      <c r="C675" s="39">
        <v>666.84</v>
      </c>
      <c r="D675" s="39">
        <v>45.185000000000002</v>
      </c>
      <c r="E675" s="41">
        <f t="shared" si="175"/>
        <v>3.6938782363409306E-3</v>
      </c>
      <c r="F675" s="41">
        <f t="shared" si="176"/>
        <v>4.731053186680656E-3</v>
      </c>
      <c r="G675" s="41">
        <f t="shared" si="177"/>
        <v>-5.0644060332488694E-3</v>
      </c>
      <c r="H675" s="41">
        <f t="shared" si="178"/>
        <v>0.66243951276488877</v>
      </c>
      <c r="I675" s="41">
        <f t="shared" si="179"/>
        <v>0.64867604519494249</v>
      </c>
      <c r="J675" s="41">
        <f t="shared" si="180"/>
        <v>8.5786375105129764E-2</v>
      </c>
      <c r="K675" s="42">
        <f t="shared" si="171"/>
        <v>166.24395127648924</v>
      </c>
      <c r="L675" s="42">
        <f t="shared" si="172"/>
        <v>164.86760451949465</v>
      </c>
      <c r="M675" s="42">
        <f t="shared" si="173"/>
        <v>108.57863751051305</v>
      </c>
      <c r="N675" s="41">
        <f t="shared" si="181"/>
        <v>8.3481940615681705E-3</v>
      </c>
      <c r="O675" s="41">
        <f t="shared" si="182"/>
        <v>0.53109262639616883</v>
      </c>
      <c r="P675" s="39">
        <f t="shared" si="183"/>
        <v>268.57332491223269</v>
      </c>
      <c r="Q675" s="42">
        <f t="shared" si="184"/>
        <v>1.6624395127648888</v>
      </c>
      <c r="R675" s="42">
        <f t="shared" si="185"/>
        <v>1.6777907558818586</v>
      </c>
      <c r="S675" s="41">
        <f t="shared" si="186"/>
        <v>-9.149676777722493E-3</v>
      </c>
      <c r="T675" s="41">
        <f t="shared" si="189"/>
        <v>0.18876315858209641</v>
      </c>
      <c r="U675" s="41">
        <f t="shared" si="187"/>
        <v>0</v>
      </c>
      <c r="V675" s="41">
        <f t="shared" si="188"/>
        <v>-1.0371749503397254E-3</v>
      </c>
      <c r="W675" s="39">
        <f t="shared" si="174"/>
        <v>298.89</v>
      </c>
      <c r="X675" s="21"/>
    </row>
    <row r="676" spans="1:24" x14ac:dyDescent="0.2">
      <c r="A676" s="38">
        <v>45923</v>
      </c>
      <c r="B676" s="39">
        <v>297.58999999999997</v>
      </c>
      <c r="C676" s="39">
        <v>663.21</v>
      </c>
      <c r="D676" s="39">
        <v>45.04</v>
      </c>
      <c r="E676" s="41">
        <f t="shared" si="175"/>
        <v>-4.3494262103115355E-3</v>
      </c>
      <c r="F676" s="41">
        <f t="shared" si="176"/>
        <v>-5.4435846679863342E-3</v>
      </c>
      <c r="G676" s="41">
        <f t="shared" si="177"/>
        <v>-3.2090295452030793E-3</v>
      </c>
      <c r="H676" s="41">
        <f t="shared" si="178"/>
        <v>0.65520885477501167</v>
      </c>
      <c r="I676" s="41">
        <f t="shared" si="179"/>
        <v>0.63970133755284286</v>
      </c>
      <c r="J676" s="41">
        <f t="shared" si="180"/>
        <v>8.2302054547638503E-2</v>
      </c>
      <c r="K676" s="42">
        <f t="shared" ref="K676:K739" si="190">IFERROR(B676/$B$36*100,"")</f>
        <v>165.52088547750151</v>
      </c>
      <c r="L676" s="42">
        <f t="shared" ref="L676:L739" si="191">IFERROR(C676/$C$36*100,"")</f>
        <v>163.97013375528468</v>
      </c>
      <c r="M676" s="42">
        <f t="shared" ref="M676:M739" si="192">IFERROR(D676/$D$36*100,"")</f>
        <v>108.23020545476389</v>
      </c>
      <c r="N676" s="41">
        <f t="shared" si="181"/>
        <v>9.4575255060247443E-3</v>
      </c>
      <c r="O676" s="41">
        <f t="shared" si="182"/>
        <v>0.52934095229711686</v>
      </c>
      <c r="P676" s="39">
        <f t="shared" si="183"/>
        <v>268.86204804743437</v>
      </c>
      <c r="Q676" s="42">
        <f t="shared" si="184"/>
        <v>1.6552088547750117</v>
      </c>
      <c r="R676" s="42">
        <f t="shared" si="185"/>
        <v>1.6777907558818586</v>
      </c>
      <c r="S676" s="41">
        <f t="shared" si="186"/>
        <v>-1.3459307144041088E-2</v>
      </c>
      <c r="T676" s="41">
        <f t="shared" si="189"/>
        <v>0.18561389128115377</v>
      </c>
      <c r="U676" s="41">
        <f t="shared" si="187"/>
        <v>-4.5050760731027983E-3</v>
      </c>
      <c r="V676" s="41">
        <f t="shared" si="188"/>
        <v>1.0941584576747987E-3</v>
      </c>
      <c r="W676" s="39">
        <f t="shared" ref="W676:W739" si="193">B676</f>
        <v>297.58999999999997</v>
      </c>
      <c r="X676" s="21"/>
    </row>
    <row r="677" spans="1:24" x14ac:dyDescent="0.2">
      <c r="A677" s="38">
        <v>45924</v>
      </c>
      <c r="B677" s="39">
        <v>293.81</v>
      </c>
      <c r="C677" s="39">
        <v>661.1</v>
      </c>
      <c r="D677" s="39">
        <v>44.49</v>
      </c>
      <c r="E677" s="41">
        <f t="shared" ref="E677:E740" si="194">IFERROR(B677/B676-1,"")</f>
        <v>-1.2702039719076463E-2</v>
      </c>
      <c r="F677" s="41">
        <f t="shared" ref="F677:F740" si="195">IFERROR(C677/C676-1,"")</f>
        <v>-3.1814960570558659E-3</v>
      </c>
      <c r="G677" s="41">
        <f t="shared" ref="G677:G740" si="196">IFERROR(D677/D676-1,"")</f>
        <v>-1.2211367673179319E-2</v>
      </c>
      <c r="H677" s="41">
        <f t="shared" ref="H677:H740" si="197">IFERROR((1+E677)*(1+H676)-1,"")</f>
        <v>0.63418432615829246</v>
      </c>
      <c r="I677" s="41">
        <f t="shared" ref="I677:I740" si="198">IFERROR((1+F677)*(1+I676)-1,"")</f>
        <v>0.63448463421266932</v>
      </c>
      <c r="J677" s="41">
        <f t="shared" ref="J677:J740" si="199">IFERROR((1+G677)*(1+J676)-1,"")</f>
        <v>6.9085666226119891E-2</v>
      </c>
      <c r="K677" s="42">
        <f t="shared" si="190"/>
        <v>163.41843261582957</v>
      </c>
      <c r="L677" s="42">
        <f t="shared" si="191"/>
        <v>163.44846342126732</v>
      </c>
      <c r="M677" s="42">
        <f t="shared" si="192"/>
        <v>106.90856662261203</v>
      </c>
      <c r="N677" s="41">
        <f t="shared" ref="N677:N740" si="200">IFERROR((1+H677)/(1+I677)-1,"")</f>
        <v>-1.8373256504888857E-4</v>
      </c>
      <c r="O677" s="41">
        <f t="shared" ref="O677:O740" si="201">IFERROR((1+H677)/(1+J677)-1,"")</f>
        <v>0.52858127069178185</v>
      </c>
      <c r="P677" s="39">
        <f t="shared" ref="P677:P740" si="202">IFERROR(B677*0.0099502487562189+P676*(1-0.0099502487562189),"")</f>
        <v>269.11028637532058</v>
      </c>
      <c r="Q677" s="42">
        <f t="shared" ref="Q677:Q740" si="203">Q676*(1+E677)</f>
        <v>1.6341843261582925</v>
      </c>
      <c r="R677" s="42">
        <f t="shared" ref="R677:R740" si="204">MAX(R676,Q677)</f>
        <v>1.6777907558818586</v>
      </c>
      <c r="S677" s="41">
        <f t="shared" ref="S677:S740" si="205">IFERROR(Q677/R677-1,"")</f>
        <v>-2.5990386209182703E-2</v>
      </c>
      <c r="T677" s="41">
        <f t="shared" si="189"/>
        <v>0.18751718232793019</v>
      </c>
      <c r="U677" s="41">
        <f t="shared" ref="U677:U740" si="206">IFERROR(MIN(E677-$D$6,0),"")</f>
        <v>-1.2857689581867726E-2</v>
      </c>
      <c r="V677" s="41">
        <f t="shared" ref="V677:V740" si="207">IFERROR(E677-F677,"")</f>
        <v>-9.5205436620205974E-3</v>
      </c>
      <c r="W677" s="39">
        <f t="shared" si="193"/>
        <v>293.81</v>
      </c>
      <c r="X677" s="21"/>
    </row>
    <row r="678" spans="1:24" x14ac:dyDescent="0.2">
      <c r="A678" s="38">
        <v>45925</v>
      </c>
      <c r="B678" s="39">
        <v>294.76</v>
      </c>
      <c r="C678" s="39">
        <v>658.05</v>
      </c>
      <c r="D678" s="39">
        <v>43.91</v>
      </c>
      <c r="E678" s="41">
        <f t="shared" si="194"/>
        <v>3.2333821176950828E-3</v>
      </c>
      <c r="F678" s="41">
        <f t="shared" si="195"/>
        <v>-4.6135229163516422E-3</v>
      </c>
      <c r="G678" s="41">
        <f t="shared" si="196"/>
        <v>-1.3036637446617316E-2</v>
      </c>
      <c r="H678" s="41">
        <f t="shared" si="197"/>
        <v>0.6394682685355102</v>
      </c>
      <c r="I678" s="41">
        <f t="shared" si="198"/>
        <v>0.62694390189630456</v>
      </c>
      <c r="J678" s="41">
        <f t="shared" si="199"/>
        <v>5.5148383996154626E-2</v>
      </c>
      <c r="K678" s="42">
        <f t="shared" si="190"/>
        <v>163.94682685355139</v>
      </c>
      <c r="L678" s="42">
        <f t="shared" si="191"/>
        <v>162.69439018963087</v>
      </c>
      <c r="M678" s="42">
        <f t="shared" si="192"/>
        <v>105.51483839961551</v>
      </c>
      <c r="N678" s="41">
        <f t="shared" si="200"/>
        <v>7.6980937232118407E-3</v>
      </c>
      <c r="O678" s="41">
        <f t="shared" si="201"/>
        <v>0.55377982225245503</v>
      </c>
      <c r="P678" s="39">
        <f t="shared" si="202"/>
        <v>269.36550740641195</v>
      </c>
      <c r="Q678" s="42">
        <f t="shared" si="203"/>
        <v>1.6394682685355102</v>
      </c>
      <c r="R678" s="42">
        <f t="shared" si="204"/>
        <v>1.6777907558818586</v>
      </c>
      <c r="S678" s="41">
        <f t="shared" si="205"/>
        <v>-2.2841040941488422E-2</v>
      </c>
      <c r="T678" s="41">
        <f t="shared" si="189"/>
        <v>0.18566009100318165</v>
      </c>
      <c r="U678" s="41">
        <f t="shared" si="206"/>
        <v>0</v>
      </c>
      <c r="V678" s="41">
        <f t="shared" si="207"/>
        <v>7.846905034046725E-3</v>
      </c>
      <c r="W678" s="39">
        <f t="shared" si="193"/>
        <v>294.76</v>
      </c>
      <c r="X678" s="21"/>
    </row>
    <row r="679" spans="1:24" x14ac:dyDescent="0.2">
      <c r="A679" s="38">
        <v>45926</v>
      </c>
      <c r="B679" s="39">
        <v>299.29000000000002</v>
      </c>
      <c r="C679" s="39">
        <v>661.82</v>
      </c>
      <c r="D679" s="39">
        <v>44.42</v>
      </c>
      <c r="E679" s="41">
        <f t="shared" si="194"/>
        <v>1.5368435337223652E-2</v>
      </c>
      <c r="F679" s="41">
        <f t="shared" si="195"/>
        <v>5.7290479446852061E-3</v>
      </c>
      <c r="G679" s="41">
        <f t="shared" si="196"/>
        <v>1.1614666363015447E-2</v>
      </c>
      <c r="H679" s="41">
        <f t="shared" si="197"/>
        <v>0.66466433060792829</v>
      </c>
      <c r="I679" s="41">
        <f t="shared" si="198"/>
        <v>0.63626474151358181</v>
      </c>
      <c r="J679" s="41">
        <f t="shared" si="199"/>
        <v>6.7403580439744815E-2</v>
      </c>
      <c r="K679" s="42">
        <f t="shared" si="190"/>
        <v>166.46643306079315</v>
      </c>
      <c r="L679" s="42">
        <f t="shared" si="191"/>
        <v>163.62647415135856</v>
      </c>
      <c r="M679" s="42">
        <f t="shared" si="192"/>
        <v>106.74035804397452</v>
      </c>
      <c r="N679" s="41">
        <f t="shared" si="200"/>
        <v>1.7356353390635348E-2</v>
      </c>
      <c r="O679" s="41">
        <f t="shared" si="201"/>
        <v>0.5595453876237948</v>
      </c>
      <c r="P679" s="39">
        <f t="shared" si="202"/>
        <v>269.66326355162181</v>
      </c>
      <c r="Q679" s="42">
        <f t="shared" si="203"/>
        <v>1.6646643306079283</v>
      </c>
      <c r="R679" s="42">
        <f t="shared" si="204"/>
        <v>1.6777907558818586</v>
      </c>
      <c r="S679" s="41">
        <f t="shared" si="205"/>
        <v>-7.8236366650088485E-3</v>
      </c>
      <c r="T679" s="41">
        <f t="shared" si="189"/>
        <v>0.18767287919935016</v>
      </c>
      <c r="U679" s="41">
        <f t="shared" si="206"/>
        <v>0</v>
      </c>
      <c r="V679" s="41">
        <f t="shared" si="207"/>
        <v>9.6393873925384455E-3</v>
      </c>
      <c r="W679" s="39">
        <f t="shared" si="193"/>
        <v>299.29000000000002</v>
      </c>
      <c r="X679" s="21"/>
    </row>
    <row r="680" spans="1:24" x14ac:dyDescent="0.2">
      <c r="A680" s="38">
        <v>45929</v>
      </c>
      <c r="B680" s="39">
        <v>303.02</v>
      </c>
      <c r="C680" s="39">
        <v>663.68</v>
      </c>
      <c r="D680" s="39">
        <v>44.59</v>
      </c>
      <c r="E680" s="41">
        <f t="shared" si="194"/>
        <v>1.2462828694576933E-2</v>
      </c>
      <c r="F680" s="41">
        <f t="shared" si="195"/>
        <v>2.8104318394728267E-3</v>
      </c>
      <c r="G680" s="41">
        <f t="shared" si="196"/>
        <v>3.8271049076992192E-3</v>
      </c>
      <c r="H680" s="41">
        <f t="shared" si="197"/>
        <v>0.68541075699426757</v>
      </c>
      <c r="I680" s="41">
        <f t="shared" si="198"/>
        <v>0.64086335204093836</v>
      </c>
      <c r="J680" s="41">
        <f t="shared" si="199"/>
        <v>7.1488645920941396E-2</v>
      </c>
      <c r="K680" s="42">
        <f t="shared" si="190"/>
        <v>168.54107569942713</v>
      </c>
      <c r="L680" s="42">
        <f t="shared" si="191"/>
        <v>164.08633520409421</v>
      </c>
      <c r="M680" s="42">
        <f t="shared" si="192"/>
        <v>107.14886459209421</v>
      </c>
      <c r="N680" s="41">
        <f t="shared" si="200"/>
        <v>2.7148759765961206E-2</v>
      </c>
      <c r="O680" s="41">
        <f t="shared" si="201"/>
        <v>0.57296184463593813</v>
      </c>
      <c r="P680" s="39">
        <f t="shared" si="202"/>
        <v>269.99517137697882</v>
      </c>
      <c r="Q680" s="42">
        <f t="shared" si="203"/>
        <v>1.6854107569942676</v>
      </c>
      <c r="R680" s="42">
        <f t="shared" si="204"/>
        <v>1.6854107569942676</v>
      </c>
      <c r="S680" s="41">
        <f t="shared" si="205"/>
        <v>0</v>
      </c>
      <c r="T680" s="41">
        <f t="shared" si="189"/>
        <v>0.1888809911584037</v>
      </c>
      <c r="U680" s="41">
        <f t="shared" si="206"/>
        <v>0</v>
      </c>
      <c r="V680" s="41">
        <f t="shared" si="207"/>
        <v>9.6523968551041062E-3</v>
      </c>
      <c r="W680" s="39">
        <f t="shared" si="193"/>
        <v>303.02</v>
      </c>
      <c r="X680" s="21"/>
    </row>
    <row r="681" spans="1:24" x14ac:dyDescent="0.2">
      <c r="A681" s="38">
        <v>45930</v>
      </c>
      <c r="B681" s="39">
        <v>307.62</v>
      </c>
      <c r="C681" s="39">
        <v>666.18</v>
      </c>
      <c r="D681" s="39">
        <v>44.81</v>
      </c>
      <c r="E681" s="41">
        <f t="shared" si="194"/>
        <v>1.5180516137548672E-2</v>
      </c>
      <c r="F681" s="41">
        <f t="shared" si="195"/>
        <v>3.7668756027000594E-3</v>
      </c>
      <c r="G681" s="41">
        <f t="shared" si="196"/>
        <v>4.9338416685356101E-3</v>
      </c>
      <c r="H681" s="41">
        <f t="shared" si="197"/>
        <v>0.71099616218921713</v>
      </c>
      <c r="I681" s="41">
        <f t="shared" si="198"/>
        <v>0.64704428016910609</v>
      </c>
      <c r="J681" s="41">
        <f t="shared" si="199"/>
        <v>7.6775201249548841E-2</v>
      </c>
      <c r="K681" s="42">
        <f t="shared" si="190"/>
        <v>171.09961621892208</v>
      </c>
      <c r="L681" s="42">
        <f t="shared" si="191"/>
        <v>164.70442801691098</v>
      </c>
      <c r="M681" s="42">
        <f t="shared" si="192"/>
        <v>107.67752012495495</v>
      </c>
      <c r="N681" s="41">
        <f t="shared" si="200"/>
        <v>3.8828271219001342E-2</v>
      </c>
      <c r="O681" s="41">
        <f t="shared" si="201"/>
        <v>0.58900034120741607</v>
      </c>
      <c r="P681" s="39">
        <f t="shared" si="202"/>
        <v>270.36954778118803</v>
      </c>
      <c r="Q681" s="42">
        <f t="shared" si="203"/>
        <v>1.7109961621892171</v>
      </c>
      <c r="R681" s="42">
        <f t="shared" si="204"/>
        <v>1.7109961621892171</v>
      </c>
      <c r="S681" s="41">
        <f t="shared" si="205"/>
        <v>0</v>
      </c>
      <c r="T681" s="41">
        <f t="shared" si="189"/>
        <v>0.19073549595940631</v>
      </c>
      <c r="U681" s="41">
        <f t="shared" si="206"/>
        <v>0</v>
      </c>
      <c r="V681" s="41">
        <f t="shared" si="207"/>
        <v>1.1413640534848613E-2</v>
      </c>
      <c r="W681" s="39">
        <f t="shared" si="193"/>
        <v>307.62</v>
      </c>
      <c r="X681" s="21"/>
    </row>
    <row r="682" spans="1:24" x14ac:dyDescent="0.2">
      <c r="A682" s="38">
        <v>45931</v>
      </c>
      <c r="B682" s="39">
        <v>301.64</v>
      </c>
      <c r="C682" s="39">
        <v>668.45</v>
      </c>
      <c r="D682" s="39">
        <v>44.34</v>
      </c>
      <c r="E682" s="41">
        <f t="shared" si="194"/>
        <v>-1.9439568298550203E-2</v>
      </c>
      <c r="F682" s="41">
        <f t="shared" si="195"/>
        <v>3.4074874658502896E-3</v>
      </c>
      <c r="G682" s="41">
        <f t="shared" si="196"/>
        <v>-1.0488730194153084E-2</v>
      </c>
      <c r="H682" s="41">
        <f t="shared" si="197"/>
        <v>0.67773513543578257</v>
      </c>
      <c r="I682" s="41">
        <f t="shared" si="198"/>
        <v>0.65265656290948271</v>
      </c>
      <c r="J682" s="41">
        <f t="shared" si="199"/>
        <v>6.5481196683887521E-2</v>
      </c>
      <c r="K682" s="42">
        <f t="shared" si="190"/>
        <v>167.77351354357862</v>
      </c>
      <c r="L682" s="42">
        <f t="shared" si="191"/>
        <v>165.26565629094864</v>
      </c>
      <c r="M682" s="42">
        <f t="shared" si="192"/>
        <v>106.54811966838879</v>
      </c>
      <c r="N682" s="41">
        <f t="shared" si="200"/>
        <v>1.5174703014006363E-2</v>
      </c>
      <c r="O682" s="41">
        <f t="shared" si="201"/>
        <v>0.5746266951096104</v>
      </c>
      <c r="P682" s="39">
        <f t="shared" si="202"/>
        <v>270.68069655948466</v>
      </c>
      <c r="Q682" s="42">
        <f t="shared" si="203"/>
        <v>1.6777351354357826</v>
      </c>
      <c r="R682" s="42">
        <f t="shared" si="204"/>
        <v>1.7109961621892171</v>
      </c>
      <c r="S682" s="41">
        <f t="shared" si="205"/>
        <v>-1.9439568298550203E-2</v>
      </c>
      <c r="T682" s="41">
        <f t="shared" si="189"/>
        <v>0.19574435295621853</v>
      </c>
      <c r="U682" s="41">
        <f t="shared" si="206"/>
        <v>-1.9595218161341466E-2</v>
      </c>
      <c r="V682" s="41">
        <f t="shared" si="207"/>
        <v>-2.2847055764400492E-2</v>
      </c>
      <c r="W682" s="39">
        <f t="shared" si="193"/>
        <v>301.64</v>
      </c>
      <c r="X682" s="21"/>
    </row>
    <row r="683" spans="1:24" x14ac:dyDescent="0.2">
      <c r="A683" s="38">
        <v>45932</v>
      </c>
      <c r="B683" s="39">
        <v>303.37</v>
      </c>
      <c r="C683" s="39">
        <v>669.22</v>
      </c>
      <c r="D683" s="39">
        <v>44.854999999999997</v>
      </c>
      <c r="E683" s="41">
        <f t="shared" si="194"/>
        <v>5.7353136188835752E-3</v>
      </c>
      <c r="F683" s="41">
        <f t="shared" si="195"/>
        <v>1.1519186176975893E-3</v>
      </c>
      <c r="G683" s="41">
        <f t="shared" si="196"/>
        <v>1.1614794767703884E-2</v>
      </c>
      <c r="H683" s="41">
        <f t="shared" si="197"/>
        <v>0.68735747260692692</v>
      </c>
      <c r="I683" s="41">
        <f t="shared" si="198"/>
        <v>0.65456028877295824</v>
      </c>
      <c r="J683" s="41">
        <f t="shared" si="199"/>
        <v>7.7856542112218374E-2</v>
      </c>
      <c r="K683" s="42">
        <f t="shared" si="190"/>
        <v>168.73574726069305</v>
      </c>
      <c r="L683" s="42">
        <f t="shared" si="191"/>
        <v>165.45602887729621</v>
      </c>
      <c r="M683" s="42">
        <f t="shared" si="192"/>
        <v>107.78565421122191</v>
      </c>
      <c r="N683" s="41">
        <f t="shared" si="200"/>
        <v>1.9822296024215369E-2</v>
      </c>
      <c r="O683" s="41">
        <f t="shared" si="201"/>
        <v>0.56547500217450253</v>
      </c>
      <c r="P683" s="39">
        <f t="shared" si="202"/>
        <v>271.00596326038533</v>
      </c>
      <c r="Q683" s="42">
        <f t="shared" si="203"/>
        <v>1.6873574726069269</v>
      </c>
      <c r="R683" s="42">
        <f t="shared" si="204"/>
        <v>1.7109961621892171</v>
      </c>
      <c r="S683" s="41">
        <f t="shared" si="205"/>
        <v>-1.3815746700474474E-2</v>
      </c>
      <c r="T683" s="41">
        <f t="shared" si="189"/>
        <v>0.19455343675980658</v>
      </c>
      <c r="U683" s="41">
        <f t="shared" si="206"/>
        <v>0</v>
      </c>
      <c r="V683" s="41">
        <f t="shared" si="207"/>
        <v>4.5833950011859859E-3</v>
      </c>
      <c r="W683" s="39">
        <f t="shared" si="193"/>
        <v>303.37</v>
      </c>
      <c r="X683" s="21"/>
    </row>
    <row r="684" spans="1:24" x14ac:dyDescent="0.2">
      <c r="A684" s="38">
        <v>45933</v>
      </c>
      <c r="B684" s="39">
        <v>304.7</v>
      </c>
      <c r="C684" s="39">
        <v>669.21</v>
      </c>
      <c r="D684" s="39">
        <v>44.93</v>
      </c>
      <c r="E684" s="41">
        <f t="shared" si="194"/>
        <v>4.3840854402215079E-3</v>
      </c>
      <c r="F684" s="41">
        <f t="shared" si="195"/>
        <v>-1.4942769194004057E-5</v>
      </c>
      <c r="G684" s="41">
        <f t="shared" si="196"/>
        <v>1.6720543975030644E-3</v>
      </c>
      <c r="H684" s="41">
        <f t="shared" si="197"/>
        <v>0.69475499193503198</v>
      </c>
      <c r="I684" s="41">
        <f t="shared" si="198"/>
        <v>0.65453556506044563</v>
      </c>
      <c r="J684" s="41">
        <f t="shared" si="199"/>
        <v>7.9658776883334559E-2</v>
      </c>
      <c r="K684" s="42">
        <f t="shared" si="190"/>
        <v>169.47549919350354</v>
      </c>
      <c r="L684" s="42">
        <f t="shared" si="191"/>
        <v>165.45355650604495</v>
      </c>
      <c r="M684" s="42">
        <f t="shared" si="192"/>
        <v>107.96587768833352</v>
      </c>
      <c r="N684" s="41">
        <f t="shared" si="200"/>
        <v>2.4308590110673656E-2</v>
      </c>
      <c r="O684" s="41">
        <f t="shared" si="201"/>
        <v>0.56971353192469198</v>
      </c>
      <c r="P684" s="39">
        <f t="shared" si="202"/>
        <v>271.34122730754564</v>
      </c>
      <c r="Q684" s="42">
        <f t="shared" si="203"/>
        <v>1.694754991935032</v>
      </c>
      <c r="R684" s="42">
        <f t="shared" si="204"/>
        <v>1.7109961621892171</v>
      </c>
      <c r="S684" s="41">
        <f t="shared" si="205"/>
        <v>-9.4922306742082352E-3</v>
      </c>
      <c r="T684" s="41">
        <f t="shared" si="189"/>
        <v>0.19460603495841264</v>
      </c>
      <c r="U684" s="41">
        <f t="shared" si="206"/>
        <v>0</v>
      </c>
      <c r="V684" s="41">
        <f t="shared" si="207"/>
        <v>4.399028209415512E-3</v>
      </c>
      <c r="W684" s="39">
        <f t="shared" si="193"/>
        <v>304.7</v>
      </c>
      <c r="X684" s="21"/>
    </row>
    <row r="685" spans="1:24" x14ac:dyDescent="0.2">
      <c r="A685" s="38">
        <v>45936</v>
      </c>
      <c r="B685" s="39">
        <v>304.67</v>
      </c>
      <c r="C685" s="39">
        <v>671.61</v>
      </c>
      <c r="D685" s="39">
        <v>44.89</v>
      </c>
      <c r="E685" s="41">
        <f t="shared" si="194"/>
        <v>-9.8457499179471775E-5</v>
      </c>
      <c r="F685" s="41">
        <f t="shared" si="195"/>
        <v>3.5863181960820167E-3</v>
      </c>
      <c r="G685" s="41">
        <f t="shared" si="196"/>
        <v>-8.9027375918093732E-4</v>
      </c>
      <c r="H685" s="41">
        <f t="shared" si="197"/>
        <v>0.69458813059680424</v>
      </c>
      <c r="I685" s="41">
        <f t="shared" si="198"/>
        <v>0.66046925606348683</v>
      </c>
      <c r="J685" s="41">
        <f t="shared" si="199"/>
        <v>7.8697585005405912E-2</v>
      </c>
      <c r="K685" s="42">
        <f t="shared" si="190"/>
        <v>169.45881305968075</v>
      </c>
      <c r="L685" s="42">
        <f t="shared" si="191"/>
        <v>166.04692560634905</v>
      </c>
      <c r="M685" s="42">
        <f t="shared" si="192"/>
        <v>107.86975850054066</v>
      </c>
      <c r="N685" s="41">
        <f t="shared" si="200"/>
        <v>2.0547730353167593E-2</v>
      </c>
      <c r="O685" s="41">
        <f t="shared" si="201"/>
        <v>0.57095756415206189</v>
      </c>
      <c r="P685" s="39">
        <f t="shared" si="202"/>
        <v>271.67285688657506</v>
      </c>
      <c r="Q685" s="42">
        <f t="shared" si="203"/>
        <v>1.6945881305968042</v>
      </c>
      <c r="R685" s="42">
        <f t="shared" si="204"/>
        <v>1.7109961621892171</v>
      </c>
      <c r="S685" s="41">
        <f t="shared" si="205"/>
        <v>-9.5897535920939081E-3</v>
      </c>
      <c r="T685" s="41">
        <f t="shared" si="189"/>
        <v>0.1938668540558349</v>
      </c>
      <c r="U685" s="41">
        <f t="shared" si="206"/>
        <v>-2.5410736197073458E-4</v>
      </c>
      <c r="V685" s="41">
        <f t="shared" si="207"/>
        <v>-3.6847756952614885E-3</v>
      </c>
      <c r="W685" s="39">
        <f t="shared" si="193"/>
        <v>304.67</v>
      </c>
      <c r="X685" s="21"/>
    </row>
    <row r="686" spans="1:24" x14ac:dyDescent="0.2">
      <c r="A686" s="38">
        <v>45937</v>
      </c>
      <c r="B686" s="39">
        <v>300.89999999999998</v>
      </c>
      <c r="C686" s="39">
        <v>669.12</v>
      </c>
      <c r="D686" s="39">
        <v>44.71</v>
      </c>
      <c r="E686" s="41">
        <f t="shared" si="194"/>
        <v>-1.2374044047658295E-2</v>
      </c>
      <c r="F686" s="41">
        <f t="shared" si="195"/>
        <v>-3.70750882208426E-3</v>
      </c>
      <c r="G686" s="41">
        <f t="shared" si="196"/>
        <v>-4.0098017375806982E-3</v>
      </c>
      <c r="H686" s="41">
        <f t="shared" si="197"/>
        <v>0.67361922242616057</v>
      </c>
      <c r="I686" s="41">
        <f t="shared" si="198"/>
        <v>0.65431305164783171</v>
      </c>
      <c r="J686" s="41">
        <f t="shared" si="199"/>
        <v>7.4372221554727114E-2</v>
      </c>
      <c r="K686" s="42">
        <f t="shared" si="190"/>
        <v>167.3619222426164</v>
      </c>
      <c r="L686" s="42">
        <f t="shared" si="191"/>
        <v>165.43130516478354</v>
      </c>
      <c r="M686" s="42">
        <f t="shared" si="192"/>
        <v>107.43722215547278</v>
      </c>
      <c r="N686" s="41">
        <f t="shared" si="200"/>
        <v>1.1670203991377859E-2</v>
      </c>
      <c r="O686" s="41">
        <f t="shared" si="201"/>
        <v>0.5577647940341024</v>
      </c>
      <c r="P686" s="39">
        <f t="shared" si="202"/>
        <v>271.96367423098724</v>
      </c>
      <c r="Q686" s="42">
        <f t="shared" si="203"/>
        <v>1.6736192224261606</v>
      </c>
      <c r="R686" s="42">
        <f t="shared" si="204"/>
        <v>1.7109961621892171</v>
      </c>
      <c r="S686" s="41">
        <f t="shared" si="205"/>
        <v>-2.1845133606397393E-2</v>
      </c>
      <c r="T686" s="41">
        <f t="shared" si="189"/>
        <v>0.19611307295049429</v>
      </c>
      <c r="U686" s="41">
        <f t="shared" si="206"/>
        <v>-1.2529693910449557E-2</v>
      </c>
      <c r="V686" s="41">
        <f t="shared" si="207"/>
        <v>-8.6665352255740347E-3</v>
      </c>
      <c r="W686" s="39">
        <f t="shared" si="193"/>
        <v>300.89999999999998</v>
      </c>
      <c r="X686" s="21"/>
    </row>
    <row r="687" spans="1:24" x14ac:dyDescent="0.2">
      <c r="A687" s="38">
        <v>45938</v>
      </c>
      <c r="B687" s="39">
        <v>304.43</v>
      </c>
      <c r="C687" s="39">
        <v>673.11</v>
      </c>
      <c r="D687" s="39">
        <v>44.95</v>
      </c>
      <c r="E687" s="41">
        <f t="shared" si="194"/>
        <v>1.1731472249917108E-2</v>
      </c>
      <c r="F687" s="41">
        <f t="shared" si="195"/>
        <v>5.9630559540888584E-3</v>
      </c>
      <c r="G687" s="41">
        <f t="shared" si="196"/>
        <v>5.3679266383359625E-3</v>
      </c>
      <c r="H687" s="41">
        <f t="shared" si="197"/>
        <v>0.69325323989098098</v>
      </c>
      <c r="I687" s="41">
        <f t="shared" si="198"/>
        <v>0.66417781294038725</v>
      </c>
      <c r="J687" s="41">
        <f t="shared" si="199"/>
        <v>8.0139372822298993E-2</v>
      </c>
      <c r="K687" s="42">
        <f t="shared" si="190"/>
        <v>169.32532398909842</v>
      </c>
      <c r="L687" s="42">
        <f t="shared" si="191"/>
        <v>166.41778129403912</v>
      </c>
      <c r="M687" s="42">
        <f t="shared" si="192"/>
        <v>108.01393728222996</v>
      </c>
      <c r="N687" s="41">
        <f t="shared" si="200"/>
        <v>1.7471346345629524E-2</v>
      </c>
      <c r="O687" s="41">
        <f t="shared" si="201"/>
        <v>0.567624773705522</v>
      </c>
      <c r="P687" s="39">
        <f t="shared" si="202"/>
        <v>272.28672224858934</v>
      </c>
      <c r="Q687" s="42">
        <f t="shared" si="203"/>
        <v>1.693253239890981</v>
      </c>
      <c r="R687" s="42">
        <f t="shared" si="204"/>
        <v>1.7109961621892171</v>
      </c>
      <c r="S687" s="41">
        <f t="shared" si="205"/>
        <v>-1.0369936935179402E-2</v>
      </c>
      <c r="T687" s="41">
        <f t="shared" si="189"/>
        <v>0.18472259913058486</v>
      </c>
      <c r="U687" s="41">
        <f t="shared" si="206"/>
        <v>0</v>
      </c>
      <c r="V687" s="41">
        <f t="shared" si="207"/>
        <v>5.7684162958282492E-3</v>
      </c>
      <c r="W687" s="39">
        <f t="shared" si="193"/>
        <v>304.43</v>
      </c>
      <c r="X687" s="21"/>
    </row>
    <row r="688" spans="1:24" x14ac:dyDescent="0.2">
      <c r="A688" s="38">
        <v>45939</v>
      </c>
      <c r="B688" s="39">
        <v>302.89999999999998</v>
      </c>
      <c r="C688" s="39">
        <v>671.16</v>
      </c>
      <c r="D688" s="39">
        <v>44.335000000000001</v>
      </c>
      <c r="E688" s="41">
        <f t="shared" si="194"/>
        <v>-5.0257858949512846E-3</v>
      </c>
      <c r="F688" s="41">
        <f t="shared" si="195"/>
        <v>-2.8970004902616475E-3</v>
      </c>
      <c r="G688" s="41">
        <f t="shared" si="196"/>
        <v>-1.3681868743047887E-2</v>
      </c>
      <c r="H688" s="41">
        <f t="shared" si="197"/>
        <v>0.68474331164135638</v>
      </c>
      <c r="I688" s="41">
        <f t="shared" si="198"/>
        <v>0.65935668900041633</v>
      </c>
      <c r="J688" s="41">
        <f t="shared" si="199"/>
        <v>6.5361047699146191E-2</v>
      </c>
      <c r="K688" s="42">
        <f t="shared" si="190"/>
        <v>168.47433116413592</v>
      </c>
      <c r="L688" s="42">
        <f t="shared" si="191"/>
        <v>165.935668900042</v>
      </c>
      <c r="M688" s="42">
        <f t="shared" si="192"/>
        <v>106.53610476991469</v>
      </c>
      <c r="N688" s="41">
        <f t="shared" si="200"/>
        <v>1.5299075123042183E-2</v>
      </c>
      <c r="O688" s="41">
        <f t="shared" si="201"/>
        <v>0.58138249495782324</v>
      </c>
      <c r="P688" s="39">
        <f t="shared" si="202"/>
        <v>272.59133197745911</v>
      </c>
      <c r="Q688" s="42">
        <f t="shared" si="203"/>
        <v>1.6847433116413564</v>
      </c>
      <c r="R688" s="42">
        <f t="shared" si="204"/>
        <v>1.7109961621892171</v>
      </c>
      <c r="S688" s="41">
        <f t="shared" si="205"/>
        <v>-1.5343605747350275E-2</v>
      </c>
      <c r="T688" s="41">
        <f t="shared" si="189"/>
        <v>0.18495082692013884</v>
      </c>
      <c r="U688" s="41">
        <f t="shared" si="206"/>
        <v>-5.1814357577425474E-3</v>
      </c>
      <c r="V688" s="41">
        <f t="shared" si="207"/>
        <v>-2.1287854046896371E-3</v>
      </c>
      <c r="W688" s="39">
        <f t="shared" si="193"/>
        <v>302.89999999999998</v>
      </c>
      <c r="X688" s="21"/>
    </row>
    <row r="689" spans="1:24" x14ac:dyDescent="0.2">
      <c r="A689" s="38">
        <v>45940</v>
      </c>
      <c r="B689" s="39">
        <v>301.43</v>
      </c>
      <c r="C689" s="39">
        <v>653.02</v>
      </c>
      <c r="D689" s="39">
        <v>43.424999999999997</v>
      </c>
      <c r="E689" s="41">
        <f t="shared" si="194"/>
        <v>-4.8530868273356509E-3</v>
      </c>
      <c r="F689" s="41">
        <f t="shared" si="195"/>
        <v>-2.7027832409559527E-2</v>
      </c>
      <c r="G689" s="41">
        <f t="shared" si="196"/>
        <v>-2.0525544152475539E-2</v>
      </c>
      <c r="H689" s="41">
        <f t="shared" si="197"/>
        <v>0.67656710606818793</v>
      </c>
      <c r="I689" s="41">
        <f t="shared" si="198"/>
        <v>0.61450787450243149</v>
      </c>
      <c r="J689" s="41">
        <f t="shared" si="199"/>
        <v>4.3493932476269759E-2</v>
      </c>
      <c r="K689" s="42">
        <f t="shared" si="190"/>
        <v>167.65671060681908</v>
      </c>
      <c r="L689" s="42">
        <f t="shared" si="191"/>
        <v>161.4507874502435</v>
      </c>
      <c r="M689" s="42">
        <f t="shared" si="192"/>
        <v>104.34939324762705</v>
      </c>
      <c r="N689" s="41">
        <f t="shared" si="200"/>
        <v>3.8438481809747849E-2</v>
      </c>
      <c r="O689" s="41">
        <f t="shared" si="201"/>
        <v>0.60668601310368908</v>
      </c>
      <c r="P689" s="39">
        <f t="shared" si="202"/>
        <v>272.87828389808141</v>
      </c>
      <c r="Q689" s="42">
        <f t="shared" si="203"/>
        <v>1.6765671060681879</v>
      </c>
      <c r="R689" s="42">
        <f t="shared" si="204"/>
        <v>1.7109961621892171</v>
      </c>
      <c r="S689" s="41">
        <f t="shared" si="205"/>
        <v>-2.012222872374958E-2</v>
      </c>
      <c r="T689" s="41">
        <f t="shared" si="189"/>
        <v>0.18504794976853214</v>
      </c>
      <c r="U689" s="41">
        <f t="shared" si="206"/>
        <v>-5.0087366901269137E-3</v>
      </c>
      <c r="V689" s="41">
        <f t="shared" si="207"/>
        <v>2.2174745582223876E-2</v>
      </c>
      <c r="W689" s="39">
        <f t="shared" si="193"/>
        <v>301.43</v>
      </c>
      <c r="X689" s="21"/>
    </row>
    <row r="690" spans="1:24" x14ac:dyDescent="0.2">
      <c r="A690" s="38">
        <v>45943</v>
      </c>
      <c r="B690" s="39">
        <v>302.75</v>
      </c>
      <c r="C690" s="39">
        <v>663.04</v>
      </c>
      <c r="D690" s="39">
        <v>44.115000000000002</v>
      </c>
      <c r="E690" s="41">
        <f t="shared" si="194"/>
        <v>4.3791261652788016E-3</v>
      </c>
      <c r="F690" s="41">
        <f t="shared" si="195"/>
        <v>1.5344093595908159E-2</v>
      </c>
      <c r="G690" s="41">
        <f t="shared" si="196"/>
        <v>1.5889464594127878E-2</v>
      </c>
      <c r="H690" s="41">
        <f t="shared" si="197"/>
        <v>0.68390900495021678</v>
      </c>
      <c r="I690" s="41">
        <f t="shared" si="198"/>
        <v>0.63928103444012763</v>
      </c>
      <c r="J690" s="41">
        <f t="shared" si="199"/>
        <v>6.0074492370538746E-2</v>
      </c>
      <c r="K690" s="42">
        <f t="shared" si="190"/>
        <v>168.39090049502198</v>
      </c>
      <c r="L690" s="42">
        <f t="shared" si="191"/>
        <v>163.92810344401315</v>
      </c>
      <c r="M690" s="42">
        <f t="shared" si="192"/>
        <v>106.00744923705395</v>
      </c>
      <c r="N690" s="41">
        <f t="shared" si="200"/>
        <v>2.722411201769992E-2</v>
      </c>
      <c r="O690" s="41">
        <f t="shared" si="201"/>
        <v>0.58848176903555061</v>
      </c>
      <c r="P690" s="39">
        <f t="shared" si="202"/>
        <v>273.17551490407061</v>
      </c>
      <c r="Q690" s="42">
        <f t="shared" si="203"/>
        <v>1.6839090049502168</v>
      </c>
      <c r="R690" s="42">
        <f t="shared" si="204"/>
        <v>1.7109961621892171</v>
      </c>
      <c r="S690" s="41">
        <f t="shared" si="205"/>
        <v>-1.5831220336778751E-2</v>
      </c>
      <c r="T690" s="41">
        <f t="shared" si="189"/>
        <v>0.18359794510223865</v>
      </c>
      <c r="U690" s="41">
        <f t="shared" si="206"/>
        <v>0</v>
      </c>
      <c r="V690" s="41">
        <f t="shared" si="207"/>
        <v>-1.0964967430629358E-2</v>
      </c>
      <c r="W690" s="39">
        <f t="shared" si="193"/>
        <v>302.75</v>
      </c>
      <c r="X690" s="21"/>
    </row>
    <row r="691" spans="1:24" x14ac:dyDescent="0.2">
      <c r="A691" s="38">
        <v>45944</v>
      </c>
      <c r="B691" s="39">
        <v>309.07</v>
      </c>
      <c r="C691" s="39">
        <v>662.23</v>
      </c>
      <c r="D691" s="39">
        <v>44.555</v>
      </c>
      <c r="E691" s="41">
        <f t="shared" si="194"/>
        <v>2.0875309661436914E-2</v>
      </c>
      <c r="F691" s="41">
        <f t="shared" si="195"/>
        <v>-1.2216457528956282E-3</v>
      </c>
      <c r="G691" s="41">
        <f t="shared" si="196"/>
        <v>9.9739317692393303E-3</v>
      </c>
      <c r="H691" s="41">
        <f t="shared" si="197"/>
        <v>0.71906112687023471</v>
      </c>
      <c r="I691" s="41">
        <f t="shared" si="198"/>
        <v>0.63727841372660143</v>
      </c>
      <c r="J691" s="41">
        <f t="shared" si="199"/>
        <v>7.0647603027753414E-2</v>
      </c>
      <c r="K691" s="42">
        <f t="shared" si="190"/>
        <v>171.90611268702375</v>
      </c>
      <c r="L691" s="42">
        <f t="shared" si="191"/>
        <v>163.72784137266052</v>
      </c>
      <c r="M691" s="42">
        <f t="shared" si="192"/>
        <v>107.06476030277543</v>
      </c>
      <c r="N691" s="41">
        <f t="shared" si="200"/>
        <v>4.9950400895769409E-2</v>
      </c>
      <c r="O691" s="41">
        <f t="shared" si="201"/>
        <v>0.60562739972404644</v>
      </c>
      <c r="P691" s="39">
        <f t="shared" si="202"/>
        <v>273.53267395975155</v>
      </c>
      <c r="Q691" s="42">
        <f t="shared" si="203"/>
        <v>1.7190611268702347</v>
      </c>
      <c r="R691" s="42">
        <f t="shared" si="204"/>
        <v>1.7190611268702347</v>
      </c>
      <c r="S691" s="41">
        <f t="shared" si="205"/>
        <v>0</v>
      </c>
      <c r="T691" s="41">
        <f t="shared" si="189"/>
        <v>0.18672122168585342</v>
      </c>
      <c r="U691" s="41">
        <f t="shared" si="206"/>
        <v>0</v>
      </c>
      <c r="V691" s="41">
        <f t="shared" si="207"/>
        <v>2.2096955414332542E-2</v>
      </c>
      <c r="W691" s="39">
        <f t="shared" si="193"/>
        <v>309.07</v>
      </c>
      <c r="X691" s="21"/>
    </row>
    <row r="692" spans="1:24" x14ac:dyDescent="0.2">
      <c r="A692" s="38">
        <v>45945</v>
      </c>
      <c r="B692" s="39">
        <v>303.10000000000002</v>
      </c>
      <c r="C692" s="39">
        <v>665.17</v>
      </c>
      <c r="D692" s="39">
        <v>44.354999999999997</v>
      </c>
      <c r="E692" s="41">
        <f t="shared" si="194"/>
        <v>-1.931601255379034E-2</v>
      </c>
      <c r="F692" s="41">
        <f t="shared" si="195"/>
        <v>4.4395451731271685E-3</v>
      </c>
      <c r="G692" s="41">
        <f t="shared" si="196"/>
        <v>-4.4888340253619319E-3</v>
      </c>
      <c r="H692" s="41">
        <f t="shared" si="197"/>
        <v>0.68585572056287636</v>
      </c>
      <c r="I692" s="41">
        <f t="shared" si="198"/>
        <v>0.64454718520532661</v>
      </c>
      <c r="J692" s="41">
        <f t="shared" si="199"/>
        <v>6.5841643638110181E-2</v>
      </c>
      <c r="K692" s="42">
        <f t="shared" si="190"/>
        <v>168.5855720562879</v>
      </c>
      <c r="L692" s="42">
        <f t="shared" si="191"/>
        <v>164.45471852053302</v>
      </c>
      <c r="M692" s="42">
        <f t="shared" si="192"/>
        <v>106.58416436381111</v>
      </c>
      <c r="N692" s="41">
        <f t="shared" si="200"/>
        <v>2.5118485945048841E-2</v>
      </c>
      <c r="O692" s="41">
        <f t="shared" si="201"/>
        <v>0.58171312842349621</v>
      </c>
      <c r="P692" s="39">
        <f t="shared" si="202"/>
        <v>273.82687620890823</v>
      </c>
      <c r="Q692" s="42">
        <f t="shared" si="203"/>
        <v>1.6858557205628764</v>
      </c>
      <c r="R692" s="42">
        <f t="shared" si="204"/>
        <v>1.7190611268702347</v>
      </c>
      <c r="S692" s="41">
        <f t="shared" si="205"/>
        <v>-1.931601255379034E-2</v>
      </c>
      <c r="T692" s="41">
        <f t="shared" si="189"/>
        <v>0.19130778060513534</v>
      </c>
      <c r="U692" s="41">
        <f t="shared" si="206"/>
        <v>-1.9471662416581603E-2</v>
      </c>
      <c r="V692" s="41">
        <f t="shared" si="207"/>
        <v>-2.3755557726917509E-2</v>
      </c>
      <c r="W692" s="39">
        <f t="shared" si="193"/>
        <v>303.10000000000002</v>
      </c>
      <c r="X692" s="21"/>
    </row>
    <row r="693" spans="1:24" x14ac:dyDescent="0.2">
      <c r="A693" s="38">
        <v>45946</v>
      </c>
      <c r="B693" s="39">
        <v>296.23</v>
      </c>
      <c r="C693" s="39">
        <v>660.64</v>
      </c>
      <c r="D693" s="39">
        <v>44.024999999999999</v>
      </c>
      <c r="E693" s="41">
        <f t="shared" si="194"/>
        <v>-2.2665786869020099E-2</v>
      </c>
      <c r="F693" s="41">
        <f t="shared" si="195"/>
        <v>-6.8102890990272558E-3</v>
      </c>
      <c r="G693" s="41">
        <f t="shared" si="196"/>
        <v>-7.4399729455528751E-3</v>
      </c>
      <c r="H693" s="41">
        <f t="shared" si="197"/>
        <v>0.64764447410867998</v>
      </c>
      <c r="I693" s="41">
        <f t="shared" si="198"/>
        <v>0.63334734343708687</v>
      </c>
      <c r="J693" s="41">
        <f t="shared" si="199"/>
        <v>5.7911810645199013E-2</v>
      </c>
      <c r="K693" s="42">
        <f t="shared" si="190"/>
        <v>164.76444741086823</v>
      </c>
      <c r="L693" s="42">
        <f t="shared" si="191"/>
        <v>163.33473434370904</v>
      </c>
      <c r="M693" s="42">
        <f t="shared" si="192"/>
        <v>105.79118106451999</v>
      </c>
      <c r="N693" s="41">
        <f t="shared" si="200"/>
        <v>8.7532702269605966E-3</v>
      </c>
      <c r="O693" s="41">
        <f t="shared" si="201"/>
        <v>0.55744973969410072</v>
      </c>
      <c r="P693" s="39">
        <f t="shared" si="202"/>
        <v>274.04979286354597</v>
      </c>
      <c r="Q693" s="42">
        <f t="shared" si="203"/>
        <v>1.64764447410868</v>
      </c>
      <c r="R693" s="42">
        <f t="shared" si="204"/>
        <v>1.7190611268702347</v>
      </c>
      <c r="S693" s="41">
        <f t="shared" si="205"/>
        <v>-4.1543986799106869E-2</v>
      </c>
      <c r="T693" s="41">
        <f t="shared" si="189"/>
        <v>0.19783325300671817</v>
      </c>
      <c r="U693" s="41">
        <f t="shared" si="206"/>
        <v>-2.2821436731811362E-2</v>
      </c>
      <c r="V693" s="41">
        <f t="shared" si="207"/>
        <v>-1.5855497769992843E-2</v>
      </c>
      <c r="W693" s="39">
        <f t="shared" si="193"/>
        <v>296.23</v>
      </c>
      <c r="X693" s="21"/>
    </row>
    <row r="694" spans="1:24" x14ac:dyDescent="0.2">
      <c r="A694" s="38">
        <v>45947</v>
      </c>
      <c r="B694" s="39">
        <v>295.35000000000002</v>
      </c>
      <c r="C694" s="39">
        <v>664.39</v>
      </c>
      <c r="D694" s="39">
        <v>43.94</v>
      </c>
      <c r="E694" s="41">
        <f t="shared" si="194"/>
        <v>-2.9706646862235342E-3</v>
      </c>
      <c r="F694" s="41">
        <f t="shared" si="195"/>
        <v>5.6763138774522659E-3</v>
      </c>
      <c r="G694" s="41">
        <f t="shared" si="196"/>
        <v>-1.9307211811471214E-3</v>
      </c>
      <c r="H694" s="41">
        <f t="shared" si="197"/>
        <v>0.64274987485399393</v>
      </c>
      <c r="I694" s="41">
        <f t="shared" si="198"/>
        <v>0.64261873562933869</v>
      </c>
      <c r="J694" s="41">
        <f t="shared" si="199"/>
        <v>5.5869277904600612E-2</v>
      </c>
      <c r="K694" s="42">
        <f t="shared" si="190"/>
        <v>164.27498748539966</v>
      </c>
      <c r="L694" s="42">
        <f t="shared" si="191"/>
        <v>164.2618735629342</v>
      </c>
      <c r="M694" s="42">
        <f t="shared" si="192"/>
        <v>105.58692779046015</v>
      </c>
      <c r="N694" s="41">
        <f t="shared" si="200"/>
        <v>7.983546139511688E-5</v>
      </c>
      <c r="O694" s="41">
        <f t="shared" si="201"/>
        <v>0.55582694679219458</v>
      </c>
      <c r="P694" s="39">
        <f t="shared" si="202"/>
        <v>274.26173522311268</v>
      </c>
      <c r="Q694" s="42">
        <f t="shared" si="203"/>
        <v>1.6427498748539939</v>
      </c>
      <c r="R694" s="42">
        <f t="shared" si="204"/>
        <v>1.7190611268702347</v>
      </c>
      <c r="S694" s="41">
        <f t="shared" si="205"/>
        <v>-4.4391238230821362E-2</v>
      </c>
      <c r="T694" s="41">
        <f t="shared" si="189"/>
        <v>0.1975274376078465</v>
      </c>
      <c r="U694" s="41">
        <f t="shared" si="206"/>
        <v>-3.126314549014797E-3</v>
      </c>
      <c r="V694" s="41">
        <f t="shared" si="207"/>
        <v>-8.6469785636758001E-3</v>
      </c>
      <c r="W694" s="39">
        <f t="shared" si="193"/>
        <v>295.35000000000002</v>
      </c>
      <c r="X694" s="21"/>
    </row>
    <row r="695" spans="1:24" x14ac:dyDescent="0.2">
      <c r="A695" s="38">
        <v>45950</v>
      </c>
      <c r="B695" s="39">
        <v>295.47000000000003</v>
      </c>
      <c r="C695" s="39">
        <v>671.3</v>
      </c>
      <c r="D695" s="39">
        <v>44.465000000000003</v>
      </c>
      <c r="E695" s="41">
        <f t="shared" si="194"/>
        <v>4.0629761300148282E-4</v>
      </c>
      <c r="F695" s="41">
        <f t="shared" si="195"/>
        <v>1.0400517768178297E-2</v>
      </c>
      <c r="G695" s="41">
        <f t="shared" si="196"/>
        <v>1.1948111060537281E-2</v>
      </c>
      <c r="H695" s="41">
        <f t="shared" si="197"/>
        <v>0.64341732020690556</v>
      </c>
      <c r="I695" s="41">
        <f t="shared" si="198"/>
        <v>0.65970282097559418</v>
      </c>
      <c r="J695" s="41">
        <f t="shared" si="199"/>
        <v>6.8484921302414126E-2</v>
      </c>
      <c r="K695" s="42">
        <f t="shared" si="190"/>
        <v>164.34173202069081</v>
      </c>
      <c r="L695" s="42">
        <f t="shared" si="191"/>
        <v>165.97028209755976</v>
      </c>
      <c r="M695" s="42">
        <f t="shared" si="192"/>
        <v>106.8484921302415</v>
      </c>
      <c r="N695" s="41">
        <f t="shared" si="200"/>
        <v>-9.8122992639825268E-3</v>
      </c>
      <c r="O695" s="41">
        <f t="shared" si="201"/>
        <v>0.53808190217947671</v>
      </c>
      <c r="P695" s="39">
        <f t="shared" si="202"/>
        <v>274.47276273333046</v>
      </c>
      <c r="Q695" s="42">
        <f t="shared" si="203"/>
        <v>1.6434173202069056</v>
      </c>
      <c r="R695" s="42">
        <f t="shared" si="204"/>
        <v>1.7190611268702347</v>
      </c>
      <c r="S695" s="41">
        <f t="shared" si="205"/>
        <v>-4.4002976671951188E-2</v>
      </c>
      <c r="T695" s="41">
        <f t="shared" si="189"/>
        <v>0.19618193481227597</v>
      </c>
      <c r="U695" s="41">
        <f t="shared" si="206"/>
        <v>0</v>
      </c>
      <c r="V695" s="41">
        <f t="shared" si="207"/>
        <v>-9.9942201551768139E-3</v>
      </c>
      <c r="W695" s="39">
        <f t="shared" si="193"/>
        <v>295.47000000000003</v>
      </c>
      <c r="X695" s="21"/>
    </row>
    <row r="696" spans="1:24" x14ac:dyDescent="0.2">
      <c r="A696" s="38">
        <v>45951</v>
      </c>
      <c r="B696" s="39">
        <v>297.57</v>
      </c>
      <c r="C696" s="39">
        <v>671.29</v>
      </c>
      <c r="D696" s="39">
        <v>44.295000000000002</v>
      </c>
      <c r="E696" s="41">
        <f t="shared" si="194"/>
        <v>7.1073205401561701E-3</v>
      </c>
      <c r="F696" s="41">
        <f t="shared" si="195"/>
        <v>-1.4896469536673784E-5</v>
      </c>
      <c r="G696" s="41">
        <f t="shared" si="196"/>
        <v>-3.8232317553131834E-3</v>
      </c>
      <c r="H696" s="41">
        <f t="shared" si="197"/>
        <v>0.65509761388286059</v>
      </c>
      <c r="I696" s="41">
        <f t="shared" si="198"/>
        <v>0.65967809726308158</v>
      </c>
      <c r="J696" s="41">
        <f t="shared" si="199"/>
        <v>6.4399855821217322E-2</v>
      </c>
      <c r="K696" s="42">
        <f t="shared" si="190"/>
        <v>165.50976138828634</v>
      </c>
      <c r="L696" s="42">
        <f t="shared" si="191"/>
        <v>165.9678097263085</v>
      </c>
      <c r="M696" s="42">
        <f t="shared" si="192"/>
        <v>106.43998558212182</v>
      </c>
      <c r="N696" s="41">
        <f t="shared" si="200"/>
        <v>-2.7598625226027407E-3</v>
      </c>
      <c r="O696" s="41">
        <f t="shared" si="201"/>
        <v>0.55495851002901708</v>
      </c>
      <c r="P696" s="39">
        <f t="shared" si="202"/>
        <v>274.70258598971526</v>
      </c>
      <c r="Q696" s="42">
        <f t="shared" si="203"/>
        <v>1.6550976138828606</v>
      </c>
      <c r="R696" s="42">
        <f t="shared" si="204"/>
        <v>1.7190611268702347</v>
      </c>
      <c r="S696" s="41">
        <f t="shared" si="205"/>
        <v>-3.7208399391723601E-2</v>
      </c>
      <c r="T696" s="41">
        <f t="shared" si="189"/>
        <v>0.19270511739673885</v>
      </c>
      <c r="U696" s="41">
        <f t="shared" si="206"/>
        <v>0</v>
      </c>
      <c r="V696" s="41">
        <f t="shared" si="207"/>
        <v>7.1222170096928439E-3</v>
      </c>
      <c r="W696" s="39">
        <f t="shared" si="193"/>
        <v>297.57</v>
      </c>
      <c r="X696" s="21"/>
    </row>
    <row r="697" spans="1:24" x14ac:dyDescent="0.2">
      <c r="A697" s="38">
        <v>45952</v>
      </c>
      <c r="B697" s="39">
        <v>293.67</v>
      </c>
      <c r="C697" s="39">
        <v>667.8</v>
      </c>
      <c r="D697" s="39">
        <v>44.16</v>
      </c>
      <c r="E697" s="41">
        <f t="shared" si="194"/>
        <v>-1.3106159895150626E-2</v>
      </c>
      <c r="F697" s="41">
        <f t="shared" si="195"/>
        <v>-5.1989453142456954E-3</v>
      </c>
      <c r="G697" s="41">
        <f t="shared" si="196"/>
        <v>-3.0477480528277034E-3</v>
      </c>
      <c r="H697" s="41">
        <f t="shared" si="197"/>
        <v>0.63340563991322951</v>
      </c>
      <c r="I697" s="41">
        <f t="shared" si="198"/>
        <v>0.65104952159615936</v>
      </c>
      <c r="J697" s="41">
        <f t="shared" si="199"/>
        <v>6.1155833233208057E-2</v>
      </c>
      <c r="K697" s="42">
        <f t="shared" si="190"/>
        <v>163.34056399132322</v>
      </c>
      <c r="L697" s="42">
        <f t="shared" si="191"/>
        <v>165.10495215961626</v>
      </c>
      <c r="M697" s="42">
        <f t="shared" si="192"/>
        <v>106.11558332332089</v>
      </c>
      <c r="N697" s="41">
        <f t="shared" si="200"/>
        <v>-1.068646424722175E-2</v>
      </c>
      <c r="O697" s="41">
        <f t="shared" si="201"/>
        <v>0.53927028317457237</v>
      </c>
      <c r="P697" s="39">
        <f t="shared" si="202"/>
        <v>274.8913164773798</v>
      </c>
      <c r="Q697" s="42">
        <f t="shared" si="203"/>
        <v>1.6334056399132295</v>
      </c>
      <c r="R697" s="42">
        <f t="shared" si="204"/>
        <v>1.7190611268702347</v>
      </c>
      <c r="S697" s="41">
        <f t="shared" si="205"/>
        <v>-4.9826900055003676E-2</v>
      </c>
      <c r="T697" s="41">
        <f t="shared" si="189"/>
        <v>0.19328388283344036</v>
      </c>
      <c r="U697" s="41">
        <f t="shared" si="206"/>
        <v>-1.3261809757941889E-2</v>
      </c>
      <c r="V697" s="41">
        <f t="shared" si="207"/>
        <v>-7.907214580904931E-3</v>
      </c>
      <c r="W697" s="39">
        <f t="shared" si="193"/>
        <v>293.67</v>
      </c>
      <c r="X697" s="21"/>
    </row>
    <row r="698" spans="1:24" x14ac:dyDescent="0.2">
      <c r="A698" s="38">
        <v>45953</v>
      </c>
      <c r="B698" s="39">
        <v>292.06</v>
      </c>
      <c r="C698" s="39">
        <v>671.76</v>
      </c>
      <c r="D698" s="39">
        <v>44.69</v>
      </c>
      <c r="E698" s="41">
        <f t="shared" si="194"/>
        <v>-5.4823441277624951E-3</v>
      </c>
      <c r="F698" s="41">
        <f t="shared" si="195"/>
        <v>5.9299191374664328E-3</v>
      </c>
      <c r="G698" s="41">
        <f t="shared" si="196"/>
        <v>1.2001811594202882E-2</v>
      </c>
      <c r="H698" s="41">
        <f t="shared" si="197"/>
        <v>0.62445074809499701</v>
      </c>
      <c r="I698" s="41">
        <f t="shared" si="198"/>
        <v>0.66084011175117729</v>
      </c>
      <c r="J698" s="41">
        <f t="shared" si="199"/>
        <v>7.3891625615762457E-2</v>
      </c>
      <c r="K698" s="42">
        <f t="shared" si="190"/>
        <v>162.4450748095</v>
      </c>
      <c r="L698" s="42">
        <f t="shared" si="191"/>
        <v>166.08401117511804</v>
      </c>
      <c r="M698" s="42">
        <f t="shared" si="192"/>
        <v>107.38916256157634</v>
      </c>
      <c r="N698" s="41">
        <f t="shared" si="200"/>
        <v>-2.1910214835678343E-2</v>
      </c>
      <c r="O698" s="41">
        <f t="shared" si="201"/>
        <v>0.5126766140517649</v>
      </c>
      <c r="P698" s="39">
        <f t="shared" si="202"/>
        <v>275.06214914924669</v>
      </c>
      <c r="Q698" s="42">
        <f t="shared" si="203"/>
        <v>1.624450748094997</v>
      </c>
      <c r="R698" s="42">
        <f t="shared" si="204"/>
        <v>1.7190611268702347</v>
      </c>
      <c r="S698" s="41">
        <f t="shared" si="205"/>
        <v>-5.5036075969845055E-2</v>
      </c>
      <c r="T698" s="41">
        <f t="shared" si="189"/>
        <v>0.19345585654015093</v>
      </c>
      <c r="U698" s="41">
        <f t="shared" si="206"/>
        <v>-5.6379939905537579E-3</v>
      </c>
      <c r="V698" s="41">
        <f t="shared" si="207"/>
        <v>-1.1412263265228928E-2</v>
      </c>
      <c r="W698" s="39">
        <f t="shared" si="193"/>
        <v>292.06</v>
      </c>
      <c r="X698" s="21"/>
    </row>
    <row r="699" spans="1:24" x14ac:dyDescent="0.2">
      <c r="A699" s="38">
        <v>45954</v>
      </c>
      <c r="B699" s="39">
        <v>292.74</v>
      </c>
      <c r="C699" s="39">
        <v>677.25</v>
      </c>
      <c r="D699" s="39">
        <v>44.505000000000003</v>
      </c>
      <c r="E699" s="41">
        <f t="shared" si="194"/>
        <v>2.3282887077997749E-3</v>
      </c>
      <c r="F699" s="41">
        <f t="shared" si="195"/>
        <v>8.1725616291532521E-3</v>
      </c>
      <c r="G699" s="41">
        <f t="shared" si="196"/>
        <v>-4.1396285522486975E-3</v>
      </c>
      <c r="H699" s="41">
        <f t="shared" si="197"/>
        <v>0.62823293842816352</v>
      </c>
      <c r="I699" s="41">
        <f t="shared" si="198"/>
        <v>0.67441342992063347</v>
      </c>
      <c r="J699" s="41">
        <f t="shared" si="199"/>
        <v>6.9446113180342772E-2</v>
      </c>
      <c r="K699" s="42">
        <f t="shared" si="190"/>
        <v>162.82329384281664</v>
      </c>
      <c r="L699" s="42">
        <f t="shared" si="191"/>
        <v>167.44134299206368</v>
      </c>
      <c r="M699" s="42">
        <f t="shared" si="192"/>
        <v>106.94461131803436</v>
      </c>
      <c r="N699" s="41">
        <f t="shared" si="200"/>
        <v>-2.7580100987758316E-2</v>
      </c>
      <c r="O699" s="41">
        <f t="shared" si="201"/>
        <v>0.52250115116701679</v>
      </c>
      <c r="P699" s="39">
        <f t="shared" si="202"/>
        <v>275.23804816268705</v>
      </c>
      <c r="Q699" s="42">
        <f t="shared" si="203"/>
        <v>1.6282329384281635</v>
      </c>
      <c r="R699" s="42">
        <f t="shared" si="204"/>
        <v>1.7190611268702347</v>
      </c>
      <c r="S699" s="41">
        <f t="shared" si="205"/>
        <v>-5.2835927136247518E-2</v>
      </c>
      <c r="T699" s="41">
        <f t="shared" si="189"/>
        <v>0.19309994184339235</v>
      </c>
      <c r="U699" s="41">
        <f t="shared" si="206"/>
        <v>0</v>
      </c>
      <c r="V699" s="41">
        <f t="shared" si="207"/>
        <v>-5.8442729213534772E-3</v>
      </c>
      <c r="W699" s="39">
        <f t="shared" si="193"/>
        <v>292.74</v>
      </c>
      <c r="X699" s="21"/>
    </row>
    <row r="700" spans="1:24" x14ac:dyDescent="0.2">
      <c r="A700" s="38">
        <v>45957</v>
      </c>
      <c r="B700" s="39">
        <v>292.01</v>
      </c>
      <c r="C700" s="39">
        <v>685.24</v>
      </c>
      <c r="D700" s="39">
        <v>44.484999999999999</v>
      </c>
      <c r="E700" s="41">
        <f t="shared" si="194"/>
        <v>-2.4936803989888956E-3</v>
      </c>
      <c r="F700" s="41">
        <f t="shared" si="195"/>
        <v>1.1797711332595107E-2</v>
      </c>
      <c r="G700" s="41">
        <f t="shared" si="196"/>
        <v>-4.493877092461851E-4</v>
      </c>
      <c r="H700" s="41">
        <f t="shared" si="197"/>
        <v>0.62417264586461707</v>
      </c>
      <c r="I700" s="41">
        <f t="shared" si="198"/>
        <v>0.69416767621825759</v>
      </c>
      <c r="J700" s="41">
        <f t="shared" si="199"/>
        <v>6.8965517241378338E-2</v>
      </c>
      <c r="K700" s="42">
        <f t="shared" si="190"/>
        <v>162.41726458646198</v>
      </c>
      <c r="L700" s="42">
        <f t="shared" si="191"/>
        <v>169.4167676218261</v>
      </c>
      <c r="M700" s="42">
        <f t="shared" si="192"/>
        <v>106.89655172413792</v>
      </c>
      <c r="N700" s="41">
        <f t="shared" si="200"/>
        <v>-4.1315290886604794E-2</v>
      </c>
      <c r="O700" s="41">
        <f t="shared" si="201"/>
        <v>0.51938731387335291</v>
      </c>
      <c r="P700" s="39">
        <f t="shared" si="202"/>
        <v>275.40493325559567</v>
      </c>
      <c r="Q700" s="42">
        <f t="shared" si="203"/>
        <v>1.6241726458646171</v>
      </c>
      <c r="R700" s="42">
        <f t="shared" si="204"/>
        <v>1.7190611268702347</v>
      </c>
      <c r="S700" s="41">
        <f t="shared" si="205"/>
        <v>-5.5197851619374294E-2</v>
      </c>
      <c r="T700" s="41">
        <f t="shared" si="189"/>
        <v>0.1932430450571942</v>
      </c>
      <c r="U700" s="41">
        <f t="shared" si="206"/>
        <v>-2.6493302617801584E-3</v>
      </c>
      <c r="V700" s="41">
        <f t="shared" si="207"/>
        <v>-1.4291391731584002E-2</v>
      </c>
      <c r="W700" s="39">
        <f t="shared" si="193"/>
        <v>292.01</v>
      </c>
      <c r="X700" s="21"/>
    </row>
    <row r="701" spans="1:24" x14ac:dyDescent="0.2">
      <c r="A701" s="38">
        <v>45958</v>
      </c>
      <c r="B701" s="39">
        <v>292.58999999999997</v>
      </c>
      <c r="C701" s="39">
        <v>687.06</v>
      </c>
      <c r="D701" s="39">
        <v>44.545000000000002</v>
      </c>
      <c r="E701" s="41">
        <f t="shared" si="194"/>
        <v>1.9862333481730499E-3</v>
      </c>
      <c r="F701" s="41">
        <f t="shared" si="195"/>
        <v>2.656003735917345E-3</v>
      </c>
      <c r="G701" s="41">
        <f t="shared" si="196"/>
        <v>1.3487692480611546E-3</v>
      </c>
      <c r="H701" s="41">
        <f t="shared" si="197"/>
        <v>0.62739863173702393</v>
      </c>
      <c r="I701" s="41">
        <f t="shared" si="198"/>
        <v>0.69866739189556371</v>
      </c>
      <c r="J701" s="41">
        <f t="shared" si="199"/>
        <v>7.0407305058271197E-2</v>
      </c>
      <c r="K701" s="42">
        <f t="shared" si="190"/>
        <v>162.73986317370264</v>
      </c>
      <c r="L701" s="42">
        <f t="shared" si="191"/>
        <v>169.86673918955668</v>
      </c>
      <c r="M701" s="42">
        <f t="shared" si="192"/>
        <v>107.04073050582723</v>
      </c>
      <c r="N701" s="41">
        <f t="shared" si="200"/>
        <v>-4.1955688617187237E-2</v>
      </c>
      <c r="O701" s="41">
        <f t="shared" si="201"/>
        <v>0.52035456414269432</v>
      </c>
      <c r="P701" s="39">
        <f t="shared" si="202"/>
        <v>275.57592894459469</v>
      </c>
      <c r="Q701" s="42">
        <f t="shared" si="203"/>
        <v>1.6273986317370239</v>
      </c>
      <c r="R701" s="42">
        <f t="shared" si="204"/>
        <v>1.7190611268702347</v>
      </c>
      <c r="S701" s="41">
        <f t="shared" si="205"/>
        <v>-5.3321254084835124E-2</v>
      </c>
      <c r="T701" s="41">
        <f t="shared" si="189"/>
        <v>0.18664584002002316</v>
      </c>
      <c r="U701" s="41">
        <f t="shared" si="206"/>
        <v>0</v>
      </c>
      <c r="V701" s="41">
        <f t="shared" si="207"/>
        <v>-6.6977038774429509E-4</v>
      </c>
      <c r="W701" s="39">
        <f t="shared" si="193"/>
        <v>292.58999999999997</v>
      </c>
      <c r="X701" s="21"/>
    </row>
    <row r="702" spans="1:24" x14ac:dyDescent="0.2">
      <c r="A702" s="38">
        <v>45959</v>
      </c>
      <c r="B702" s="39">
        <v>294.97000000000003</v>
      </c>
      <c r="C702" s="39">
        <v>687.39</v>
      </c>
      <c r="D702" s="39">
        <v>43.67</v>
      </c>
      <c r="E702" s="41">
        <f t="shared" si="194"/>
        <v>8.1342492908167419E-3</v>
      </c>
      <c r="F702" s="41">
        <f t="shared" si="195"/>
        <v>4.8030739673388112E-4</v>
      </c>
      <c r="G702" s="41">
        <f t="shared" si="196"/>
        <v>-1.964305758222018E-2</v>
      </c>
      <c r="H702" s="41">
        <f t="shared" si="197"/>
        <v>0.64063629790310705</v>
      </c>
      <c r="I702" s="41">
        <f t="shared" si="198"/>
        <v>0.69948327440848179</v>
      </c>
      <c r="J702" s="41">
        <f t="shared" si="199"/>
        <v>4.9381232728582525E-2</v>
      </c>
      <c r="K702" s="42">
        <f t="shared" si="190"/>
        <v>164.06362979031096</v>
      </c>
      <c r="L702" s="42">
        <f t="shared" si="191"/>
        <v>169.94832744084852</v>
      </c>
      <c r="M702" s="42">
        <f t="shared" si="192"/>
        <v>104.93812327285835</v>
      </c>
      <c r="N702" s="41">
        <f t="shared" si="200"/>
        <v>-3.4626393440592595E-2</v>
      </c>
      <c r="O702" s="41">
        <f t="shared" si="201"/>
        <v>0.56343209382271264</v>
      </c>
      <c r="P702" s="39">
        <f t="shared" si="202"/>
        <v>275.76890477599176</v>
      </c>
      <c r="Q702" s="42">
        <f t="shared" si="203"/>
        <v>1.6406362979031071</v>
      </c>
      <c r="R702" s="42">
        <f t="shared" si="204"/>
        <v>1.7190611268702347</v>
      </c>
      <c r="S702" s="41">
        <f t="shared" si="205"/>
        <v>-4.5620733167243355E-2</v>
      </c>
      <c r="T702" s="41">
        <f t="shared" si="189"/>
        <v>0.1870945274486866</v>
      </c>
      <c r="U702" s="41">
        <f t="shared" si="206"/>
        <v>0</v>
      </c>
      <c r="V702" s="41">
        <f t="shared" si="207"/>
        <v>7.6539418940828607E-3</v>
      </c>
      <c r="W702" s="39">
        <f t="shared" si="193"/>
        <v>294.97000000000003</v>
      </c>
      <c r="X702" s="21"/>
    </row>
    <row r="703" spans="1:24" x14ac:dyDescent="0.2">
      <c r="A703" s="38">
        <v>45960</v>
      </c>
      <c r="B703" s="39">
        <v>290</v>
      </c>
      <c r="C703" s="39">
        <v>679.83</v>
      </c>
      <c r="D703" s="39">
        <v>43.085000000000001</v>
      </c>
      <c r="E703" s="41">
        <f t="shared" si="194"/>
        <v>-1.6849171102146121E-2</v>
      </c>
      <c r="F703" s="41">
        <f t="shared" si="195"/>
        <v>-1.0998123336097287E-2</v>
      </c>
      <c r="G703" s="41">
        <f t="shared" si="196"/>
        <v>-1.3395923975269119E-2</v>
      </c>
      <c r="H703" s="41">
        <f t="shared" si="197"/>
        <v>0.61299293620334594</v>
      </c>
      <c r="I703" s="41">
        <f t="shared" si="198"/>
        <v>0.68079214774890273</v>
      </c>
      <c r="J703" s="41">
        <f t="shared" si="199"/>
        <v>3.5323801513876152E-2</v>
      </c>
      <c r="K703" s="42">
        <f t="shared" si="190"/>
        <v>161.29929362033485</v>
      </c>
      <c r="L703" s="42">
        <f t="shared" si="191"/>
        <v>168.0792147748906</v>
      </c>
      <c r="M703" s="42">
        <f t="shared" si="192"/>
        <v>103.53238015138773</v>
      </c>
      <c r="N703" s="41">
        <f t="shared" si="200"/>
        <v>-4.0337653669051732E-2</v>
      </c>
      <c r="O703" s="41">
        <f t="shared" si="201"/>
        <v>0.55795987095514232</v>
      </c>
      <c r="P703" s="39">
        <f t="shared" si="202"/>
        <v>275.91050771354406</v>
      </c>
      <c r="Q703" s="42">
        <f t="shared" si="203"/>
        <v>1.6129929362033459</v>
      </c>
      <c r="R703" s="42">
        <f t="shared" si="204"/>
        <v>1.7190611268702347</v>
      </c>
      <c r="S703" s="41">
        <f t="shared" si="205"/>
        <v>-6.1701232730449251E-2</v>
      </c>
      <c r="T703" s="41">
        <f t="shared" si="189"/>
        <v>0.19012369150900532</v>
      </c>
      <c r="U703" s="41">
        <f t="shared" si="206"/>
        <v>-1.7004820964937384E-2</v>
      </c>
      <c r="V703" s="41">
        <f t="shared" si="207"/>
        <v>-5.8510477660488336E-3</v>
      </c>
      <c r="W703" s="39">
        <f t="shared" si="193"/>
        <v>290</v>
      </c>
      <c r="X703" s="21"/>
    </row>
    <row r="704" spans="1:24" x14ac:dyDescent="0.2">
      <c r="A704" s="38">
        <v>45961</v>
      </c>
      <c r="B704" s="39">
        <v>289.5</v>
      </c>
      <c r="C704" s="39">
        <v>682.06</v>
      </c>
      <c r="D704" s="39">
        <v>42.835000000000001</v>
      </c>
      <c r="E704" s="41">
        <f t="shared" si="194"/>
        <v>-1.7241379310344307E-3</v>
      </c>
      <c r="F704" s="41">
        <f t="shared" si="195"/>
        <v>3.2802318226614613E-3</v>
      </c>
      <c r="G704" s="41">
        <f t="shared" si="196"/>
        <v>-5.8024834629221145E-3</v>
      </c>
      <c r="H704" s="41">
        <f t="shared" si="197"/>
        <v>0.61021191389954721</v>
      </c>
      <c r="I704" s="41">
        <f t="shared" si="198"/>
        <v>0.68630553563922825</v>
      </c>
      <c r="J704" s="41">
        <f t="shared" si="199"/>
        <v>2.9316352276822277E-2</v>
      </c>
      <c r="K704" s="42">
        <f t="shared" si="190"/>
        <v>161.02119138995496</v>
      </c>
      <c r="L704" s="42">
        <f t="shared" si="191"/>
        <v>168.63055356392314</v>
      </c>
      <c r="M704" s="42">
        <f t="shared" si="192"/>
        <v>102.93163522768232</v>
      </c>
      <c r="N704" s="41">
        <f t="shared" si="200"/>
        <v>-4.5124457063966283E-2</v>
      </c>
      <c r="O704" s="41">
        <f t="shared" si="201"/>
        <v>0.56435085320251477</v>
      </c>
      <c r="P704" s="39">
        <f t="shared" si="202"/>
        <v>276.04572654226507</v>
      </c>
      <c r="Q704" s="42">
        <f t="shared" si="203"/>
        <v>1.6102119138995472</v>
      </c>
      <c r="R704" s="42">
        <f t="shared" si="204"/>
        <v>1.7190611268702347</v>
      </c>
      <c r="S704" s="41">
        <f t="shared" si="205"/>
        <v>-6.3318989225741529E-2</v>
      </c>
      <c r="T704" s="41">
        <f t="shared" si="189"/>
        <v>0.19016246160020914</v>
      </c>
      <c r="U704" s="41">
        <f t="shared" si="206"/>
        <v>-1.8797877938256935E-3</v>
      </c>
      <c r="V704" s="41">
        <f t="shared" si="207"/>
        <v>-5.004369753695892E-3</v>
      </c>
      <c r="W704" s="39">
        <f t="shared" si="193"/>
        <v>289.5</v>
      </c>
      <c r="X704" s="21"/>
    </row>
    <row r="705" spans="1:24" x14ac:dyDescent="0.2">
      <c r="A705" s="38">
        <v>45964</v>
      </c>
      <c r="B705" s="39">
        <v>288.55</v>
      </c>
      <c r="C705" s="39">
        <v>683.34</v>
      </c>
      <c r="D705" s="39">
        <v>42.57</v>
      </c>
      <c r="E705" s="41">
        <f t="shared" si="194"/>
        <v>-3.2815198618306729E-3</v>
      </c>
      <c r="F705" s="41">
        <f t="shared" si="195"/>
        <v>1.8766677418409206E-3</v>
      </c>
      <c r="G705" s="41">
        <f t="shared" si="196"/>
        <v>-6.1865297070152758E-3</v>
      </c>
      <c r="H705" s="41">
        <f t="shared" si="197"/>
        <v>0.60492797152232947</v>
      </c>
      <c r="I705" s="41">
        <f t="shared" si="198"/>
        <v>0.68947017084085016</v>
      </c>
      <c r="J705" s="41">
        <f t="shared" si="199"/>
        <v>2.2948456085545077E-2</v>
      </c>
      <c r="K705" s="42">
        <f t="shared" si="190"/>
        <v>160.49279715223318</v>
      </c>
      <c r="L705" s="42">
        <f t="shared" si="191"/>
        <v>168.94701708408536</v>
      </c>
      <c r="M705" s="42">
        <f t="shared" si="192"/>
        <v>102.2948456085546</v>
      </c>
      <c r="N705" s="41">
        <f t="shared" si="200"/>
        <v>-5.0040658176547792E-2</v>
      </c>
      <c r="O705" s="41">
        <f t="shared" si="201"/>
        <v>0.56892359724927899</v>
      </c>
      <c r="P705" s="39">
        <f t="shared" si="202"/>
        <v>276.17014717368534</v>
      </c>
      <c r="Q705" s="42">
        <f t="shared" si="203"/>
        <v>1.6049279715223295</v>
      </c>
      <c r="R705" s="42">
        <f t="shared" si="204"/>
        <v>1.7190611268702347</v>
      </c>
      <c r="S705" s="41">
        <f t="shared" si="205"/>
        <v>-6.6392726566796845E-2</v>
      </c>
      <c r="T705" s="41">
        <f t="shared" si="189"/>
        <v>0.18765646943641626</v>
      </c>
      <c r="U705" s="41">
        <f t="shared" si="206"/>
        <v>-3.4371697246219357E-3</v>
      </c>
      <c r="V705" s="41">
        <f t="shared" si="207"/>
        <v>-5.1581876036715935E-3</v>
      </c>
      <c r="W705" s="39">
        <f t="shared" si="193"/>
        <v>288.55</v>
      </c>
      <c r="X705" s="21"/>
    </row>
    <row r="706" spans="1:24" x14ac:dyDescent="0.2">
      <c r="A706" s="38">
        <v>45965</v>
      </c>
      <c r="B706" s="39">
        <v>292.26</v>
      </c>
      <c r="C706" s="39">
        <v>675.24</v>
      </c>
      <c r="D706" s="39">
        <v>42.36</v>
      </c>
      <c r="E706" s="41">
        <f t="shared" si="194"/>
        <v>1.2857390400277113E-2</v>
      </c>
      <c r="F706" s="41">
        <f t="shared" si="195"/>
        <v>-1.1853542892264479E-2</v>
      </c>
      <c r="G706" s="41">
        <f t="shared" si="196"/>
        <v>-4.9330514446793705E-3</v>
      </c>
      <c r="H706" s="41">
        <f t="shared" si="197"/>
        <v>0.62556315701651699</v>
      </c>
      <c r="I706" s="41">
        <f t="shared" si="198"/>
        <v>0.66944396370558668</v>
      </c>
      <c r="J706" s="41">
        <f t="shared" si="199"/>
        <v>1.7902198726419849E-2</v>
      </c>
      <c r="K706" s="42">
        <f t="shared" si="190"/>
        <v>162.55631570165193</v>
      </c>
      <c r="L706" s="42">
        <f t="shared" si="191"/>
        <v>166.94439637055899</v>
      </c>
      <c r="M706" s="42">
        <f t="shared" si="192"/>
        <v>101.79021987264207</v>
      </c>
      <c r="N706" s="41">
        <f t="shared" si="200"/>
        <v>-2.628468378876847E-2</v>
      </c>
      <c r="O706" s="41">
        <f t="shared" si="201"/>
        <v>0.59697381442970765</v>
      </c>
      <c r="P706" s="39">
        <f t="shared" si="202"/>
        <v>276.33024521175815</v>
      </c>
      <c r="Q706" s="42">
        <f t="shared" si="203"/>
        <v>1.625563157016517</v>
      </c>
      <c r="R706" s="42">
        <f t="shared" si="204"/>
        <v>1.7190611268702347</v>
      </c>
      <c r="S706" s="41">
        <f t="shared" si="205"/>
        <v>-5.4388973371727878E-2</v>
      </c>
      <c r="T706" s="41">
        <f t="shared" si="189"/>
        <v>0.18917407881943557</v>
      </c>
      <c r="U706" s="41">
        <f t="shared" si="206"/>
        <v>0</v>
      </c>
      <c r="V706" s="41">
        <f t="shared" si="207"/>
        <v>2.4710933292541593E-2</v>
      </c>
      <c r="W706" s="39">
        <f t="shared" si="193"/>
        <v>292.26</v>
      </c>
      <c r="X706" s="21"/>
    </row>
    <row r="707" spans="1:24" x14ac:dyDescent="0.2">
      <c r="A707" s="38">
        <v>45966</v>
      </c>
      <c r="B707" s="39">
        <v>285.10000000000002</v>
      </c>
      <c r="C707" s="39">
        <v>677.58</v>
      </c>
      <c r="D707" s="39">
        <v>42.61</v>
      </c>
      <c r="E707" s="41">
        <f t="shared" si="194"/>
        <v>-2.4498734003968958E-2</v>
      </c>
      <c r="F707" s="41">
        <f t="shared" si="195"/>
        <v>3.4654345121734043E-3</v>
      </c>
      <c r="G707" s="41">
        <f t="shared" si="196"/>
        <v>5.9017941454202472E-3</v>
      </c>
      <c r="H707" s="41">
        <f t="shared" si="197"/>
        <v>0.58573891762611741</v>
      </c>
      <c r="I707" s="41">
        <f t="shared" si="198"/>
        <v>0.67522931243355155</v>
      </c>
      <c r="J707" s="41">
        <f t="shared" si="199"/>
        <v>2.3909647963473724E-2</v>
      </c>
      <c r="K707" s="42">
        <f t="shared" si="190"/>
        <v>158.57389176261196</v>
      </c>
      <c r="L707" s="42">
        <f t="shared" si="191"/>
        <v>167.52293124335552</v>
      </c>
      <c r="M707" s="42">
        <f t="shared" si="192"/>
        <v>102.39096479634746</v>
      </c>
      <c r="N707" s="41">
        <f t="shared" si="200"/>
        <v>-5.3419788051245587E-2</v>
      </c>
      <c r="O707" s="41">
        <f t="shared" si="201"/>
        <v>0.54870981124174945</v>
      </c>
      <c r="P707" s="39">
        <f t="shared" si="202"/>
        <v>276.41750645343222</v>
      </c>
      <c r="Q707" s="42">
        <f t="shared" si="203"/>
        <v>1.5857389176261174</v>
      </c>
      <c r="R707" s="42">
        <f t="shared" si="204"/>
        <v>1.7190611268702347</v>
      </c>
      <c r="S707" s="41">
        <f t="shared" si="205"/>
        <v>-7.7555246384313881E-2</v>
      </c>
      <c r="T707" s="41">
        <f t="shared" si="189"/>
        <v>0.18989516586216784</v>
      </c>
      <c r="U707" s="41">
        <f t="shared" si="206"/>
        <v>-2.4654383866760221E-2</v>
      </c>
      <c r="V707" s="41">
        <f t="shared" si="207"/>
        <v>-2.7964168516142363E-2</v>
      </c>
      <c r="W707" s="39">
        <f t="shared" si="193"/>
        <v>285.10000000000002</v>
      </c>
      <c r="X707" s="21"/>
    </row>
    <row r="708" spans="1:24" x14ac:dyDescent="0.2">
      <c r="A708" s="38">
        <v>45967</v>
      </c>
      <c r="B708" s="39">
        <v>286.3</v>
      </c>
      <c r="C708" s="39">
        <v>670.31</v>
      </c>
      <c r="D708" s="39">
        <v>42.4</v>
      </c>
      <c r="E708" s="41">
        <f t="shared" si="194"/>
        <v>4.2090494563311598E-3</v>
      </c>
      <c r="F708" s="41">
        <f t="shared" si="195"/>
        <v>-1.0729360370731245E-2</v>
      </c>
      <c r="G708" s="41">
        <f t="shared" si="196"/>
        <v>-4.9284205585543583E-3</v>
      </c>
      <c r="H708" s="41">
        <f t="shared" si="197"/>
        <v>0.59241337115523485</v>
      </c>
      <c r="I708" s="41">
        <f t="shared" si="198"/>
        <v>0.6572551734368397</v>
      </c>
      <c r="J708" s="41">
        <f t="shared" si="199"/>
        <v>1.8863390604348274E-2</v>
      </c>
      <c r="K708" s="42">
        <f t="shared" si="190"/>
        <v>159.24133711552369</v>
      </c>
      <c r="L708" s="42">
        <f t="shared" si="191"/>
        <v>165.72551734368432</v>
      </c>
      <c r="M708" s="42">
        <f t="shared" si="192"/>
        <v>101.88633906043493</v>
      </c>
      <c r="N708" s="41">
        <f t="shared" si="200"/>
        <v>-3.9126021943340805E-2</v>
      </c>
      <c r="O708" s="41">
        <f t="shared" si="201"/>
        <v>0.56293118963738609</v>
      </c>
      <c r="P708" s="39">
        <f t="shared" si="202"/>
        <v>276.5158397225523</v>
      </c>
      <c r="Q708" s="42">
        <f t="shared" si="203"/>
        <v>1.5924133711552348</v>
      </c>
      <c r="R708" s="42">
        <f t="shared" si="204"/>
        <v>1.7190611268702347</v>
      </c>
      <c r="S708" s="41">
        <f t="shared" si="205"/>
        <v>-7.3672630795612148E-2</v>
      </c>
      <c r="T708" s="41">
        <f t="shared" si="189"/>
        <v>0.18815370995750319</v>
      </c>
      <c r="U708" s="41">
        <f t="shared" si="206"/>
        <v>0</v>
      </c>
      <c r="V708" s="41">
        <f t="shared" si="207"/>
        <v>1.4938409827062404E-2</v>
      </c>
      <c r="W708" s="39">
        <f t="shared" si="193"/>
        <v>286.3</v>
      </c>
      <c r="X708" s="21"/>
    </row>
    <row r="709" spans="1:24" x14ac:dyDescent="0.2">
      <c r="A709" s="38">
        <v>45968</v>
      </c>
      <c r="B709" s="39">
        <v>287.3</v>
      </c>
      <c r="C709" s="39">
        <v>670.97</v>
      </c>
      <c r="D709" s="39">
        <v>42.91</v>
      </c>
      <c r="E709" s="41">
        <f t="shared" si="194"/>
        <v>3.4928396786586546E-3</v>
      </c>
      <c r="F709" s="41">
        <f t="shared" si="195"/>
        <v>9.8461905685431894E-4</v>
      </c>
      <c r="G709" s="41">
        <f t="shared" si="196"/>
        <v>1.2028301886792381E-2</v>
      </c>
      <c r="H709" s="41">
        <f t="shared" si="197"/>
        <v>0.59797541576283253</v>
      </c>
      <c r="I709" s="41">
        <f t="shared" si="198"/>
        <v>0.6588869384626761</v>
      </c>
      <c r="J709" s="41">
        <f t="shared" si="199"/>
        <v>3.111858704793824E-2</v>
      </c>
      <c r="K709" s="42">
        <f t="shared" si="190"/>
        <v>159.79754157628346</v>
      </c>
      <c r="L709" s="42">
        <f t="shared" si="191"/>
        <v>165.88869384626796</v>
      </c>
      <c r="M709" s="42">
        <f t="shared" si="192"/>
        <v>103.11185870479393</v>
      </c>
      <c r="N709" s="41">
        <f t="shared" si="200"/>
        <v>-3.6718308696969681E-2</v>
      </c>
      <c r="O709" s="41">
        <f t="shared" si="201"/>
        <v>0.54974940403100336</v>
      </c>
      <c r="P709" s="39">
        <f t="shared" si="202"/>
        <v>276.62314479993984</v>
      </c>
      <c r="Q709" s="42">
        <f t="shared" si="203"/>
        <v>1.5979754157628325</v>
      </c>
      <c r="R709" s="42">
        <f t="shared" si="204"/>
        <v>1.7190611268702347</v>
      </c>
      <c r="S709" s="41">
        <f t="shared" si="205"/>
        <v>-7.0437117805027594E-2</v>
      </c>
      <c r="T709" s="41">
        <f t="shared" si="189"/>
        <v>0.18755353279029316</v>
      </c>
      <c r="U709" s="41">
        <f t="shared" si="206"/>
        <v>0</v>
      </c>
      <c r="V709" s="41">
        <f t="shared" si="207"/>
        <v>2.5082206218043357E-3</v>
      </c>
      <c r="W709" s="39">
        <f t="shared" si="193"/>
        <v>287.3</v>
      </c>
      <c r="X709" s="21"/>
    </row>
    <row r="710" spans="1:24" x14ac:dyDescent="0.2">
      <c r="A710" s="38">
        <v>45971</v>
      </c>
      <c r="B710" s="39">
        <v>292.83999999999997</v>
      </c>
      <c r="C710" s="39">
        <v>681.44</v>
      </c>
      <c r="D710" s="39">
        <v>43.314999999999998</v>
      </c>
      <c r="E710" s="41">
        <f t="shared" si="194"/>
        <v>1.9282979463974836E-2</v>
      </c>
      <c r="F710" s="41">
        <f t="shared" si="195"/>
        <v>1.5604274408691943E-2</v>
      </c>
      <c r="G710" s="41">
        <f t="shared" si="196"/>
        <v>9.4383593567932689E-3</v>
      </c>
      <c r="H710" s="41">
        <f t="shared" si="197"/>
        <v>0.62878914288892385</v>
      </c>
      <c r="I710" s="41">
        <f t="shared" si="198"/>
        <v>0.68477266546344251</v>
      </c>
      <c r="J710" s="41">
        <f t="shared" si="199"/>
        <v>4.0850654811965592E-2</v>
      </c>
      <c r="K710" s="42">
        <f t="shared" si="190"/>
        <v>162.87891428889259</v>
      </c>
      <c r="L710" s="42">
        <f t="shared" si="191"/>
        <v>168.47726654634459</v>
      </c>
      <c r="M710" s="42">
        <f t="shared" si="192"/>
        <v>104.08506548119666</v>
      </c>
      <c r="N710" s="41">
        <f t="shared" si="200"/>
        <v>-3.3229125639404167E-2</v>
      </c>
      <c r="O710" s="41">
        <f t="shared" si="201"/>
        <v>0.56486344641169683</v>
      </c>
      <c r="P710" s="39">
        <f t="shared" si="202"/>
        <v>276.78450654322404</v>
      </c>
      <c r="Q710" s="42">
        <f t="shared" si="203"/>
        <v>1.6287891428889238</v>
      </c>
      <c r="R710" s="42">
        <f t="shared" si="204"/>
        <v>1.7190611268702347</v>
      </c>
      <c r="S710" s="41">
        <f t="shared" si="205"/>
        <v>-5.2512375837188707E-2</v>
      </c>
      <c r="T710" s="41">
        <f t="shared" si="189"/>
        <v>0.19148988781064441</v>
      </c>
      <c r="U710" s="41">
        <f t="shared" si="206"/>
        <v>0</v>
      </c>
      <c r="V710" s="41">
        <f t="shared" si="207"/>
        <v>3.6787050552828937E-3</v>
      </c>
      <c r="W710" s="39">
        <f t="shared" si="193"/>
        <v>292.83999999999997</v>
      </c>
      <c r="X710" s="21"/>
    </row>
    <row r="711" spans="1:24" x14ac:dyDescent="0.2">
      <c r="A711" s="38">
        <v>45972</v>
      </c>
      <c r="B711" s="39">
        <v>295.10000000000002</v>
      </c>
      <c r="C711" s="39">
        <v>683</v>
      </c>
      <c r="D711" s="39">
        <v>43.765000000000001</v>
      </c>
      <c r="E711" s="41">
        <f t="shared" si="194"/>
        <v>7.7175249282885883E-3</v>
      </c>
      <c r="F711" s="41">
        <f t="shared" si="195"/>
        <v>2.2892697816387919E-3</v>
      </c>
      <c r="G711" s="41">
        <f t="shared" si="196"/>
        <v>1.0389010735311066E-2</v>
      </c>
      <c r="H711" s="41">
        <f t="shared" si="197"/>
        <v>0.6413593637020949</v>
      </c>
      <c r="I711" s="41">
        <f t="shared" si="198"/>
        <v>0.68862956461541902</v>
      </c>
      <c r="J711" s="41">
        <f t="shared" si="199"/>
        <v>5.16640634386627E-2</v>
      </c>
      <c r="K711" s="42">
        <f t="shared" si="190"/>
        <v>164.13593637020972</v>
      </c>
      <c r="L711" s="42">
        <f t="shared" si="191"/>
        <v>168.86295646154227</v>
      </c>
      <c r="M711" s="42">
        <f t="shared" si="192"/>
        <v>105.16640634386638</v>
      </c>
      <c r="N711" s="41">
        <f t="shared" si="200"/>
        <v>-2.7993233035742637E-2</v>
      </c>
      <c r="O711" s="41">
        <f t="shared" si="201"/>
        <v>0.56072592072347227</v>
      </c>
      <c r="P711" s="39">
        <f t="shared" si="202"/>
        <v>276.96675025921184</v>
      </c>
      <c r="Q711" s="42">
        <f t="shared" si="203"/>
        <v>1.6413593637020949</v>
      </c>
      <c r="R711" s="42">
        <f t="shared" si="204"/>
        <v>1.7190611268702347</v>
      </c>
      <c r="S711" s="41">
        <f t="shared" si="205"/>
        <v>-4.5200116478467223E-2</v>
      </c>
      <c r="T711" s="41">
        <f t="shared" si="189"/>
        <v>0.19167907215333455</v>
      </c>
      <c r="U711" s="41">
        <f t="shared" si="206"/>
        <v>0</v>
      </c>
      <c r="V711" s="41">
        <f t="shared" si="207"/>
        <v>5.4282551466497964E-3</v>
      </c>
      <c r="W711" s="39">
        <f t="shared" si="193"/>
        <v>295.10000000000002</v>
      </c>
      <c r="X711" s="21"/>
    </row>
    <row r="712" spans="1:24" x14ac:dyDescent="0.2">
      <c r="A712" s="38">
        <v>45973</v>
      </c>
      <c r="B712" s="39">
        <v>295.08999999999997</v>
      </c>
      <c r="C712" s="39">
        <v>683.38</v>
      </c>
      <c r="D712" s="39">
        <v>44.075000000000003</v>
      </c>
      <c r="E712" s="41">
        <f t="shared" si="194"/>
        <v>-3.3886818027961674E-5</v>
      </c>
      <c r="F712" s="41">
        <f t="shared" si="195"/>
        <v>5.5636896046862283E-4</v>
      </c>
      <c r="G712" s="41">
        <f t="shared" si="196"/>
        <v>7.083285730606681E-3</v>
      </c>
      <c r="H712" s="41">
        <f t="shared" si="197"/>
        <v>0.64130374325601869</v>
      </c>
      <c r="I712" s="41">
        <f t="shared" si="198"/>
        <v>0.6895690656909006</v>
      </c>
      <c r="J712" s="41">
        <f t="shared" si="199"/>
        <v>5.9113300492609655E-2</v>
      </c>
      <c r="K712" s="42">
        <f t="shared" si="190"/>
        <v>164.13037432560208</v>
      </c>
      <c r="L712" s="42">
        <f t="shared" si="191"/>
        <v>168.95690656909039</v>
      </c>
      <c r="M712" s="42">
        <f t="shared" si="192"/>
        <v>105.91133004926108</v>
      </c>
      <c r="N712" s="41">
        <f t="shared" si="200"/>
        <v>-2.8566646617162794E-2</v>
      </c>
      <c r="O712" s="41">
        <f t="shared" si="201"/>
        <v>0.54969609246963791</v>
      </c>
      <c r="P712" s="39">
        <f t="shared" si="202"/>
        <v>277.14708110240377</v>
      </c>
      <c r="Q712" s="42">
        <f t="shared" si="203"/>
        <v>1.6413037432560187</v>
      </c>
      <c r="R712" s="42">
        <f t="shared" si="204"/>
        <v>1.7190611268702347</v>
      </c>
      <c r="S712" s="41">
        <f t="shared" si="205"/>
        <v>-4.5232471608373293E-2</v>
      </c>
      <c r="T712" s="41">
        <f t="shared" si="189"/>
        <v>0.19057906349413062</v>
      </c>
      <c r="U712" s="41">
        <f t="shared" si="206"/>
        <v>-1.8953668081922448E-4</v>
      </c>
      <c r="V712" s="41">
        <f t="shared" si="207"/>
        <v>-5.902557784965845E-4</v>
      </c>
      <c r="W712" s="39">
        <f t="shared" si="193"/>
        <v>295.08999999999997</v>
      </c>
      <c r="X712" s="21"/>
    </row>
    <row r="713" spans="1:24" x14ac:dyDescent="0.2">
      <c r="A713" s="38">
        <v>45974</v>
      </c>
      <c r="B713" s="39">
        <v>284.08999999999997</v>
      </c>
      <c r="C713" s="39">
        <v>672.04</v>
      </c>
      <c r="D713" s="39">
        <v>43.784999999999997</v>
      </c>
      <c r="E713" s="41">
        <f t="shared" si="194"/>
        <v>-3.7276763021451109E-2</v>
      </c>
      <c r="F713" s="41">
        <f t="shared" si="195"/>
        <v>-1.6593988703210605E-2</v>
      </c>
      <c r="G713" s="41">
        <f t="shared" si="196"/>
        <v>-6.5796937039139802E-3</v>
      </c>
      <c r="H713" s="41">
        <f t="shared" si="197"/>
        <v>0.58012125257244351</v>
      </c>
      <c r="I713" s="41">
        <f t="shared" si="198"/>
        <v>0.66153237570153167</v>
      </c>
      <c r="J713" s="41">
        <f t="shared" si="199"/>
        <v>5.2144659377626912E-2</v>
      </c>
      <c r="K713" s="42">
        <f t="shared" si="190"/>
        <v>158.01212525724455</v>
      </c>
      <c r="L713" s="42">
        <f t="shared" si="191"/>
        <v>166.15323757015352</v>
      </c>
      <c r="M713" s="42">
        <f t="shared" si="192"/>
        <v>105.2144659377628</v>
      </c>
      <c r="N713" s="41">
        <f t="shared" si="200"/>
        <v>-4.8997614683683022E-2</v>
      </c>
      <c r="O713" s="41">
        <f t="shared" si="201"/>
        <v>0.50180988753688061</v>
      </c>
      <c r="P713" s="39">
        <f t="shared" si="202"/>
        <v>277.21616487252908</v>
      </c>
      <c r="Q713" s="42">
        <f t="shared" si="203"/>
        <v>1.5801212525724435</v>
      </c>
      <c r="R713" s="42">
        <f t="shared" si="204"/>
        <v>1.7190611268702347</v>
      </c>
      <c r="S713" s="41">
        <f t="shared" si="205"/>
        <v>-8.0823114504804505E-2</v>
      </c>
      <c r="T713" s="41">
        <f t="shared" si="189"/>
        <v>0.20030366538808919</v>
      </c>
      <c r="U713" s="41">
        <f t="shared" si="206"/>
        <v>-3.7432412884242372E-2</v>
      </c>
      <c r="V713" s="41">
        <f t="shared" si="207"/>
        <v>-2.0682774318240504E-2</v>
      </c>
      <c r="W713" s="39">
        <f t="shared" si="193"/>
        <v>284.08999999999997</v>
      </c>
      <c r="X713" s="21"/>
    </row>
    <row r="714" spans="1:24" x14ac:dyDescent="0.2">
      <c r="A714" s="38">
        <v>45975</v>
      </c>
      <c r="B714" s="39">
        <v>280.58</v>
      </c>
      <c r="C714" s="39">
        <v>671.93</v>
      </c>
      <c r="D714" s="39">
        <v>43.384999999999998</v>
      </c>
      <c r="E714" s="41">
        <f t="shared" si="194"/>
        <v>-1.2355239536766538E-2</v>
      </c>
      <c r="F714" s="41">
        <f t="shared" si="195"/>
        <v>-1.636807332896506E-4</v>
      </c>
      <c r="G714" s="41">
        <f t="shared" si="196"/>
        <v>-9.135548703893992E-3</v>
      </c>
      <c r="H714" s="41">
        <f t="shared" si="197"/>
        <v>0.5605984759997753</v>
      </c>
      <c r="I714" s="41">
        <f t="shared" si="198"/>
        <v>0.66126041486389231</v>
      </c>
      <c r="J714" s="41">
        <f t="shared" si="199"/>
        <v>4.2532740598340668E-2</v>
      </c>
      <c r="K714" s="42">
        <f t="shared" si="190"/>
        <v>156.05984759997776</v>
      </c>
      <c r="L714" s="42">
        <f t="shared" si="191"/>
        <v>166.12604148638957</v>
      </c>
      <c r="M714" s="42">
        <f t="shared" si="192"/>
        <v>104.25327405983418</v>
      </c>
      <c r="N714" s="41">
        <f t="shared" si="200"/>
        <v>-6.0593714244593144E-2</v>
      </c>
      <c r="O714" s="41">
        <f t="shared" si="201"/>
        <v>0.4969299430386247</v>
      </c>
      <c r="P714" s="39">
        <f t="shared" si="202"/>
        <v>277.24963586882234</v>
      </c>
      <c r="Q714" s="42">
        <f t="shared" si="203"/>
        <v>1.5605984759997753</v>
      </c>
      <c r="R714" s="42">
        <f t="shared" si="204"/>
        <v>1.7190611268702347</v>
      </c>
      <c r="S714" s="41">
        <f t="shared" si="205"/>
        <v>-9.2179765101756739E-2</v>
      </c>
      <c r="T714" s="41">
        <f t="shared" si="189"/>
        <v>0.20132143514065773</v>
      </c>
      <c r="U714" s="41">
        <f t="shared" si="206"/>
        <v>-1.2510889399557801E-2</v>
      </c>
      <c r="V714" s="41">
        <f t="shared" si="207"/>
        <v>-1.2191558803476887E-2</v>
      </c>
      <c r="W714" s="39">
        <f t="shared" si="193"/>
        <v>280.58</v>
      </c>
      <c r="X714" s="21"/>
    </row>
    <row r="715" spans="1:24" x14ac:dyDescent="0.2">
      <c r="A715" s="38">
        <v>45978</v>
      </c>
      <c r="B715" s="39">
        <v>280.08</v>
      </c>
      <c r="C715" s="39">
        <v>665.67</v>
      </c>
      <c r="D715" s="39">
        <v>42.725000000000001</v>
      </c>
      <c r="E715" s="41">
        <f t="shared" si="194"/>
        <v>-1.7820229524556641E-3</v>
      </c>
      <c r="F715" s="41">
        <f t="shared" si="195"/>
        <v>-9.3164466536692636E-3</v>
      </c>
      <c r="G715" s="41">
        <f t="shared" si="196"/>
        <v>-1.5212631093695861E-2</v>
      </c>
      <c r="H715" s="41">
        <f t="shared" si="197"/>
        <v>0.55781745369597635</v>
      </c>
      <c r="I715" s="41">
        <f t="shared" si="198"/>
        <v>0.64578337083096038</v>
      </c>
      <c r="J715" s="41">
        <f t="shared" si="199"/>
        <v>2.6673074612518333E-2</v>
      </c>
      <c r="K715" s="42">
        <f t="shared" si="190"/>
        <v>155.78174536959784</v>
      </c>
      <c r="L715" s="42">
        <f t="shared" si="191"/>
        <v>164.57833708309636</v>
      </c>
      <c r="M715" s="42">
        <f t="shared" si="192"/>
        <v>102.66730746125194</v>
      </c>
      <c r="N715" s="41">
        <f t="shared" si="200"/>
        <v>-5.3449268411655981E-2</v>
      </c>
      <c r="O715" s="41">
        <f t="shared" si="201"/>
        <v>0.51734519217222075</v>
      </c>
      <c r="P715" s="39">
        <f t="shared" si="202"/>
        <v>277.27779869599829</v>
      </c>
      <c r="Q715" s="42">
        <f t="shared" si="203"/>
        <v>1.5578174536959764</v>
      </c>
      <c r="R715" s="42">
        <f t="shared" si="204"/>
        <v>1.7190611268702347</v>
      </c>
      <c r="S715" s="41">
        <f t="shared" si="205"/>
        <v>-9.3797521597049127E-2</v>
      </c>
      <c r="T715" s="41">
        <f t="shared" si="189"/>
        <v>0.19900266181794229</v>
      </c>
      <c r="U715" s="41">
        <f t="shared" si="206"/>
        <v>-1.9376728152469269E-3</v>
      </c>
      <c r="V715" s="41">
        <f t="shared" si="207"/>
        <v>7.5344237012135995E-3</v>
      </c>
      <c r="W715" s="39">
        <f t="shared" si="193"/>
        <v>280.08</v>
      </c>
      <c r="X715" s="21"/>
    </row>
    <row r="716" spans="1:24" x14ac:dyDescent="0.2">
      <c r="A716" s="38">
        <v>45979</v>
      </c>
      <c r="B716" s="39">
        <v>281.87</v>
      </c>
      <c r="C716" s="39">
        <v>660.08</v>
      </c>
      <c r="D716" s="39">
        <v>42.76</v>
      </c>
      <c r="E716" s="41">
        <f t="shared" si="194"/>
        <v>6.3910311339618886E-3</v>
      </c>
      <c r="F716" s="41">
        <f t="shared" si="195"/>
        <v>-8.397554343743785E-3</v>
      </c>
      <c r="G716" s="41">
        <f t="shared" si="196"/>
        <v>8.1919251023987449E-4</v>
      </c>
      <c r="H716" s="41">
        <f t="shared" si="197"/>
        <v>0.56777351354357664</v>
      </c>
      <c r="I716" s="41">
        <f t="shared" si="198"/>
        <v>0.63196281553637745</v>
      </c>
      <c r="J716" s="41">
        <f t="shared" si="199"/>
        <v>2.7514117505705871E-2</v>
      </c>
      <c r="K716" s="42">
        <f t="shared" si="190"/>
        <v>156.77735135435788</v>
      </c>
      <c r="L716" s="42">
        <f t="shared" si="191"/>
        <v>163.1962815536381</v>
      </c>
      <c r="M716" s="42">
        <f t="shared" si="192"/>
        <v>102.7514117505707</v>
      </c>
      <c r="N716" s="41">
        <f t="shared" si="200"/>
        <v>-3.933257631957976E-2</v>
      </c>
      <c r="O716" s="41">
        <f t="shared" si="201"/>
        <v>0.52579267460514534</v>
      </c>
      <c r="P716" s="39">
        <f t="shared" si="202"/>
        <v>277.32349224131173</v>
      </c>
      <c r="Q716" s="42">
        <f t="shared" si="203"/>
        <v>1.5677735135435766</v>
      </c>
      <c r="R716" s="42">
        <f t="shared" si="204"/>
        <v>1.7190611268702347</v>
      </c>
      <c r="S716" s="41">
        <f t="shared" si="205"/>
        <v>-8.8005953343902377E-2</v>
      </c>
      <c r="T716" s="41">
        <f t="shared" si="189"/>
        <v>0.19904082698866221</v>
      </c>
      <c r="U716" s="41">
        <f t="shared" si="206"/>
        <v>0</v>
      </c>
      <c r="V716" s="41">
        <f t="shared" si="207"/>
        <v>1.4788585477705674E-2</v>
      </c>
      <c r="W716" s="39">
        <f t="shared" si="193"/>
        <v>281.87</v>
      </c>
      <c r="X716" s="21"/>
    </row>
    <row r="717" spans="1:24" x14ac:dyDescent="0.2">
      <c r="A717" s="38">
        <v>45980</v>
      </c>
      <c r="B717" s="39">
        <v>284.23</v>
      </c>
      <c r="C717" s="39">
        <v>662.63</v>
      </c>
      <c r="D717" s="39">
        <v>42.87</v>
      </c>
      <c r="E717" s="41">
        <f t="shared" si="194"/>
        <v>8.3726540603825672E-3</v>
      </c>
      <c r="F717" s="41">
        <f t="shared" si="195"/>
        <v>3.8631681008360896E-3</v>
      </c>
      <c r="G717" s="41">
        <f t="shared" si="196"/>
        <v>2.5724976613656914E-3</v>
      </c>
      <c r="H717" s="41">
        <f t="shared" si="197"/>
        <v>0.58089993881750757</v>
      </c>
      <c r="I717" s="41">
        <f t="shared" si="198"/>
        <v>0.63826736222710823</v>
      </c>
      <c r="J717" s="41">
        <f t="shared" si="199"/>
        <v>3.0157395170009593E-2</v>
      </c>
      <c r="K717" s="42">
        <f t="shared" si="190"/>
        <v>158.08999388175096</v>
      </c>
      <c r="L717" s="42">
        <f t="shared" si="191"/>
        <v>163.82673622271119</v>
      </c>
      <c r="M717" s="42">
        <f t="shared" si="192"/>
        <v>103.01573951700107</v>
      </c>
      <c r="N717" s="41">
        <f t="shared" si="200"/>
        <v>-3.501713135004636E-2</v>
      </c>
      <c r="O717" s="41">
        <f t="shared" si="201"/>
        <v>0.53461980298322032</v>
      </c>
      <c r="P717" s="39">
        <f t="shared" si="202"/>
        <v>277.39221371154741</v>
      </c>
      <c r="Q717" s="42">
        <f t="shared" si="203"/>
        <v>1.5808999388175076</v>
      </c>
      <c r="R717" s="42">
        <f t="shared" si="204"/>
        <v>1.7190611268702347</v>
      </c>
      <c r="S717" s="41">
        <f t="shared" si="205"/>
        <v>-8.0370142686122414E-2</v>
      </c>
      <c r="T717" s="41">
        <f t="shared" si="189"/>
        <v>0.1997304509847114</v>
      </c>
      <c r="U717" s="41">
        <f t="shared" si="206"/>
        <v>0</v>
      </c>
      <c r="V717" s="41">
        <f t="shared" si="207"/>
        <v>4.5094859595464776E-3</v>
      </c>
      <c r="W717" s="39">
        <f t="shared" si="193"/>
        <v>284.23</v>
      </c>
      <c r="X717" s="21"/>
    </row>
    <row r="718" spans="1:24" x14ac:dyDescent="0.2">
      <c r="A718" s="38">
        <v>45981</v>
      </c>
      <c r="B718" s="39">
        <v>285.97000000000003</v>
      </c>
      <c r="C718" s="39">
        <v>652.53</v>
      </c>
      <c r="D718" s="39">
        <v>42.23</v>
      </c>
      <c r="E718" s="41">
        <f t="shared" si="194"/>
        <v>6.1218027653660023E-3</v>
      </c>
      <c r="F718" s="41">
        <f t="shared" si="195"/>
        <v>-1.5242292078535558E-2</v>
      </c>
      <c r="G718" s="41">
        <f t="shared" si="196"/>
        <v>-1.4928854676930281E-2</v>
      </c>
      <c r="H718" s="41">
        <f t="shared" si="197"/>
        <v>0.59057789643472747</v>
      </c>
      <c r="I718" s="41">
        <f t="shared" si="198"/>
        <v>0.61329641258931056</v>
      </c>
      <c r="J718" s="41">
        <f t="shared" si="199"/>
        <v>1.477832512315147E-2</v>
      </c>
      <c r="K718" s="42">
        <f t="shared" si="190"/>
        <v>159.05778964347297</v>
      </c>
      <c r="L718" s="42">
        <f t="shared" si="191"/>
        <v>161.32964125893145</v>
      </c>
      <c r="M718" s="42">
        <f t="shared" si="192"/>
        <v>101.47783251231526</v>
      </c>
      <c r="N718" s="41">
        <f t="shared" si="200"/>
        <v>-1.4082047153455401E-2</v>
      </c>
      <c r="O718" s="41">
        <f t="shared" si="201"/>
        <v>0.56741414066140816</v>
      </c>
      <c r="P718" s="39">
        <f t="shared" si="202"/>
        <v>277.47756481889525</v>
      </c>
      <c r="Q718" s="42">
        <f t="shared" si="203"/>
        <v>1.5905778964347275</v>
      </c>
      <c r="R718" s="42">
        <f t="shared" si="204"/>
        <v>1.7190611268702347</v>
      </c>
      <c r="S718" s="41">
        <f t="shared" si="205"/>
        <v>-7.4740350082505236E-2</v>
      </c>
      <c r="T718" s="41">
        <f t="shared" si="189"/>
        <v>0.2001671194103713</v>
      </c>
      <c r="U718" s="41">
        <f t="shared" si="206"/>
        <v>0</v>
      </c>
      <c r="V718" s="41">
        <f t="shared" si="207"/>
        <v>2.136409484390156E-2</v>
      </c>
      <c r="W718" s="39">
        <f t="shared" si="193"/>
        <v>285.97000000000003</v>
      </c>
      <c r="X718" s="21"/>
    </row>
    <row r="719" spans="1:24" x14ac:dyDescent="0.2">
      <c r="A719" s="38">
        <v>45982</v>
      </c>
      <c r="B719" s="39">
        <v>287.83</v>
      </c>
      <c r="C719" s="39">
        <v>659.03</v>
      </c>
      <c r="D719" s="39">
        <v>43.174999999999997</v>
      </c>
      <c r="E719" s="41">
        <f t="shared" si="194"/>
        <v>6.5041787600097489E-3</v>
      </c>
      <c r="F719" s="41">
        <f t="shared" si="195"/>
        <v>9.9612278362679607E-3</v>
      </c>
      <c r="G719" s="41">
        <f t="shared" si="196"/>
        <v>2.2377456784276495E-2</v>
      </c>
      <c r="H719" s="41">
        <f t="shared" si="197"/>
        <v>0.60092329940485922</v>
      </c>
      <c r="I719" s="41">
        <f t="shared" si="198"/>
        <v>0.62936682572254643</v>
      </c>
      <c r="J719" s="41">
        <f t="shared" si="199"/>
        <v>3.7486483239215218E-2</v>
      </c>
      <c r="K719" s="42">
        <f t="shared" si="190"/>
        <v>160.09232994048611</v>
      </c>
      <c r="L719" s="42">
        <f t="shared" si="191"/>
        <v>162.93668257225505</v>
      </c>
      <c r="M719" s="42">
        <f t="shared" si="192"/>
        <v>103.74864832392166</v>
      </c>
      <c r="N719" s="41">
        <f t="shared" si="200"/>
        <v>-1.7456797247037303E-2</v>
      </c>
      <c r="O719" s="41">
        <f t="shared" si="201"/>
        <v>0.5430787053788837</v>
      </c>
      <c r="P719" s="39">
        <f t="shared" si="202"/>
        <v>277.58057412417992</v>
      </c>
      <c r="Q719" s="42">
        <f t="shared" si="203"/>
        <v>1.6009232994048592</v>
      </c>
      <c r="R719" s="42">
        <f t="shared" si="204"/>
        <v>1.7190611268702347</v>
      </c>
      <c r="S719" s="41">
        <f t="shared" si="205"/>
        <v>-6.8722295920017773E-2</v>
      </c>
      <c r="T719" s="41">
        <f t="shared" si="189"/>
        <v>0.20064090536160017</v>
      </c>
      <c r="U719" s="41">
        <f t="shared" si="206"/>
        <v>0</v>
      </c>
      <c r="V719" s="41">
        <f t="shared" si="207"/>
        <v>-3.4570490762582118E-3</v>
      </c>
      <c r="W719" s="39">
        <f t="shared" si="193"/>
        <v>287.83</v>
      </c>
      <c r="X719" s="21"/>
    </row>
    <row r="720" spans="1:24" x14ac:dyDescent="0.2">
      <c r="A720" s="38">
        <v>45985</v>
      </c>
      <c r="B720" s="39">
        <v>287.19</v>
      </c>
      <c r="C720" s="39">
        <v>668.73</v>
      </c>
      <c r="D720" s="39">
        <v>43.26</v>
      </c>
      <c r="E720" s="41">
        <f t="shared" si="194"/>
        <v>-2.2235347253586335E-3</v>
      </c>
      <c r="F720" s="41">
        <f t="shared" si="195"/>
        <v>1.4718601581111601E-2</v>
      </c>
      <c r="G720" s="41">
        <f t="shared" si="196"/>
        <v>1.9687319050376573E-3</v>
      </c>
      <c r="H720" s="41">
        <f t="shared" si="197"/>
        <v>0.59736359085599688</v>
      </c>
      <c r="I720" s="41">
        <f t="shared" si="198"/>
        <v>0.65334882685983708</v>
      </c>
      <c r="J720" s="41">
        <f t="shared" si="199"/>
        <v>3.952901597981362E-2</v>
      </c>
      <c r="K720" s="42">
        <f t="shared" si="190"/>
        <v>159.73635908559987</v>
      </c>
      <c r="L720" s="42">
        <f t="shared" si="191"/>
        <v>165.33488268598413</v>
      </c>
      <c r="M720" s="42">
        <f t="shared" si="192"/>
        <v>103.95290159798149</v>
      </c>
      <c r="N720" s="41">
        <f t="shared" si="200"/>
        <v>-3.3861720584500876E-2</v>
      </c>
      <c r="O720" s="41">
        <f t="shared" si="201"/>
        <v>0.53662241871179828</v>
      </c>
      <c r="P720" s="39">
        <f t="shared" si="202"/>
        <v>277.67619030204878</v>
      </c>
      <c r="Q720" s="42">
        <f t="shared" si="203"/>
        <v>1.5973635908559969</v>
      </c>
      <c r="R720" s="42">
        <f t="shared" si="204"/>
        <v>1.7190611268702347</v>
      </c>
      <c r="S720" s="41">
        <f t="shared" si="205"/>
        <v>-7.0793024233991808E-2</v>
      </c>
      <c r="T720" s="41">
        <f t="shared" si="189"/>
        <v>0.20068730926114198</v>
      </c>
      <c r="U720" s="41">
        <f t="shared" si="206"/>
        <v>-2.3791845881498963E-3</v>
      </c>
      <c r="V720" s="41">
        <f t="shared" si="207"/>
        <v>-1.6942136306470235E-2</v>
      </c>
      <c r="W720" s="39">
        <f t="shared" si="193"/>
        <v>287.19</v>
      </c>
      <c r="X720" s="21"/>
    </row>
    <row r="721" spans="1:24" x14ac:dyDescent="0.2">
      <c r="A721" s="38">
        <v>45986</v>
      </c>
      <c r="B721" s="39">
        <v>292.72000000000003</v>
      </c>
      <c r="C721" s="39">
        <v>675.02</v>
      </c>
      <c r="D721" s="39">
        <v>43.905000000000001</v>
      </c>
      <c r="E721" s="41">
        <f t="shared" si="194"/>
        <v>1.9255545109509553E-2</v>
      </c>
      <c r="F721" s="41">
        <f t="shared" si="195"/>
        <v>9.4058887742436426E-3</v>
      </c>
      <c r="G721" s="41">
        <f t="shared" si="196"/>
        <v>1.4909847434119383E-2</v>
      </c>
      <c r="H721" s="41">
        <f t="shared" si="197"/>
        <v>0.62812169753601266</v>
      </c>
      <c r="I721" s="41">
        <f t="shared" si="198"/>
        <v>0.66890004203030684</v>
      </c>
      <c r="J721" s="41">
        <f t="shared" si="199"/>
        <v>5.5028235011412852E-2</v>
      </c>
      <c r="K721" s="42">
        <f t="shared" si="190"/>
        <v>162.81216975360144</v>
      </c>
      <c r="L721" s="42">
        <f t="shared" si="191"/>
        <v>166.89000420303111</v>
      </c>
      <c r="M721" s="42">
        <f t="shared" si="192"/>
        <v>105.50282350114142</v>
      </c>
      <c r="N721" s="41">
        <f t="shared" si="200"/>
        <v>-2.4434264166405706E-2</v>
      </c>
      <c r="O721" s="41">
        <f t="shared" si="201"/>
        <v>0.54320201441660965</v>
      </c>
      <c r="P721" s="39">
        <f t="shared" si="202"/>
        <v>277.82587995078461</v>
      </c>
      <c r="Q721" s="42">
        <f t="shared" si="203"/>
        <v>1.6281216975360127</v>
      </c>
      <c r="R721" s="42">
        <f t="shared" si="204"/>
        <v>1.7190611268702347</v>
      </c>
      <c r="S721" s="41">
        <f t="shared" si="205"/>
        <v>-5.2900637396058547E-2</v>
      </c>
      <c r="T721" s="41">
        <f t="shared" si="189"/>
        <v>0.20438534484154797</v>
      </c>
      <c r="U721" s="41">
        <f t="shared" si="206"/>
        <v>0</v>
      </c>
      <c r="V721" s="41">
        <f t="shared" si="207"/>
        <v>9.8496563352659106E-3</v>
      </c>
      <c r="W721" s="39">
        <f t="shared" si="193"/>
        <v>292.72000000000003</v>
      </c>
      <c r="X721" s="21"/>
    </row>
    <row r="722" spans="1:24" x14ac:dyDescent="0.2">
      <c r="A722" s="38">
        <v>45987</v>
      </c>
      <c r="B722" s="39">
        <v>295.08</v>
      </c>
      <c r="C722" s="39">
        <v>679.68</v>
      </c>
      <c r="D722" s="39">
        <v>44.445</v>
      </c>
      <c r="E722" s="41">
        <f t="shared" si="194"/>
        <v>8.0623121071330406E-3</v>
      </c>
      <c r="F722" s="41">
        <f t="shared" si="195"/>
        <v>6.9034991555805281E-3</v>
      </c>
      <c r="G722" s="41">
        <f t="shared" si="196"/>
        <v>1.2299282541851753E-2</v>
      </c>
      <c r="H722" s="41">
        <f t="shared" si="197"/>
        <v>0.64124812280994314</v>
      </c>
      <c r="I722" s="41">
        <f t="shared" si="198"/>
        <v>0.68042129206121138</v>
      </c>
      <c r="J722" s="41">
        <f t="shared" si="199"/>
        <v>6.8004325363449469E-2</v>
      </c>
      <c r="K722" s="42">
        <f t="shared" si="190"/>
        <v>164.12481228099449</v>
      </c>
      <c r="L722" s="42">
        <f t="shared" si="191"/>
        <v>168.04212920612156</v>
      </c>
      <c r="M722" s="42">
        <f t="shared" si="192"/>
        <v>106.80043253634506</v>
      </c>
      <c r="N722" s="41">
        <f t="shared" si="200"/>
        <v>-2.3311516841838076E-2</v>
      </c>
      <c r="O722" s="41">
        <f t="shared" si="201"/>
        <v>0.53674295490462054</v>
      </c>
      <c r="P722" s="39">
        <f t="shared" si="202"/>
        <v>277.99756273734397</v>
      </c>
      <c r="Q722" s="42">
        <f t="shared" si="203"/>
        <v>1.6412481228099431</v>
      </c>
      <c r="R722" s="42">
        <f t="shared" si="204"/>
        <v>1.7190611268702347</v>
      </c>
      <c r="S722" s="41">
        <f t="shared" si="205"/>
        <v>-4.5264826738278807E-2</v>
      </c>
      <c r="T722" s="41">
        <f t="shared" si="189"/>
        <v>0.20250795108088776</v>
      </c>
      <c r="U722" s="41">
        <f t="shared" si="206"/>
        <v>0</v>
      </c>
      <c r="V722" s="41">
        <f t="shared" si="207"/>
        <v>1.1588129515525125E-3</v>
      </c>
      <c r="W722" s="39">
        <f t="shared" si="193"/>
        <v>295.08</v>
      </c>
      <c r="X722" s="21"/>
    </row>
    <row r="723" spans="1:24" x14ac:dyDescent="0.2">
      <c r="A723" s="38">
        <v>45989</v>
      </c>
      <c r="B723" s="39">
        <v>297.24</v>
      </c>
      <c r="C723" s="39">
        <v>683.39</v>
      </c>
      <c r="D723" s="39">
        <v>44.7</v>
      </c>
      <c r="E723" s="41">
        <f t="shared" si="194"/>
        <v>7.3200488003253295E-3</v>
      </c>
      <c r="F723" s="41">
        <f t="shared" si="195"/>
        <v>5.4584510357815752E-3</v>
      </c>
      <c r="G723" s="41">
        <f t="shared" si="196"/>
        <v>5.7374282821465172E-3</v>
      </c>
      <c r="H723" s="41">
        <f t="shared" si="197"/>
        <v>0.65326213916235432</v>
      </c>
      <c r="I723" s="41">
        <f t="shared" si="198"/>
        <v>0.68959378940341232</v>
      </c>
      <c r="J723" s="41">
        <f t="shared" si="199"/>
        <v>7.4131923585244452E-2</v>
      </c>
      <c r="K723" s="42">
        <f t="shared" si="190"/>
        <v>165.32621391623564</v>
      </c>
      <c r="L723" s="42">
        <f t="shared" si="191"/>
        <v>168.95937894034168</v>
      </c>
      <c r="M723" s="42">
        <f t="shared" si="192"/>
        <v>107.41319235852458</v>
      </c>
      <c r="N723" s="41">
        <f t="shared" si="200"/>
        <v>-2.15031864279559E-2</v>
      </c>
      <c r="O723" s="41">
        <f t="shared" si="201"/>
        <v>0.53916116154902594</v>
      </c>
      <c r="P723" s="39">
        <f t="shared" si="202"/>
        <v>278.18902977478336</v>
      </c>
      <c r="Q723" s="42">
        <f t="shared" si="203"/>
        <v>1.6532621391623543</v>
      </c>
      <c r="R723" s="42">
        <f t="shared" si="204"/>
        <v>1.7190611268702347</v>
      </c>
      <c r="S723" s="41">
        <f t="shared" si="205"/>
        <v>-3.8276118678615911E-2</v>
      </c>
      <c r="T723" s="41">
        <f t="shared" si="189"/>
        <v>0.20080431660842879</v>
      </c>
      <c r="U723" s="41">
        <f t="shared" si="206"/>
        <v>0</v>
      </c>
      <c r="V723" s="41">
        <f t="shared" si="207"/>
        <v>1.8615977645437543E-3</v>
      </c>
      <c r="W723" s="39">
        <f t="shared" si="193"/>
        <v>297.24</v>
      </c>
      <c r="X723" s="21"/>
    </row>
    <row r="724" spans="1:24" x14ac:dyDescent="0.2">
      <c r="A724" s="38">
        <v>45992</v>
      </c>
      <c r="B724" s="39">
        <v>291.85000000000002</v>
      </c>
      <c r="C724" s="39">
        <v>680.27</v>
      </c>
      <c r="D724" s="39">
        <v>44.59</v>
      </c>
      <c r="E724" s="41">
        <f t="shared" si="194"/>
        <v>-1.8133494819001394E-2</v>
      </c>
      <c r="F724" s="41">
        <f t="shared" si="195"/>
        <v>-4.5654750581659576E-3</v>
      </c>
      <c r="G724" s="41">
        <f t="shared" si="196"/>
        <v>-2.460850111856816E-3</v>
      </c>
      <c r="H724" s="41">
        <f t="shared" si="197"/>
        <v>0.6232827187274026</v>
      </c>
      <c r="I724" s="41">
        <f t="shared" si="198"/>
        <v>0.68187999109945885</v>
      </c>
      <c r="J724" s="41">
        <f t="shared" si="199"/>
        <v>7.148864592094073E-2</v>
      </c>
      <c r="K724" s="42">
        <f t="shared" si="190"/>
        <v>162.32827187274043</v>
      </c>
      <c r="L724" s="42">
        <f t="shared" si="191"/>
        <v>168.18799910994633</v>
      </c>
      <c r="M724" s="42">
        <f t="shared" si="192"/>
        <v>107.14886459209421</v>
      </c>
      <c r="N724" s="41">
        <f t="shared" si="200"/>
        <v>-3.4840340976855733E-2</v>
      </c>
      <c r="O724" s="41">
        <f t="shared" si="201"/>
        <v>0.51497892666160427</v>
      </c>
      <c r="P724" s="39">
        <f t="shared" si="202"/>
        <v>278.32495982677557</v>
      </c>
      <c r="Q724" s="42">
        <f t="shared" si="203"/>
        <v>1.6232827187274026</v>
      </c>
      <c r="R724" s="42">
        <f t="shared" si="204"/>
        <v>1.7190611268702347</v>
      </c>
      <c r="S724" s="41">
        <f t="shared" si="205"/>
        <v>-5.5715533697867192E-2</v>
      </c>
      <c r="T724" s="41">
        <f t="shared" si="189"/>
        <v>0.20359299687230117</v>
      </c>
      <c r="U724" s="41">
        <f t="shared" si="206"/>
        <v>-1.8289144681792657E-2</v>
      </c>
      <c r="V724" s="41">
        <f t="shared" si="207"/>
        <v>-1.3568019760835437E-2</v>
      </c>
      <c r="W724" s="39">
        <f t="shared" si="193"/>
        <v>291.85000000000002</v>
      </c>
      <c r="X724" s="21"/>
    </row>
    <row r="725" spans="1:24" x14ac:dyDescent="0.2">
      <c r="A725" s="38">
        <v>45993</v>
      </c>
      <c r="B725" s="39">
        <v>289.83999999999997</v>
      </c>
      <c r="C725" s="39">
        <v>681.53</v>
      </c>
      <c r="D725" s="39">
        <v>44.185000000000002</v>
      </c>
      <c r="E725" s="41">
        <f t="shared" si="194"/>
        <v>-6.8870995374338273E-3</v>
      </c>
      <c r="F725" s="41">
        <f t="shared" si="195"/>
        <v>1.8522057418377535E-3</v>
      </c>
      <c r="G725" s="41">
        <f t="shared" si="196"/>
        <v>-9.0827539807132318E-3</v>
      </c>
      <c r="H725" s="41">
        <f t="shared" si="197"/>
        <v>0.6121030090661308</v>
      </c>
      <c r="I725" s="41">
        <f t="shared" si="198"/>
        <v>0.68499517887605532</v>
      </c>
      <c r="J725" s="41">
        <f t="shared" si="199"/>
        <v>6.1756578156913378E-2</v>
      </c>
      <c r="K725" s="42">
        <f t="shared" si="190"/>
        <v>161.21030090661327</v>
      </c>
      <c r="L725" s="42">
        <f t="shared" si="191"/>
        <v>168.49951788760598</v>
      </c>
      <c r="M725" s="42">
        <f t="shared" si="192"/>
        <v>106.17565781569145</v>
      </c>
      <c r="N725" s="41">
        <f t="shared" si="200"/>
        <v>-4.3259571732748747E-2</v>
      </c>
      <c r="O725" s="41">
        <f t="shared" si="201"/>
        <v>0.51833578640459677</v>
      </c>
      <c r="P725" s="39">
        <f t="shared" si="202"/>
        <v>278.43953734093702</v>
      </c>
      <c r="Q725" s="42">
        <f t="shared" si="203"/>
        <v>1.6121030090661308</v>
      </c>
      <c r="R725" s="42">
        <f t="shared" si="204"/>
        <v>1.7190611268702347</v>
      </c>
      <c r="S725" s="41">
        <f t="shared" si="205"/>
        <v>-6.2218914808942594E-2</v>
      </c>
      <c r="T725" s="41">
        <f t="shared" si="189"/>
        <v>0.20194152378810937</v>
      </c>
      <c r="U725" s="41">
        <f t="shared" si="206"/>
        <v>-7.0427494002250901E-3</v>
      </c>
      <c r="V725" s="41">
        <f t="shared" si="207"/>
        <v>-8.7393052792715809E-3</v>
      </c>
      <c r="W725" s="39">
        <f t="shared" si="193"/>
        <v>289.83999999999997</v>
      </c>
      <c r="X725" s="21"/>
    </row>
    <row r="726" spans="1:24" x14ac:dyDescent="0.2">
      <c r="A726" s="38">
        <v>45994</v>
      </c>
      <c r="B726" s="39">
        <v>292.58999999999997</v>
      </c>
      <c r="C726" s="39">
        <v>683.89</v>
      </c>
      <c r="D726" s="39">
        <v>44.494999999999997</v>
      </c>
      <c r="E726" s="41">
        <f t="shared" si="194"/>
        <v>9.4879933756555346E-3</v>
      </c>
      <c r="F726" s="41">
        <f t="shared" si="195"/>
        <v>3.4627969421743288E-3</v>
      </c>
      <c r="G726" s="41">
        <f t="shared" si="196"/>
        <v>7.0159556410545054E-3</v>
      </c>
      <c r="H726" s="41">
        <f t="shared" si="197"/>
        <v>0.62739863173702459</v>
      </c>
      <c r="I726" s="41">
        <f t="shared" si="198"/>
        <v>0.69082997502904586</v>
      </c>
      <c r="J726" s="41">
        <f t="shared" si="199"/>
        <v>6.9205815210860111E-2</v>
      </c>
      <c r="K726" s="42">
        <f t="shared" si="190"/>
        <v>162.73986317370264</v>
      </c>
      <c r="L726" s="42">
        <f t="shared" si="191"/>
        <v>169.08299750290502</v>
      </c>
      <c r="M726" s="42">
        <f t="shared" si="192"/>
        <v>106.92058152108615</v>
      </c>
      <c r="N726" s="41">
        <f t="shared" si="200"/>
        <v>-3.7514915295331019E-2</v>
      </c>
      <c r="O726" s="41">
        <f t="shared" si="201"/>
        <v>0.52206301965920576</v>
      </c>
      <c r="P726" s="39">
        <f t="shared" si="202"/>
        <v>278.58033796441032</v>
      </c>
      <c r="Q726" s="42">
        <f t="shared" si="203"/>
        <v>1.6273986317370246</v>
      </c>
      <c r="R726" s="42">
        <f t="shared" si="204"/>
        <v>1.7190611268702347</v>
      </c>
      <c r="S726" s="41">
        <f t="shared" si="205"/>
        <v>-5.332125408483479E-2</v>
      </c>
      <c r="T726" s="41">
        <f t="shared" si="189"/>
        <v>0.19801524172119758</v>
      </c>
      <c r="U726" s="41">
        <f t="shared" si="206"/>
        <v>0</v>
      </c>
      <c r="V726" s="41">
        <f t="shared" si="207"/>
        <v>6.0251964334812058E-3</v>
      </c>
      <c r="W726" s="39">
        <f t="shared" si="193"/>
        <v>292.58999999999997</v>
      </c>
      <c r="X726" s="21"/>
    </row>
    <row r="727" spans="1:24" x14ac:dyDescent="0.2">
      <c r="A727" s="38">
        <v>45995</v>
      </c>
      <c r="B727" s="39">
        <v>293.64999999999998</v>
      </c>
      <c r="C727" s="39">
        <v>684.39</v>
      </c>
      <c r="D727" s="39">
        <v>44.234999999999999</v>
      </c>
      <c r="E727" s="41">
        <f t="shared" si="194"/>
        <v>3.6228169110359421E-3</v>
      </c>
      <c r="F727" s="41">
        <f t="shared" si="195"/>
        <v>7.3111172849427142E-4</v>
      </c>
      <c r="G727" s="41">
        <f t="shared" si="196"/>
        <v>-5.8433531857511323E-3</v>
      </c>
      <c r="H727" s="41">
        <f t="shared" si="197"/>
        <v>0.6332943990210782</v>
      </c>
      <c r="I727" s="41">
        <f t="shared" si="198"/>
        <v>0.69206616065467919</v>
      </c>
      <c r="J727" s="41">
        <f t="shared" si="199"/>
        <v>6.2958068004324019E-2</v>
      </c>
      <c r="K727" s="42">
        <f t="shared" si="190"/>
        <v>163.32943990210802</v>
      </c>
      <c r="L727" s="42">
        <f t="shared" si="191"/>
        <v>169.20661606546838</v>
      </c>
      <c r="M727" s="42">
        <f t="shared" si="192"/>
        <v>106.29580680043253</v>
      </c>
      <c r="N727" s="41">
        <f t="shared" si="200"/>
        <v>-3.4733725548214744E-2</v>
      </c>
      <c r="O727" s="41">
        <f t="shared" si="201"/>
        <v>0.53655581361506166</v>
      </c>
      <c r="P727" s="39">
        <f t="shared" si="202"/>
        <v>278.7302848503366</v>
      </c>
      <c r="Q727" s="42">
        <f t="shared" si="203"/>
        <v>1.6332943990210782</v>
      </c>
      <c r="R727" s="42">
        <f t="shared" si="204"/>
        <v>1.7190611268702347</v>
      </c>
      <c r="S727" s="41">
        <f t="shared" si="205"/>
        <v>-4.9891610314815038E-2</v>
      </c>
      <c r="T727" s="41">
        <f t="shared" si="189"/>
        <v>0.1976611121809185</v>
      </c>
      <c r="U727" s="41">
        <f t="shared" si="206"/>
        <v>0</v>
      </c>
      <c r="V727" s="41">
        <f t="shared" si="207"/>
        <v>2.8917051825416706E-3</v>
      </c>
      <c r="W727" s="39">
        <f t="shared" si="193"/>
        <v>293.64999999999998</v>
      </c>
      <c r="X727" s="21"/>
    </row>
    <row r="728" spans="1:24" x14ac:dyDescent="0.2">
      <c r="A728" s="38">
        <v>45996</v>
      </c>
      <c r="B728" s="39">
        <v>294.87</v>
      </c>
      <c r="C728" s="39">
        <v>685.69</v>
      </c>
      <c r="D728" s="39">
        <v>44.09</v>
      </c>
      <c r="E728" s="41">
        <f t="shared" si="194"/>
        <v>4.1546058232591054E-3</v>
      </c>
      <c r="F728" s="41">
        <f t="shared" si="195"/>
        <v>1.8995017460805563E-3</v>
      </c>
      <c r="G728" s="41">
        <f t="shared" si="196"/>
        <v>-3.2779473267773307E-3</v>
      </c>
      <c r="H728" s="41">
        <f t="shared" si="197"/>
        <v>0.64008009344234762</v>
      </c>
      <c r="I728" s="41">
        <f t="shared" si="198"/>
        <v>0.69528024328132654</v>
      </c>
      <c r="J728" s="41">
        <f t="shared" si="199"/>
        <v>5.9473747446832759E-2</v>
      </c>
      <c r="K728" s="42">
        <f t="shared" si="190"/>
        <v>164.00800934423495</v>
      </c>
      <c r="L728" s="42">
        <f t="shared" si="191"/>
        <v>169.52802432813311</v>
      </c>
      <c r="M728" s="42">
        <f t="shared" si="192"/>
        <v>105.94737474468342</v>
      </c>
      <c r="N728" s="41">
        <f t="shared" si="200"/>
        <v>-3.2561076587629745E-2</v>
      </c>
      <c r="O728" s="41">
        <f t="shared" si="201"/>
        <v>0.54801390538905381</v>
      </c>
      <c r="P728" s="39">
        <f t="shared" si="202"/>
        <v>278.89087903093025</v>
      </c>
      <c r="Q728" s="42">
        <f t="shared" si="203"/>
        <v>1.6400800934423476</v>
      </c>
      <c r="R728" s="42">
        <f t="shared" si="204"/>
        <v>1.7190611268702347</v>
      </c>
      <c r="S728" s="41">
        <f t="shared" si="205"/>
        <v>-4.594428446630161E-2</v>
      </c>
      <c r="T728" s="41">
        <f t="shared" si="189"/>
        <v>0.19118410305295402</v>
      </c>
      <c r="U728" s="41">
        <f t="shared" si="206"/>
        <v>0</v>
      </c>
      <c r="V728" s="41">
        <f t="shared" si="207"/>
        <v>2.2551040771785491E-3</v>
      </c>
      <c r="W728" s="39">
        <f t="shared" si="193"/>
        <v>294.87</v>
      </c>
      <c r="X728" s="21"/>
    </row>
    <row r="729" spans="1:24" x14ac:dyDescent="0.2">
      <c r="A729" s="38">
        <v>45999</v>
      </c>
      <c r="B729" s="39">
        <v>295.77999999999997</v>
      </c>
      <c r="C729" s="39">
        <v>683.63</v>
      </c>
      <c r="D729" s="39">
        <v>43.48</v>
      </c>
      <c r="E729" s="41">
        <f t="shared" si="194"/>
        <v>3.0861057415130233E-3</v>
      </c>
      <c r="F729" s="41">
        <f t="shared" si="195"/>
        <v>-3.0042730680045482E-3</v>
      </c>
      <c r="G729" s="41">
        <f t="shared" si="196"/>
        <v>-1.3835336811068411E-2</v>
      </c>
      <c r="H729" s="41">
        <f t="shared" si="197"/>
        <v>0.64514155403526119</v>
      </c>
      <c r="I729" s="41">
        <f t="shared" si="198"/>
        <v>0.69018715850371626</v>
      </c>
      <c r="J729" s="41">
        <f t="shared" si="199"/>
        <v>4.4815571308421065E-2</v>
      </c>
      <c r="K729" s="42">
        <f t="shared" si="190"/>
        <v>164.51415540352633</v>
      </c>
      <c r="L729" s="42">
        <f t="shared" si="191"/>
        <v>169.01871585037208</v>
      </c>
      <c r="M729" s="42">
        <f t="shared" si="192"/>
        <v>104.48155713084223</v>
      </c>
      <c r="N729" s="41">
        <f t="shared" si="200"/>
        <v>-2.6651252343162346E-2</v>
      </c>
      <c r="O729" s="41">
        <f t="shared" si="201"/>
        <v>0.57457602969589439</v>
      </c>
      <c r="P729" s="39">
        <f t="shared" si="202"/>
        <v>279.05892998584636</v>
      </c>
      <c r="Q729" s="42">
        <f t="shared" si="203"/>
        <v>1.6451415540352612</v>
      </c>
      <c r="R729" s="42">
        <f t="shared" si="204"/>
        <v>1.7190611268702347</v>
      </c>
      <c r="S729" s="41">
        <f t="shared" si="205"/>
        <v>-4.2999967644869797E-2</v>
      </c>
      <c r="T729" s="41">
        <f t="shared" si="189"/>
        <v>0.1857401150274906</v>
      </c>
      <c r="U729" s="41">
        <f t="shared" si="206"/>
        <v>0</v>
      </c>
      <c r="V729" s="41">
        <f t="shared" si="207"/>
        <v>6.0903788095175715E-3</v>
      </c>
      <c r="W729" s="39">
        <f t="shared" si="193"/>
        <v>295.77999999999997</v>
      </c>
      <c r="X729" s="21"/>
    </row>
    <row r="730" spans="1:24" x14ac:dyDescent="0.2">
      <c r="A730" s="38">
        <v>46000</v>
      </c>
      <c r="B730" s="39">
        <v>291.04000000000002</v>
      </c>
      <c r="C730" s="39">
        <v>683.04</v>
      </c>
      <c r="D730" s="39">
        <v>43.39</v>
      </c>
      <c r="E730" s="41">
        <f t="shared" si="194"/>
        <v>-1.6025424301845836E-2</v>
      </c>
      <c r="F730" s="41">
        <f t="shared" si="195"/>
        <v>-8.630399485102247E-4</v>
      </c>
      <c r="G730" s="41">
        <f t="shared" si="196"/>
        <v>-2.069917203311733E-3</v>
      </c>
      <c r="H730" s="41">
        <f t="shared" si="197"/>
        <v>0.61877746259524802</v>
      </c>
      <c r="I730" s="41">
        <f t="shared" si="198"/>
        <v>0.68872845946546857</v>
      </c>
      <c r="J730" s="41">
        <f t="shared" si="199"/>
        <v>4.2652889583081777E-2</v>
      </c>
      <c r="K730" s="42">
        <f t="shared" si="190"/>
        <v>161.87774625952503</v>
      </c>
      <c r="L730" s="42">
        <f t="shared" si="191"/>
        <v>168.87284594654733</v>
      </c>
      <c r="M730" s="42">
        <f t="shared" si="192"/>
        <v>104.26528895830829</v>
      </c>
      <c r="N730" s="41">
        <f t="shared" si="200"/>
        <v>-4.1422288158963094E-2</v>
      </c>
      <c r="O730" s="41">
        <f t="shared" si="201"/>
        <v>0.55255644401708515</v>
      </c>
      <c r="P730" s="39">
        <f t="shared" si="202"/>
        <v>279.17814461285286</v>
      </c>
      <c r="Q730" s="42">
        <f t="shared" si="203"/>
        <v>1.618777462595248</v>
      </c>
      <c r="R730" s="42">
        <f t="shared" si="204"/>
        <v>1.7190611268702347</v>
      </c>
      <c r="S730" s="41">
        <f t="shared" si="205"/>
        <v>-5.8336299220240972E-2</v>
      </c>
      <c r="T730" s="41">
        <f t="shared" si="189"/>
        <v>0.18856413346296613</v>
      </c>
      <c r="U730" s="41">
        <f t="shared" si="206"/>
        <v>-1.6181074164637099E-2</v>
      </c>
      <c r="V730" s="41">
        <f t="shared" si="207"/>
        <v>-1.5162384353335612E-2</v>
      </c>
      <c r="W730" s="39">
        <f t="shared" si="193"/>
        <v>291.04000000000002</v>
      </c>
      <c r="X730" s="21"/>
    </row>
    <row r="731" spans="1:24" x14ac:dyDescent="0.2">
      <c r="A731" s="38">
        <v>46001</v>
      </c>
      <c r="B731" s="39">
        <v>296.77</v>
      </c>
      <c r="C731" s="39">
        <v>687.57</v>
      </c>
      <c r="D731" s="39">
        <v>44.24</v>
      </c>
      <c r="E731" s="41">
        <f t="shared" si="194"/>
        <v>1.9688015393072966E-2</v>
      </c>
      <c r="F731" s="41">
        <f t="shared" si="195"/>
        <v>6.6321152494730473E-3</v>
      </c>
      <c r="G731" s="41">
        <f t="shared" si="196"/>
        <v>1.9589767227471855E-2</v>
      </c>
      <c r="H731" s="41">
        <f t="shared" si="197"/>
        <v>0.65064797819678288</v>
      </c>
      <c r="I731" s="41">
        <f t="shared" si="198"/>
        <v>0.69992830123370853</v>
      </c>
      <c r="J731" s="41">
        <f t="shared" si="199"/>
        <v>6.307821698906535E-2</v>
      </c>
      <c r="K731" s="42">
        <f t="shared" si="190"/>
        <v>165.06479781967852</v>
      </c>
      <c r="L731" s="42">
        <f t="shared" si="191"/>
        <v>169.99283012337131</v>
      </c>
      <c r="M731" s="42">
        <f t="shared" si="192"/>
        <v>106.30782169890665</v>
      </c>
      <c r="N731" s="41">
        <f t="shared" si="200"/>
        <v>-2.8989647975835697E-2</v>
      </c>
      <c r="O731" s="41">
        <f t="shared" si="201"/>
        <v>0.55270604911074117</v>
      </c>
      <c r="P731" s="39">
        <f t="shared" si="202"/>
        <v>279.35318795003843</v>
      </c>
      <c r="Q731" s="42">
        <f t="shared" si="203"/>
        <v>1.6506479781967829</v>
      </c>
      <c r="R731" s="42">
        <f t="shared" si="204"/>
        <v>1.7190611268702347</v>
      </c>
      <c r="S731" s="41">
        <f t="shared" si="205"/>
        <v>-3.9796809784191089E-2</v>
      </c>
      <c r="T731" s="41">
        <f t="shared" si="189"/>
        <v>0.19228219062755372</v>
      </c>
      <c r="U731" s="41">
        <f t="shared" si="206"/>
        <v>0</v>
      </c>
      <c r="V731" s="41">
        <f t="shared" si="207"/>
        <v>1.3055900143599919E-2</v>
      </c>
      <c r="W731" s="39">
        <f t="shared" si="193"/>
        <v>296.77</v>
      </c>
      <c r="X731" s="21"/>
    </row>
    <row r="732" spans="1:24" x14ac:dyDescent="0.2">
      <c r="A732" s="38">
        <v>46002</v>
      </c>
      <c r="B732" s="39">
        <v>299.27</v>
      </c>
      <c r="C732" s="39">
        <v>689.17</v>
      </c>
      <c r="D732" s="39">
        <v>45.12</v>
      </c>
      <c r="E732" s="41">
        <f t="shared" si="194"/>
        <v>8.4240320787141165E-3</v>
      </c>
      <c r="F732" s="41">
        <f t="shared" si="195"/>
        <v>2.3270357927192009E-3</v>
      </c>
      <c r="G732" s="41">
        <f t="shared" si="196"/>
        <v>1.9891500904158921E-2</v>
      </c>
      <c r="H732" s="41">
        <f t="shared" si="197"/>
        <v>0.6645530897157772</v>
      </c>
      <c r="I732" s="41">
        <f t="shared" si="198"/>
        <v>0.7038840952357357</v>
      </c>
      <c r="J732" s="41">
        <f t="shared" si="199"/>
        <v>8.4224438303494908E-2</v>
      </c>
      <c r="K732" s="42">
        <f t="shared" si="190"/>
        <v>166.45530897157795</v>
      </c>
      <c r="L732" s="42">
        <f t="shared" si="191"/>
        <v>170.38840952357404</v>
      </c>
      <c r="M732" s="42">
        <f t="shared" si="192"/>
        <v>108.42244383034962</v>
      </c>
      <c r="N732" s="41">
        <f t="shared" si="200"/>
        <v>-2.3083146107140018E-2</v>
      </c>
      <c r="O732" s="41">
        <f t="shared" si="201"/>
        <v>0.53524771339809751</v>
      </c>
      <c r="P732" s="39">
        <f t="shared" si="202"/>
        <v>279.55136518436643</v>
      </c>
      <c r="Q732" s="42">
        <f t="shared" si="203"/>
        <v>1.6645530897157772</v>
      </c>
      <c r="R732" s="42">
        <f t="shared" si="204"/>
        <v>1.7190611268702347</v>
      </c>
      <c r="S732" s="41">
        <f t="shared" si="205"/>
        <v>-3.170802730772937E-2</v>
      </c>
      <c r="T732" s="41">
        <f t="shared" ref="T732:T787" si="208">IFERROR(_xlfn.STDEV.S(E673:E732)*SQRT($D$7),"")</f>
        <v>0.192990949607974</v>
      </c>
      <c r="U732" s="41">
        <f t="shared" si="206"/>
        <v>0</v>
      </c>
      <c r="V732" s="41">
        <f t="shared" si="207"/>
        <v>6.0969962859949156E-3</v>
      </c>
      <c r="W732" s="39">
        <f t="shared" si="193"/>
        <v>299.27</v>
      </c>
      <c r="X732" s="21"/>
    </row>
    <row r="733" spans="1:24" x14ac:dyDescent="0.2">
      <c r="A733" s="38">
        <v>46003</v>
      </c>
      <c r="B733" s="39">
        <v>295.94</v>
      </c>
      <c r="C733" s="39">
        <v>681.76</v>
      </c>
      <c r="D733" s="39">
        <v>45.15</v>
      </c>
      <c r="E733" s="41">
        <f t="shared" si="194"/>
        <v>-1.112707588465256E-2</v>
      </c>
      <c r="F733" s="41">
        <f t="shared" si="195"/>
        <v>-1.0752064077078183E-2</v>
      </c>
      <c r="G733" s="41">
        <f t="shared" si="196"/>
        <v>6.6489361702126715E-4</v>
      </c>
      <c r="H733" s="41">
        <f t="shared" si="197"/>
        <v>0.64603148117247677</v>
      </c>
      <c r="I733" s="41">
        <f t="shared" si="198"/>
        <v>0.68556382426384666</v>
      </c>
      <c r="J733" s="41">
        <f t="shared" si="199"/>
        <v>8.4945332211941338E-2</v>
      </c>
      <c r="K733" s="42">
        <f t="shared" si="190"/>
        <v>164.60314811724791</v>
      </c>
      <c r="L733" s="42">
        <f t="shared" si="191"/>
        <v>168.55638242638514</v>
      </c>
      <c r="M733" s="42">
        <f t="shared" si="192"/>
        <v>108.49453322119427</v>
      </c>
      <c r="N733" s="41">
        <f t="shared" si="200"/>
        <v>-2.3453483352156801E-2</v>
      </c>
      <c r="O733" s="41">
        <f t="shared" si="201"/>
        <v>0.51715614815044764</v>
      </c>
      <c r="P733" s="39">
        <f t="shared" si="202"/>
        <v>279.71443617755688</v>
      </c>
      <c r="Q733" s="42">
        <f t="shared" si="203"/>
        <v>1.6460314811724768</v>
      </c>
      <c r="R733" s="42">
        <f t="shared" si="204"/>
        <v>1.7190611268702347</v>
      </c>
      <c r="S733" s="41">
        <f t="shared" si="205"/>
        <v>-4.2482285566376343E-2</v>
      </c>
      <c r="T733" s="41">
        <f t="shared" si="208"/>
        <v>0.18927577486443437</v>
      </c>
      <c r="U733" s="41">
        <f t="shared" si="206"/>
        <v>-1.1282725747443823E-2</v>
      </c>
      <c r="V733" s="41">
        <f t="shared" si="207"/>
        <v>-3.7501180757437691E-4</v>
      </c>
      <c r="W733" s="39">
        <f t="shared" si="193"/>
        <v>295.94</v>
      </c>
      <c r="X733" s="21"/>
    </row>
    <row r="734" spans="1:24" x14ac:dyDescent="0.2">
      <c r="A734" s="38">
        <v>46006</v>
      </c>
      <c r="B734" s="39">
        <v>296.68</v>
      </c>
      <c r="C734" s="39">
        <v>680.73</v>
      </c>
      <c r="D734" s="39">
        <v>45.12</v>
      </c>
      <c r="E734" s="41">
        <f t="shared" si="194"/>
        <v>2.5005068594985413E-3</v>
      </c>
      <c r="F734" s="41">
        <f t="shared" si="195"/>
        <v>-1.5107955878901347E-3</v>
      </c>
      <c r="G734" s="41">
        <f t="shared" si="196"/>
        <v>-6.6445182724250706E-4</v>
      </c>
      <c r="H734" s="41">
        <f t="shared" si="197"/>
        <v>0.65014739418209899</v>
      </c>
      <c r="I734" s="41">
        <f t="shared" si="198"/>
        <v>0.68301728187504152</v>
      </c>
      <c r="J734" s="41">
        <f t="shared" si="199"/>
        <v>8.4224438303494908E-2</v>
      </c>
      <c r="K734" s="42">
        <f t="shared" si="190"/>
        <v>165.01473941821016</v>
      </c>
      <c r="L734" s="42">
        <f t="shared" si="191"/>
        <v>168.30172818750461</v>
      </c>
      <c r="M734" s="42">
        <f t="shared" si="192"/>
        <v>108.42244383034962</v>
      </c>
      <c r="N734" s="41">
        <f t="shared" si="200"/>
        <v>-1.9530332841456222E-2</v>
      </c>
      <c r="O734" s="41">
        <f t="shared" si="201"/>
        <v>0.52196107732464858</v>
      </c>
      <c r="P734" s="39">
        <f t="shared" si="202"/>
        <v>279.8832477578797</v>
      </c>
      <c r="Q734" s="42">
        <f t="shared" si="203"/>
        <v>1.650147394182099</v>
      </c>
      <c r="R734" s="42">
        <f t="shared" si="204"/>
        <v>1.7190611268702347</v>
      </c>
      <c r="S734" s="41">
        <f t="shared" si="205"/>
        <v>-4.0088005953343719E-2</v>
      </c>
      <c r="T734" s="41">
        <f t="shared" si="208"/>
        <v>0.18927138048821612</v>
      </c>
      <c r="U734" s="41">
        <f t="shared" si="206"/>
        <v>0</v>
      </c>
      <c r="V734" s="41">
        <f t="shared" si="207"/>
        <v>4.011302447388676E-3</v>
      </c>
      <c r="W734" s="39">
        <f t="shared" si="193"/>
        <v>296.68</v>
      </c>
      <c r="X734" s="21"/>
    </row>
    <row r="735" spans="1:24" x14ac:dyDescent="0.2">
      <c r="A735" s="38">
        <v>46007</v>
      </c>
      <c r="B735" s="39">
        <v>292.01</v>
      </c>
      <c r="C735" s="39">
        <v>678.87</v>
      </c>
      <c r="D735" s="39">
        <v>45</v>
      </c>
      <c r="E735" s="41">
        <f t="shared" si="194"/>
        <v>-1.5740865579075169E-2</v>
      </c>
      <c r="F735" s="41">
        <f t="shared" si="195"/>
        <v>-2.7323608479132844E-3</v>
      </c>
      <c r="G735" s="41">
        <f t="shared" si="196"/>
        <v>-2.6595744680850686E-3</v>
      </c>
      <c r="H735" s="41">
        <f t="shared" si="197"/>
        <v>0.62417264586461751</v>
      </c>
      <c r="I735" s="41">
        <f t="shared" si="198"/>
        <v>0.67841867134768474</v>
      </c>
      <c r="J735" s="41">
        <f t="shared" si="199"/>
        <v>8.1340862669708969E-2</v>
      </c>
      <c r="K735" s="42">
        <f t="shared" si="190"/>
        <v>162.41726458646198</v>
      </c>
      <c r="L735" s="42">
        <f t="shared" si="191"/>
        <v>167.84186713476893</v>
      </c>
      <c r="M735" s="42">
        <f t="shared" si="192"/>
        <v>108.13408626697102</v>
      </c>
      <c r="N735" s="41">
        <f t="shared" si="200"/>
        <v>-3.2319722372672666E-2</v>
      </c>
      <c r="O735" s="41">
        <f t="shared" si="201"/>
        <v>0.50199877017013672</v>
      </c>
      <c r="P735" s="39">
        <f t="shared" si="202"/>
        <v>280.00391195929387</v>
      </c>
      <c r="Q735" s="42">
        <f t="shared" si="203"/>
        <v>1.6241726458646175</v>
      </c>
      <c r="R735" s="42">
        <f t="shared" si="204"/>
        <v>1.7190611268702347</v>
      </c>
      <c r="S735" s="41">
        <f t="shared" si="205"/>
        <v>-5.5197851619374072E-2</v>
      </c>
      <c r="T735" s="41">
        <f t="shared" si="208"/>
        <v>0.19182835434721587</v>
      </c>
      <c r="U735" s="41">
        <f t="shared" si="206"/>
        <v>-1.5896515441866432E-2</v>
      </c>
      <c r="V735" s="41">
        <f t="shared" si="207"/>
        <v>-1.3008504731161885E-2</v>
      </c>
      <c r="W735" s="39">
        <f t="shared" si="193"/>
        <v>292.01</v>
      </c>
      <c r="X735" s="21"/>
    </row>
    <row r="736" spans="1:24" x14ac:dyDescent="0.2">
      <c r="A736" s="38">
        <v>46008</v>
      </c>
      <c r="B736" s="39">
        <v>285.41000000000003</v>
      </c>
      <c r="C736" s="39">
        <v>671.4</v>
      </c>
      <c r="D736" s="39">
        <v>45.19</v>
      </c>
      <c r="E736" s="41">
        <f t="shared" si="194"/>
        <v>-2.2601965686106507E-2</v>
      </c>
      <c r="F736" s="41">
        <f t="shared" si="195"/>
        <v>-1.1003579477661396E-2</v>
      </c>
      <c r="G736" s="41">
        <f t="shared" si="196"/>
        <v>4.2222222222221273E-3</v>
      </c>
      <c r="H736" s="41">
        <f t="shared" si="197"/>
        <v>0.58746315145447259</v>
      </c>
      <c r="I736" s="41">
        <f t="shared" si="198"/>
        <v>0.65995005810071961</v>
      </c>
      <c r="J736" s="41">
        <f t="shared" si="199"/>
        <v>8.5906524089869762E-2</v>
      </c>
      <c r="K736" s="42">
        <f t="shared" si="190"/>
        <v>158.74631514544748</v>
      </c>
      <c r="L736" s="42">
        <f t="shared" si="191"/>
        <v>165.99500581007243</v>
      </c>
      <c r="M736" s="42">
        <f t="shared" si="192"/>
        <v>108.59065240898713</v>
      </c>
      <c r="N736" s="41">
        <f t="shared" si="200"/>
        <v>-4.3668125009245773E-2</v>
      </c>
      <c r="O736" s="41">
        <f t="shared" si="201"/>
        <v>0.46187827058592568</v>
      </c>
      <c r="P736" s="39">
        <f t="shared" si="202"/>
        <v>280.05770388009694</v>
      </c>
      <c r="Q736" s="42">
        <f t="shared" si="203"/>
        <v>1.5874631514544726</v>
      </c>
      <c r="R736" s="42">
        <f t="shared" si="204"/>
        <v>1.7190611268702347</v>
      </c>
      <c r="S736" s="41">
        <f t="shared" si="205"/>
        <v>-7.6552237357232711E-2</v>
      </c>
      <c r="T736" s="41">
        <f t="shared" si="208"/>
        <v>0.19704385969876806</v>
      </c>
      <c r="U736" s="41">
        <f t="shared" si="206"/>
        <v>-2.2757615548897769E-2</v>
      </c>
      <c r="V736" s="41">
        <f t="shared" si="207"/>
        <v>-1.1598386208445111E-2</v>
      </c>
      <c r="W736" s="39">
        <f t="shared" si="193"/>
        <v>285.41000000000003</v>
      </c>
      <c r="X736" s="21"/>
    </row>
    <row r="737" spans="1:24" x14ac:dyDescent="0.2">
      <c r="A737" s="38">
        <v>46009</v>
      </c>
      <c r="B737" s="39">
        <v>288.33999999999997</v>
      </c>
      <c r="C737" s="39">
        <v>676.47</v>
      </c>
      <c r="D737" s="39">
        <v>45.17</v>
      </c>
      <c r="E737" s="41">
        <f t="shared" si="194"/>
        <v>1.0265933218877921E-2</v>
      </c>
      <c r="F737" s="41">
        <f t="shared" si="195"/>
        <v>7.5513851653261632E-3</v>
      </c>
      <c r="G737" s="41">
        <f t="shared" si="196"/>
        <v>-4.4257579110418277E-4</v>
      </c>
      <c r="H737" s="41">
        <f t="shared" si="197"/>
        <v>0.60375994215473372</v>
      </c>
      <c r="I737" s="41">
        <f t="shared" si="198"/>
        <v>0.67248498034464377</v>
      </c>
      <c r="J737" s="41">
        <f t="shared" si="199"/>
        <v>8.542592815090555E-2</v>
      </c>
      <c r="K737" s="42">
        <f t="shared" si="190"/>
        <v>160.37599421547358</v>
      </c>
      <c r="L737" s="42">
        <f t="shared" si="191"/>
        <v>167.24849803446483</v>
      </c>
      <c r="M737" s="42">
        <f t="shared" si="192"/>
        <v>108.54259281509071</v>
      </c>
      <c r="N737" s="41">
        <f t="shared" si="200"/>
        <v>-4.1091572718188529E-2</v>
      </c>
      <c r="O737" s="41">
        <f t="shared" si="201"/>
        <v>0.47753973860459031</v>
      </c>
      <c r="P737" s="39">
        <f t="shared" si="202"/>
        <v>280.14011478676269</v>
      </c>
      <c r="Q737" s="42">
        <f t="shared" si="203"/>
        <v>1.6037599421547337</v>
      </c>
      <c r="R737" s="42">
        <f t="shared" si="204"/>
        <v>1.7190611268702347</v>
      </c>
      <c r="S737" s="41">
        <f t="shared" si="205"/>
        <v>-6.7072184294819759E-2</v>
      </c>
      <c r="T737" s="41">
        <f t="shared" si="208"/>
        <v>0.19665046442701814</v>
      </c>
      <c r="U737" s="41">
        <f t="shared" si="206"/>
        <v>0</v>
      </c>
      <c r="V737" s="41">
        <f t="shared" si="207"/>
        <v>2.7145480535517574E-3</v>
      </c>
      <c r="W737" s="39">
        <f t="shared" si="193"/>
        <v>288.33999999999997</v>
      </c>
      <c r="X737" s="21"/>
    </row>
    <row r="738" spans="1:24" x14ac:dyDescent="0.2">
      <c r="A738" s="38">
        <v>46010</v>
      </c>
      <c r="B738" s="39">
        <v>291.87</v>
      </c>
      <c r="C738" s="39">
        <v>680.59</v>
      </c>
      <c r="D738" s="39">
        <v>45.37</v>
      </c>
      <c r="E738" s="41">
        <f t="shared" si="194"/>
        <v>1.2242491503086761E-2</v>
      </c>
      <c r="F738" s="41">
        <f t="shared" si="195"/>
        <v>6.0904400786434554E-3</v>
      </c>
      <c r="G738" s="41">
        <f t="shared" si="196"/>
        <v>4.4277175116227419E-3</v>
      </c>
      <c r="H738" s="41">
        <f t="shared" si="197"/>
        <v>0.62339395961955391</v>
      </c>
      <c r="I738" s="41">
        <f t="shared" si="198"/>
        <v>0.6826711498998641</v>
      </c>
      <c r="J738" s="41">
        <f t="shared" si="199"/>
        <v>9.0231887540548783E-2</v>
      </c>
      <c r="K738" s="42">
        <f t="shared" si="190"/>
        <v>162.33939596195563</v>
      </c>
      <c r="L738" s="42">
        <f t="shared" si="191"/>
        <v>168.26711498998691</v>
      </c>
      <c r="M738" s="42">
        <f t="shared" si="192"/>
        <v>109.02318875405501</v>
      </c>
      <c r="N738" s="41">
        <f t="shared" si="200"/>
        <v>-3.5228030315868741E-2</v>
      </c>
      <c r="O738" s="41">
        <f t="shared" si="201"/>
        <v>0.48903547783927337</v>
      </c>
      <c r="P738" s="39">
        <f t="shared" si="202"/>
        <v>280.25683006251631</v>
      </c>
      <c r="Q738" s="42">
        <f t="shared" si="203"/>
        <v>1.6233939596195539</v>
      </c>
      <c r="R738" s="42">
        <f t="shared" si="204"/>
        <v>1.7190611268702347</v>
      </c>
      <c r="S738" s="41">
        <f t="shared" si="205"/>
        <v>-5.565082343805583E-2</v>
      </c>
      <c r="T738" s="41">
        <f t="shared" si="208"/>
        <v>0.19819029446548506</v>
      </c>
      <c r="U738" s="41">
        <f t="shared" si="206"/>
        <v>0</v>
      </c>
      <c r="V738" s="41">
        <f t="shared" si="207"/>
        <v>6.1520514244433055E-3</v>
      </c>
      <c r="W738" s="39">
        <f t="shared" si="193"/>
        <v>291.87</v>
      </c>
      <c r="X738" s="21"/>
    </row>
    <row r="739" spans="1:24" x14ac:dyDescent="0.2">
      <c r="A739" s="38">
        <v>46013</v>
      </c>
      <c r="B739" s="39">
        <v>291.88</v>
      </c>
      <c r="C739" s="39">
        <v>684.83</v>
      </c>
      <c r="D739" s="39">
        <v>45.67</v>
      </c>
      <c r="E739" s="41">
        <f t="shared" si="194"/>
        <v>3.4261828896431368E-5</v>
      </c>
      <c r="F739" s="41">
        <f t="shared" si="195"/>
        <v>6.2298887729763663E-3</v>
      </c>
      <c r="G739" s="41">
        <f t="shared" si="196"/>
        <v>6.612298875909195E-3</v>
      </c>
      <c r="H739" s="41">
        <f t="shared" si="197"/>
        <v>0.62344958006562989</v>
      </c>
      <c r="I739" s="41">
        <f t="shared" si="198"/>
        <v>0.69315400400523641</v>
      </c>
      <c r="J739" s="41">
        <f t="shared" si="199"/>
        <v>9.7440826625013521E-2</v>
      </c>
      <c r="K739" s="42">
        <f t="shared" si="190"/>
        <v>162.34495800656322</v>
      </c>
      <c r="L739" s="42">
        <f t="shared" si="191"/>
        <v>169.31540040052414</v>
      </c>
      <c r="M739" s="42">
        <f t="shared" si="192"/>
        <v>109.74408266250151</v>
      </c>
      <c r="N739" s="41">
        <f t="shared" si="200"/>
        <v>-4.1168389747605616E-2</v>
      </c>
      <c r="O739" s="41">
        <f t="shared" si="201"/>
        <v>0.47930488886427147</v>
      </c>
      <c r="P739" s="39">
        <f t="shared" si="202"/>
        <v>280.37248349473009</v>
      </c>
      <c r="Q739" s="42">
        <f t="shared" si="203"/>
        <v>1.6234495800656299</v>
      </c>
      <c r="R739" s="42">
        <f t="shared" si="204"/>
        <v>1.7190611268702347</v>
      </c>
      <c r="S739" s="41">
        <f t="shared" si="205"/>
        <v>-5.5618468308149982E-2</v>
      </c>
      <c r="T739" s="41">
        <f t="shared" si="208"/>
        <v>0.19555674625130628</v>
      </c>
      <c r="U739" s="41">
        <f t="shared" si="206"/>
        <v>-1.2138803389483144E-4</v>
      </c>
      <c r="V739" s="41">
        <f t="shared" si="207"/>
        <v>-6.195626944079935E-3</v>
      </c>
      <c r="W739" s="39">
        <f t="shared" si="193"/>
        <v>291.88</v>
      </c>
      <c r="X739" s="21"/>
    </row>
    <row r="740" spans="1:24" x14ac:dyDescent="0.2">
      <c r="A740" s="38">
        <v>46014</v>
      </c>
      <c r="B740" s="39">
        <v>292.83999999999997</v>
      </c>
      <c r="C740" s="39">
        <v>687.96</v>
      </c>
      <c r="D740" s="39">
        <v>45.75</v>
      </c>
      <c r="E740" s="41">
        <f t="shared" si="194"/>
        <v>3.289022886117543E-3</v>
      </c>
      <c r="F740" s="41">
        <f t="shared" si="195"/>
        <v>4.570477344742585E-3</v>
      </c>
      <c r="G740" s="41">
        <f t="shared" si="196"/>
        <v>1.7516969564264073E-3</v>
      </c>
      <c r="H740" s="41">
        <f t="shared" si="197"/>
        <v>0.62878914288892362</v>
      </c>
      <c r="I740" s="41">
        <f t="shared" si="198"/>
        <v>0.70089252602170249</v>
      </c>
      <c r="J740" s="41">
        <f t="shared" si="199"/>
        <v>9.9363210380870592E-2</v>
      </c>
      <c r="K740" s="42">
        <f t="shared" ref="K740:K787" si="209">IFERROR(B740/$B$36*100,"")</f>
        <v>162.87891428889259</v>
      </c>
      <c r="L740" s="42">
        <f t="shared" ref="L740:L787" si="210">IFERROR(C740/$C$36*100,"")</f>
        <v>170.08925260217075</v>
      </c>
      <c r="M740" s="42">
        <f t="shared" ref="M740:M787" si="211">IFERROR(D740/$D$36*100,"")</f>
        <v>109.93632103808721</v>
      </c>
      <c r="N740" s="41">
        <f t="shared" si="200"/>
        <v>-4.2391498598341681E-2</v>
      </c>
      <c r="O740" s="41">
        <f t="shared" si="201"/>
        <v>0.48157508593054987</v>
      </c>
      <c r="P740" s="39">
        <f t="shared" si="202"/>
        <v>280.49653838532981</v>
      </c>
      <c r="Q740" s="42">
        <f t="shared" si="203"/>
        <v>1.6287891428889236</v>
      </c>
      <c r="R740" s="42">
        <f t="shared" si="204"/>
        <v>1.7190611268702347</v>
      </c>
      <c r="S740" s="41">
        <f t="shared" si="205"/>
        <v>-5.2512375837188818E-2</v>
      </c>
      <c r="T740" s="41">
        <f t="shared" si="208"/>
        <v>0.19388756914667188</v>
      </c>
      <c r="U740" s="41">
        <f t="shared" si="206"/>
        <v>0</v>
      </c>
      <c r="V740" s="41">
        <f t="shared" si="207"/>
        <v>-1.281454458625042E-3</v>
      </c>
      <c r="W740" s="39">
        <f t="shared" ref="W740:W787" si="212">B740</f>
        <v>292.83999999999997</v>
      </c>
      <c r="X740" s="21"/>
    </row>
    <row r="741" spans="1:24" x14ac:dyDescent="0.2">
      <c r="A741" s="38">
        <v>46015</v>
      </c>
      <c r="B741" s="39">
        <v>293.64</v>
      </c>
      <c r="C741" s="39">
        <v>690.38</v>
      </c>
      <c r="D741" s="39">
        <v>45.84</v>
      </c>
      <c r="E741" s="41">
        <f t="shared" ref="E741:E787" si="213">IFERROR(B741/B740-1,"")</f>
        <v>2.7318672312526271E-3</v>
      </c>
      <c r="F741" s="41">
        <f t="shared" ref="F741:F787" si="214">IFERROR(C741/C740-1,"")</f>
        <v>3.5176463747892406E-3</v>
      </c>
      <c r="G741" s="41">
        <f t="shared" ref="G741:G787" si="215">IFERROR(D741/D740-1,"")</f>
        <v>1.9672131147541183E-3</v>
      </c>
      <c r="H741" s="41">
        <f t="shared" ref="H741:H787" si="216">IFERROR((1+E741)*(1+H740)-1,"")</f>
        <v>0.63323877857500199</v>
      </c>
      <c r="I741" s="41">
        <f t="shared" ref="I741:I787" si="217">IFERROR((1+F741)*(1+I740)-1,"")</f>
        <v>0.7068756644497689</v>
      </c>
      <c r="J741" s="41">
        <f t="shared" ref="J741:J787" si="218">IFERROR((1+G741)*(1+J740)-1,"")</f>
        <v>0.1015258921062101</v>
      </c>
      <c r="K741" s="42">
        <f t="shared" si="209"/>
        <v>163.32387785750043</v>
      </c>
      <c r="L741" s="42">
        <f t="shared" si="210"/>
        <v>170.68756644497736</v>
      </c>
      <c r="M741" s="42">
        <f t="shared" si="211"/>
        <v>110.15258921062116</v>
      </c>
      <c r="N741" s="41">
        <f t="shared" ref="N741:N787" si="219">IFERROR((1+H741)/(1+I741)-1,"")</f>
        <v>-4.3141329745599588E-2</v>
      </c>
      <c r="O741" s="41">
        <f t="shared" ref="O741:O787" si="220">IFERROR((1+H741)/(1+J741)-1,"")</f>
        <v>0.48270575415355155</v>
      </c>
      <c r="P741" s="39">
        <f t="shared" ref="P741:P787" si="221">IFERROR(B741*0.0099502487562189+P740*(1-0.0099502487562189),"")</f>
        <v>280.62731909791358</v>
      </c>
      <c r="Q741" s="42">
        <f t="shared" ref="Q741:Q787" si="222">Q740*(1+E741)</f>
        <v>1.633238778575002</v>
      </c>
      <c r="R741" s="42">
        <f t="shared" ref="R741:R787" si="223">MAX(R740,Q741)</f>
        <v>1.7190611268702347</v>
      </c>
      <c r="S741" s="41">
        <f t="shared" ref="S741:S787" si="224">IFERROR(Q741/R741-1,"")</f>
        <v>-4.9923965444720997E-2</v>
      </c>
      <c r="T741" s="41">
        <f t="shared" si="208"/>
        <v>0.19124917324947197</v>
      </c>
      <c r="U741" s="41">
        <f t="shared" ref="U741:U787" si="225">IFERROR(MIN(E741-$D$6,0),"")</f>
        <v>0</v>
      </c>
      <c r="V741" s="41">
        <f t="shared" ref="V741:V787" si="226">IFERROR(E741-F741,"")</f>
        <v>-7.8577914353661349E-4</v>
      </c>
      <c r="W741" s="39">
        <f t="shared" si="212"/>
        <v>293.64</v>
      </c>
      <c r="X741" s="21"/>
    </row>
    <row r="742" spans="1:24" x14ac:dyDescent="0.2">
      <c r="A742" s="38">
        <v>46017</v>
      </c>
      <c r="B742" s="39">
        <v>294.2</v>
      </c>
      <c r="C742" s="39">
        <v>690.31</v>
      </c>
      <c r="D742" s="39">
        <v>46.11</v>
      </c>
      <c r="E742" s="41">
        <f t="shared" si="213"/>
        <v>1.9070971257322267E-3</v>
      </c>
      <c r="F742" s="41">
        <f t="shared" si="214"/>
        <v>-1.0139343549930846E-4</v>
      </c>
      <c r="G742" s="41">
        <f t="shared" si="215"/>
        <v>5.8900523560208029E-3</v>
      </c>
      <c r="H742" s="41">
        <f t="shared" si="216"/>
        <v>0.63635352355525687</v>
      </c>
      <c r="I742" s="41">
        <f t="shared" si="217"/>
        <v>0.7067025984621802</v>
      </c>
      <c r="J742" s="41">
        <f t="shared" si="218"/>
        <v>0.10801393728222819</v>
      </c>
      <c r="K742" s="42">
        <f t="shared" si="209"/>
        <v>163.6353523555259</v>
      </c>
      <c r="L742" s="42">
        <f t="shared" si="210"/>
        <v>170.6702598462185</v>
      </c>
      <c r="M742" s="42">
        <f t="shared" si="211"/>
        <v>110.80139372822299</v>
      </c>
      <c r="N742" s="41">
        <f t="shared" si="219"/>
        <v>-4.1219293256078204E-2</v>
      </c>
      <c r="O742" s="41">
        <f t="shared" si="220"/>
        <v>0.47683478383760836</v>
      </c>
      <c r="P742" s="39">
        <f t="shared" si="221"/>
        <v>280.76237064917814</v>
      </c>
      <c r="Q742" s="42">
        <f t="shared" si="222"/>
        <v>1.6363535235552569</v>
      </c>
      <c r="R742" s="42">
        <f t="shared" si="223"/>
        <v>1.7190611268702347</v>
      </c>
      <c r="S742" s="41">
        <f t="shared" si="224"/>
        <v>-4.8112078169993522E-2</v>
      </c>
      <c r="T742" s="41">
        <f t="shared" si="208"/>
        <v>0.18727914764897571</v>
      </c>
      <c r="U742" s="41">
        <f t="shared" si="225"/>
        <v>0</v>
      </c>
      <c r="V742" s="41">
        <f t="shared" si="226"/>
        <v>2.0084905612315351E-3</v>
      </c>
      <c r="W742" s="39">
        <f t="shared" si="212"/>
        <v>294.2</v>
      </c>
      <c r="X742" s="21"/>
    </row>
    <row r="743" spans="1:24" x14ac:dyDescent="0.2">
      <c r="A743" s="38">
        <v>46020</v>
      </c>
      <c r="B743" s="39">
        <v>292.02</v>
      </c>
      <c r="C743" s="39">
        <v>687.85</v>
      </c>
      <c r="D743" s="39">
        <v>45.74</v>
      </c>
      <c r="E743" s="41">
        <f t="shared" si="213"/>
        <v>-7.4099252209381961E-3</v>
      </c>
      <c r="F743" s="41">
        <f t="shared" si="214"/>
        <v>-3.5636163462791082E-3</v>
      </c>
      <c r="G743" s="41">
        <f t="shared" si="215"/>
        <v>-8.0242897419214865E-3</v>
      </c>
      <c r="H743" s="41">
        <f t="shared" si="216"/>
        <v>0.62422826631069372</v>
      </c>
      <c r="I743" s="41">
        <f t="shared" si="217"/>
        <v>0.70062056518406335</v>
      </c>
      <c r="J743" s="41">
        <f t="shared" si="218"/>
        <v>9.9122912411388375E-2</v>
      </c>
      <c r="K743" s="42">
        <f t="shared" si="209"/>
        <v>162.42282663106957</v>
      </c>
      <c r="L743" s="42">
        <f t="shared" si="210"/>
        <v>170.06205651840679</v>
      </c>
      <c r="M743" s="42">
        <f t="shared" si="211"/>
        <v>109.91229124113902</v>
      </c>
      <c r="N743" s="41">
        <f t="shared" si="219"/>
        <v>-4.492024878289147E-2</v>
      </c>
      <c r="O743" s="41">
        <f t="shared" si="220"/>
        <v>0.47774943818363846</v>
      </c>
      <c r="P743" s="39">
        <f t="shared" si="221"/>
        <v>280.87438686162415</v>
      </c>
      <c r="Q743" s="42">
        <f t="shared" si="222"/>
        <v>1.6242282663106937</v>
      </c>
      <c r="R743" s="42">
        <f t="shared" si="223"/>
        <v>1.7190611268702347</v>
      </c>
      <c r="S743" s="41">
        <f t="shared" si="224"/>
        <v>-5.5165496489468113E-2</v>
      </c>
      <c r="T743" s="41">
        <f t="shared" si="208"/>
        <v>0.18739317864311977</v>
      </c>
      <c r="U743" s="41">
        <f t="shared" si="225"/>
        <v>-7.5655750837294589E-3</v>
      </c>
      <c r="V743" s="41">
        <f t="shared" si="226"/>
        <v>-3.8463088746590879E-3</v>
      </c>
      <c r="W743" s="39">
        <f t="shared" si="212"/>
        <v>292.02</v>
      </c>
      <c r="X743" s="21"/>
    </row>
    <row r="744" spans="1:24" x14ac:dyDescent="0.2">
      <c r="A744" s="38">
        <v>46021</v>
      </c>
      <c r="B744" s="39">
        <v>288.88</v>
      </c>
      <c r="C744" s="39">
        <v>687.01</v>
      </c>
      <c r="D744" s="39">
        <v>45.73</v>
      </c>
      <c r="E744" s="41">
        <f t="shared" si="213"/>
        <v>-1.0752688172043001E-2</v>
      </c>
      <c r="F744" s="41">
        <f t="shared" si="214"/>
        <v>-1.221196481791087E-3</v>
      </c>
      <c r="G744" s="41">
        <f t="shared" si="215"/>
        <v>-2.1862702230002196E-4</v>
      </c>
      <c r="H744" s="41">
        <f t="shared" si="216"/>
        <v>0.60676344624283685</v>
      </c>
      <c r="I744" s="41">
        <f t="shared" si="217"/>
        <v>0.69854377333299911</v>
      </c>
      <c r="J744" s="41">
        <f t="shared" si="218"/>
        <v>9.8882614441906158E-2</v>
      </c>
      <c r="K744" s="42">
        <f t="shared" si="209"/>
        <v>160.67634462428387</v>
      </c>
      <c r="L744" s="42">
        <f t="shared" si="210"/>
        <v>169.85437733330036</v>
      </c>
      <c r="M744" s="42">
        <f t="shared" si="211"/>
        <v>109.88826144419079</v>
      </c>
      <c r="N744" s="41">
        <f t="shared" si="219"/>
        <v>-5.4034714048060484E-2</v>
      </c>
      <c r="O744" s="41">
        <f t="shared" si="220"/>
        <v>0.46217933119168531</v>
      </c>
      <c r="P744" s="39">
        <f t="shared" si="221"/>
        <v>280.95404470379708</v>
      </c>
      <c r="Q744" s="42">
        <f t="shared" si="222"/>
        <v>1.6067634462428368</v>
      </c>
      <c r="R744" s="42">
        <f t="shared" si="223"/>
        <v>1.7190611268702347</v>
      </c>
      <c r="S744" s="41">
        <f t="shared" si="224"/>
        <v>-6.5325007279903868E-2</v>
      </c>
      <c r="T744" s="41">
        <f t="shared" si="208"/>
        <v>0.18825090043387918</v>
      </c>
      <c r="U744" s="41">
        <f t="shared" si="225"/>
        <v>-1.0908338034834264E-2</v>
      </c>
      <c r="V744" s="41">
        <f t="shared" si="226"/>
        <v>-9.5314916902519142E-3</v>
      </c>
      <c r="W744" s="39">
        <f t="shared" si="212"/>
        <v>288.88</v>
      </c>
      <c r="X744" s="21"/>
    </row>
    <row r="745" spans="1:24" x14ac:dyDescent="0.2">
      <c r="A745" s="38">
        <v>46022</v>
      </c>
      <c r="B745" s="39">
        <v>285.22000000000003</v>
      </c>
      <c r="C745" s="39">
        <v>681.92</v>
      </c>
      <c r="D745" s="39">
        <v>45.35</v>
      </c>
      <c r="E745" s="41">
        <f t="shared" si="213"/>
        <v>-1.2669620603710796E-2</v>
      </c>
      <c r="F745" s="41">
        <f t="shared" si="214"/>
        <v>-7.4089169007729438E-3</v>
      </c>
      <c r="G745" s="41">
        <f t="shared" si="215"/>
        <v>-8.3096435600261698E-3</v>
      </c>
      <c r="H745" s="41">
        <f t="shared" si="216"/>
        <v>0.58640636297902926</v>
      </c>
      <c r="I745" s="41">
        <f t="shared" si="217"/>
        <v>0.68595940366404951</v>
      </c>
      <c r="J745" s="41">
        <f t="shared" si="218"/>
        <v>8.9751291601584349E-2</v>
      </c>
      <c r="K745" s="42">
        <f t="shared" si="209"/>
        <v>158.64063629790311</v>
      </c>
      <c r="L745" s="42">
        <f t="shared" si="210"/>
        <v>168.59594036640539</v>
      </c>
      <c r="M745" s="42">
        <f t="shared" si="211"/>
        <v>108.97512916015859</v>
      </c>
      <c r="N745" s="41">
        <f t="shared" si="219"/>
        <v>-5.9048302390119489E-2</v>
      </c>
      <c r="O745" s="41">
        <f t="shared" si="220"/>
        <v>0.4557508444404057</v>
      </c>
      <c r="P745" s="39">
        <f t="shared" si="221"/>
        <v>280.99649202017724</v>
      </c>
      <c r="Q745" s="42">
        <f t="shared" si="222"/>
        <v>1.5864063629790293</v>
      </c>
      <c r="R745" s="42">
        <f t="shared" si="223"/>
        <v>1.7190611268702347</v>
      </c>
      <c r="S745" s="41">
        <f t="shared" si="224"/>
        <v>-7.7166984825443596E-2</v>
      </c>
      <c r="T745" s="41">
        <f t="shared" si="208"/>
        <v>0.18980201498432994</v>
      </c>
      <c r="U745" s="41">
        <f t="shared" si="225"/>
        <v>-1.2825270466502059E-2</v>
      </c>
      <c r="V745" s="41">
        <f t="shared" si="226"/>
        <v>-5.2607037029378523E-3</v>
      </c>
      <c r="W745" s="39">
        <f t="shared" si="212"/>
        <v>285.22000000000003</v>
      </c>
      <c r="X745" s="21"/>
    </row>
    <row r="746" spans="1:24" x14ac:dyDescent="0.2">
      <c r="A746" s="38">
        <v>46024</v>
      </c>
      <c r="B746" s="39">
        <v>292.64999999999998</v>
      </c>
      <c r="C746" s="39">
        <v>683.17</v>
      </c>
      <c r="D746" s="39">
        <v>46.12</v>
      </c>
      <c r="E746" s="41">
        <f t="shared" si="213"/>
        <v>2.6050066615244116E-2</v>
      </c>
      <c r="F746" s="41">
        <f t="shared" si="214"/>
        <v>1.8330595964335394E-3</v>
      </c>
      <c r="G746" s="41">
        <f t="shared" si="215"/>
        <v>1.6979051819184132E-2</v>
      </c>
      <c r="H746" s="41">
        <f t="shared" si="216"/>
        <v>0.62773235441348008</v>
      </c>
      <c r="I746" s="41">
        <f t="shared" si="217"/>
        <v>0.68904986772813337</v>
      </c>
      <c r="J746" s="41">
        <f t="shared" si="218"/>
        <v>0.10825423525171041</v>
      </c>
      <c r="K746" s="42">
        <f t="shared" si="209"/>
        <v>162.77323544134822</v>
      </c>
      <c r="L746" s="42">
        <f t="shared" si="210"/>
        <v>168.90498677281377</v>
      </c>
      <c r="M746" s="42">
        <f t="shared" si="211"/>
        <v>110.8254235251712</v>
      </c>
      <c r="N746" s="41">
        <f t="shared" si="219"/>
        <v>-3.6302962089052371E-2</v>
      </c>
      <c r="O746" s="41">
        <f t="shared" si="220"/>
        <v>0.46873551450383943</v>
      </c>
      <c r="P746" s="39">
        <f t="shared" si="221"/>
        <v>281.11244732345909</v>
      </c>
      <c r="Q746" s="42">
        <f t="shared" si="222"/>
        <v>1.6277323544134801</v>
      </c>
      <c r="R746" s="42">
        <f t="shared" si="223"/>
        <v>1.7190611268702347</v>
      </c>
      <c r="S746" s="41">
        <f t="shared" si="224"/>
        <v>-5.3127123305399926E-2</v>
      </c>
      <c r="T746" s="41">
        <f t="shared" si="208"/>
        <v>0.19621836303086723</v>
      </c>
      <c r="U746" s="41">
        <f t="shared" si="225"/>
        <v>0</v>
      </c>
      <c r="V746" s="41">
        <f t="shared" si="226"/>
        <v>2.4217007018810577E-2</v>
      </c>
      <c r="W746" s="39">
        <f t="shared" si="212"/>
        <v>292.64999999999998</v>
      </c>
      <c r="X746" s="21"/>
    </row>
    <row r="747" spans="1:24" x14ac:dyDescent="0.2">
      <c r="A747" s="38">
        <v>46027</v>
      </c>
      <c r="B747" s="39">
        <v>296.67</v>
      </c>
      <c r="C747" s="39">
        <v>687.72</v>
      </c>
      <c r="D747" s="39">
        <v>46.58</v>
      </c>
      <c r="E747" s="41">
        <f t="shared" si="213"/>
        <v>1.3736545361353381E-2</v>
      </c>
      <c r="F747" s="41">
        <f t="shared" si="214"/>
        <v>6.6601285185239334E-3</v>
      </c>
      <c r="G747" s="41">
        <f t="shared" si="215"/>
        <v>9.9739809193408746E-3</v>
      </c>
      <c r="H747" s="41">
        <f t="shared" si="216"/>
        <v>0.65009177373602345</v>
      </c>
      <c r="I747" s="41">
        <f t="shared" si="217"/>
        <v>0.70029915692139855</v>
      </c>
      <c r="J747" s="41">
        <f t="shared" si="218"/>
        <v>0.11930794184788973</v>
      </c>
      <c r="K747" s="42">
        <f t="shared" si="209"/>
        <v>165.00917737360254</v>
      </c>
      <c r="L747" s="42">
        <f t="shared" si="210"/>
        <v>170.02991569214032</v>
      </c>
      <c r="M747" s="42">
        <f t="shared" si="211"/>
        <v>111.93079418478914</v>
      </c>
      <c r="N747" s="41">
        <f t="shared" si="219"/>
        <v>-2.9528558536888183E-2</v>
      </c>
      <c r="O747" s="41">
        <f t="shared" si="220"/>
        <v>0.47420715251233836</v>
      </c>
      <c r="P747" s="39">
        <f t="shared" si="221"/>
        <v>281.26724884262865</v>
      </c>
      <c r="Q747" s="42">
        <f t="shared" si="222"/>
        <v>1.6500917737360234</v>
      </c>
      <c r="R747" s="42">
        <f t="shared" si="223"/>
        <v>1.7190611268702347</v>
      </c>
      <c r="S747" s="41">
        <f t="shared" si="224"/>
        <v>-4.0120361083249345E-2</v>
      </c>
      <c r="T747" s="41">
        <f t="shared" si="208"/>
        <v>0.19678950863742953</v>
      </c>
      <c r="U747" s="41">
        <f t="shared" si="225"/>
        <v>0</v>
      </c>
      <c r="V747" s="41">
        <f t="shared" si="226"/>
        <v>7.0764168428294472E-3</v>
      </c>
      <c r="W747" s="39">
        <f t="shared" si="212"/>
        <v>296.67</v>
      </c>
      <c r="X747" s="21"/>
    </row>
    <row r="748" spans="1:24" x14ac:dyDescent="0.2">
      <c r="A748" s="38">
        <v>46028</v>
      </c>
      <c r="B748" s="39">
        <v>299.85000000000002</v>
      </c>
      <c r="C748" s="39">
        <v>691.81</v>
      </c>
      <c r="D748" s="39">
        <v>47.5</v>
      </c>
      <c r="E748" s="41">
        <f t="shared" si="213"/>
        <v>1.071898068561028E-2</v>
      </c>
      <c r="F748" s="41">
        <f t="shared" si="214"/>
        <v>5.9471878089918384E-3</v>
      </c>
      <c r="G748" s="41">
        <f t="shared" si="215"/>
        <v>1.9750966079862708E-2</v>
      </c>
      <c r="H748" s="41">
        <f t="shared" si="216"/>
        <v>0.66777907558818428</v>
      </c>
      <c r="I748" s="41">
        <f t="shared" si="217"/>
        <v>0.71041115533908061</v>
      </c>
      <c r="J748" s="41">
        <f t="shared" si="218"/>
        <v>0.14141535504024838</v>
      </c>
      <c r="K748" s="42">
        <f t="shared" si="209"/>
        <v>166.77790755881864</v>
      </c>
      <c r="L748" s="42">
        <f t="shared" si="210"/>
        <v>171.04111553390854</v>
      </c>
      <c r="M748" s="42">
        <f t="shared" si="211"/>
        <v>114.141535504025</v>
      </c>
      <c r="N748" s="41">
        <f t="shared" si="219"/>
        <v>-2.4925047768672215E-2</v>
      </c>
      <c r="O748" s="41">
        <f t="shared" si="220"/>
        <v>0.4611500259074186</v>
      </c>
      <c r="P748" s="39">
        <f t="shared" si="221"/>
        <v>281.45215183921937</v>
      </c>
      <c r="Q748" s="42">
        <f t="shared" si="222"/>
        <v>1.6677790755881843</v>
      </c>
      <c r="R748" s="42">
        <f t="shared" si="223"/>
        <v>1.7190611268702347</v>
      </c>
      <c r="S748" s="41">
        <f t="shared" si="224"/>
        <v>-2.9831429773190088E-2</v>
      </c>
      <c r="T748" s="41">
        <f t="shared" si="208"/>
        <v>0.19783575016506649</v>
      </c>
      <c r="U748" s="41">
        <f t="shared" si="225"/>
        <v>0</v>
      </c>
      <c r="V748" s="41">
        <f t="shared" si="226"/>
        <v>4.7717928766184414E-3</v>
      </c>
      <c r="W748" s="39">
        <f t="shared" si="212"/>
        <v>299.85000000000002</v>
      </c>
      <c r="X748" s="21"/>
    </row>
    <row r="749" spans="1:24" x14ac:dyDescent="0.2">
      <c r="A749" s="38">
        <v>46029</v>
      </c>
      <c r="B749" s="39">
        <v>292.12</v>
      </c>
      <c r="C749" s="39">
        <v>689.58</v>
      </c>
      <c r="D749" s="39">
        <v>46.68</v>
      </c>
      <c r="E749" s="41">
        <f t="shared" si="213"/>
        <v>-2.5779556444889162E-2</v>
      </c>
      <c r="F749" s="41">
        <f t="shared" si="214"/>
        <v>-3.223428397970407E-3</v>
      </c>
      <c r="G749" s="41">
        <f t="shared" si="215"/>
        <v>-1.7263157894736869E-2</v>
      </c>
      <c r="H749" s="41">
        <f t="shared" si="216"/>
        <v>0.6247844707714536</v>
      </c>
      <c r="I749" s="41">
        <f t="shared" si="217"/>
        <v>0.70489776744875532</v>
      </c>
      <c r="J749" s="41">
        <f t="shared" si="218"/>
        <v>0.12171092154271146</v>
      </c>
      <c r="K749" s="42">
        <f t="shared" si="209"/>
        <v>162.47844707714557</v>
      </c>
      <c r="L749" s="42">
        <f t="shared" si="210"/>
        <v>170.489776744876</v>
      </c>
      <c r="M749" s="42">
        <f t="shared" si="211"/>
        <v>112.17109215427131</v>
      </c>
      <c r="N749" s="41">
        <f t="shared" si="219"/>
        <v>-4.69900883248765E-2</v>
      </c>
      <c r="O749" s="41">
        <f t="shared" si="220"/>
        <v>0.44848769818239353</v>
      </c>
      <c r="P749" s="39">
        <f t="shared" si="221"/>
        <v>281.55829958211268</v>
      </c>
      <c r="Q749" s="42">
        <f t="shared" si="222"/>
        <v>1.6247844707714536</v>
      </c>
      <c r="R749" s="42">
        <f t="shared" si="223"/>
        <v>1.7190611268702347</v>
      </c>
      <c r="S749" s="41">
        <f t="shared" si="224"/>
        <v>-5.4841945190409525E-2</v>
      </c>
      <c r="T749" s="41">
        <f t="shared" si="208"/>
        <v>0.20452224031218544</v>
      </c>
      <c r="U749" s="41">
        <f t="shared" si="225"/>
        <v>-2.5935206307680425E-2</v>
      </c>
      <c r="V749" s="41">
        <f t="shared" si="226"/>
        <v>-2.2556128046918755E-2</v>
      </c>
      <c r="W749" s="39">
        <f t="shared" si="212"/>
        <v>292.12</v>
      </c>
      <c r="X749" s="21"/>
    </row>
    <row r="750" spans="1:24" x14ac:dyDescent="0.2">
      <c r="A750" s="38">
        <v>46030</v>
      </c>
      <c r="B750" s="39">
        <v>299.13</v>
      </c>
      <c r="C750" s="39">
        <v>689.51</v>
      </c>
      <c r="D750" s="39">
        <v>47.5</v>
      </c>
      <c r="E750" s="41">
        <f t="shared" si="213"/>
        <v>2.3996987539367298E-2</v>
      </c>
      <c r="F750" s="41">
        <f t="shared" si="214"/>
        <v>-1.0151106470612792E-4</v>
      </c>
      <c r="G750" s="41">
        <f t="shared" si="215"/>
        <v>1.7566409597257859E-2</v>
      </c>
      <c r="H750" s="41">
        <f t="shared" si="216"/>
        <v>0.66377440347071359</v>
      </c>
      <c r="I750" s="41">
        <f t="shared" si="217"/>
        <v>0.70472470146116639</v>
      </c>
      <c r="J750" s="41">
        <f t="shared" si="218"/>
        <v>0.14141535504024838</v>
      </c>
      <c r="K750" s="42">
        <f t="shared" si="209"/>
        <v>166.37744034707157</v>
      </c>
      <c r="L750" s="42">
        <f t="shared" si="210"/>
        <v>170.47247014611713</v>
      </c>
      <c r="M750" s="42">
        <f t="shared" si="211"/>
        <v>114.141535504025</v>
      </c>
      <c r="N750" s="41">
        <f t="shared" si="219"/>
        <v>-2.4021648747949209E-2</v>
      </c>
      <c r="O750" s="41">
        <f t="shared" si="220"/>
        <v>0.45764151158808075</v>
      </c>
      <c r="P750" s="39">
        <f t="shared" si="221"/>
        <v>281.73314237234041</v>
      </c>
      <c r="Q750" s="42">
        <f t="shared" si="222"/>
        <v>1.6637744034707136</v>
      </c>
      <c r="R750" s="42">
        <f t="shared" si="223"/>
        <v>1.7190611268702347</v>
      </c>
      <c r="S750" s="41">
        <f t="shared" si="224"/>
        <v>-3.2160999126411238E-2</v>
      </c>
      <c r="T750" s="41">
        <f t="shared" si="208"/>
        <v>0.21036512196843096</v>
      </c>
      <c r="U750" s="41">
        <f t="shared" si="225"/>
        <v>0</v>
      </c>
      <c r="V750" s="41">
        <f t="shared" si="226"/>
        <v>2.4098498604073426E-2</v>
      </c>
      <c r="W750" s="39">
        <f t="shared" si="212"/>
        <v>299.13</v>
      </c>
      <c r="X750" s="21"/>
    </row>
    <row r="751" spans="1:24" x14ac:dyDescent="0.2">
      <c r="A751" s="38">
        <v>46031</v>
      </c>
      <c r="B751" s="39">
        <v>311.62</v>
      </c>
      <c r="C751" s="39">
        <v>694.07</v>
      </c>
      <c r="D751" s="39">
        <v>48.26</v>
      </c>
      <c r="E751" s="41">
        <f t="shared" si="213"/>
        <v>4.1754421154681864E-2</v>
      </c>
      <c r="F751" s="41">
        <f t="shared" si="214"/>
        <v>6.613392119041217E-3</v>
      </c>
      <c r="G751" s="41">
        <f t="shared" si="215"/>
        <v>1.6000000000000014E-2</v>
      </c>
      <c r="H751" s="41">
        <f t="shared" si="216"/>
        <v>0.73324434061960941</v>
      </c>
      <c r="I751" s="41">
        <f t="shared" si="217"/>
        <v>0.71599871436694462</v>
      </c>
      <c r="J751" s="41">
        <f t="shared" si="218"/>
        <v>0.15967800072089244</v>
      </c>
      <c r="K751" s="42">
        <f t="shared" si="209"/>
        <v>173.3244340619612</v>
      </c>
      <c r="L751" s="42">
        <f t="shared" si="210"/>
        <v>171.59987143669494</v>
      </c>
      <c r="M751" s="42">
        <f t="shared" si="211"/>
        <v>115.96780007208937</v>
      </c>
      <c r="N751" s="41">
        <f t="shared" si="219"/>
        <v>1.0049906278063236E-2</v>
      </c>
      <c r="O751" s="41">
        <f t="shared" si="220"/>
        <v>0.49459103263334314</v>
      </c>
      <c r="P751" s="39">
        <f t="shared" si="221"/>
        <v>282.03052404027733</v>
      </c>
      <c r="Q751" s="42">
        <f t="shared" si="222"/>
        <v>1.7332443406196094</v>
      </c>
      <c r="R751" s="42">
        <f t="shared" si="223"/>
        <v>1.7332443406196094</v>
      </c>
      <c r="S751" s="41">
        <f t="shared" si="224"/>
        <v>0</v>
      </c>
      <c r="T751" s="41">
        <f t="shared" si="208"/>
        <v>0.22322179583970006</v>
      </c>
      <c r="U751" s="41">
        <f t="shared" si="225"/>
        <v>0</v>
      </c>
      <c r="V751" s="41">
        <f t="shared" si="226"/>
        <v>3.5141029035640647E-2</v>
      </c>
      <c r="W751" s="39">
        <f t="shared" si="212"/>
        <v>311.62</v>
      </c>
      <c r="X751" s="21"/>
    </row>
    <row r="752" spans="1:24" x14ac:dyDescent="0.2">
      <c r="A752" s="38">
        <v>46034</v>
      </c>
      <c r="B752" s="39">
        <v>309.62</v>
      </c>
      <c r="C752" s="39">
        <v>695.16</v>
      </c>
      <c r="D752" s="39">
        <v>48.52</v>
      </c>
      <c r="E752" s="41">
        <f t="shared" si="213"/>
        <v>-6.4180732943970309E-3</v>
      </c>
      <c r="F752" s="41">
        <f t="shared" si="214"/>
        <v>1.5704467849062542E-3</v>
      </c>
      <c r="G752" s="41">
        <f t="shared" si="215"/>
        <v>5.3874844591794702E-3</v>
      </c>
      <c r="H752" s="41">
        <f t="shared" si="216"/>
        <v>0.72212025140441383</v>
      </c>
      <c r="I752" s="41">
        <f t="shared" si="217"/>
        <v>0.71869359903082541</v>
      </c>
      <c r="J752" s="41">
        <f t="shared" si="218"/>
        <v>0.16592574792742854</v>
      </c>
      <c r="K752" s="42">
        <f t="shared" si="209"/>
        <v>172.21202514044163</v>
      </c>
      <c r="L752" s="42">
        <f t="shared" si="210"/>
        <v>171.86935990308302</v>
      </c>
      <c r="M752" s="42">
        <f t="shared" si="211"/>
        <v>116.59257479274301</v>
      </c>
      <c r="N752" s="41">
        <f t="shared" si="219"/>
        <v>1.9937540789822794E-3</v>
      </c>
      <c r="O752" s="41">
        <f t="shared" si="220"/>
        <v>0.47704110185891957</v>
      </c>
      <c r="P752" s="39">
        <f t="shared" si="221"/>
        <v>282.30504618913034</v>
      </c>
      <c r="Q752" s="42">
        <f t="shared" si="222"/>
        <v>1.7221202514044138</v>
      </c>
      <c r="R752" s="42">
        <f t="shared" si="223"/>
        <v>1.7332443406196094</v>
      </c>
      <c r="S752" s="41">
        <f t="shared" si="224"/>
        <v>-6.4180732943970309E-3</v>
      </c>
      <c r="T752" s="41">
        <f t="shared" si="208"/>
        <v>0.21993781384451885</v>
      </c>
      <c r="U752" s="41">
        <f t="shared" si="225"/>
        <v>-6.5737231571882937E-3</v>
      </c>
      <c r="V752" s="41">
        <f t="shared" si="226"/>
        <v>-7.9885200793032851E-3</v>
      </c>
      <c r="W752" s="39">
        <f t="shared" si="212"/>
        <v>309.62</v>
      </c>
      <c r="X752" s="21"/>
    </row>
    <row r="753" spans="1:24" x14ac:dyDescent="0.2">
      <c r="A753" s="38">
        <v>46035</v>
      </c>
      <c r="B753" s="39">
        <v>311.04000000000002</v>
      </c>
      <c r="C753" s="39">
        <v>693.77</v>
      </c>
      <c r="D753" s="39">
        <v>48.73</v>
      </c>
      <c r="E753" s="41">
        <f t="shared" si="213"/>
        <v>4.5862670370131475E-3</v>
      </c>
      <c r="F753" s="41">
        <f t="shared" si="214"/>
        <v>-1.9995396743195393E-3</v>
      </c>
      <c r="G753" s="41">
        <f t="shared" si="215"/>
        <v>4.3281121187137561E-3</v>
      </c>
      <c r="H753" s="41">
        <f t="shared" si="216"/>
        <v>0.73001835474720278</v>
      </c>
      <c r="I753" s="41">
        <f t="shared" si="217"/>
        <v>0.71525700299156414</v>
      </c>
      <c r="J753" s="41">
        <f t="shared" si="218"/>
        <v>0.17097200528655354</v>
      </c>
      <c r="K753" s="42">
        <f t="shared" si="209"/>
        <v>173.00183547472051</v>
      </c>
      <c r="L753" s="42">
        <f t="shared" si="210"/>
        <v>171.52570029915691</v>
      </c>
      <c r="M753" s="42">
        <f t="shared" si="211"/>
        <v>117.09720052865551</v>
      </c>
      <c r="N753" s="41">
        <f t="shared" si="219"/>
        <v>8.6059125424897687E-3</v>
      </c>
      <c r="O753" s="41">
        <f t="shared" si="220"/>
        <v>0.47742076406330702</v>
      </c>
      <c r="P753" s="39">
        <f t="shared" si="221"/>
        <v>282.59096612754701</v>
      </c>
      <c r="Q753" s="42">
        <f t="shared" si="222"/>
        <v>1.7300183547472028</v>
      </c>
      <c r="R753" s="42">
        <f t="shared" si="223"/>
        <v>1.7332443406196094</v>
      </c>
      <c r="S753" s="41">
        <f t="shared" si="224"/>
        <v>-1.8612412553751234E-3</v>
      </c>
      <c r="T753" s="41">
        <f t="shared" si="208"/>
        <v>0.21473418453823037</v>
      </c>
      <c r="U753" s="41">
        <f t="shared" si="225"/>
        <v>0</v>
      </c>
      <c r="V753" s="41">
        <f t="shared" si="226"/>
        <v>6.5858067113326868E-3</v>
      </c>
      <c r="W753" s="39">
        <f t="shared" si="212"/>
        <v>311.04000000000002</v>
      </c>
      <c r="X753" s="21"/>
    </row>
    <row r="754" spans="1:24" x14ac:dyDescent="0.2">
      <c r="A754" s="38">
        <v>46036</v>
      </c>
      <c r="B754" s="39">
        <v>298.48</v>
      </c>
      <c r="C754" s="39">
        <v>690.36</v>
      </c>
      <c r="D754" s="39">
        <v>48.75</v>
      </c>
      <c r="E754" s="41">
        <f t="shared" si="213"/>
        <v>-4.0380658436213968E-2</v>
      </c>
      <c r="F754" s="41">
        <f t="shared" si="214"/>
        <v>-4.9151736166164195E-3</v>
      </c>
      <c r="G754" s="41">
        <f t="shared" si="215"/>
        <v>4.1042478965724882E-4</v>
      </c>
      <c r="H754" s="41">
        <f t="shared" si="216"/>
        <v>0.66015907447577504</v>
      </c>
      <c r="I754" s="41">
        <f t="shared" si="217"/>
        <v>0.70682621702474346</v>
      </c>
      <c r="J754" s="41">
        <f t="shared" si="218"/>
        <v>0.17145260122551775</v>
      </c>
      <c r="K754" s="42">
        <f t="shared" si="209"/>
        <v>166.01590744757775</v>
      </c>
      <c r="L754" s="42">
        <f t="shared" si="210"/>
        <v>170.68262170247485</v>
      </c>
      <c r="M754" s="42">
        <f t="shared" si="211"/>
        <v>117.14526012255195</v>
      </c>
      <c r="N754" s="41">
        <f t="shared" si="219"/>
        <v>-2.7341472777654086E-2</v>
      </c>
      <c r="O754" s="41">
        <f t="shared" si="220"/>
        <v>0.41717989506275877</v>
      </c>
      <c r="P754" s="39">
        <f t="shared" si="221"/>
        <v>282.74906596707393</v>
      </c>
      <c r="Q754" s="42">
        <f t="shared" si="222"/>
        <v>1.660159074475775</v>
      </c>
      <c r="R754" s="42">
        <f t="shared" si="223"/>
        <v>1.7332443406196094</v>
      </c>
      <c r="S754" s="41">
        <f t="shared" si="224"/>
        <v>-4.2166741544188424E-2</v>
      </c>
      <c r="T754" s="41">
        <f t="shared" si="208"/>
        <v>0.2307092065442759</v>
      </c>
      <c r="U754" s="41">
        <f t="shared" si="225"/>
        <v>-4.053630829900523E-2</v>
      </c>
      <c r="V754" s="41">
        <f t="shared" si="226"/>
        <v>-3.5465484819597548E-2</v>
      </c>
      <c r="W754" s="39">
        <f t="shared" si="212"/>
        <v>298.48</v>
      </c>
      <c r="X754" s="21"/>
    </row>
    <row r="755" spans="1:24" x14ac:dyDescent="0.2">
      <c r="A755" s="38">
        <v>46037</v>
      </c>
      <c r="B755" s="39">
        <v>301.70999999999998</v>
      </c>
      <c r="C755" s="39">
        <v>692.24</v>
      </c>
      <c r="D755" s="39">
        <v>48.96</v>
      </c>
      <c r="E755" s="41">
        <f t="shared" si="213"/>
        <v>1.0821495577592932E-2</v>
      </c>
      <c r="F755" s="41">
        <f t="shared" si="214"/>
        <v>2.7232168723565486E-3</v>
      </c>
      <c r="G755" s="41">
        <f t="shared" si="215"/>
        <v>4.3076923076923457E-3</v>
      </c>
      <c r="H755" s="41">
        <f t="shared" si="216"/>
        <v>0.67812447855831537</v>
      </c>
      <c r="I755" s="41">
        <f t="shared" si="217"/>
        <v>0.71147427497712568</v>
      </c>
      <c r="J755" s="41">
        <f t="shared" si="218"/>
        <v>0.1764988585846432</v>
      </c>
      <c r="K755" s="42">
        <f t="shared" si="209"/>
        <v>167.81244785583181</v>
      </c>
      <c r="L755" s="42">
        <f t="shared" si="210"/>
        <v>171.14742749771307</v>
      </c>
      <c r="M755" s="42">
        <f t="shared" si="211"/>
        <v>117.6498858584645</v>
      </c>
      <c r="N755" s="41">
        <f t="shared" si="219"/>
        <v>-1.9486005081353674E-2</v>
      </c>
      <c r="O755" s="41">
        <f t="shared" si="220"/>
        <v>0.42637153135629902</v>
      </c>
      <c r="P755" s="39">
        <f t="shared" si="221"/>
        <v>282.93773197735186</v>
      </c>
      <c r="Q755" s="42">
        <f t="shared" si="222"/>
        <v>1.6781244785583154</v>
      </c>
      <c r="R755" s="42">
        <f t="shared" si="223"/>
        <v>1.7332443406196094</v>
      </c>
      <c r="S755" s="41">
        <f t="shared" si="224"/>
        <v>-3.1801553173737451E-2</v>
      </c>
      <c r="T755" s="41">
        <f t="shared" si="208"/>
        <v>0.23171876084345677</v>
      </c>
      <c r="U755" s="41">
        <f t="shared" si="225"/>
        <v>0</v>
      </c>
      <c r="V755" s="41">
        <f t="shared" si="226"/>
        <v>8.0982787052363836E-3</v>
      </c>
      <c r="W755" s="39">
        <f t="shared" si="212"/>
        <v>301.70999999999998</v>
      </c>
      <c r="X755" s="21"/>
    </row>
    <row r="756" spans="1:24" x14ac:dyDescent="0.2">
      <c r="A756" s="38">
        <v>46038</v>
      </c>
      <c r="B756" s="39">
        <v>305.97000000000003</v>
      </c>
      <c r="C756" s="39">
        <v>691.66</v>
      </c>
      <c r="D756" s="39">
        <v>48.68</v>
      </c>
      <c r="E756" s="41">
        <f t="shared" si="213"/>
        <v>1.4119518743164194E-2</v>
      </c>
      <c r="F756" s="41">
        <f t="shared" si="214"/>
        <v>-8.378597018375844E-4</v>
      </c>
      <c r="G756" s="41">
        <f t="shared" si="215"/>
        <v>-5.7189542483659928E-3</v>
      </c>
      <c r="H756" s="41">
        <f t="shared" si="216"/>
        <v>0.70181878858668223</v>
      </c>
      <c r="I756" s="41">
        <f t="shared" si="217"/>
        <v>0.71004029965139059</v>
      </c>
      <c r="J756" s="41">
        <f t="shared" si="218"/>
        <v>0.1697705154391429</v>
      </c>
      <c r="K756" s="42">
        <f t="shared" si="209"/>
        <v>170.18187885866845</v>
      </c>
      <c r="L756" s="42">
        <f t="shared" si="210"/>
        <v>171.00402996513955</v>
      </c>
      <c r="M756" s="42">
        <f t="shared" si="211"/>
        <v>116.97705154391444</v>
      </c>
      <c r="N756" s="41">
        <f t="shared" si="219"/>
        <v>-4.8077879020654857E-3</v>
      </c>
      <c r="O756" s="41">
        <f t="shared" si="220"/>
        <v>0.45483132471312415</v>
      </c>
      <c r="P756" s="39">
        <f t="shared" si="221"/>
        <v>283.16690877359713</v>
      </c>
      <c r="Q756" s="42">
        <f t="shared" si="222"/>
        <v>1.7018187885866822</v>
      </c>
      <c r="R756" s="42">
        <f t="shared" si="223"/>
        <v>1.7332443406196094</v>
      </c>
      <c r="S756" s="41">
        <f t="shared" si="224"/>
        <v>-1.8131057056671507E-2</v>
      </c>
      <c r="T756" s="41">
        <f t="shared" si="208"/>
        <v>0.23302075430432129</v>
      </c>
      <c r="U756" s="41">
        <f t="shared" si="225"/>
        <v>0</v>
      </c>
      <c r="V756" s="41">
        <f t="shared" si="226"/>
        <v>1.4957378445001779E-2</v>
      </c>
      <c r="W756" s="39">
        <f t="shared" si="212"/>
        <v>305.97000000000003</v>
      </c>
      <c r="X756" s="21"/>
    </row>
    <row r="757" spans="1:24" x14ac:dyDescent="0.2">
      <c r="A757" s="38">
        <v>46042</v>
      </c>
      <c r="B757" s="39">
        <v>296.14999999999998</v>
      </c>
      <c r="C757" s="39">
        <v>677.58</v>
      </c>
      <c r="D757" s="39">
        <v>48.19</v>
      </c>
      <c r="E757" s="41">
        <f t="shared" si="213"/>
        <v>-3.2094649802268393E-2</v>
      </c>
      <c r="F757" s="41">
        <f t="shared" si="214"/>
        <v>-2.035682271636341E-2</v>
      </c>
      <c r="G757" s="41">
        <f t="shared" si="215"/>
        <v>-1.0065735414954813E-2</v>
      </c>
      <c r="H757" s="41">
        <f t="shared" si="216"/>
        <v>0.64719951054007208</v>
      </c>
      <c r="I757" s="41">
        <f t="shared" si="217"/>
        <v>0.67522931243355022</v>
      </c>
      <c r="J757" s="41">
        <f t="shared" si="218"/>
        <v>0.15799591493451715</v>
      </c>
      <c r="K757" s="42">
        <f t="shared" si="209"/>
        <v>164.71995105400745</v>
      </c>
      <c r="L757" s="42">
        <f t="shared" si="210"/>
        <v>167.52293124335552</v>
      </c>
      <c r="M757" s="42">
        <f t="shared" si="211"/>
        <v>115.79959149345187</v>
      </c>
      <c r="N757" s="41">
        <f t="shared" si="219"/>
        <v>-1.6731919436605458E-2</v>
      </c>
      <c r="O757" s="41">
        <f t="shared" si="220"/>
        <v>0.42245709962907663</v>
      </c>
      <c r="P757" s="39">
        <f t="shared" si="221"/>
        <v>283.29609376092452</v>
      </c>
      <c r="Q757" s="42">
        <f t="shared" si="222"/>
        <v>1.6471995105400721</v>
      </c>
      <c r="R757" s="42">
        <f t="shared" si="223"/>
        <v>1.7332443406196094</v>
      </c>
      <c r="S757" s="41">
        <f t="shared" si="224"/>
        <v>-4.9643796932161144E-2</v>
      </c>
      <c r="T757" s="41">
        <f t="shared" si="208"/>
        <v>0.24089719645243607</v>
      </c>
      <c r="U757" s="41">
        <f t="shared" si="225"/>
        <v>-3.2250299665059656E-2</v>
      </c>
      <c r="V757" s="41">
        <f t="shared" si="226"/>
        <v>-1.1737827085904984E-2</v>
      </c>
      <c r="W757" s="39">
        <f t="shared" si="212"/>
        <v>296.14999999999998</v>
      </c>
      <c r="X757" s="21"/>
    </row>
    <row r="758" spans="1:24" x14ac:dyDescent="0.2">
      <c r="A758" s="38">
        <v>46043</v>
      </c>
      <c r="B758" s="39">
        <v>299.01</v>
      </c>
      <c r="C758" s="39">
        <v>685.4</v>
      </c>
      <c r="D758" s="39">
        <v>49.24</v>
      </c>
      <c r="E758" s="41">
        <f t="shared" si="213"/>
        <v>9.6572682762114948E-3</v>
      </c>
      <c r="F758" s="41">
        <f t="shared" si="214"/>
        <v>1.1541072640868899E-2</v>
      </c>
      <c r="G758" s="41">
        <f t="shared" si="215"/>
        <v>2.1788752853289184E-2</v>
      </c>
      <c r="H758" s="41">
        <f t="shared" si="216"/>
        <v>0.66310695811780174</v>
      </c>
      <c r="I758" s="41">
        <f t="shared" si="217"/>
        <v>0.69456325561845866</v>
      </c>
      <c r="J758" s="41">
        <f t="shared" si="218"/>
        <v>0.18322720173014373</v>
      </c>
      <c r="K758" s="42">
        <f t="shared" si="209"/>
        <v>166.31069581178042</v>
      </c>
      <c r="L758" s="42">
        <f t="shared" si="210"/>
        <v>169.45632556184634</v>
      </c>
      <c r="M758" s="42">
        <f t="shared" si="211"/>
        <v>118.32272017301453</v>
      </c>
      <c r="N758" s="41">
        <f t="shared" si="219"/>
        <v>-1.856307068878138E-2</v>
      </c>
      <c r="O758" s="41">
        <f t="shared" si="220"/>
        <v>0.40556856340520753</v>
      </c>
      <c r="P758" s="39">
        <f t="shared" si="221"/>
        <v>283.45245103693526</v>
      </c>
      <c r="Q758" s="42">
        <f t="shared" si="222"/>
        <v>1.6631069581178017</v>
      </c>
      <c r="R758" s="42">
        <f t="shared" si="223"/>
        <v>1.7332443406196094</v>
      </c>
      <c r="S758" s="41">
        <f t="shared" si="224"/>
        <v>-4.0465952121173321E-2</v>
      </c>
      <c r="T758" s="41">
        <f t="shared" si="208"/>
        <v>0.24135508316571996</v>
      </c>
      <c r="U758" s="41">
        <f t="shared" si="225"/>
        <v>0</v>
      </c>
      <c r="V758" s="41">
        <f t="shared" si="226"/>
        <v>-1.8838043646574043E-3</v>
      </c>
      <c r="W758" s="39">
        <f t="shared" si="212"/>
        <v>299.01</v>
      </c>
      <c r="X758" s="21"/>
    </row>
    <row r="759" spans="1:24" x14ac:dyDescent="0.2">
      <c r="A759" s="38">
        <v>46044</v>
      </c>
      <c r="B759" s="39">
        <v>303.27</v>
      </c>
      <c r="C759" s="39">
        <v>688.98</v>
      </c>
      <c r="D759" s="39">
        <v>49.52</v>
      </c>
      <c r="E759" s="41">
        <f t="shared" si="213"/>
        <v>1.4247015149994935E-2</v>
      </c>
      <c r="F759" s="41">
        <f t="shared" si="214"/>
        <v>5.2232273125183415E-3</v>
      </c>
      <c r="G759" s="41">
        <f t="shared" si="215"/>
        <v>5.6864337936637366E-3</v>
      </c>
      <c r="H759" s="41">
        <f t="shared" si="216"/>
        <v>0.68680126814616815</v>
      </c>
      <c r="I759" s="41">
        <f t="shared" si="217"/>
        <v>0.70341434469799502</v>
      </c>
      <c r="J759" s="41">
        <f t="shared" si="218"/>
        <v>0.18995554487564426</v>
      </c>
      <c r="K759" s="42">
        <f t="shared" si="209"/>
        <v>168.68012681461707</v>
      </c>
      <c r="L759" s="42">
        <f t="shared" si="210"/>
        <v>170.34143446979996</v>
      </c>
      <c r="M759" s="42">
        <f t="shared" si="211"/>
        <v>118.99555448756458</v>
      </c>
      <c r="N759" s="41">
        <f t="shared" si="219"/>
        <v>-9.7528100567758624E-3</v>
      </c>
      <c r="O759" s="41">
        <f t="shared" si="220"/>
        <v>0.41753301239706953</v>
      </c>
      <c r="P759" s="39">
        <f t="shared" si="221"/>
        <v>283.64964057885629</v>
      </c>
      <c r="Q759" s="42">
        <f t="shared" si="222"/>
        <v>1.6868012681461682</v>
      </c>
      <c r="R759" s="42">
        <f t="shared" si="223"/>
        <v>1.7332443406196094</v>
      </c>
      <c r="S759" s="41">
        <f t="shared" si="224"/>
        <v>-2.6795456004107598E-2</v>
      </c>
      <c r="T759" s="41">
        <f t="shared" si="208"/>
        <v>0.24297000836462687</v>
      </c>
      <c r="U759" s="41">
        <f t="shared" si="225"/>
        <v>0</v>
      </c>
      <c r="V759" s="41">
        <f t="shared" si="226"/>
        <v>9.0237878374765934E-3</v>
      </c>
      <c r="W759" s="39">
        <f t="shared" si="212"/>
        <v>303.27</v>
      </c>
      <c r="X759" s="21"/>
    </row>
    <row r="760" spans="1:24" x14ac:dyDescent="0.2">
      <c r="A760" s="38">
        <v>46045</v>
      </c>
      <c r="B760" s="39">
        <v>300.07</v>
      </c>
      <c r="C760" s="39">
        <v>689.23</v>
      </c>
      <c r="D760" s="39">
        <v>49.97</v>
      </c>
      <c r="E760" s="41">
        <f t="shared" si="213"/>
        <v>-1.0551653641969194E-2</v>
      </c>
      <c r="F760" s="41">
        <f t="shared" si="214"/>
        <v>3.62855235275239E-4</v>
      </c>
      <c r="G760" s="41">
        <f t="shared" si="215"/>
        <v>9.0872374798061095E-3</v>
      </c>
      <c r="H760" s="41">
        <f t="shared" si="216"/>
        <v>0.66900272540185535</v>
      </c>
      <c r="I760" s="41">
        <f t="shared" si="217"/>
        <v>0.70403243751081157</v>
      </c>
      <c r="J760" s="41">
        <f t="shared" si="218"/>
        <v>0.20076895350234136</v>
      </c>
      <c r="K760" s="42">
        <f t="shared" si="209"/>
        <v>166.90027254018577</v>
      </c>
      <c r="L760" s="42">
        <f t="shared" si="210"/>
        <v>170.40324375108165</v>
      </c>
      <c r="M760" s="42">
        <f t="shared" si="211"/>
        <v>120.0768953502343</v>
      </c>
      <c r="N760" s="41">
        <f t="shared" si="219"/>
        <v>-2.0556951462805673E-2</v>
      </c>
      <c r="O760" s="41">
        <f t="shared" si="220"/>
        <v>0.38994493531315388</v>
      </c>
      <c r="P760" s="39">
        <f t="shared" si="221"/>
        <v>283.81302723976319</v>
      </c>
      <c r="Q760" s="42">
        <f t="shared" si="222"/>
        <v>1.6690027254018553</v>
      </c>
      <c r="R760" s="42">
        <f t="shared" si="223"/>
        <v>1.7332443406196094</v>
      </c>
      <c r="S760" s="41">
        <f t="shared" si="224"/>
        <v>-3.7064373275142892E-2</v>
      </c>
      <c r="T760" s="41">
        <f t="shared" si="208"/>
        <v>0.24398217890593649</v>
      </c>
      <c r="U760" s="41">
        <f t="shared" si="225"/>
        <v>-1.0707303504760457E-2</v>
      </c>
      <c r="V760" s="41">
        <f t="shared" si="226"/>
        <v>-1.0914508877244433E-2</v>
      </c>
      <c r="W760" s="39">
        <f t="shared" si="212"/>
        <v>300.07</v>
      </c>
      <c r="X760" s="21"/>
    </row>
    <row r="761" spans="1:24" x14ac:dyDescent="0.2">
      <c r="A761" s="38">
        <v>46048</v>
      </c>
      <c r="B761" s="39">
        <v>300.39999999999998</v>
      </c>
      <c r="C761" s="39">
        <v>692.73</v>
      </c>
      <c r="D761" s="39">
        <v>50.03</v>
      </c>
      <c r="E761" s="41">
        <f t="shared" si="213"/>
        <v>1.0997433932082856E-3</v>
      </c>
      <c r="F761" s="41">
        <f t="shared" si="214"/>
        <v>5.0781306675564686E-3</v>
      </c>
      <c r="G761" s="41">
        <f t="shared" si="215"/>
        <v>1.2007204322594944E-3</v>
      </c>
      <c r="H761" s="41">
        <f t="shared" si="216"/>
        <v>0.67083820012236273</v>
      </c>
      <c r="I761" s="41">
        <f t="shared" si="217"/>
        <v>0.71268573689024617</v>
      </c>
      <c r="J761" s="41">
        <f t="shared" si="218"/>
        <v>0.20221074131923444</v>
      </c>
      <c r="K761" s="42">
        <f t="shared" si="209"/>
        <v>167.08382001223649</v>
      </c>
      <c r="L761" s="42">
        <f t="shared" si="210"/>
        <v>171.26857368902512</v>
      </c>
      <c r="M761" s="42">
        <f t="shared" si="211"/>
        <v>120.22107413192357</v>
      </c>
      <c r="N761" s="41">
        <f t="shared" si="219"/>
        <v>-2.4433867735634163E-2</v>
      </c>
      <c r="O761" s="41">
        <f t="shared" si="220"/>
        <v>0.38980475111117752</v>
      </c>
      <c r="P761" s="39">
        <f t="shared" si="221"/>
        <v>283.97807174484018</v>
      </c>
      <c r="Q761" s="42">
        <f t="shared" si="222"/>
        <v>1.6708382001223627</v>
      </c>
      <c r="R761" s="42">
        <f t="shared" si="223"/>
        <v>1.7332443406196094</v>
      </c>
      <c r="S761" s="41">
        <f t="shared" si="224"/>
        <v>-3.6005391181567314E-2</v>
      </c>
      <c r="T761" s="41">
        <f t="shared" si="208"/>
        <v>0.24396697259976247</v>
      </c>
      <c r="U761" s="41">
        <f t="shared" si="225"/>
        <v>0</v>
      </c>
      <c r="V761" s="41">
        <f t="shared" si="226"/>
        <v>-3.978387274348183E-3</v>
      </c>
      <c r="W761" s="39">
        <f t="shared" si="212"/>
        <v>300.39999999999998</v>
      </c>
      <c r="X761" s="21"/>
    </row>
    <row r="762" spans="1:24" x14ac:dyDescent="0.2">
      <c r="A762" s="38">
        <v>46049</v>
      </c>
      <c r="B762" s="39">
        <v>298.67</v>
      </c>
      <c r="C762" s="39">
        <v>695.49</v>
      </c>
      <c r="D762" s="39">
        <v>49.98</v>
      </c>
      <c r="E762" s="41">
        <f t="shared" si="213"/>
        <v>-5.7589880159785167E-3</v>
      </c>
      <c r="F762" s="41">
        <f t="shared" si="214"/>
        <v>3.9842362825344146E-3</v>
      </c>
      <c r="G762" s="41">
        <f t="shared" si="215"/>
        <v>-9.9940035978418607E-4</v>
      </c>
      <c r="H762" s="41">
        <f t="shared" si="216"/>
        <v>0.66121586295121904</v>
      </c>
      <c r="I762" s="41">
        <f t="shared" si="217"/>
        <v>0.7195094815437435</v>
      </c>
      <c r="J762" s="41">
        <f t="shared" si="218"/>
        <v>0.20100925147182358</v>
      </c>
      <c r="K762" s="42">
        <f t="shared" si="209"/>
        <v>166.12158629512211</v>
      </c>
      <c r="L762" s="42">
        <f t="shared" si="210"/>
        <v>171.95094815437486</v>
      </c>
      <c r="M762" s="42">
        <f t="shared" si="211"/>
        <v>120.10092514718249</v>
      </c>
      <c r="N762" s="41">
        <f t="shared" si="219"/>
        <v>-3.3901306865833369E-2</v>
      </c>
      <c r="O762" s="41">
        <f t="shared" si="220"/>
        <v>0.38318323602871285</v>
      </c>
      <c r="P762" s="39">
        <f t="shared" si="221"/>
        <v>284.12426008568752</v>
      </c>
      <c r="Q762" s="42">
        <f t="shared" si="222"/>
        <v>1.661215862951219</v>
      </c>
      <c r="R762" s="42">
        <f t="shared" si="223"/>
        <v>1.7332443406196094</v>
      </c>
      <c r="S762" s="41">
        <f t="shared" si="224"/>
        <v>-4.1557024581220459E-2</v>
      </c>
      <c r="T762" s="41">
        <f t="shared" si="208"/>
        <v>0.24378505814079665</v>
      </c>
      <c r="U762" s="41">
        <f t="shared" si="225"/>
        <v>-5.9146378787697795E-3</v>
      </c>
      <c r="V762" s="41">
        <f t="shared" si="226"/>
        <v>-9.7432242985129314E-3</v>
      </c>
      <c r="W762" s="39">
        <f t="shared" si="212"/>
        <v>298.67</v>
      </c>
      <c r="X762" s="21"/>
    </row>
    <row r="763" spans="1:24" x14ac:dyDescent="0.2">
      <c r="A763" s="38">
        <v>46050</v>
      </c>
      <c r="B763" s="39">
        <v>299.73</v>
      </c>
      <c r="C763" s="39">
        <v>695.42</v>
      </c>
      <c r="D763" s="39">
        <v>49.95</v>
      </c>
      <c r="E763" s="41">
        <f t="shared" si="213"/>
        <v>3.5490675327285448E-3</v>
      </c>
      <c r="F763" s="41">
        <f t="shared" si="214"/>
        <v>-1.0064846367319191E-4</v>
      </c>
      <c r="G763" s="41">
        <f t="shared" si="215"/>
        <v>-6.0024009603831807E-4</v>
      </c>
      <c r="H763" s="41">
        <f t="shared" si="216"/>
        <v>0.66711163023527287</v>
      </c>
      <c r="I763" s="41">
        <f t="shared" si="217"/>
        <v>0.71933641555615457</v>
      </c>
      <c r="J763" s="41">
        <f t="shared" si="218"/>
        <v>0.20028835756337715</v>
      </c>
      <c r="K763" s="42">
        <f t="shared" si="209"/>
        <v>166.71116302352746</v>
      </c>
      <c r="L763" s="42">
        <f t="shared" si="210"/>
        <v>171.93364155561596</v>
      </c>
      <c r="M763" s="42">
        <f t="shared" si="211"/>
        <v>120.02883575633787</v>
      </c>
      <c r="N763" s="41">
        <f t="shared" si="219"/>
        <v>-3.0374966090617295E-2</v>
      </c>
      <c r="O763" s="41">
        <f t="shared" si="220"/>
        <v>0.38892593578059986</v>
      </c>
      <c r="P763" s="39">
        <f t="shared" si="221"/>
        <v>284.27954107985977</v>
      </c>
      <c r="Q763" s="42">
        <f t="shared" si="222"/>
        <v>1.6671116302352729</v>
      </c>
      <c r="R763" s="42">
        <f t="shared" si="223"/>
        <v>1.7332443406196094</v>
      </c>
      <c r="S763" s="41">
        <f t="shared" si="224"/>
        <v>-3.8155445735189919E-2</v>
      </c>
      <c r="T763" s="41">
        <f t="shared" si="208"/>
        <v>0.24121830565842894</v>
      </c>
      <c r="U763" s="41">
        <f t="shared" si="225"/>
        <v>0</v>
      </c>
      <c r="V763" s="41">
        <f t="shared" si="226"/>
        <v>3.6497159964017367E-3</v>
      </c>
      <c r="W763" s="39">
        <f t="shared" si="212"/>
        <v>299.73</v>
      </c>
      <c r="X763" s="21"/>
    </row>
    <row r="764" spans="1:24" x14ac:dyDescent="0.2">
      <c r="A764" s="38">
        <v>46051</v>
      </c>
      <c r="B764" s="39">
        <v>299.47000000000003</v>
      </c>
      <c r="C764" s="39">
        <v>694.04</v>
      </c>
      <c r="D764" s="39">
        <v>50</v>
      </c>
      <c r="E764" s="41">
        <f t="shared" si="213"/>
        <v>-8.6744736929900146E-4</v>
      </c>
      <c r="F764" s="41">
        <f t="shared" si="214"/>
        <v>-1.9844122976042655E-3</v>
      </c>
      <c r="G764" s="41">
        <f t="shared" si="215"/>
        <v>1.0010010010008674E-3</v>
      </c>
      <c r="H764" s="41">
        <f t="shared" si="216"/>
        <v>0.6656654986372974</v>
      </c>
      <c r="I764" s="41">
        <f t="shared" si="217"/>
        <v>0.71592454322940613</v>
      </c>
      <c r="J764" s="41">
        <f t="shared" si="218"/>
        <v>0.20148984741078779</v>
      </c>
      <c r="K764" s="42">
        <f t="shared" si="209"/>
        <v>166.56654986372993</v>
      </c>
      <c r="L764" s="42">
        <f t="shared" si="210"/>
        <v>171.59245432294111</v>
      </c>
      <c r="M764" s="42">
        <f t="shared" si="211"/>
        <v>120.14898474107893</v>
      </c>
      <c r="N764" s="41">
        <f t="shared" si="219"/>
        <v>-2.9289775468518076E-2</v>
      </c>
      <c r="O764" s="41">
        <f t="shared" si="220"/>
        <v>0.38633339451582449</v>
      </c>
      <c r="P764" s="39">
        <f t="shared" si="221"/>
        <v>284.43068992483632</v>
      </c>
      <c r="Q764" s="42">
        <f t="shared" si="222"/>
        <v>1.6656654986372974</v>
      </c>
      <c r="R764" s="42">
        <f t="shared" si="223"/>
        <v>1.7332443406196094</v>
      </c>
      <c r="S764" s="41">
        <f t="shared" si="224"/>
        <v>-3.898979526346158E-2</v>
      </c>
      <c r="T764" s="41">
        <f t="shared" si="208"/>
        <v>0.241188464051144</v>
      </c>
      <c r="U764" s="41">
        <f t="shared" si="225"/>
        <v>-1.0230972320902643E-3</v>
      </c>
      <c r="V764" s="41">
        <f t="shared" si="226"/>
        <v>1.1169649283052641E-3</v>
      </c>
      <c r="W764" s="39">
        <f t="shared" si="212"/>
        <v>299.47000000000003</v>
      </c>
      <c r="X764" s="21"/>
    </row>
    <row r="765" spans="1:24" x14ac:dyDescent="0.2">
      <c r="A765" s="38">
        <v>46052</v>
      </c>
      <c r="B765" s="39">
        <v>300.54000000000002</v>
      </c>
      <c r="C765" s="39">
        <v>691.97</v>
      </c>
      <c r="D765" s="39">
        <v>49.27</v>
      </c>
      <c r="E765" s="41">
        <f t="shared" si="213"/>
        <v>3.5729789294420833E-3</v>
      </c>
      <c r="F765" s="41">
        <f t="shared" si="214"/>
        <v>-2.9825370295659681E-3</v>
      </c>
      <c r="G765" s="41">
        <f t="shared" si="215"/>
        <v>-1.4599999999999946E-2</v>
      </c>
      <c r="H765" s="41">
        <f t="shared" si="216"/>
        <v>0.671616886367427</v>
      </c>
      <c r="I765" s="41">
        <f t="shared" si="217"/>
        <v>0.71080673473928346</v>
      </c>
      <c r="J765" s="41">
        <f t="shared" si="218"/>
        <v>0.18394809563859038</v>
      </c>
      <c r="K765" s="42">
        <f t="shared" si="209"/>
        <v>167.16168863674287</v>
      </c>
      <c r="L765" s="42">
        <f t="shared" si="210"/>
        <v>171.08067347392884</v>
      </c>
      <c r="M765" s="42">
        <f t="shared" si="211"/>
        <v>118.3948095638592</v>
      </c>
      <c r="N765" s="41">
        <f t="shared" si="219"/>
        <v>-2.2907232930567512E-2</v>
      </c>
      <c r="O765" s="41">
        <f t="shared" si="220"/>
        <v>0.41190048155430414</v>
      </c>
      <c r="P765" s="39">
        <f t="shared" si="221"/>
        <v>284.59098156737531</v>
      </c>
      <c r="Q765" s="42">
        <f t="shared" si="222"/>
        <v>1.671616886367427</v>
      </c>
      <c r="R765" s="42">
        <f t="shared" si="223"/>
        <v>1.7332443406196094</v>
      </c>
      <c r="S765" s="41">
        <f t="shared" si="224"/>
        <v>-3.5556126050959147E-2</v>
      </c>
      <c r="T765" s="41">
        <f t="shared" si="208"/>
        <v>0.24111685186445014</v>
      </c>
      <c r="U765" s="41">
        <f t="shared" si="225"/>
        <v>0</v>
      </c>
      <c r="V765" s="41">
        <f t="shared" si="226"/>
        <v>6.5555159590080514E-3</v>
      </c>
      <c r="W765" s="39">
        <f t="shared" si="212"/>
        <v>300.54000000000002</v>
      </c>
      <c r="X765" s="21"/>
    </row>
    <row r="766" spans="1:24" x14ac:dyDescent="0.2">
      <c r="A766" s="38">
        <v>46055</v>
      </c>
      <c r="B766" s="39">
        <v>305.92</v>
      </c>
      <c r="C766" s="39">
        <v>695.41</v>
      </c>
      <c r="D766" s="39">
        <v>49.65</v>
      </c>
      <c r="E766" s="41">
        <f t="shared" si="213"/>
        <v>1.7901111332933928E-2</v>
      </c>
      <c r="F766" s="41">
        <f t="shared" si="214"/>
        <v>4.9713137852795963E-3</v>
      </c>
      <c r="G766" s="41">
        <f t="shared" si="215"/>
        <v>7.7126040186725753E-3</v>
      </c>
      <c r="H766" s="41">
        <f t="shared" si="216"/>
        <v>0.70154068635630273</v>
      </c>
      <c r="I766" s="41">
        <f t="shared" si="217"/>
        <v>0.71931169184364196</v>
      </c>
      <c r="J766" s="41">
        <f t="shared" si="218"/>
        <v>0.19307941847891241</v>
      </c>
      <c r="K766" s="42">
        <f t="shared" si="209"/>
        <v>170.15406863563047</v>
      </c>
      <c r="L766" s="42">
        <f t="shared" si="210"/>
        <v>171.93116918436471</v>
      </c>
      <c r="M766" s="42">
        <f t="shared" si="211"/>
        <v>119.30794184789137</v>
      </c>
      <c r="N766" s="41">
        <f t="shared" si="219"/>
        <v>-1.0336116232818271E-2</v>
      </c>
      <c r="O766" s="41">
        <f t="shared" si="220"/>
        <v>0.42617554204869323</v>
      </c>
      <c r="P766" s="39">
        <f t="shared" si="221"/>
        <v>284.80321060650596</v>
      </c>
      <c r="Q766" s="42">
        <f t="shared" si="222"/>
        <v>1.7015406863563027</v>
      </c>
      <c r="R766" s="42">
        <f t="shared" si="223"/>
        <v>1.7332443406196094</v>
      </c>
      <c r="S766" s="41">
        <f t="shared" si="224"/>
        <v>-1.8291508889031194E-2</v>
      </c>
      <c r="T766" s="41">
        <f t="shared" si="208"/>
        <v>0.24241285263294293</v>
      </c>
      <c r="U766" s="41">
        <f t="shared" si="225"/>
        <v>0</v>
      </c>
      <c r="V766" s="41">
        <f t="shared" si="226"/>
        <v>1.2929797547654331E-2</v>
      </c>
      <c r="W766" s="39">
        <f t="shared" si="212"/>
        <v>305.92</v>
      </c>
      <c r="X766" s="21"/>
    </row>
    <row r="767" spans="1:24" x14ac:dyDescent="0.2">
      <c r="A767" s="38">
        <v>46056</v>
      </c>
      <c r="B767" s="39">
        <v>311.01</v>
      </c>
      <c r="C767" s="39">
        <v>689.53</v>
      </c>
      <c r="D767" s="39">
        <v>50.7</v>
      </c>
      <c r="E767" s="41">
        <f t="shared" si="213"/>
        <v>1.6638336820083532E-2</v>
      </c>
      <c r="F767" s="41">
        <f t="shared" si="214"/>
        <v>-8.4554435512862458E-3</v>
      </c>
      <c r="G767" s="41">
        <f t="shared" si="215"/>
        <v>2.1148036253776592E-2</v>
      </c>
      <c r="H767" s="41">
        <f t="shared" si="216"/>
        <v>0.72985149340897504</v>
      </c>
      <c r="I767" s="41">
        <f t="shared" si="217"/>
        <v>0.70477414888619161</v>
      </c>
      <c r="J767" s="41">
        <f t="shared" si="218"/>
        <v>0.21831070527453922</v>
      </c>
      <c r="K767" s="42">
        <f t="shared" si="209"/>
        <v>172.98514934089772</v>
      </c>
      <c r="L767" s="42">
        <f t="shared" si="210"/>
        <v>170.47741488861965</v>
      </c>
      <c r="M767" s="42">
        <f t="shared" si="211"/>
        <v>121.83107052745406</v>
      </c>
      <c r="N767" s="41">
        <f t="shared" si="219"/>
        <v>1.4710068509173224E-2</v>
      </c>
      <c r="O767" s="41">
        <f t="shared" si="220"/>
        <v>0.41987711830797969</v>
      </c>
      <c r="P767" s="39">
        <f t="shared" si="221"/>
        <v>285.06397468007304</v>
      </c>
      <c r="Q767" s="42">
        <f t="shared" si="222"/>
        <v>1.729851493408975</v>
      </c>
      <c r="R767" s="42">
        <f t="shared" si="223"/>
        <v>1.7332443406196094</v>
      </c>
      <c r="S767" s="41">
        <f t="shared" si="224"/>
        <v>-1.9575123547909135E-3</v>
      </c>
      <c r="T767" s="41">
        <f t="shared" si="208"/>
        <v>0.23865102865401999</v>
      </c>
      <c r="U767" s="41">
        <f t="shared" si="225"/>
        <v>0</v>
      </c>
      <c r="V767" s="41">
        <f t="shared" si="226"/>
        <v>2.5093780371369778E-2</v>
      </c>
      <c r="W767" s="39">
        <f t="shared" si="212"/>
        <v>311.01</v>
      </c>
      <c r="X767" s="21"/>
    </row>
    <row r="768" spans="1:24" x14ac:dyDescent="0.2">
      <c r="A768" s="38">
        <v>46057</v>
      </c>
      <c r="B768" s="39">
        <v>311.49</v>
      </c>
      <c r="C768" s="39">
        <v>686.19</v>
      </c>
      <c r="D768" s="39">
        <v>51.89</v>
      </c>
      <c r="E768" s="41">
        <f t="shared" si="213"/>
        <v>1.5433587344459987E-3</v>
      </c>
      <c r="F768" s="41">
        <f t="shared" si="214"/>
        <v>-4.8438791640681433E-3</v>
      </c>
      <c r="G768" s="41">
        <f t="shared" si="215"/>
        <v>2.3471400394477371E-2</v>
      </c>
      <c r="H768" s="41">
        <f t="shared" si="216"/>
        <v>0.73252127482062224</v>
      </c>
      <c r="I768" s="41">
        <f t="shared" si="217"/>
        <v>0.69651642890695986</v>
      </c>
      <c r="J768" s="41">
        <f t="shared" si="218"/>
        <v>0.24690616364291595</v>
      </c>
      <c r="K768" s="42">
        <f t="shared" si="209"/>
        <v>173.25212748206243</v>
      </c>
      <c r="L768" s="42">
        <f t="shared" si="210"/>
        <v>169.65164289069648</v>
      </c>
      <c r="M768" s="42">
        <f t="shared" si="211"/>
        <v>124.69061636429171</v>
      </c>
      <c r="N768" s="41">
        <f t="shared" si="219"/>
        <v>2.1222810047798912E-2</v>
      </c>
      <c r="O768" s="41">
        <f t="shared" si="220"/>
        <v>0.38945601949624731</v>
      </c>
      <c r="P768" s="39">
        <f t="shared" si="221"/>
        <v>285.32692020564446</v>
      </c>
      <c r="Q768" s="42">
        <f t="shared" si="222"/>
        <v>1.7325212748206222</v>
      </c>
      <c r="R768" s="42">
        <f t="shared" si="223"/>
        <v>1.7332443406196094</v>
      </c>
      <c r="S768" s="41">
        <f t="shared" si="224"/>
        <v>-4.1717476413549726E-4</v>
      </c>
      <c r="T768" s="41">
        <f t="shared" si="208"/>
        <v>0.23858728074108201</v>
      </c>
      <c r="U768" s="41">
        <f t="shared" si="225"/>
        <v>0</v>
      </c>
      <c r="V768" s="41">
        <f t="shared" si="226"/>
        <v>6.387237898514142E-3</v>
      </c>
      <c r="W768" s="39">
        <f t="shared" si="212"/>
        <v>311.49</v>
      </c>
      <c r="X768" s="21"/>
    </row>
    <row r="769" spans="1:24" x14ac:dyDescent="0.2">
      <c r="A769" s="38">
        <v>46058</v>
      </c>
      <c r="B769" s="39">
        <v>310.76</v>
      </c>
      <c r="C769" s="39">
        <v>677.62</v>
      </c>
      <c r="D769" s="39">
        <v>50.5</v>
      </c>
      <c r="E769" s="41">
        <f t="shared" si="213"/>
        <v>-2.3435744325661645E-3</v>
      </c>
      <c r="F769" s="41">
        <f t="shared" si="214"/>
        <v>-1.2489252247919747E-2</v>
      </c>
      <c r="G769" s="41">
        <f t="shared" si="215"/>
        <v>-2.678743495856617E-2</v>
      </c>
      <c r="H769" s="41">
        <f t="shared" si="216"/>
        <v>0.72846098225707578</v>
      </c>
      <c r="I769" s="41">
        <f t="shared" si="217"/>
        <v>0.67532820728360088</v>
      </c>
      <c r="J769" s="41">
        <f t="shared" si="218"/>
        <v>0.21350474588489599</v>
      </c>
      <c r="K769" s="42">
        <f t="shared" si="209"/>
        <v>172.84609822570778</v>
      </c>
      <c r="L769" s="42">
        <f t="shared" si="210"/>
        <v>167.53282072836055</v>
      </c>
      <c r="M769" s="42">
        <f t="shared" si="211"/>
        <v>121.35047458848973</v>
      </c>
      <c r="N769" s="41">
        <f t="shared" si="219"/>
        <v>3.1714845331485941E-2</v>
      </c>
      <c r="O769" s="41">
        <f t="shared" si="220"/>
        <v>0.42435453023026315</v>
      </c>
      <c r="P769" s="39">
        <f t="shared" si="221"/>
        <v>285.57998567623508</v>
      </c>
      <c r="Q769" s="42">
        <f t="shared" si="222"/>
        <v>1.7284609822570758</v>
      </c>
      <c r="R769" s="42">
        <f t="shared" si="223"/>
        <v>1.7332443406196094</v>
      </c>
      <c r="S769" s="41">
        <f t="shared" si="224"/>
        <v>-2.7597715165904591E-3</v>
      </c>
      <c r="T769" s="41">
        <f t="shared" si="208"/>
        <v>0.23868074379676318</v>
      </c>
      <c r="U769" s="41">
        <f t="shared" si="225"/>
        <v>-2.4992242953574273E-3</v>
      </c>
      <c r="V769" s="41">
        <f t="shared" si="226"/>
        <v>1.0145677815353582E-2</v>
      </c>
      <c r="W769" s="39">
        <f t="shared" si="212"/>
        <v>310.76</v>
      </c>
      <c r="X769" s="21"/>
    </row>
    <row r="770" spans="1:24" x14ac:dyDescent="0.2">
      <c r="A770" s="38">
        <v>46059</v>
      </c>
      <c r="B770" s="39">
        <v>323.72000000000003</v>
      </c>
      <c r="C770" s="39">
        <v>690.62</v>
      </c>
      <c r="D770" s="39">
        <v>51.51</v>
      </c>
      <c r="E770" s="41">
        <f t="shared" si="213"/>
        <v>4.1704209035912099E-2</v>
      </c>
      <c r="F770" s="41">
        <f t="shared" si="214"/>
        <v>1.9184793837254022E-2</v>
      </c>
      <c r="G770" s="41">
        <f t="shared" si="215"/>
        <v>2.0000000000000018E-2</v>
      </c>
      <c r="H770" s="41">
        <f t="shared" si="216"/>
        <v>0.80054508037154282</v>
      </c>
      <c r="I770" s="41">
        <f t="shared" si="217"/>
        <v>0.70746903355007307</v>
      </c>
      <c r="J770" s="41">
        <f t="shared" si="218"/>
        <v>0.23777484080259392</v>
      </c>
      <c r="K770" s="42">
        <f t="shared" si="209"/>
        <v>180.05450803715448</v>
      </c>
      <c r="L770" s="42">
        <f t="shared" si="210"/>
        <v>170.74690335500776</v>
      </c>
      <c r="M770" s="42">
        <f t="shared" si="211"/>
        <v>123.7774840802595</v>
      </c>
      <c r="N770" s="41">
        <f t="shared" si="219"/>
        <v>5.4511118499145583E-2</v>
      </c>
      <c r="O770" s="41">
        <f t="shared" si="220"/>
        <v>0.4546628522551317</v>
      </c>
      <c r="P770" s="39">
        <f t="shared" si="221"/>
        <v>285.95948830632227</v>
      </c>
      <c r="Q770" s="42">
        <f t="shared" si="222"/>
        <v>1.8005450803715428</v>
      </c>
      <c r="R770" s="42">
        <f t="shared" si="223"/>
        <v>1.8005450803715428</v>
      </c>
      <c r="S770" s="41">
        <f t="shared" si="224"/>
        <v>0</v>
      </c>
      <c r="T770" s="41">
        <f t="shared" si="208"/>
        <v>0.2500021159593247</v>
      </c>
      <c r="U770" s="41">
        <f t="shared" si="225"/>
        <v>0</v>
      </c>
      <c r="V770" s="41">
        <f t="shared" si="226"/>
        <v>2.2519415198658077E-2</v>
      </c>
      <c r="W770" s="39">
        <f t="shared" si="212"/>
        <v>323.72000000000003</v>
      </c>
      <c r="X770" s="21"/>
    </row>
    <row r="771" spans="1:24" x14ac:dyDescent="0.2">
      <c r="A771" s="38">
        <v>46062</v>
      </c>
      <c r="B771" s="39">
        <v>327.32</v>
      </c>
      <c r="C771" s="39">
        <v>693.95</v>
      </c>
      <c r="D771" s="39">
        <v>52.18</v>
      </c>
      <c r="E771" s="41">
        <f t="shared" si="213"/>
        <v>1.112072161126898E-2</v>
      </c>
      <c r="F771" s="41">
        <f t="shared" si="214"/>
        <v>4.8217543656425832E-3</v>
      </c>
      <c r="G771" s="41">
        <f t="shared" si="215"/>
        <v>1.3007183071248374E-2</v>
      </c>
      <c r="H771" s="41">
        <f t="shared" si="216"/>
        <v>0.8205684409588947</v>
      </c>
      <c r="I771" s="41">
        <f t="shared" si="217"/>
        <v>0.71570202981679265</v>
      </c>
      <c r="J771" s="41">
        <f t="shared" si="218"/>
        <v>0.25387480475789848</v>
      </c>
      <c r="K771" s="42">
        <f t="shared" si="209"/>
        <v>182.05684409588966</v>
      </c>
      <c r="L771" s="42">
        <f t="shared" si="210"/>
        <v>171.57020298167973</v>
      </c>
      <c r="M771" s="42">
        <f t="shared" si="211"/>
        <v>125.38748047578999</v>
      </c>
      <c r="N771" s="41">
        <f t="shared" si="219"/>
        <v>6.112157549484265E-2</v>
      </c>
      <c r="O771" s="41">
        <f t="shared" si="220"/>
        <v>0.45195392239372323</v>
      </c>
      <c r="P771" s="39">
        <f t="shared" si="221"/>
        <v>286.37103568635888</v>
      </c>
      <c r="Q771" s="42">
        <f t="shared" si="222"/>
        <v>1.8205684409588947</v>
      </c>
      <c r="R771" s="42">
        <f t="shared" si="223"/>
        <v>1.8205684409588947</v>
      </c>
      <c r="S771" s="41">
        <f t="shared" si="224"/>
        <v>0</v>
      </c>
      <c r="T771" s="41">
        <f t="shared" si="208"/>
        <v>0.25044339717723679</v>
      </c>
      <c r="U771" s="41">
        <f t="shared" si="225"/>
        <v>0</v>
      </c>
      <c r="V771" s="41">
        <f t="shared" si="226"/>
        <v>6.2989672456263968E-3</v>
      </c>
      <c r="W771" s="39">
        <f t="shared" si="212"/>
        <v>327.32</v>
      </c>
      <c r="X771" s="21"/>
    </row>
    <row r="772" spans="1:24" x14ac:dyDescent="0.2">
      <c r="A772" s="38">
        <v>46063</v>
      </c>
      <c r="B772" s="39">
        <v>330.37</v>
      </c>
      <c r="C772" s="39">
        <v>692.12</v>
      </c>
      <c r="D772" s="39">
        <v>52.91</v>
      </c>
      <c r="E772" s="41">
        <f t="shared" si="213"/>
        <v>9.3180984968839198E-3</v>
      </c>
      <c r="F772" s="41">
        <f t="shared" si="214"/>
        <v>-2.6370775992506923E-3</v>
      </c>
      <c r="G772" s="41">
        <f t="shared" si="215"/>
        <v>1.3990034495975356E-2</v>
      </c>
      <c r="H772" s="41">
        <f t="shared" si="216"/>
        <v>0.83753267701206813</v>
      </c>
      <c r="I772" s="41">
        <f t="shared" si="217"/>
        <v>0.71117759042697393</v>
      </c>
      <c r="J772" s="41">
        <f t="shared" si="218"/>
        <v>0.27141655653009589</v>
      </c>
      <c r="K772" s="42">
        <f t="shared" si="209"/>
        <v>183.75326770120697</v>
      </c>
      <c r="L772" s="42">
        <f t="shared" si="210"/>
        <v>171.11775904269783</v>
      </c>
      <c r="M772" s="42">
        <f t="shared" si="211"/>
        <v>127.14165565300972</v>
      </c>
      <c r="N772" s="41">
        <f t="shared" si="219"/>
        <v>7.3841012932834182E-2</v>
      </c>
      <c r="O772" s="41">
        <f t="shared" si="220"/>
        <v>0.44526407775198074</v>
      </c>
      <c r="P772" s="39">
        <f t="shared" si="221"/>
        <v>286.80883632629559</v>
      </c>
      <c r="Q772" s="42">
        <f t="shared" si="222"/>
        <v>1.8375326770120681</v>
      </c>
      <c r="R772" s="42">
        <f t="shared" si="223"/>
        <v>1.8375326770120681</v>
      </c>
      <c r="S772" s="41">
        <f t="shared" si="224"/>
        <v>0</v>
      </c>
      <c r="T772" s="41">
        <f t="shared" si="208"/>
        <v>0.25087574066527213</v>
      </c>
      <c r="U772" s="41">
        <f t="shared" si="225"/>
        <v>0</v>
      </c>
      <c r="V772" s="41">
        <f t="shared" si="226"/>
        <v>1.1955176096134612E-2</v>
      </c>
      <c r="W772" s="39">
        <f t="shared" si="212"/>
        <v>330.37</v>
      </c>
      <c r="X772" s="21"/>
    </row>
    <row r="773" spans="1:24" x14ac:dyDescent="0.2">
      <c r="A773" s="38">
        <v>46064</v>
      </c>
      <c r="B773" s="39">
        <v>319.77999999999997</v>
      </c>
      <c r="C773" s="39">
        <v>691.96</v>
      </c>
      <c r="D773" s="39">
        <v>53.62</v>
      </c>
      <c r="E773" s="41">
        <f t="shared" si="213"/>
        <v>-3.2054968671489603E-2</v>
      </c>
      <c r="F773" s="41">
        <f t="shared" si="214"/>
        <v>-2.3117378489279083E-4</v>
      </c>
      <c r="G773" s="41">
        <f t="shared" si="215"/>
        <v>1.3419013419013526E-2</v>
      </c>
      <c r="H773" s="41">
        <f t="shared" si="216"/>
        <v>0.77863062461760779</v>
      </c>
      <c r="I773" s="41">
        <f t="shared" si="217"/>
        <v>0.7107820110267713</v>
      </c>
      <c r="J773" s="41">
        <f t="shared" si="218"/>
        <v>0.28847771236332931</v>
      </c>
      <c r="K773" s="42">
        <f t="shared" si="209"/>
        <v>177.86306246176093</v>
      </c>
      <c r="L773" s="42">
        <f t="shared" si="210"/>
        <v>171.07820110267758</v>
      </c>
      <c r="M773" s="42">
        <f t="shared" si="211"/>
        <v>128.84777123633305</v>
      </c>
      <c r="N773" s="41">
        <f t="shared" si="219"/>
        <v>3.9659414907054824E-2</v>
      </c>
      <c r="O773" s="41">
        <f t="shared" si="220"/>
        <v>0.38041241035922835</v>
      </c>
      <c r="P773" s="39">
        <f t="shared" si="221"/>
        <v>287.13690760663093</v>
      </c>
      <c r="Q773" s="42">
        <f t="shared" si="222"/>
        <v>1.7786306246176078</v>
      </c>
      <c r="R773" s="42">
        <f t="shared" si="223"/>
        <v>1.8375326770120681</v>
      </c>
      <c r="S773" s="41">
        <f t="shared" si="224"/>
        <v>-3.2054968671489603E-2</v>
      </c>
      <c r="T773" s="41">
        <f t="shared" si="208"/>
        <v>0.24759008224680457</v>
      </c>
      <c r="U773" s="41">
        <f t="shared" si="225"/>
        <v>-3.2210618534280866E-2</v>
      </c>
      <c r="V773" s="41">
        <f t="shared" si="226"/>
        <v>-3.1823794886596812E-2</v>
      </c>
      <c r="W773" s="39">
        <f t="shared" si="212"/>
        <v>319.77999999999997</v>
      </c>
      <c r="X773" s="21"/>
    </row>
    <row r="774" spans="1:24" x14ac:dyDescent="0.2">
      <c r="A774" s="38">
        <v>46065</v>
      </c>
      <c r="B774" s="39">
        <v>321.92</v>
      </c>
      <c r="C774" s="39">
        <v>681.27</v>
      </c>
      <c r="D774" s="39">
        <v>52.83</v>
      </c>
      <c r="E774" s="41">
        <f t="shared" si="213"/>
        <v>6.6921008193134845E-3</v>
      </c>
      <c r="F774" s="41">
        <f t="shared" si="214"/>
        <v>-1.5448869876871552E-2</v>
      </c>
      <c r="G774" s="41">
        <f t="shared" si="215"/>
        <v>-1.4733308466989947E-2</v>
      </c>
      <c r="H774" s="41">
        <f t="shared" si="216"/>
        <v>0.79053340007786743</v>
      </c>
      <c r="I774" s="41">
        <f t="shared" si="217"/>
        <v>0.68435236235072616</v>
      </c>
      <c r="J774" s="41">
        <f t="shared" si="218"/>
        <v>0.26949417277423882</v>
      </c>
      <c r="K774" s="42">
        <f t="shared" si="209"/>
        <v>179.05334000778689</v>
      </c>
      <c r="L774" s="42">
        <f t="shared" si="210"/>
        <v>168.43523623507303</v>
      </c>
      <c r="M774" s="42">
        <f t="shared" si="211"/>
        <v>126.94941727742399</v>
      </c>
      <c r="N774" s="41">
        <f t="shared" si="219"/>
        <v>6.3039682254461438E-2</v>
      </c>
      <c r="O774" s="41">
        <f t="shared" si="220"/>
        <v>0.41043057816090345</v>
      </c>
      <c r="P774" s="39">
        <f t="shared" si="221"/>
        <v>287.48300802845552</v>
      </c>
      <c r="Q774" s="42">
        <f t="shared" si="222"/>
        <v>1.7905334000778674</v>
      </c>
      <c r="R774" s="42">
        <f t="shared" si="223"/>
        <v>1.8375326770120681</v>
      </c>
      <c r="S774" s="41">
        <f t="shared" si="224"/>
        <v>-2.5577382934285686E-2</v>
      </c>
      <c r="T774" s="41">
        <f t="shared" si="208"/>
        <v>0.24591377653334662</v>
      </c>
      <c r="U774" s="41">
        <f t="shared" si="225"/>
        <v>0</v>
      </c>
      <c r="V774" s="41">
        <f t="shared" si="226"/>
        <v>2.2140970696185036E-2</v>
      </c>
      <c r="W774" s="39">
        <f t="shared" si="212"/>
        <v>321.92</v>
      </c>
      <c r="X774" s="21"/>
    </row>
    <row r="775" spans="1:24" x14ac:dyDescent="0.2">
      <c r="A775" s="38">
        <v>46066</v>
      </c>
      <c r="B775" s="39">
        <v>327.64999999999998</v>
      </c>
      <c r="C775" s="39">
        <v>681.75</v>
      </c>
      <c r="D775" s="39">
        <v>53.31</v>
      </c>
      <c r="E775" s="41">
        <f t="shared" si="213"/>
        <v>1.7799453280318067E-2</v>
      </c>
      <c r="F775" s="41">
        <f t="shared" si="214"/>
        <v>7.0456647144312434E-4</v>
      </c>
      <c r="G775" s="41">
        <f t="shared" si="215"/>
        <v>9.0857467348097742E-3</v>
      </c>
      <c r="H775" s="41">
        <f t="shared" si="216"/>
        <v>0.82240391567940252</v>
      </c>
      <c r="I775" s="41">
        <f t="shared" si="217"/>
        <v>0.68553910055133449</v>
      </c>
      <c r="J775" s="41">
        <f t="shared" si="218"/>
        <v>0.28102847530938235</v>
      </c>
      <c r="K775" s="42">
        <f t="shared" si="209"/>
        <v>182.24039156794035</v>
      </c>
      <c r="L775" s="42">
        <f t="shared" si="210"/>
        <v>168.55391005513388</v>
      </c>
      <c r="M775" s="42">
        <f t="shared" si="211"/>
        <v>128.10284753093836</v>
      </c>
      <c r="N775" s="41">
        <f t="shared" si="219"/>
        <v>8.1199430546167628E-2</v>
      </c>
      <c r="O775" s="41">
        <f t="shared" si="220"/>
        <v>0.42260999720499748</v>
      </c>
      <c r="P775" s="39">
        <f t="shared" si="221"/>
        <v>287.88267959036142</v>
      </c>
      <c r="Q775" s="42">
        <f t="shared" si="222"/>
        <v>1.8224039156794025</v>
      </c>
      <c r="R775" s="42">
        <f t="shared" si="223"/>
        <v>1.8375326770120681</v>
      </c>
      <c r="S775" s="41">
        <f t="shared" si="224"/>
        <v>-8.2331930865391367E-3</v>
      </c>
      <c r="T775" s="41">
        <f t="shared" si="208"/>
        <v>0.24775503328134033</v>
      </c>
      <c r="U775" s="41">
        <f t="shared" si="225"/>
        <v>0</v>
      </c>
      <c r="V775" s="41">
        <f t="shared" si="226"/>
        <v>1.7094886808874943E-2</v>
      </c>
      <c r="W775" s="39">
        <f t="shared" si="212"/>
        <v>327.64999999999998</v>
      </c>
      <c r="X775" s="21"/>
    </row>
    <row r="776" spans="1:24" x14ac:dyDescent="0.2">
      <c r="A776" s="38">
        <v>46070</v>
      </c>
      <c r="B776" s="39">
        <v>302.22000000000003</v>
      </c>
      <c r="C776" s="39">
        <v>682.85</v>
      </c>
      <c r="D776" s="39">
        <v>52.7</v>
      </c>
      <c r="E776" s="41">
        <f t="shared" si="213"/>
        <v>-7.7613306882343802E-2</v>
      </c>
      <c r="F776" s="41">
        <f t="shared" si="214"/>
        <v>1.6134946828016972E-3</v>
      </c>
      <c r="G776" s="41">
        <f t="shared" si="215"/>
        <v>-1.1442506096417171E-2</v>
      </c>
      <c r="H776" s="41">
        <f t="shared" si="216"/>
        <v>0.68096112130819209</v>
      </c>
      <c r="I776" s="41">
        <f t="shared" si="217"/>
        <v>0.68825870892772834</v>
      </c>
      <c r="J776" s="41">
        <f t="shared" si="218"/>
        <v>0.26637029917097066</v>
      </c>
      <c r="K776" s="42">
        <f t="shared" si="209"/>
        <v>168.09611213081931</v>
      </c>
      <c r="L776" s="42">
        <f t="shared" si="210"/>
        <v>168.82587089277325</v>
      </c>
      <c r="M776" s="42">
        <f t="shared" si="211"/>
        <v>126.63702991709719</v>
      </c>
      <c r="N776" s="41">
        <f t="shared" si="219"/>
        <v>-4.3225529244692584E-3</v>
      </c>
      <c r="O776" s="41">
        <f t="shared" si="220"/>
        <v>0.3273851435149997</v>
      </c>
      <c r="P776" s="39">
        <f t="shared" si="221"/>
        <v>288.02533949493494</v>
      </c>
      <c r="Q776" s="42">
        <f t="shared" si="222"/>
        <v>1.6809611213081921</v>
      </c>
      <c r="R776" s="42">
        <f t="shared" si="223"/>
        <v>1.8375326770120681</v>
      </c>
      <c r="S776" s="41">
        <f t="shared" si="224"/>
        <v>-8.5207494627235869E-2</v>
      </c>
      <c r="T776" s="41">
        <f t="shared" si="208"/>
        <v>0.29732016696558361</v>
      </c>
      <c r="U776" s="41">
        <f t="shared" si="225"/>
        <v>-7.7768956745135065E-2</v>
      </c>
      <c r="V776" s="41">
        <f t="shared" si="226"/>
        <v>-7.9226801565145499E-2</v>
      </c>
      <c r="W776" s="39">
        <f t="shared" si="212"/>
        <v>302.22000000000003</v>
      </c>
      <c r="X776" s="21"/>
    </row>
    <row r="777" spans="1:24" x14ac:dyDescent="0.2">
      <c r="A777" s="38">
        <v>46071</v>
      </c>
      <c r="B777" s="39">
        <v>299.36</v>
      </c>
      <c r="C777" s="39">
        <v>686.29</v>
      </c>
      <c r="D777" s="39">
        <v>53.02</v>
      </c>
      <c r="E777" s="41">
        <f t="shared" si="213"/>
        <v>-9.4633048772417849E-3</v>
      </c>
      <c r="F777" s="41">
        <f t="shared" si="214"/>
        <v>5.037709599472695E-3</v>
      </c>
      <c r="G777" s="41">
        <f t="shared" si="215"/>
        <v>6.0721062618596111E-3</v>
      </c>
      <c r="H777" s="41">
        <f t="shared" si="216"/>
        <v>0.66505367373046242</v>
      </c>
      <c r="I777" s="41">
        <f t="shared" si="217"/>
        <v>0.69676366603208684</v>
      </c>
      <c r="J777" s="41">
        <f t="shared" si="218"/>
        <v>0.27405983419439983</v>
      </c>
      <c r="K777" s="42">
        <f t="shared" si="209"/>
        <v>166.50536737304634</v>
      </c>
      <c r="L777" s="42">
        <f t="shared" si="210"/>
        <v>169.67636660320912</v>
      </c>
      <c r="M777" s="42">
        <f t="shared" si="211"/>
        <v>127.40598341944012</v>
      </c>
      <c r="N777" s="41">
        <f t="shared" si="219"/>
        <v>-1.8688514456334904E-2</v>
      </c>
      <c r="O777" s="41">
        <f t="shared" si="220"/>
        <v>0.30688812961699852</v>
      </c>
      <c r="P777" s="39">
        <f t="shared" si="221"/>
        <v>288.13812218652765</v>
      </c>
      <c r="Q777" s="42">
        <f t="shared" si="222"/>
        <v>1.6650536737304624</v>
      </c>
      <c r="R777" s="42">
        <f t="shared" si="223"/>
        <v>1.8375326770120681</v>
      </c>
      <c r="S777" s="41">
        <f t="shared" si="224"/>
        <v>-9.3864455004994185E-2</v>
      </c>
      <c r="T777" s="41">
        <f t="shared" si="208"/>
        <v>0.29776423966709581</v>
      </c>
      <c r="U777" s="41">
        <f t="shared" si="225"/>
        <v>-9.6189547400330477E-3</v>
      </c>
      <c r="V777" s="41">
        <f t="shared" si="226"/>
        <v>-1.450101447671448E-2</v>
      </c>
      <c r="W777" s="39">
        <f t="shared" si="212"/>
        <v>299.36</v>
      </c>
      <c r="X777" s="21"/>
    </row>
    <row r="778" spans="1:24" x14ac:dyDescent="0.2">
      <c r="A778" s="38">
        <v>46072</v>
      </c>
      <c r="B778" s="39">
        <v>302.85000000000002</v>
      </c>
      <c r="C778" s="39">
        <v>684.48</v>
      </c>
      <c r="D778" s="39">
        <v>52.83</v>
      </c>
      <c r="E778" s="41">
        <f t="shared" si="213"/>
        <v>1.1658204168893738E-2</v>
      </c>
      <c r="F778" s="41">
        <f t="shared" si="214"/>
        <v>-2.6373690422415441E-3</v>
      </c>
      <c r="G778" s="41">
        <f t="shared" si="215"/>
        <v>-3.583553376084625E-3</v>
      </c>
      <c r="H778" s="41">
        <f t="shared" si="216"/>
        <v>0.68446520941097866</v>
      </c>
      <c r="I778" s="41">
        <f t="shared" si="217"/>
        <v>0.69228867406729355</v>
      </c>
      <c r="J778" s="41">
        <f t="shared" si="218"/>
        <v>0.26949417277423859</v>
      </c>
      <c r="K778" s="42">
        <f t="shared" si="209"/>
        <v>168.44652094109799</v>
      </c>
      <c r="L778" s="42">
        <f t="shared" si="210"/>
        <v>169.22886740672979</v>
      </c>
      <c r="M778" s="42">
        <f t="shared" si="211"/>
        <v>126.94941727742399</v>
      </c>
      <c r="N778" s="41">
        <f t="shared" si="219"/>
        <v>-4.6230083414265932E-3</v>
      </c>
      <c r="O778" s="41">
        <f t="shared" si="220"/>
        <v>0.32687904012186175</v>
      </c>
      <c r="P778" s="39">
        <f t="shared" si="221"/>
        <v>288.28450903044279</v>
      </c>
      <c r="Q778" s="42">
        <f t="shared" si="222"/>
        <v>1.6844652094109787</v>
      </c>
      <c r="R778" s="42">
        <f t="shared" si="223"/>
        <v>1.8375326770120681</v>
      </c>
      <c r="S778" s="41">
        <f t="shared" si="224"/>
        <v>-8.3300541816750617E-2</v>
      </c>
      <c r="T778" s="41">
        <f t="shared" si="208"/>
        <v>0.29838330394096002</v>
      </c>
      <c r="U778" s="41">
        <f t="shared" si="225"/>
        <v>0</v>
      </c>
      <c r="V778" s="41">
        <f t="shared" si="226"/>
        <v>1.4295573211135282E-2</v>
      </c>
      <c r="W778" s="39">
        <f t="shared" si="212"/>
        <v>302.85000000000002</v>
      </c>
      <c r="X778" s="21"/>
    </row>
    <row r="779" spans="1:24" x14ac:dyDescent="0.2">
      <c r="A779" s="38">
        <v>46073</v>
      </c>
      <c r="B779" s="39">
        <v>305.29000000000002</v>
      </c>
      <c r="C779" s="39">
        <v>689.43</v>
      </c>
      <c r="D779" s="39">
        <v>52.96</v>
      </c>
      <c r="E779" s="41">
        <f t="shared" si="213"/>
        <v>8.0567937923063937E-3</v>
      </c>
      <c r="F779" s="41">
        <f t="shared" si="214"/>
        <v>7.2317671809256634E-3</v>
      </c>
      <c r="G779" s="41">
        <f t="shared" si="215"/>
        <v>2.4607230740110175E-3</v>
      </c>
      <c r="H779" s="41">
        <f t="shared" si="216"/>
        <v>0.69803659825351705</v>
      </c>
      <c r="I779" s="41">
        <f t="shared" si="217"/>
        <v>0.70452691176106552</v>
      </c>
      <c r="J779" s="41">
        <f t="shared" si="218"/>
        <v>0.27261804637750675</v>
      </c>
      <c r="K779" s="42">
        <f t="shared" si="209"/>
        <v>169.80365982535182</v>
      </c>
      <c r="L779" s="42">
        <f t="shared" si="210"/>
        <v>170.45269117610698</v>
      </c>
      <c r="M779" s="42">
        <f t="shared" si="211"/>
        <v>127.26180463775081</v>
      </c>
      <c r="N779" s="41">
        <f t="shared" si="219"/>
        <v>-3.8076920128194969E-3</v>
      </c>
      <c r="O779" s="41">
        <f t="shared" si="220"/>
        <v>0.3342861222870126</v>
      </c>
      <c r="P779" s="39">
        <f t="shared" si="221"/>
        <v>288.45371789581156</v>
      </c>
      <c r="Q779" s="42">
        <f t="shared" si="222"/>
        <v>1.698036598253517</v>
      </c>
      <c r="R779" s="42">
        <f t="shared" si="223"/>
        <v>1.8375326770120681</v>
      </c>
      <c r="S779" s="41">
        <f t="shared" si="224"/>
        <v>-7.5914883312649173E-2</v>
      </c>
      <c r="T779" s="41">
        <f t="shared" si="208"/>
        <v>0.29851961747242578</v>
      </c>
      <c r="U779" s="41">
        <f t="shared" si="225"/>
        <v>0</v>
      </c>
      <c r="V779" s="41">
        <f t="shared" si="226"/>
        <v>8.250266113807303E-4</v>
      </c>
      <c r="W779" s="39">
        <f t="shared" si="212"/>
        <v>305.29000000000002</v>
      </c>
      <c r="X779" s="21"/>
    </row>
    <row r="780" spans="1:24" x14ac:dyDescent="0.2">
      <c r="A780" s="38">
        <v>46076</v>
      </c>
      <c r="B780" s="39">
        <v>310.79000000000002</v>
      </c>
      <c r="C780" s="39">
        <v>682.39</v>
      </c>
      <c r="D780" s="39">
        <v>52.96</v>
      </c>
      <c r="E780" s="41">
        <f t="shared" si="213"/>
        <v>1.8015657243932059E-2</v>
      </c>
      <c r="F780" s="41">
        <f t="shared" si="214"/>
        <v>-1.0211334000551076E-2</v>
      </c>
      <c r="G780" s="41">
        <f t="shared" si="215"/>
        <v>0</v>
      </c>
      <c r="H780" s="41">
        <f t="shared" si="216"/>
        <v>0.72862784359530486</v>
      </c>
      <c r="I780" s="41">
        <f t="shared" si="217"/>
        <v>0.68712141815214545</v>
      </c>
      <c r="J780" s="41">
        <f t="shared" si="218"/>
        <v>0.27261804637750675</v>
      </c>
      <c r="K780" s="42">
        <f t="shared" si="209"/>
        <v>172.86278435953056</v>
      </c>
      <c r="L780" s="42">
        <f t="shared" si="210"/>
        <v>168.71214181521498</v>
      </c>
      <c r="M780" s="42">
        <f t="shared" si="211"/>
        <v>127.26180463775081</v>
      </c>
      <c r="N780" s="41">
        <f t="shared" si="219"/>
        <v>2.460191957530844E-2</v>
      </c>
      <c r="O780" s="41">
        <f t="shared" si="220"/>
        <v>0.35832416373147069</v>
      </c>
      <c r="P780" s="39">
        <f t="shared" si="221"/>
        <v>288.67596945903733</v>
      </c>
      <c r="Q780" s="42">
        <f t="shared" si="222"/>
        <v>1.7286278435953049</v>
      </c>
      <c r="R780" s="42">
        <f t="shared" si="223"/>
        <v>1.8375326770120681</v>
      </c>
      <c r="S780" s="41">
        <f t="shared" si="224"/>
        <v>-5.9266882586190839E-2</v>
      </c>
      <c r="T780" s="41">
        <f t="shared" si="208"/>
        <v>0.30041578261892243</v>
      </c>
      <c r="U780" s="41">
        <f t="shared" si="225"/>
        <v>0</v>
      </c>
      <c r="V780" s="41">
        <f t="shared" si="226"/>
        <v>2.8226991244483135E-2</v>
      </c>
      <c r="W780" s="39">
        <f t="shared" si="212"/>
        <v>310.79000000000002</v>
      </c>
      <c r="X780" s="21"/>
    </row>
    <row r="781" spans="1:24" x14ac:dyDescent="0.2">
      <c r="A781" s="38">
        <v>46077</v>
      </c>
      <c r="B781" s="39">
        <v>317.89</v>
      </c>
      <c r="C781" s="39">
        <v>687.35</v>
      </c>
      <c r="D781" s="39">
        <v>53.36</v>
      </c>
      <c r="E781" s="41">
        <f t="shared" si="213"/>
        <v>2.284500788313637E-2</v>
      </c>
      <c r="F781" s="41">
        <f t="shared" si="214"/>
        <v>7.2685707586570558E-3</v>
      </c>
      <c r="G781" s="41">
        <f t="shared" si="215"/>
        <v>7.5528700906344337E-3</v>
      </c>
      <c r="H781" s="41">
        <f t="shared" si="216"/>
        <v>0.76811836030924852</v>
      </c>
      <c r="I781" s="41">
        <f t="shared" si="217"/>
        <v>0.69938437955843025</v>
      </c>
      <c r="J781" s="41">
        <f t="shared" si="218"/>
        <v>0.28222996515679299</v>
      </c>
      <c r="K781" s="42">
        <f t="shared" si="209"/>
        <v>176.81183603092495</v>
      </c>
      <c r="L781" s="42">
        <f t="shared" si="210"/>
        <v>169.93843795584345</v>
      </c>
      <c r="M781" s="42">
        <f t="shared" si="211"/>
        <v>128.22299651567943</v>
      </c>
      <c r="N781" s="41">
        <f t="shared" si="219"/>
        <v>4.0446400224461332E-2</v>
      </c>
      <c r="O781" s="41">
        <f t="shared" si="220"/>
        <v>0.37894013426292084</v>
      </c>
      <c r="P781" s="39">
        <f t="shared" si="221"/>
        <v>288.96665633009172</v>
      </c>
      <c r="Q781" s="42">
        <f t="shared" si="222"/>
        <v>1.7681183603092485</v>
      </c>
      <c r="R781" s="42">
        <f t="shared" si="223"/>
        <v>1.8375326770120681</v>
      </c>
      <c r="S781" s="41">
        <f t="shared" si="224"/>
        <v>-3.7775827102945025E-2</v>
      </c>
      <c r="T781" s="41">
        <f t="shared" si="208"/>
        <v>0.30141053485344571</v>
      </c>
      <c r="U781" s="41">
        <f t="shared" si="225"/>
        <v>0</v>
      </c>
      <c r="V781" s="41">
        <f t="shared" si="226"/>
        <v>1.5576437124479314E-2</v>
      </c>
      <c r="W781" s="39">
        <f t="shared" si="212"/>
        <v>317.89</v>
      </c>
      <c r="X781" s="21"/>
    </row>
    <row r="782" spans="1:24" x14ac:dyDescent="0.2">
      <c r="A782" s="38">
        <v>46078</v>
      </c>
      <c r="B782" s="39">
        <v>305.52999999999997</v>
      </c>
      <c r="C782" s="39">
        <v>693.15</v>
      </c>
      <c r="D782" s="39">
        <v>53.06</v>
      </c>
      <c r="E782" s="41">
        <f t="shared" si="213"/>
        <v>-3.8881374060209528E-2</v>
      </c>
      <c r="F782" s="41">
        <f t="shared" si="214"/>
        <v>8.4382046992070858E-3</v>
      </c>
      <c r="G782" s="41">
        <f t="shared" si="215"/>
        <v>-5.6221889055472207E-3</v>
      </c>
      <c r="H782" s="41">
        <f t="shared" si="216"/>
        <v>0.69937148895934032</v>
      </c>
      <c r="I782" s="41">
        <f t="shared" si="217"/>
        <v>0.71372413281577929</v>
      </c>
      <c r="J782" s="41">
        <f t="shared" si="218"/>
        <v>0.27502102607232826</v>
      </c>
      <c r="K782" s="42">
        <f t="shared" si="209"/>
        <v>169.93714889593414</v>
      </c>
      <c r="L782" s="42">
        <f t="shared" si="210"/>
        <v>171.37241328157836</v>
      </c>
      <c r="M782" s="42">
        <f t="shared" si="211"/>
        <v>127.50210260723296</v>
      </c>
      <c r="N782" s="41">
        <f t="shared" si="219"/>
        <v>-8.3751191814381842E-3</v>
      </c>
      <c r="O782" s="41">
        <f t="shared" si="220"/>
        <v>0.33281840393974793</v>
      </c>
      <c r="P782" s="39">
        <f t="shared" si="221"/>
        <v>289.13146571984208</v>
      </c>
      <c r="Q782" s="42">
        <f t="shared" si="222"/>
        <v>1.6993714889593403</v>
      </c>
      <c r="R782" s="42">
        <f t="shared" si="223"/>
        <v>1.8375326770120681</v>
      </c>
      <c r="S782" s="41">
        <f t="shared" si="224"/>
        <v>-7.5188425099131151E-2</v>
      </c>
      <c r="T782" s="41">
        <f t="shared" si="208"/>
        <v>0.31224141217214391</v>
      </c>
      <c r="U782" s="41">
        <f t="shared" si="225"/>
        <v>-3.9037023923000791E-2</v>
      </c>
      <c r="V782" s="41">
        <f t="shared" si="226"/>
        <v>-4.7319578759416614E-2</v>
      </c>
      <c r="W782" s="39">
        <f t="shared" si="212"/>
        <v>305.52999999999997</v>
      </c>
      <c r="X782" s="21"/>
    </row>
    <row r="783" spans="1:24" x14ac:dyDescent="0.2">
      <c r="A783" s="38">
        <v>46079</v>
      </c>
      <c r="B783" s="39">
        <v>308.99</v>
      </c>
      <c r="C783" s="39">
        <v>689.3</v>
      </c>
      <c r="D783" s="39">
        <v>53</v>
      </c>
      <c r="E783" s="41">
        <f t="shared" si="213"/>
        <v>1.1324583510621045E-2</v>
      </c>
      <c r="F783" s="41">
        <f t="shared" si="214"/>
        <v>-5.5543533145784307E-3</v>
      </c>
      <c r="G783" s="41">
        <f t="shared" si="215"/>
        <v>-1.1307953260459858E-3</v>
      </c>
      <c r="H783" s="41">
        <f t="shared" si="216"/>
        <v>0.71861616330162881</v>
      </c>
      <c r="I783" s="41">
        <f t="shared" si="217"/>
        <v>0.70420550349840094</v>
      </c>
      <c r="J783" s="41">
        <f t="shared" si="218"/>
        <v>0.2735792382554354</v>
      </c>
      <c r="K783" s="42">
        <f t="shared" si="209"/>
        <v>171.86161633016297</v>
      </c>
      <c r="L783" s="42">
        <f t="shared" si="210"/>
        <v>170.42055034984051</v>
      </c>
      <c r="M783" s="42">
        <f t="shared" si="211"/>
        <v>127.35792382554368</v>
      </c>
      <c r="N783" s="41">
        <f t="shared" si="219"/>
        <v>8.4559401865829109E-3</v>
      </c>
      <c r="O783" s="41">
        <f t="shared" si="220"/>
        <v>0.34943795539240297</v>
      </c>
      <c r="P783" s="39">
        <f t="shared" si="221"/>
        <v>289.32906307586359</v>
      </c>
      <c r="Q783" s="42">
        <f t="shared" si="222"/>
        <v>1.7186161633016288</v>
      </c>
      <c r="R783" s="42">
        <f t="shared" si="223"/>
        <v>1.8375326770120681</v>
      </c>
      <c r="S783" s="41">
        <f t="shared" si="224"/>
        <v>-6.4715319187577225E-2</v>
      </c>
      <c r="T783" s="41">
        <f t="shared" si="208"/>
        <v>0.31270753436232357</v>
      </c>
      <c r="U783" s="41">
        <f t="shared" si="225"/>
        <v>0</v>
      </c>
      <c r="V783" s="41">
        <f t="shared" si="226"/>
        <v>1.6878936825199475E-2</v>
      </c>
      <c r="W783" s="39">
        <f t="shared" si="212"/>
        <v>308.99</v>
      </c>
      <c r="X783" s="21"/>
    </row>
    <row r="784" spans="1:24" x14ac:dyDescent="0.2">
      <c r="A784" s="38">
        <v>46080</v>
      </c>
      <c r="B784" s="39">
        <v>310</v>
      </c>
      <c r="C784" s="39">
        <v>685.99</v>
      </c>
      <c r="D784" s="39">
        <v>53.41</v>
      </c>
      <c r="E784" s="41">
        <f t="shared" si="213"/>
        <v>3.2687141978704481E-3</v>
      </c>
      <c r="F784" s="41">
        <f t="shared" si="214"/>
        <v>-4.8019730161031893E-3</v>
      </c>
      <c r="G784" s="41">
        <f t="shared" si="215"/>
        <v>7.7358490566037386E-3</v>
      </c>
      <c r="H784" s="41">
        <f t="shared" si="216"/>
        <v>0.72423382835530248</v>
      </c>
      <c r="I784" s="41">
        <f t="shared" si="217"/>
        <v>0.69602195465670702</v>
      </c>
      <c r="J784" s="41">
        <f t="shared" si="218"/>
        <v>0.28343145500420386</v>
      </c>
      <c r="K784" s="42">
        <f t="shared" si="209"/>
        <v>172.42338283553036</v>
      </c>
      <c r="L784" s="42">
        <f t="shared" si="210"/>
        <v>169.60219546567112</v>
      </c>
      <c r="M784" s="42">
        <f t="shared" si="211"/>
        <v>128.34314550042049</v>
      </c>
      <c r="N784" s="41">
        <f>IFERROR((1+H784)/(1+I784)-1,"")</f>
        <v>1.6634144163720999E-2</v>
      </c>
      <c r="O784" s="41">
        <f t="shared" si="220"/>
        <v>0.34345610872507004</v>
      </c>
      <c r="P784" s="39">
        <f t="shared" si="221"/>
        <v>289.53474404028287</v>
      </c>
      <c r="Q784" s="42">
        <f t="shared" si="222"/>
        <v>1.7242338283553025</v>
      </c>
      <c r="R784" s="42">
        <f t="shared" si="223"/>
        <v>1.8375326770120681</v>
      </c>
      <c r="S784" s="41">
        <f t="shared" si="224"/>
        <v>-6.1658140872354994E-2</v>
      </c>
      <c r="T784" s="41">
        <f t="shared" si="208"/>
        <v>0.3102272847884408</v>
      </c>
      <c r="U784" s="41">
        <f t="shared" si="225"/>
        <v>0</v>
      </c>
      <c r="V784" s="41">
        <f t="shared" si="226"/>
        <v>8.0706872139736374E-3</v>
      </c>
      <c r="W784" s="39">
        <f t="shared" si="212"/>
        <v>310</v>
      </c>
      <c r="X784" s="21"/>
    </row>
    <row r="785" spans="1:24" x14ac:dyDescent="0.2">
      <c r="A785" s="38">
        <v>46083</v>
      </c>
      <c r="B785" s="39">
        <v>306.2</v>
      </c>
      <c r="C785" s="39">
        <v>686.38</v>
      </c>
      <c r="D785" s="39">
        <v>53.25</v>
      </c>
      <c r="E785" s="41">
        <f t="shared" si="213"/>
        <v>-1.2258064516129097E-2</v>
      </c>
      <c r="F785" s="41">
        <f t="shared" si="214"/>
        <v>5.6852140701768583E-4</v>
      </c>
      <c r="G785" s="41">
        <f t="shared" si="215"/>
        <v>-2.9956936903201559E-3</v>
      </c>
      <c r="H785" s="41">
        <f t="shared" si="216"/>
        <v>0.70309805884643084</v>
      </c>
      <c r="I785" s="41">
        <f t="shared" si="217"/>
        <v>0.69698617944470143</v>
      </c>
      <c r="J785" s="41">
        <f t="shared" si="218"/>
        <v>0.27958668749248927</v>
      </c>
      <c r="K785" s="42">
        <f t="shared" si="209"/>
        <v>170.3098058846432</v>
      </c>
      <c r="L785" s="42">
        <f t="shared" si="210"/>
        <v>169.69861794447053</v>
      </c>
      <c r="M785" s="42">
        <f t="shared" si="211"/>
        <v>127.95866874924906</v>
      </c>
      <c r="N785" s="41">
        <f t="shared" si="219"/>
        <v>3.6016082368621749E-3</v>
      </c>
      <c r="O785" s="41">
        <f t="shared" si="220"/>
        <v>0.33097513087125452</v>
      </c>
      <c r="P785" s="39">
        <f t="shared" si="221"/>
        <v>289.70056748266813</v>
      </c>
      <c r="Q785" s="42">
        <f t="shared" si="222"/>
        <v>1.7030980588464308</v>
      </c>
      <c r="R785" s="42">
        <f t="shared" si="223"/>
        <v>1.8375326770120681</v>
      </c>
      <c r="S785" s="41">
        <f t="shared" si="224"/>
        <v>-7.3160395919726229E-2</v>
      </c>
      <c r="T785" s="41">
        <f t="shared" si="208"/>
        <v>0.31101932953732075</v>
      </c>
      <c r="U785" s="41">
        <f t="shared" si="225"/>
        <v>-1.241371437892036E-2</v>
      </c>
      <c r="V785" s="41">
        <f t="shared" si="226"/>
        <v>-1.2826585923146783E-2</v>
      </c>
      <c r="W785" s="39">
        <f t="shared" si="212"/>
        <v>306.2</v>
      </c>
      <c r="X785" s="21"/>
    </row>
    <row r="786" spans="1:24" x14ac:dyDescent="0.2">
      <c r="A786" s="38">
        <v>46084</v>
      </c>
      <c r="B786" s="39">
        <v>300</v>
      </c>
      <c r="C786" s="39">
        <v>680.33</v>
      </c>
      <c r="D786" s="39">
        <v>51.94</v>
      </c>
      <c r="E786" s="41">
        <f t="shared" si="213"/>
        <v>-2.0248203788373553E-2</v>
      </c>
      <c r="F786" s="41">
        <f t="shared" si="214"/>
        <v>-8.8143593927560993E-3</v>
      </c>
      <c r="G786" s="41">
        <f t="shared" si="215"/>
        <v>-2.4600938967136221E-2</v>
      </c>
      <c r="H786" s="41">
        <f t="shared" si="216"/>
        <v>0.66861338227932499</v>
      </c>
      <c r="I786" s="41">
        <f t="shared" si="217"/>
        <v>0.68202833337453583</v>
      </c>
      <c r="J786" s="41">
        <f t="shared" si="218"/>
        <v>0.2481076534903266</v>
      </c>
      <c r="K786" s="42">
        <f t="shared" si="209"/>
        <v>166.86133822793258</v>
      </c>
      <c r="L786" s="42">
        <f t="shared" si="210"/>
        <v>168.20283333745397</v>
      </c>
      <c r="M786" s="42">
        <f t="shared" si="211"/>
        <v>124.81076534903279</v>
      </c>
      <c r="N786" s="41">
        <f t="shared" si="219"/>
        <v>-7.9754608344184685E-3</v>
      </c>
      <c r="O786" s="41">
        <f t="shared" si="220"/>
        <v>0.3369146304111319</v>
      </c>
      <c r="P786" s="39">
        <f t="shared" si="221"/>
        <v>289.80304939826351</v>
      </c>
      <c r="Q786" s="42">
        <f t="shared" si="222"/>
        <v>1.668613382279325</v>
      </c>
      <c r="R786" s="42">
        <f t="shared" si="223"/>
        <v>1.8375326770120681</v>
      </c>
      <c r="S786" s="41">
        <f t="shared" si="224"/>
        <v>-9.1927233102279016E-2</v>
      </c>
      <c r="T786" s="41">
        <f t="shared" si="208"/>
        <v>0.31355700301695139</v>
      </c>
      <c r="U786" s="41">
        <f t="shared" si="225"/>
        <v>-2.0403853651164816E-2</v>
      </c>
      <c r="V786" s="41">
        <f t="shared" si="226"/>
        <v>-1.1433844395617454E-2</v>
      </c>
      <c r="W786" s="39">
        <f t="shared" si="212"/>
        <v>300</v>
      </c>
      <c r="X786" s="21"/>
    </row>
    <row r="787" spans="1:24" x14ac:dyDescent="0.2">
      <c r="A787" s="38">
        <v>46085</v>
      </c>
      <c r="B787" s="39">
        <v>295.98</v>
      </c>
      <c r="C787" s="39">
        <v>685.13</v>
      </c>
      <c r="D787" s="39">
        <v>51.92</v>
      </c>
      <c r="E787" s="41">
        <f t="shared" si="213"/>
        <v>-1.3399999999999967E-2</v>
      </c>
      <c r="F787" s="41">
        <f t="shared" si="214"/>
        <v>7.0553995854951701E-3</v>
      </c>
      <c r="G787" s="41">
        <f t="shared" si="215"/>
        <v>-3.850596842509546E-4</v>
      </c>
      <c r="H787" s="41">
        <f t="shared" si="216"/>
        <v>0.64625396295678206</v>
      </c>
      <c r="I787" s="41">
        <f t="shared" si="217"/>
        <v>0.69389571538061756</v>
      </c>
      <c r="J787" s="41">
        <f t="shared" si="218"/>
        <v>0.24762705755136238</v>
      </c>
      <c r="K787" s="42">
        <f t="shared" si="209"/>
        <v>164.62539629567831</v>
      </c>
      <c r="L787" s="42">
        <f t="shared" si="210"/>
        <v>169.38957153806214</v>
      </c>
      <c r="M787" s="42">
        <f t="shared" si="211"/>
        <v>124.76270575513637</v>
      </c>
      <c r="N787" s="41">
        <f t="shared" si="219"/>
        <v>-2.8125552235150675E-2</v>
      </c>
      <c r="O787" s="41">
        <f t="shared" si="220"/>
        <v>0.31950806372200602</v>
      </c>
      <c r="P787" s="39">
        <f t="shared" si="221"/>
        <v>289.86451159330568</v>
      </c>
      <c r="Q787" s="42">
        <f t="shared" si="222"/>
        <v>1.6462539629567821</v>
      </c>
      <c r="R787" s="42">
        <f t="shared" si="223"/>
        <v>1.8375326770120681</v>
      </c>
      <c r="S787" s="41">
        <f t="shared" si="224"/>
        <v>-0.10409540817870844</v>
      </c>
      <c r="T787" s="41">
        <f t="shared" si="208"/>
        <v>0.31479706549517444</v>
      </c>
      <c r="U787" s="41">
        <f t="shared" si="225"/>
        <v>-1.355564986279123E-2</v>
      </c>
      <c r="V787" s="41">
        <f t="shared" si="226"/>
        <v>-2.0455399585495138E-2</v>
      </c>
      <c r="W787" s="39">
        <f t="shared" si="212"/>
        <v>295.98</v>
      </c>
      <c r="X787" s="21"/>
    </row>
    <row r="788" spans="1:24" x14ac:dyDescent="0.2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</row>
  </sheetData>
  <mergeCells count="5">
    <mergeCell ref="A13:D13"/>
    <mergeCell ref="A14:D14"/>
    <mergeCell ref="A15:D15"/>
    <mergeCell ref="A16:D16"/>
    <mergeCell ref="A12:D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68"/>
  <sheetViews>
    <sheetView workbookViewId="0">
      <pane xSplit="1" ySplit="3" topLeftCell="B7" activePane="bottomRight" state="frozen"/>
      <selection pane="topRight" activeCell="B1" sqref="B1"/>
      <selection pane="bottomLeft" activeCell="A4" sqref="A4"/>
      <selection pane="bottomRight" activeCell="G28" sqref="G28"/>
    </sheetView>
  </sheetViews>
  <sheetFormatPr baseColWidth="10" defaultColWidth="8.83203125" defaultRowHeight="15" x14ac:dyDescent="0.2"/>
  <cols>
    <col min="1" max="1" width="22.6640625" customWidth="1"/>
    <col min="2" max="8" width="13.6640625" customWidth="1"/>
    <col min="9" max="9" width="42.6640625" customWidth="1"/>
    <col min="10" max="23" width="13.6640625" customWidth="1"/>
    <col min="25" max="37" width="12.6640625" customWidth="1"/>
    <col min="39" max="45" width="12.6640625" customWidth="1"/>
  </cols>
  <sheetData>
    <row r="1" spans="1:45" ht="21" x14ac:dyDescent="0.25">
      <c r="A1" s="1" t="s">
        <v>45</v>
      </c>
    </row>
    <row r="2" spans="1:45" ht="80" x14ac:dyDescent="0.2">
      <c r="A2" s="2" t="s">
        <v>46</v>
      </c>
      <c r="H2" s="3" t="s">
        <v>47</v>
      </c>
    </row>
    <row r="4" spans="1:45" x14ac:dyDescent="0.2">
      <c r="A4" s="2" t="s">
        <v>48</v>
      </c>
      <c r="H4" s="2" t="s">
        <v>55</v>
      </c>
    </row>
    <row r="5" spans="1:45" x14ac:dyDescent="0.2">
      <c r="A5" s="5" t="s">
        <v>49</v>
      </c>
      <c r="B5" s="6">
        <f>IFERROR((F16/B16)^(1/4)-1,"")</f>
        <v>9.358838968918981E-2</v>
      </c>
      <c r="H5" s="5" t="s">
        <v>56</v>
      </c>
      <c r="I5" s="6">
        <v>0.25</v>
      </c>
    </row>
    <row r="6" spans="1:45" x14ac:dyDescent="0.2">
      <c r="A6" s="5" t="s">
        <v>50</v>
      </c>
      <c r="B6" s="6">
        <f>IFERROR(F18/F16,"")</f>
        <v>0.28659757464331137</v>
      </c>
      <c r="H6" s="5" t="s">
        <v>57</v>
      </c>
      <c r="I6" s="9" t="s">
        <v>58</v>
      </c>
    </row>
    <row r="7" spans="1:45" ht="32" x14ac:dyDescent="0.2">
      <c r="A7" s="5" t="s">
        <v>51</v>
      </c>
      <c r="B7" s="6">
        <f>IFERROR(F20/AVERAGE(E23,F23),"")</f>
        <v>0.12938228879395808</v>
      </c>
      <c r="H7" s="5" t="s">
        <v>59</v>
      </c>
      <c r="I7" s="7" t="s">
        <v>309</v>
      </c>
    </row>
    <row r="8" spans="1:45" x14ac:dyDescent="0.2">
      <c r="A8" s="5" t="s">
        <v>52</v>
      </c>
      <c r="B8" s="8">
        <f>IFERROR(F24/F23,"")</f>
        <v>0.51294412968762826</v>
      </c>
    </row>
    <row r="9" spans="1:45" x14ac:dyDescent="0.2">
      <c r="A9" s="5" t="s">
        <v>53</v>
      </c>
      <c r="B9" s="8">
        <f>IFERROR(F26/F27,"")</f>
        <v>2.6858069239619287</v>
      </c>
    </row>
    <row r="10" spans="1:45" x14ac:dyDescent="0.2">
      <c r="A10" s="5" t="s">
        <v>54</v>
      </c>
      <c r="B10" s="8">
        <f>IFERROR(INDEX($W$16:$W$22,MATCH("VMC",$J$16:$J$22,0)),"")</f>
        <v>3.6666666666666665</v>
      </c>
    </row>
    <row r="14" spans="1:45" x14ac:dyDescent="0.2">
      <c r="A14" s="2" t="s">
        <v>60</v>
      </c>
      <c r="H14" s="2" t="s">
        <v>78</v>
      </c>
      <c r="J14" s="2" t="s">
        <v>136</v>
      </c>
      <c r="Y14" s="2" t="s">
        <v>111</v>
      </c>
      <c r="AM14" s="2" t="s">
        <v>129</v>
      </c>
    </row>
    <row r="15" spans="1:45" x14ac:dyDescent="0.2">
      <c r="A15" s="4" t="s">
        <v>61</v>
      </c>
      <c r="B15" s="4">
        <v>2021</v>
      </c>
      <c r="C15" s="4">
        <v>2022</v>
      </c>
      <c r="D15" s="4">
        <v>2023</v>
      </c>
      <c r="E15" s="4">
        <v>2024</v>
      </c>
      <c r="F15" s="4">
        <v>2025</v>
      </c>
      <c r="H15" s="4" t="s">
        <v>61</v>
      </c>
      <c r="I15" s="4" t="s">
        <v>79</v>
      </c>
      <c r="J15" s="4" t="s">
        <v>112</v>
      </c>
      <c r="K15" s="4" t="s">
        <v>49</v>
      </c>
      <c r="L15" s="4" t="s">
        <v>94</v>
      </c>
      <c r="M15" s="4" t="s">
        <v>96</v>
      </c>
      <c r="N15" s="4" t="s">
        <v>98</v>
      </c>
      <c r="O15" s="4" t="s">
        <v>99</v>
      </c>
      <c r="P15" s="4" t="s">
        <v>100</v>
      </c>
      <c r="Q15" s="4" t="s">
        <v>102</v>
      </c>
      <c r="R15" s="4" t="s">
        <v>104</v>
      </c>
      <c r="S15" s="4" t="s">
        <v>106</v>
      </c>
      <c r="T15" s="4" t="s">
        <v>137</v>
      </c>
      <c r="U15" s="4" t="s">
        <v>138</v>
      </c>
      <c r="V15" s="4" t="s">
        <v>139</v>
      </c>
      <c r="W15" s="4" t="s">
        <v>140</v>
      </c>
      <c r="AM15" s="4" t="s">
        <v>112</v>
      </c>
      <c r="AN15" s="4" t="s">
        <v>130</v>
      </c>
      <c r="AO15" s="4" t="s">
        <v>131</v>
      </c>
      <c r="AP15" s="4" t="s">
        <v>132</v>
      </c>
      <c r="AQ15" s="4" t="s">
        <v>133</v>
      </c>
      <c r="AR15" s="4" t="s">
        <v>134</v>
      </c>
      <c r="AS15" s="4" t="s">
        <v>135</v>
      </c>
    </row>
    <row r="16" spans="1:45" x14ac:dyDescent="0.2">
      <c r="A16" s="5" t="s">
        <v>62</v>
      </c>
      <c r="B16" s="13">
        <v>5552.2</v>
      </c>
      <c r="C16" s="13">
        <v>7315.2</v>
      </c>
      <c r="D16" s="13">
        <v>7781.9</v>
      </c>
      <c r="E16" s="13">
        <v>7417.7</v>
      </c>
      <c r="F16" s="13">
        <v>7941.1</v>
      </c>
      <c r="H16" s="5" t="s">
        <v>62</v>
      </c>
      <c r="I16" s="6">
        <f t="shared" ref="I16:I31" si="0">IFERROR(C16/B16-1,"")</f>
        <v>0.31753178920067726</v>
      </c>
      <c r="J16" s="14" t="str">
        <f t="shared" ref="J16:J22" si="1">M25</f>
        <v>VMC</v>
      </c>
      <c r="K16" s="6">
        <f t="shared" ref="K16:K22" si="2">IFERROR((AO16/AN16)^(1/4)-1,"")</f>
        <v>9.358838968918981E-2</v>
      </c>
      <c r="L16" s="6">
        <f t="shared" ref="L16:L22" si="3">IFERROR(P25/O25,"")</f>
        <v>0.28659757464331137</v>
      </c>
      <c r="M16" s="6">
        <f t="shared" ref="M16:M22" si="4">IFERROR(R25/O25,"")</f>
        <v>0.13558575008500082</v>
      </c>
      <c r="N16" s="6">
        <f t="shared" ref="N16:N22" si="5">IFERROR(R25/T25,"")</f>
        <v>0.12629763873737551</v>
      </c>
      <c r="O16" s="6">
        <f t="shared" ref="O16:O22" si="6">IFERROR(Q25*(1-$I$5)/(U25+T25-V25),"")</f>
        <v>9.0096502473514917E-2</v>
      </c>
      <c r="P16" s="8">
        <f t="shared" ref="P16:P22" si="7">IFERROR(W25/X25,"")</f>
        <v>2.6858069239619287</v>
      </c>
      <c r="Q16" s="8">
        <f t="shared" ref="Q16:Q22" si="8">IFERROR(U25/T25,"")</f>
        <v>0.51294412968762826</v>
      </c>
      <c r="R16" s="8">
        <f t="shared" ref="R16:R22" si="9">IFERROR((U25-V25)/P25,"")</f>
        <v>1.8408541675820551</v>
      </c>
      <c r="S16" s="8">
        <f t="shared" ref="S16:S22" si="10">IFERROR(O25/S25,"")</f>
        <v>0.47550358075255683</v>
      </c>
      <c r="T16" s="8">
        <f>_xlfn.RANK.EQ(L16,$L$16:$L$22,0)</f>
        <v>4</v>
      </c>
      <c r="U16" s="8">
        <f>_xlfn.RANK.EQ(N16,$N$16:$N$22,0)</f>
        <v>4</v>
      </c>
      <c r="V16" s="8">
        <f>_xlfn.RANK.EQ(Q16,$Q$16:$Q$22,1)</f>
        <v>3</v>
      </c>
      <c r="W16" s="8">
        <f t="shared" ref="W16:W22" si="11">AVERAGE(T16:V16)</f>
        <v>3.6666666666666665</v>
      </c>
      <c r="AM16" s="14" t="s">
        <v>5</v>
      </c>
      <c r="AN16" s="13">
        <v>5552.2</v>
      </c>
      <c r="AO16" s="13">
        <v>7941.1</v>
      </c>
      <c r="AP16" s="13">
        <v>1434.7</v>
      </c>
      <c r="AQ16" s="13">
        <v>2275.9</v>
      </c>
      <c r="AR16" s="13">
        <v>670.8</v>
      </c>
      <c r="AS16" s="13">
        <v>1076.7</v>
      </c>
    </row>
    <row r="17" spans="1:45" x14ac:dyDescent="0.2">
      <c r="A17" s="5" t="s">
        <v>63</v>
      </c>
      <c r="B17" s="13">
        <v>1373.4</v>
      </c>
      <c r="C17" s="13">
        <v>1557.7</v>
      </c>
      <c r="D17" s="13">
        <v>1948.5</v>
      </c>
      <c r="E17" s="13">
        <v>1999.6</v>
      </c>
      <c r="F17" s="13">
        <v>2174.6</v>
      </c>
      <c r="H17" s="5" t="s">
        <v>63</v>
      </c>
      <c r="I17" s="6">
        <f t="shared" si="0"/>
        <v>0.13419251492645978</v>
      </c>
      <c r="J17" s="9" t="str">
        <f t="shared" si="1"/>
        <v>MLM</v>
      </c>
      <c r="K17" s="6">
        <f t="shared" si="2"/>
        <v>3.2379129000158491E-2</v>
      </c>
      <c r="L17" s="6">
        <f t="shared" si="3"/>
        <v>0.34308943089430893</v>
      </c>
      <c r="M17" s="6">
        <f t="shared" si="4"/>
        <v>0.1848780487804878</v>
      </c>
      <c r="N17" s="6">
        <f t="shared" si="5"/>
        <v>0.11333732057416268</v>
      </c>
      <c r="O17" s="6">
        <f t="shared" si="6"/>
        <v>7.0862732520846697E-2</v>
      </c>
      <c r="P17" s="8">
        <f t="shared" si="7"/>
        <v>3.5675977653631286</v>
      </c>
      <c r="Q17" s="8">
        <f t="shared" si="8"/>
        <v>0.56070574162679421</v>
      </c>
      <c r="R17" s="8">
        <f t="shared" si="9"/>
        <v>2.6341232227488152</v>
      </c>
      <c r="S17" s="8">
        <f t="shared" si="10"/>
        <v>0.32868366201699534</v>
      </c>
      <c r="T17" s="8">
        <f t="shared" ref="T17:T22" si="12">_xlfn.RANK.EQ(L17,$L$16:$L$22,0)</f>
        <v>2</v>
      </c>
      <c r="U17" s="8">
        <f t="shared" ref="U17:U22" si="13">_xlfn.RANK.EQ(N17,$N$16:$N$22,0)</f>
        <v>5</v>
      </c>
      <c r="V17" s="8">
        <f t="shared" ref="V17:V22" si="14">_xlfn.RANK.EQ(Q17,$Q$16:$Q$22,1)</f>
        <v>4</v>
      </c>
      <c r="W17" s="8">
        <f t="shared" si="11"/>
        <v>3.6666666666666665</v>
      </c>
      <c r="AM17" s="9" t="s">
        <v>117</v>
      </c>
      <c r="AN17" s="13">
        <v>5414</v>
      </c>
      <c r="AO17" s="13">
        <v>6150</v>
      </c>
      <c r="AP17" s="13">
        <v>1461.8</v>
      </c>
      <c r="AQ17" s="13">
        <v>2110</v>
      </c>
      <c r="AR17" s="13">
        <v>702.5</v>
      </c>
      <c r="AS17" s="13">
        <v>1137</v>
      </c>
    </row>
    <row r="18" spans="1:45" x14ac:dyDescent="0.2">
      <c r="A18" s="5" t="s">
        <v>64</v>
      </c>
      <c r="B18" s="13">
        <v>1434.7</v>
      </c>
      <c r="C18" s="13">
        <v>1617</v>
      </c>
      <c r="D18" s="13">
        <v>1939.2</v>
      </c>
      <c r="E18" s="13">
        <v>2028.3</v>
      </c>
      <c r="F18" s="13">
        <v>2275.9</v>
      </c>
      <c r="H18" s="5" t="s">
        <v>64</v>
      </c>
      <c r="I18" s="6">
        <f t="shared" si="0"/>
        <v>0.1270648916149717</v>
      </c>
      <c r="J18" s="9" t="str">
        <f t="shared" si="1"/>
        <v>CRH</v>
      </c>
      <c r="K18" s="6">
        <f t="shared" si="2"/>
        <v>6.4109296673949823E-2</v>
      </c>
      <c r="L18" s="6">
        <f t="shared" si="3"/>
        <v>0.19972227414746174</v>
      </c>
      <c r="M18" s="6">
        <f t="shared" si="4"/>
        <v>0.10022164659385265</v>
      </c>
      <c r="N18" s="6">
        <f t="shared" si="5"/>
        <v>0.15634894184302617</v>
      </c>
      <c r="O18" s="6">
        <f t="shared" si="6"/>
        <v>0.10479721748260927</v>
      </c>
      <c r="P18" s="8">
        <f t="shared" si="7"/>
        <v>1.7425177061914554</v>
      </c>
      <c r="Q18" s="8">
        <f t="shared" si="8"/>
        <v>0.75766538910181636</v>
      </c>
      <c r="R18" s="8">
        <f t="shared" si="9"/>
        <v>1.8840754111512235</v>
      </c>
      <c r="S18" s="8">
        <f t="shared" si="10"/>
        <v>0.64199626257950593</v>
      </c>
      <c r="T18" s="8">
        <f t="shared" si="12"/>
        <v>5</v>
      </c>
      <c r="U18" s="8">
        <f t="shared" si="13"/>
        <v>3</v>
      </c>
      <c r="V18" s="8">
        <f t="shared" si="14"/>
        <v>6</v>
      </c>
      <c r="W18" s="8">
        <f t="shared" si="11"/>
        <v>4.666666666666667</v>
      </c>
      <c r="AM18" s="9" t="s">
        <v>119</v>
      </c>
      <c r="AN18" s="13">
        <v>29206</v>
      </c>
      <c r="AO18" s="13">
        <v>37447</v>
      </c>
      <c r="AP18" s="13">
        <v>4781</v>
      </c>
      <c r="AQ18" s="13">
        <v>7479</v>
      </c>
      <c r="AR18" s="13">
        <v>2630</v>
      </c>
      <c r="AS18" s="13">
        <v>3753</v>
      </c>
    </row>
    <row r="19" spans="1:45" x14ac:dyDescent="0.2">
      <c r="A19" s="5" t="s">
        <v>65</v>
      </c>
      <c r="B19" s="13">
        <v>971.7</v>
      </c>
      <c r="C19" s="13">
        <v>1029.5</v>
      </c>
      <c r="D19" s="13">
        <v>1322.2</v>
      </c>
      <c r="E19" s="13">
        <v>1396.1</v>
      </c>
      <c r="F19" s="13">
        <v>1527.4</v>
      </c>
      <c r="H19" s="5" t="s">
        <v>65</v>
      </c>
      <c r="I19" s="6">
        <f t="shared" si="0"/>
        <v>5.9483379643922918E-2</v>
      </c>
      <c r="J19" s="9" t="str">
        <f t="shared" si="1"/>
        <v>EXP</v>
      </c>
      <c r="K19" s="6">
        <f t="shared" si="2"/>
        <v>8.641520168606065E-2</v>
      </c>
      <c r="L19" s="6">
        <f t="shared" si="3"/>
        <v>0.33731798339134389</v>
      </c>
      <c r="M19" s="6">
        <f t="shared" si="4"/>
        <v>0.20500524660828454</v>
      </c>
      <c r="N19" s="6">
        <f t="shared" si="5"/>
        <v>0.3181272739754239</v>
      </c>
      <c r="O19" s="6">
        <f t="shared" si="6"/>
        <v>0.16926024867130407</v>
      </c>
      <c r="P19" s="8">
        <f t="shared" si="7"/>
        <v>2.7291676870581707</v>
      </c>
      <c r="Q19" s="8">
        <f t="shared" si="8"/>
        <v>0.85008306446076753</v>
      </c>
      <c r="R19" s="8">
        <f t="shared" si="9"/>
        <v>1.5972446262999829</v>
      </c>
      <c r="S19" s="8">
        <f t="shared" si="10"/>
        <v>0.6924328582963607</v>
      </c>
      <c r="T19" s="8">
        <f t="shared" si="12"/>
        <v>3</v>
      </c>
      <c r="U19" s="8">
        <f t="shared" si="13"/>
        <v>1</v>
      </c>
      <c r="V19" s="8">
        <f t="shared" si="14"/>
        <v>7</v>
      </c>
      <c r="W19" s="8">
        <f t="shared" si="11"/>
        <v>3.6666666666666665</v>
      </c>
      <c r="AM19" s="9" t="s">
        <v>121</v>
      </c>
      <c r="AN19" s="13">
        <v>1622.6420000000001</v>
      </c>
      <c r="AO19" s="13">
        <v>2260.5079999999998</v>
      </c>
      <c r="AP19" s="13">
        <v>483.84800000000001</v>
      </c>
      <c r="AQ19" s="13">
        <v>762.51</v>
      </c>
      <c r="AR19" s="13">
        <v>339.44400000000002</v>
      </c>
      <c r="AS19" s="13">
        <v>463.416</v>
      </c>
    </row>
    <row r="20" spans="1:45" x14ac:dyDescent="0.2">
      <c r="A20" s="5" t="s">
        <v>66</v>
      </c>
      <c r="B20" s="13">
        <v>670.8</v>
      </c>
      <c r="C20" s="13">
        <v>575.6</v>
      </c>
      <c r="D20" s="13">
        <v>933.2</v>
      </c>
      <c r="E20" s="13">
        <v>911.9</v>
      </c>
      <c r="F20" s="13">
        <v>1076.7</v>
      </c>
      <c r="H20" s="5" t="s">
        <v>66</v>
      </c>
      <c r="I20" s="6">
        <f t="shared" si="0"/>
        <v>-0.14192009540846739</v>
      </c>
      <c r="J20" s="9" t="str">
        <f t="shared" si="1"/>
        <v>KNF</v>
      </c>
      <c r="K20" s="6">
        <f t="shared" si="2"/>
        <v>8.9973618051538029E-2</v>
      </c>
      <c r="L20" s="6">
        <f t="shared" si="3"/>
        <v>0.15596698296128558</v>
      </c>
      <c r="M20" s="6">
        <f t="shared" si="4"/>
        <v>4.9927972302712134E-2</v>
      </c>
      <c r="N20" s="6">
        <f t="shared" si="5"/>
        <v>9.5721964240008783E-2</v>
      </c>
      <c r="O20" s="6">
        <f t="shared" si="6"/>
        <v>8.3964018695072057E-2</v>
      </c>
      <c r="P20" s="8">
        <f t="shared" si="7"/>
        <v>2.5421956723608363</v>
      </c>
      <c r="Q20" s="8">
        <f t="shared" si="8"/>
        <v>0.71028678684168833</v>
      </c>
      <c r="R20" s="8">
        <f t="shared" si="9"/>
        <v>2.1238541271801643</v>
      </c>
      <c r="S20" s="8">
        <f t="shared" si="10"/>
        <v>0.86189441258393928</v>
      </c>
      <c r="T20" s="8">
        <f t="shared" si="12"/>
        <v>6</v>
      </c>
      <c r="U20" s="8">
        <f t="shared" si="13"/>
        <v>6</v>
      </c>
      <c r="V20" s="8">
        <f t="shared" si="14"/>
        <v>5</v>
      </c>
      <c r="W20" s="8">
        <f t="shared" si="11"/>
        <v>5.666666666666667</v>
      </c>
      <c r="AM20" s="9" t="s">
        <v>123</v>
      </c>
      <c r="AN20" s="13">
        <v>2228.9299999999998</v>
      </c>
      <c r="AO20" s="13">
        <v>3146.0120000000002</v>
      </c>
      <c r="AP20" s="13">
        <v>287.577</v>
      </c>
      <c r="AQ20" s="13">
        <v>490.67399999999998</v>
      </c>
      <c r="AR20" s="13">
        <v>129.755</v>
      </c>
      <c r="AS20" s="13">
        <v>157.07400000000001</v>
      </c>
    </row>
    <row r="21" spans="1:45" x14ac:dyDescent="0.2">
      <c r="A21" s="5" t="s">
        <v>67</v>
      </c>
      <c r="B21" s="13">
        <v>13682.6</v>
      </c>
      <c r="C21" s="13">
        <v>14234.6</v>
      </c>
      <c r="D21" s="13">
        <v>14545.7</v>
      </c>
      <c r="E21" s="13">
        <v>17104.8</v>
      </c>
      <c r="F21" s="13">
        <v>16700.400000000001</v>
      </c>
      <c r="H21" s="5" t="s">
        <v>67</v>
      </c>
      <c r="I21" s="6">
        <f t="shared" si="0"/>
        <v>4.034320962390181E-2</v>
      </c>
      <c r="J21" s="9" t="str">
        <f t="shared" si="1"/>
        <v>USLM</v>
      </c>
      <c r="K21" s="6">
        <f t="shared" si="2"/>
        <v>0.18463858207172668</v>
      </c>
      <c r="L21" s="6">
        <f t="shared" si="3"/>
        <v>0.49118523745261283</v>
      </c>
      <c r="M21" s="6">
        <f t="shared" si="4"/>
        <v>0.36025026359775392</v>
      </c>
      <c r="N21" s="6">
        <f t="shared" si="5"/>
        <v>0.21287811528949205</v>
      </c>
      <c r="O21" s="6">
        <f t="shared" si="6"/>
        <v>0.45600090126176651</v>
      </c>
      <c r="P21" s="8">
        <f t="shared" si="7"/>
        <v>19.266926201760324</v>
      </c>
      <c r="Q21" s="8">
        <f t="shared" si="8"/>
        <v>0</v>
      </c>
      <c r="R21" s="8">
        <f t="shared" si="9"/>
        <v>-2.0271359748304003</v>
      </c>
      <c r="S21" s="8">
        <f t="shared" si="10"/>
        <v>0.5472876935998261</v>
      </c>
      <c r="T21" s="8">
        <f t="shared" si="12"/>
        <v>1</v>
      </c>
      <c r="U21" s="8">
        <f t="shared" si="13"/>
        <v>2</v>
      </c>
      <c r="V21" s="8">
        <f t="shared" si="14"/>
        <v>1</v>
      </c>
      <c r="W21" s="8">
        <f t="shared" si="11"/>
        <v>1.3333333333333333</v>
      </c>
      <c r="AM21" s="9" t="s">
        <v>125</v>
      </c>
      <c r="AN21" s="13">
        <v>189.255</v>
      </c>
      <c r="AO21" s="13">
        <v>372.72699999999998</v>
      </c>
      <c r="AP21" s="13">
        <v>67.314999999999998</v>
      </c>
      <c r="AQ21" s="13">
        <v>183.078</v>
      </c>
      <c r="AR21" s="13">
        <v>37.045000000000002</v>
      </c>
      <c r="AS21" s="13">
        <v>134.27500000000001</v>
      </c>
    </row>
    <row r="22" spans="1:45" x14ac:dyDescent="0.2">
      <c r="A22" s="5" t="s">
        <v>68</v>
      </c>
      <c r="B22" s="13">
        <v>7137.6</v>
      </c>
      <c r="C22" s="13">
        <v>7306</v>
      </c>
      <c r="D22" s="13">
        <v>7062.3</v>
      </c>
      <c r="E22" s="13">
        <v>8986.2000000000007</v>
      </c>
      <c r="F22" s="13">
        <v>8175.3</v>
      </c>
      <c r="H22" s="5" t="s">
        <v>68</v>
      </c>
      <c r="I22" s="6">
        <f t="shared" si="0"/>
        <v>2.3593364716431253E-2</v>
      </c>
      <c r="J22" s="9" t="str">
        <f t="shared" si="1"/>
        <v>CX</v>
      </c>
      <c r="K22" s="6">
        <f t="shared" si="2"/>
        <v>2.9174620708100285E-2</v>
      </c>
      <c r="L22" s="6">
        <f t="shared" si="3"/>
        <v>0.14231336597553204</v>
      </c>
      <c r="M22" s="6">
        <f t="shared" si="4"/>
        <v>4.5150413042398842E-2</v>
      </c>
      <c r="N22" s="6">
        <f t="shared" si="5"/>
        <v>5.4706370516404264E-2</v>
      </c>
      <c r="O22" s="6">
        <f t="shared" si="6"/>
        <v>4.1596229988329791E-2</v>
      </c>
      <c r="P22" s="8">
        <f t="shared" si="7"/>
        <v>0.82571429306645827</v>
      </c>
      <c r="Q22" s="8">
        <f t="shared" si="8"/>
        <v>0.50923752706454195</v>
      </c>
      <c r="R22" s="8">
        <f t="shared" si="9"/>
        <v>2.092498765126654</v>
      </c>
      <c r="S22" s="8">
        <f t="shared" si="10"/>
        <v>0.55693403786316775</v>
      </c>
      <c r="T22" s="8">
        <f t="shared" si="12"/>
        <v>7</v>
      </c>
      <c r="U22" s="8">
        <f t="shared" si="13"/>
        <v>7</v>
      </c>
      <c r="V22" s="8">
        <f t="shared" si="14"/>
        <v>2</v>
      </c>
      <c r="W22" s="8">
        <f t="shared" si="11"/>
        <v>5.333333333333333</v>
      </c>
      <c r="AM22" s="9" t="s">
        <v>127</v>
      </c>
      <c r="AN22" s="13">
        <v>14379</v>
      </c>
      <c r="AO22" s="13">
        <v>16131.879000000001</v>
      </c>
      <c r="AP22" s="13">
        <v>2839</v>
      </c>
      <c r="AQ22" s="13">
        <v>2295.7820000000002</v>
      </c>
      <c r="AR22" s="13">
        <v>753</v>
      </c>
      <c r="AS22" s="13">
        <v>728.36099999999999</v>
      </c>
    </row>
    <row r="23" spans="1:45" x14ac:dyDescent="0.2">
      <c r="A23" s="5" t="s">
        <v>69</v>
      </c>
      <c r="B23" s="13">
        <v>6545</v>
      </c>
      <c r="C23" s="13">
        <v>6928.6</v>
      </c>
      <c r="D23" s="13">
        <v>7483.4</v>
      </c>
      <c r="E23" s="13">
        <v>8118.6</v>
      </c>
      <c r="F23" s="13">
        <v>8525.1</v>
      </c>
      <c r="H23" s="5" t="s">
        <v>69</v>
      </c>
      <c r="I23" s="6">
        <f t="shared" si="0"/>
        <v>5.8609625668449183E-2</v>
      </c>
      <c r="J23" s="5" t="s">
        <v>141</v>
      </c>
      <c r="K23" s="6">
        <f t="shared" ref="K23:S23" si="15">MEDIAN(K16:K22)</f>
        <v>8.641520168606065E-2</v>
      </c>
      <c r="L23" s="6">
        <f t="shared" si="15"/>
        <v>0.28659757464331137</v>
      </c>
      <c r="M23" s="6">
        <f t="shared" si="15"/>
        <v>0.13558575008500082</v>
      </c>
      <c r="N23" s="6">
        <f t="shared" si="15"/>
        <v>0.12629763873737551</v>
      </c>
      <c r="O23" s="6">
        <f t="shared" si="15"/>
        <v>9.0096502473514917E-2</v>
      </c>
      <c r="P23" s="8">
        <f t="shared" si="15"/>
        <v>2.6858069239619287</v>
      </c>
      <c r="Q23" s="8">
        <f t="shared" si="15"/>
        <v>0.56070574162679421</v>
      </c>
      <c r="R23" s="8">
        <f t="shared" si="15"/>
        <v>1.8840754111512235</v>
      </c>
      <c r="S23" s="8">
        <f t="shared" si="15"/>
        <v>0.55693403786316775</v>
      </c>
    </row>
    <row r="24" spans="1:45" x14ac:dyDescent="0.2">
      <c r="A24" s="5" t="s">
        <v>70</v>
      </c>
      <c r="B24" s="13">
        <v>3975.9</v>
      </c>
      <c r="C24" s="13">
        <v>4032.8</v>
      </c>
      <c r="D24" s="13">
        <v>3906.9</v>
      </c>
      <c r="E24" s="13">
        <v>5327.8</v>
      </c>
      <c r="F24" s="13">
        <v>4372.8999999999996</v>
      </c>
      <c r="H24" s="5" t="s">
        <v>70</v>
      </c>
      <c r="I24" s="6">
        <f t="shared" si="0"/>
        <v>1.4311225131416805E-2</v>
      </c>
      <c r="J24" s="6">
        <f t="shared" ref="J24:L31" si="16">IFERROR(D24/C24-1,"")</f>
        <v>-3.1219004165840114E-2</v>
      </c>
      <c r="K24" s="6">
        <f t="shared" si="16"/>
        <v>0.3636898820036345</v>
      </c>
      <c r="L24" s="6">
        <f t="shared" si="16"/>
        <v>-0.17922970081459522</v>
      </c>
      <c r="M24" s="4" t="s">
        <v>112</v>
      </c>
      <c r="N24" s="4" t="s">
        <v>113</v>
      </c>
      <c r="O24" s="4" t="s">
        <v>62</v>
      </c>
      <c r="P24" s="4" t="s">
        <v>64</v>
      </c>
      <c r="Q24" s="4" t="s">
        <v>114</v>
      </c>
      <c r="R24" s="4" t="s">
        <v>66</v>
      </c>
      <c r="S24" s="4" t="s">
        <v>67</v>
      </c>
      <c r="T24" s="4" t="s">
        <v>69</v>
      </c>
      <c r="U24" s="4" t="s">
        <v>70</v>
      </c>
      <c r="V24" s="4" t="s">
        <v>115</v>
      </c>
      <c r="W24" s="4" t="s">
        <v>72</v>
      </c>
      <c r="X24" s="4" t="s">
        <v>73</v>
      </c>
      <c r="Y24" s="4" t="s">
        <v>74</v>
      </c>
    </row>
    <row r="25" spans="1:45" x14ac:dyDescent="0.2">
      <c r="A25" s="5" t="s">
        <v>71</v>
      </c>
      <c r="B25" s="13">
        <v>235</v>
      </c>
      <c r="C25" s="13">
        <v>161.4</v>
      </c>
      <c r="D25" s="13">
        <v>931.1</v>
      </c>
      <c r="E25" s="13">
        <v>559.70000000000005</v>
      </c>
      <c r="F25" s="13">
        <v>183.3</v>
      </c>
      <c r="H25" s="5" t="s">
        <v>71</v>
      </c>
      <c r="I25" s="6">
        <f t="shared" si="0"/>
        <v>-0.31319148936170216</v>
      </c>
      <c r="J25" s="6">
        <f t="shared" si="16"/>
        <v>4.7688971499380424</v>
      </c>
      <c r="K25" s="6">
        <f t="shared" si="16"/>
        <v>-0.39888304156374177</v>
      </c>
      <c r="L25" s="6">
        <f t="shared" si="16"/>
        <v>-0.67250312667500445</v>
      </c>
      <c r="M25" s="14" t="s">
        <v>5</v>
      </c>
      <c r="N25" s="14" t="s">
        <v>116</v>
      </c>
      <c r="O25" s="13">
        <v>7941.1</v>
      </c>
      <c r="P25" s="13">
        <v>2275.9</v>
      </c>
      <c r="Q25" s="13">
        <v>1527.4</v>
      </c>
      <c r="R25" s="13">
        <v>1076.7</v>
      </c>
      <c r="S25" s="13">
        <v>16700.400000000001</v>
      </c>
      <c r="T25" s="13">
        <v>8525.1</v>
      </c>
      <c r="U25" s="13">
        <v>4372.8999999999996</v>
      </c>
      <c r="V25" s="13">
        <v>183.3</v>
      </c>
      <c r="W25" s="13">
        <v>2567.9</v>
      </c>
      <c r="X25" s="13">
        <v>956.1</v>
      </c>
      <c r="Y25" s="13">
        <v>680.5</v>
      </c>
    </row>
    <row r="26" spans="1:45" x14ac:dyDescent="0.2">
      <c r="A26" s="5" t="s">
        <v>72</v>
      </c>
      <c r="B26" s="13">
        <v>1696.6</v>
      </c>
      <c r="C26" s="13">
        <v>1902</v>
      </c>
      <c r="D26" s="13">
        <v>2524.9</v>
      </c>
      <c r="E26" s="13">
        <v>2265.6999999999998</v>
      </c>
      <c r="F26" s="13">
        <v>2567.9</v>
      </c>
      <c r="H26" s="5" t="s">
        <v>72</v>
      </c>
      <c r="I26" s="6">
        <f t="shared" si="0"/>
        <v>0.12106566073323122</v>
      </c>
      <c r="J26" s="6">
        <f t="shared" si="16"/>
        <v>0.32749737118822297</v>
      </c>
      <c r="K26" s="6">
        <f t="shared" si="16"/>
        <v>-0.10265753099132646</v>
      </c>
      <c r="L26" s="6">
        <f t="shared" si="16"/>
        <v>0.1333804122346296</v>
      </c>
      <c r="M26" s="9" t="s">
        <v>117</v>
      </c>
      <c r="N26" s="9" t="s">
        <v>118</v>
      </c>
      <c r="O26" s="13">
        <v>6150</v>
      </c>
      <c r="P26" s="13">
        <v>2110</v>
      </c>
      <c r="Q26" s="13">
        <v>1473</v>
      </c>
      <c r="R26" s="13">
        <v>1137</v>
      </c>
      <c r="S26" s="13">
        <v>18711</v>
      </c>
      <c r="T26" s="13">
        <v>10032</v>
      </c>
      <c r="U26" s="13">
        <v>5625</v>
      </c>
      <c r="V26" s="13">
        <v>67</v>
      </c>
      <c r="W26" s="13">
        <v>3193</v>
      </c>
      <c r="X26" s="13">
        <v>895</v>
      </c>
      <c r="Y26" s="13">
        <v>1078</v>
      </c>
    </row>
    <row r="27" spans="1:45" x14ac:dyDescent="0.2">
      <c r="A27" s="5" t="s">
        <v>73</v>
      </c>
      <c r="B27" s="13">
        <v>769.3</v>
      </c>
      <c r="C27" s="13">
        <v>956.6</v>
      </c>
      <c r="D27" s="13">
        <v>797.6</v>
      </c>
      <c r="E27" s="13">
        <v>1239.0999999999999</v>
      </c>
      <c r="F27" s="13">
        <v>956.1</v>
      </c>
      <c r="H27" s="5" t="s">
        <v>73</v>
      </c>
      <c r="I27" s="6">
        <f t="shared" si="0"/>
        <v>0.24346808787209162</v>
      </c>
      <c r="J27" s="6">
        <f t="shared" si="16"/>
        <v>-0.16621367342671967</v>
      </c>
      <c r="K27" s="6">
        <f t="shared" si="16"/>
        <v>0.55353560682046132</v>
      </c>
      <c r="L27" s="6">
        <f t="shared" si="16"/>
        <v>-0.22839157452990066</v>
      </c>
      <c r="M27" s="9" t="s">
        <v>119</v>
      </c>
      <c r="N27" s="9" t="s">
        <v>120</v>
      </c>
      <c r="O27" s="13">
        <v>37447</v>
      </c>
      <c r="P27" s="13">
        <v>7479</v>
      </c>
      <c r="Q27" s="13">
        <v>5323</v>
      </c>
      <c r="R27" s="13">
        <v>3753</v>
      </c>
      <c r="S27" s="13">
        <v>58329</v>
      </c>
      <c r="T27" s="13">
        <v>24004</v>
      </c>
      <c r="U27" s="13">
        <v>18187</v>
      </c>
      <c r="V27" s="13">
        <v>4096</v>
      </c>
      <c r="W27" s="13">
        <v>15254</v>
      </c>
      <c r="X27" s="13">
        <v>8754</v>
      </c>
      <c r="Y27" s="13">
        <v>5251</v>
      </c>
    </row>
    <row r="28" spans="1:45" x14ac:dyDescent="0.2">
      <c r="A28" s="5" t="s">
        <v>74</v>
      </c>
      <c r="B28" s="9"/>
      <c r="C28" s="13">
        <v>579.29999999999995</v>
      </c>
      <c r="D28" s="13">
        <v>615.6</v>
      </c>
      <c r="E28" s="13">
        <v>681.8</v>
      </c>
      <c r="F28" s="13">
        <v>680.5</v>
      </c>
      <c r="H28" s="5" t="s">
        <v>74</v>
      </c>
      <c r="I28" s="6" t="str">
        <f t="shared" si="0"/>
        <v/>
      </c>
      <c r="J28" s="6">
        <f t="shared" si="16"/>
        <v>6.2661833247022347E-2</v>
      </c>
      <c r="K28" s="6">
        <f t="shared" si="16"/>
        <v>0.10753736192332664</v>
      </c>
      <c r="L28" s="6">
        <f t="shared" si="16"/>
        <v>-1.90671751246696E-3</v>
      </c>
      <c r="M28" s="9" t="s">
        <v>121</v>
      </c>
      <c r="N28" s="9" t="s">
        <v>122</v>
      </c>
      <c r="O28" s="13">
        <v>2260.5079999999998</v>
      </c>
      <c r="P28" s="13">
        <v>762.51</v>
      </c>
      <c r="Q28" s="13">
        <v>603.60799999999995</v>
      </c>
      <c r="R28" s="13">
        <v>463.416</v>
      </c>
      <c r="S28" s="13">
        <v>3264.5880000000002</v>
      </c>
      <c r="T28" s="13">
        <v>1456.7</v>
      </c>
      <c r="U28" s="13">
        <v>1238.316</v>
      </c>
      <c r="V28" s="13">
        <v>20.401</v>
      </c>
      <c r="W28" s="13">
        <v>668.65700000000004</v>
      </c>
      <c r="X28" s="13">
        <v>245.00399999999999</v>
      </c>
      <c r="Y28" s="13">
        <v>415.17500000000001</v>
      </c>
    </row>
    <row r="29" spans="1:45" x14ac:dyDescent="0.2">
      <c r="A29" s="5" t="s">
        <v>75</v>
      </c>
      <c r="B29" s="9"/>
      <c r="C29" s="13">
        <v>169.2</v>
      </c>
      <c r="D29" s="13">
        <v>196.1</v>
      </c>
      <c r="E29" s="13">
        <v>191.2</v>
      </c>
      <c r="F29" s="13">
        <v>239.7</v>
      </c>
      <c r="H29" s="5" t="s">
        <v>75</v>
      </c>
      <c r="I29" s="6" t="str">
        <f t="shared" si="0"/>
        <v/>
      </c>
      <c r="J29" s="6">
        <f t="shared" si="16"/>
        <v>0.15898345153664306</v>
      </c>
      <c r="K29" s="6">
        <f t="shared" si="16"/>
        <v>-2.4987251402345811E-2</v>
      </c>
      <c r="L29" s="6">
        <f t="shared" si="16"/>
        <v>0.25366108786610875</v>
      </c>
      <c r="M29" s="9" t="s">
        <v>123</v>
      </c>
      <c r="N29" s="9" t="s">
        <v>124</v>
      </c>
      <c r="O29" s="13">
        <v>3146.0120000000002</v>
      </c>
      <c r="P29" s="13">
        <v>490.67399999999998</v>
      </c>
      <c r="Q29" s="13">
        <v>300.37400000000002</v>
      </c>
      <c r="R29" s="13">
        <v>157.07400000000001</v>
      </c>
      <c r="S29" s="13">
        <v>3650.1129999999998</v>
      </c>
      <c r="T29" s="13">
        <v>1640.94</v>
      </c>
      <c r="U29" s="13">
        <v>1165.538</v>
      </c>
      <c r="V29" s="13">
        <v>123.41800000000001</v>
      </c>
      <c r="W29" s="13">
        <v>960.92200000000003</v>
      </c>
      <c r="X29" s="13">
        <v>377.98899999999998</v>
      </c>
      <c r="Y29" s="13">
        <v>435.714</v>
      </c>
    </row>
    <row r="30" spans="1:45" x14ac:dyDescent="0.2">
      <c r="A30" s="5" t="s">
        <v>76</v>
      </c>
      <c r="B30" s="13">
        <v>1011.9</v>
      </c>
      <c r="C30" s="13">
        <v>1148.2</v>
      </c>
      <c r="D30" s="13">
        <v>1536.8</v>
      </c>
      <c r="E30" s="13">
        <v>1409.6</v>
      </c>
      <c r="F30" s="13">
        <v>1813</v>
      </c>
      <c r="H30" s="5" t="s">
        <v>76</v>
      </c>
      <c r="I30" s="6">
        <f t="shared" si="0"/>
        <v>0.13469710445696226</v>
      </c>
      <c r="J30" s="6">
        <f t="shared" si="16"/>
        <v>0.33844278000348371</v>
      </c>
      <c r="K30" s="6">
        <f t="shared" si="16"/>
        <v>-8.276939094221758E-2</v>
      </c>
      <c r="L30" s="6">
        <f t="shared" si="16"/>
        <v>0.28618047673098768</v>
      </c>
      <c r="M30" s="9" t="s">
        <v>125</v>
      </c>
      <c r="N30" s="9" t="s">
        <v>126</v>
      </c>
      <c r="O30" s="13">
        <v>372.72699999999998</v>
      </c>
      <c r="P30" s="13">
        <v>183.078</v>
      </c>
      <c r="Q30" s="13">
        <v>157.85900000000001</v>
      </c>
      <c r="R30" s="13">
        <v>134.27500000000001</v>
      </c>
      <c r="S30" s="13">
        <v>681.04399999999998</v>
      </c>
      <c r="T30" s="13">
        <v>630.76</v>
      </c>
      <c r="U30" s="13">
        <v>0</v>
      </c>
      <c r="V30" s="13">
        <v>371.12400000000002</v>
      </c>
      <c r="W30" s="13">
        <v>455.31599999999997</v>
      </c>
      <c r="X30" s="13">
        <v>23.632000000000001</v>
      </c>
      <c r="Y30" s="13">
        <v>30.908000000000001</v>
      </c>
    </row>
    <row r="31" spans="1:45" x14ac:dyDescent="0.2">
      <c r="A31" s="5" t="s">
        <v>77</v>
      </c>
      <c r="B31" s="13">
        <v>489</v>
      </c>
      <c r="C31" s="13">
        <v>357.4</v>
      </c>
      <c r="D31" s="13">
        <v>461.7</v>
      </c>
      <c r="E31" s="13">
        <v>705</v>
      </c>
      <c r="F31" s="13">
        <v>893.6</v>
      </c>
      <c r="H31" s="5" t="s">
        <v>77</v>
      </c>
      <c r="I31" s="6">
        <f t="shared" si="0"/>
        <v>-0.26912065439672805</v>
      </c>
      <c r="J31" s="6">
        <f t="shared" si="16"/>
        <v>0.29182988248461106</v>
      </c>
      <c r="K31" s="6">
        <f t="shared" si="16"/>
        <v>0.52696556205328138</v>
      </c>
      <c r="L31" s="6">
        <f t="shared" si="16"/>
        <v>0.267517730496454</v>
      </c>
      <c r="M31" s="9" t="s">
        <v>127</v>
      </c>
      <c r="N31" s="9" t="s">
        <v>128</v>
      </c>
      <c r="O31" s="13">
        <v>16131.879000000001</v>
      </c>
      <c r="P31" s="13">
        <v>2295.7820000000002</v>
      </c>
      <c r="Q31" s="13">
        <v>1004.85</v>
      </c>
      <c r="R31" s="13">
        <v>728.36099999999999</v>
      </c>
      <c r="S31" s="13">
        <v>28965.510999999999</v>
      </c>
      <c r="T31" s="13">
        <v>13314.007</v>
      </c>
      <c r="U31" s="13">
        <v>6779.9920000000002</v>
      </c>
      <c r="V31" s="13">
        <v>1976.0709999999999</v>
      </c>
      <c r="W31" s="13">
        <v>6096.768</v>
      </c>
      <c r="X31" s="13">
        <v>7383.6289999999999</v>
      </c>
      <c r="Y31" s="9"/>
    </row>
    <row r="34" spans="1:13" x14ac:dyDescent="0.2">
      <c r="A34" s="2" t="s">
        <v>83</v>
      </c>
      <c r="H34" s="2" t="s">
        <v>91</v>
      </c>
    </row>
    <row r="35" spans="1:13" x14ac:dyDescent="0.2">
      <c r="A35" s="4" t="s">
        <v>4</v>
      </c>
      <c r="B35" s="4">
        <v>2021</v>
      </c>
      <c r="C35" s="4">
        <v>2022</v>
      </c>
      <c r="D35" s="4">
        <v>2023</v>
      </c>
      <c r="E35" s="4">
        <v>2024</v>
      </c>
      <c r="F35" s="4">
        <v>2025</v>
      </c>
      <c r="H35" s="4" t="s">
        <v>92</v>
      </c>
      <c r="I35" s="4">
        <v>2021</v>
      </c>
      <c r="J35" s="4">
        <v>2022</v>
      </c>
      <c r="K35" s="4">
        <v>2023</v>
      </c>
      <c r="L35" s="4">
        <v>2024</v>
      </c>
      <c r="M35" s="4">
        <v>2025</v>
      </c>
    </row>
    <row r="36" spans="1:13" x14ac:dyDescent="0.2">
      <c r="A36" s="5" t="s">
        <v>84</v>
      </c>
      <c r="B36" s="6">
        <f>IFERROR(B17/B16,"")</f>
        <v>0.24736140628939882</v>
      </c>
      <c r="C36" s="6">
        <f>IFERROR(C17/C16,"")</f>
        <v>0.21294017935258094</v>
      </c>
      <c r="D36" s="6">
        <f>IFERROR(D17/D16,"")</f>
        <v>0.25038872254847788</v>
      </c>
      <c r="E36" s="6">
        <f>IFERROR(E17/E16,"")</f>
        <v>0.26957143049732396</v>
      </c>
      <c r="F36" s="6">
        <f>IFERROR(F17/F16,"")</f>
        <v>0.27384115550742338</v>
      </c>
      <c r="H36" s="5" t="s">
        <v>93</v>
      </c>
      <c r="I36" s="6">
        <f>IFERROR(B17/B16,"")</f>
        <v>0.24736140628939882</v>
      </c>
      <c r="J36" s="6">
        <f>IFERROR(C17/C16,"")</f>
        <v>0.21294017935258094</v>
      </c>
      <c r="K36" s="6">
        <f>IFERROR(D17/D16,"")</f>
        <v>0.25038872254847788</v>
      </c>
      <c r="L36" s="6">
        <f>IFERROR(E17/E16,"")</f>
        <v>0.26957143049732396</v>
      </c>
      <c r="M36" s="6">
        <f>IFERROR(F17/F16,"")</f>
        <v>0.27384115550742338</v>
      </c>
    </row>
    <row r="37" spans="1:13" x14ac:dyDescent="0.2">
      <c r="A37" s="5" t="s">
        <v>85</v>
      </c>
      <c r="B37" s="6">
        <f>IFERROR(B18/B16,"")</f>
        <v>0.25840207485321137</v>
      </c>
      <c r="C37" s="6">
        <f>IFERROR(C18/C16,"")</f>
        <v>0.22104658792650919</v>
      </c>
      <c r="D37" s="6">
        <f>IFERROR(D18/D16,"")</f>
        <v>0.24919364165563682</v>
      </c>
      <c r="E37" s="6">
        <f>IFERROR(E18/E16,"")</f>
        <v>0.27344055434973102</v>
      </c>
      <c r="F37" s="6">
        <f>IFERROR(F18/F16,"")</f>
        <v>0.28659757464331137</v>
      </c>
      <c r="H37" s="5" t="s">
        <v>94</v>
      </c>
      <c r="I37" s="6">
        <f>IFERROR(B18/B16,"")</f>
        <v>0.25840207485321137</v>
      </c>
      <c r="J37" s="6">
        <f>IFERROR(C18/C16,"")</f>
        <v>0.22104658792650919</v>
      </c>
      <c r="K37" s="6">
        <f>IFERROR(D18/D16,"")</f>
        <v>0.24919364165563682</v>
      </c>
      <c r="L37" s="6">
        <f>IFERROR(E18/E16,"")</f>
        <v>0.27344055434973102</v>
      </c>
      <c r="M37" s="6">
        <f>IFERROR(F18/F16,"")</f>
        <v>0.28659757464331137</v>
      </c>
    </row>
    <row r="38" spans="1:13" x14ac:dyDescent="0.2">
      <c r="A38" s="5" t="s">
        <v>86</v>
      </c>
      <c r="B38" s="6">
        <f>IFERROR(B19/B16,"")</f>
        <v>0.17501170707107094</v>
      </c>
      <c r="C38" s="6">
        <f>IFERROR(C19/C16,"")</f>
        <v>0.14073436132983377</v>
      </c>
      <c r="D38" s="6">
        <f>IFERROR(D19/D16,"")</f>
        <v>0.16990709209833074</v>
      </c>
      <c r="E38" s="6">
        <f>IFERROR(E19/E16,"")</f>
        <v>0.1882119794545479</v>
      </c>
      <c r="F38" s="6">
        <f>IFERROR(F19/F16,"")</f>
        <v>0.1923411114329249</v>
      </c>
      <c r="H38" s="5" t="s">
        <v>95</v>
      </c>
      <c r="I38" s="6">
        <f>IFERROR(B19/B16,"")</f>
        <v>0.17501170707107094</v>
      </c>
      <c r="J38" s="6">
        <f>IFERROR(C19/C16,"")</f>
        <v>0.14073436132983377</v>
      </c>
      <c r="K38" s="6">
        <f>IFERROR(D19/D16,"")</f>
        <v>0.16990709209833074</v>
      </c>
      <c r="L38" s="6">
        <f>IFERROR(E19/E16,"")</f>
        <v>0.1882119794545479</v>
      </c>
      <c r="M38" s="6">
        <f>IFERROR(F19/F16,"")</f>
        <v>0.1923411114329249</v>
      </c>
    </row>
    <row r="39" spans="1:13" x14ac:dyDescent="0.2">
      <c r="A39" s="5" t="s">
        <v>87</v>
      </c>
      <c r="B39" s="6">
        <f>IFERROR(B20/B16,"")</f>
        <v>0.12081697345196499</v>
      </c>
      <c r="C39" s="6">
        <f>IFERROR(C20/C16,"")</f>
        <v>7.8685476815398087E-2</v>
      </c>
      <c r="D39" s="6">
        <f>IFERROR(D20/D16,"")</f>
        <v>0.11991929991390278</v>
      </c>
      <c r="E39" s="6">
        <f>IFERROR(E20/E16,"")</f>
        <v>0.12293568087142914</v>
      </c>
      <c r="F39" s="6">
        <f>IFERROR(F20/F16,"")</f>
        <v>0.13558575008500082</v>
      </c>
      <c r="H39" s="5" t="s">
        <v>96</v>
      </c>
      <c r="I39" s="6">
        <f>IFERROR(B20/B16,"")</f>
        <v>0.12081697345196499</v>
      </c>
      <c r="J39" s="6">
        <f>IFERROR(C20/C16,"")</f>
        <v>7.8685476815398087E-2</v>
      </c>
      <c r="K39" s="6">
        <f>IFERROR(D20/D16,"")</f>
        <v>0.11991929991390278</v>
      </c>
      <c r="L39" s="6">
        <f>IFERROR(E20/E16,"")</f>
        <v>0.12293568087142914</v>
      </c>
      <c r="M39" s="6">
        <f>IFERROR(F20/F16,"")</f>
        <v>0.13558575008500082</v>
      </c>
    </row>
    <row r="40" spans="1:13" x14ac:dyDescent="0.2">
      <c r="A40" s="5" t="s">
        <v>88</v>
      </c>
      <c r="B40" s="6">
        <f>IFERROR(B22/B21,"")</f>
        <v>0.52165524096297489</v>
      </c>
      <c r="C40" s="6">
        <f>IFERROR(C22/C21,"")</f>
        <v>0.51325643151194977</v>
      </c>
      <c r="D40" s="6">
        <f>IFERROR(D22/D21,"")</f>
        <v>0.48552493176677641</v>
      </c>
      <c r="E40" s="6">
        <f>IFERROR(E22/E21,"")</f>
        <v>0.52536130209064125</v>
      </c>
      <c r="F40" s="6">
        <f>IFERROR(F22/F21,"")</f>
        <v>0.48952719695336633</v>
      </c>
      <c r="H40" s="5" t="s">
        <v>97</v>
      </c>
      <c r="I40" s="6">
        <f>IFERROR(B20/B21,"")</f>
        <v>4.902576995600251E-2</v>
      </c>
      <c r="J40" s="6">
        <f>IFERROR(C20/AVERAGE(B21,C21),"")</f>
        <v>4.1236227128795155E-2</v>
      </c>
      <c r="K40" s="6">
        <f>IFERROR(D20/AVERAGE(C21,D21),"")</f>
        <v>6.4849914698595912E-2</v>
      </c>
      <c r="L40" s="6">
        <f>IFERROR(E20/AVERAGE(D21,E21),"")</f>
        <v>5.762310232065844E-2</v>
      </c>
      <c r="M40" s="6">
        <f>IFERROR(F20/AVERAGE(E21,F21),"")</f>
        <v>6.3700259131731218E-2</v>
      </c>
    </row>
    <row r="41" spans="1:13" x14ac:dyDescent="0.2">
      <c r="A41" s="5" t="s">
        <v>89</v>
      </c>
      <c r="B41" s="6">
        <f>IFERROR(B23/B21,"")</f>
        <v>0.47834475903702511</v>
      </c>
      <c r="C41" s="6">
        <f>IFERROR(C23/C21,"")</f>
        <v>0.48674356848805028</v>
      </c>
      <c r="D41" s="6">
        <f>IFERROR(D23/D21,"")</f>
        <v>0.51447506823322353</v>
      </c>
      <c r="E41" s="6">
        <f>IFERROR(E23/E21,"")</f>
        <v>0.47463869790935881</v>
      </c>
      <c r="F41" s="6">
        <f>IFERROR(F23/F21,"")</f>
        <v>0.51047280304663356</v>
      </c>
      <c r="H41" s="5" t="s">
        <v>98</v>
      </c>
      <c r="I41" s="6">
        <f>IFERROR(B20/B23,"")</f>
        <v>0.10249045072574484</v>
      </c>
      <c r="J41" s="6">
        <f>IFERROR(C20/AVERAGE(B23,C23),"")</f>
        <v>8.5441159007243792E-2</v>
      </c>
      <c r="K41" s="6">
        <f>IFERROR(D20/AVERAGE(C23,D23),"")</f>
        <v>0.12950319178462394</v>
      </c>
      <c r="L41" s="6">
        <f>IFERROR(E20/AVERAGE(D23,E23),"")</f>
        <v>0.11689526983720036</v>
      </c>
      <c r="M41" s="6">
        <f>IFERROR(F20/AVERAGE(E23,F23),"")</f>
        <v>0.12938228879395808</v>
      </c>
    </row>
    <row r="42" spans="1:13" x14ac:dyDescent="0.2">
      <c r="A42" s="5" t="s">
        <v>90</v>
      </c>
      <c r="B42" s="6">
        <f>IFERROR(B24/B21,"")</f>
        <v>0.29058073757911507</v>
      </c>
      <c r="C42" s="6">
        <f>IFERROR(C24/C21,"")</f>
        <v>0.28330968204234752</v>
      </c>
      <c r="D42" s="6">
        <f>IFERROR(D24/D21,"")</f>
        <v>0.26859484246203347</v>
      </c>
      <c r="E42" s="6">
        <f>IFERROR(E24/E21,"")</f>
        <v>0.31147981853047102</v>
      </c>
      <c r="F42" s="6">
        <f>IFERROR(F24/F21,"")</f>
        <v>0.2618440276879595</v>
      </c>
      <c r="H42" s="5" t="s">
        <v>99</v>
      </c>
      <c r="I42" s="6">
        <f>IFERROR((B19*(1-$I$5))/(B24+B23-B25),"")</f>
        <v>7.0851845730563204E-2</v>
      </c>
      <c r="J42" s="6">
        <f>IFERROR((C19*(1-$I$5))/AVERAGE((B24+B23-B25),(C24+C23-C25)),"")</f>
        <v>7.3236143584101215E-2</v>
      </c>
      <c r="K42" s="6">
        <f>IFERROR((D19*(1-$I$5))/AVERAGE((C24+C23-C25),(D24+D23-D25)),"")</f>
        <v>9.3291375028223086E-2</v>
      </c>
      <c r="L42" s="6">
        <f>IFERROR((E19*(1-$I$5))/AVERAGE((D24+D23-D25),(E24+E23-E25)),"")</f>
        <v>8.9700975331856961E-2</v>
      </c>
      <c r="M42" s="6">
        <f>IFERROR((F19*(1-$I$5))/AVERAGE((E24+E23-E25),(F24+F23-F25)),"")</f>
        <v>8.9491199700016413E-2</v>
      </c>
    </row>
    <row r="43" spans="1:13" x14ac:dyDescent="0.2">
      <c r="H43" s="5" t="s">
        <v>100</v>
      </c>
      <c r="I43" s="8">
        <f>IFERROR(B26/B27,"")</f>
        <v>2.2053815156635901</v>
      </c>
      <c r="J43" s="8">
        <f>IFERROR(C26/C27,"")</f>
        <v>1.9882918670290612</v>
      </c>
      <c r="K43" s="8">
        <f>IFERROR(D26/D27,"")</f>
        <v>3.1656218655967905</v>
      </c>
      <c r="L43" s="8">
        <f>IFERROR(E26/E27,"")</f>
        <v>1.8285045597611169</v>
      </c>
      <c r="M43" s="8">
        <f>IFERROR(F26/F27,"")</f>
        <v>2.6858069239619287</v>
      </c>
    </row>
    <row r="44" spans="1:13" x14ac:dyDescent="0.2">
      <c r="H44" s="5" t="s">
        <v>101</v>
      </c>
      <c r="I44" s="8">
        <f>IFERROR((B26-B28)/B27,"")</f>
        <v>2.2053815156635901</v>
      </c>
      <c r="J44" s="8">
        <f>IFERROR((C26-C28)/C27,"")</f>
        <v>1.3827095964875602</v>
      </c>
      <c r="K44" s="8">
        <f>IFERROR((D26-D28)/D27,"")</f>
        <v>2.3938064192577735</v>
      </c>
      <c r="L44" s="8">
        <f>IFERROR((E26-E28)/E27,"")</f>
        <v>1.278266483738197</v>
      </c>
      <c r="M44" s="8">
        <f>IFERROR((F26-F28)/F27,"")</f>
        <v>1.9740612906599728</v>
      </c>
    </row>
    <row r="45" spans="1:13" x14ac:dyDescent="0.2">
      <c r="H45" s="5" t="s">
        <v>102</v>
      </c>
      <c r="I45" s="8">
        <f>IFERROR(B24/B23,"")</f>
        <v>0.60747135217723458</v>
      </c>
      <c r="J45" s="8">
        <f>IFERROR(C24/C23,"")</f>
        <v>0.58205120803625554</v>
      </c>
      <c r="K45" s="8">
        <f>IFERROR(D24/D23,"")</f>
        <v>0.52207552716679584</v>
      </c>
      <c r="L45" s="8">
        <f>IFERROR(E24/E23,"")</f>
        <v>0.65624615081417981</v>
      </c>
      <c r="M45" s="8">
        <f>IFERROR(F24/F23,"")</f>
        <v>0.51294412968762826</v>
      </c>
    </row>
    <row r="46" spans="1:13" x14ac:dyDescent="0.2">
      <c r="H46" s="5" t="s">
        <v>103</v>
      </c>
      <c r="I46" s="8">
        <f>IFERROR(B24/B21,"")</f>
        <v>0.29058073757911507</v>
      </c>
      <c r="J46" s="8">
        <f>IFERROR(C24/C21,"")</f>
        <v>0.28330968204234752</v>
      </c>
      <c r="K46" s="8">
        <f>IFERROR(D24/D21,"")</f>
        <v>0.26859484246203347</v>
      </c>
      <c r="L46" s="8">
        <f>IFERROR(E24/E21,"")</f>
        <v>0.31147981853047102</v>
      </c>
      <c r="M46" s="8">
        <f>IFERROR(F24/F21,"")</f>
        <v>0.2618440276879595</v>
      </c>
    </row>
    <row r="47" spans="1:13" x14ac:dyDescent="0.2">
      <c r="H47" s="5" t="s">
        <v>104</v>
      </c>
      <c r="I47" s="8">
        <f>IFERROR((B24-B25)/B18,"")</f>
        <v>2.607444064961316</v>
      </c>
      <c r="J47" s="8">
        <f>IFERROR((C24-C25)/C18,"")</f>
        <v>2.3941867656153373</v>
      </c>
      <c r="K47" s="8">
        <f>IFERROR((D24-D25)/D18,"")</f>
        <v>1.5345503300330035</v>
      </c>
      <c r="L47" s="8">
        <f>IFERROR((E24-E25)/E18,"")</f>
        <v>2.3507863728245333</v>
      </c>
      <c r="M47" s="8">
        <f>IFERROR((F24-F25)/F18,"")</f>
        <v>1.8408541675820551</v>
      </c>
    </row>
    <row r="48" spans="1:13" x14ac:dyDescent="0.2">
      <c r="H48" s="5" t="s">
        <v>105</v>
      </c>
      <c r="I48" s="8" t="str">
        <f>IFERROR(B19/ABS(B29),"")</f>
        <v/>
      </c>
      <c r="J48" s="8">
        <f>IFERROR(C19/ABS(C29),"")</f>
        <v>6.08451536643026</v>
      </c>
      <c r="K48" s="8">
        <f>IFERROR(D19/ABS(D29),"")</f>
        <v>6.7424783273839886</v>
      </c>
      <c r="L48" s="8">
        <f>IFERROR(E19/ABS(E29),"")</f>
        <v>7.3017782426778242</v>
      </c>
      <c r="M48" s="8">
        <f>IFERROR(F19/ABS(F29),"")</f>
        <v>6.3721318314559872</v>
      </c>
    </row>
    <row r="49" spans="1:13" x14ac:dyDescent="0.2">
      <c r="H49" s="5" t="s">
        <v>106</v>
      </c>
      <c r="I49" s="8">
        <f>IFERROR(B16/B21,"")</f>
        <v>0.40578545013374651</v>
      </c>
      <c r="J49" s="8">
        <f>IFERROR(C16/AVERAGE(B21,C21),"")</f>
        <v>0.52406401788144941</v>
      </c>
      <c r="K49" s="8">
        <f>IFERROR(D16/AVERAGE(C21,D21),"")</f>
        <v>0.54077963051114819</v>
      </c>
      <c r="L49" s="8">
        <f>IFERROR(E16/AVERAGE(D21,E21),"")</f>
        <v>0.46872561254956474</v>
      </c>
      <c r="M49" s="8">
        <f>IFERROR(F16/AVERAGE(E21,F21),"")</f>
        <v>0.46981529468839117</v>
      </c>
    </row>
    <row r="50" spans="1:13" x14ac:dyDescent="0.2">
      <c r="H50" s="5" t="s">
        <v>107</v>
      </c>
      <c r="I50" s="6" t="str">
        <f>""</f>
        <v/>
      </c>
      <c r="J50" s="6">
        <f>IFERROR(C16/B16-1,"")</f>
        <v>0.31753178920067726</v>
      </c>
      <c r="K50" s="6">
        <f>IFERROR(D16/C16-1,"")</f>
        <v>6.3798665791775955E-2</v>
      </c>
      <c r="L50" s="6">
        <f>IFERROR(E16/D16-1,"")</f>
        <v>-4.6800909803518365E-2</v>
      </c>
      <c r="M50" s="6">
        <f>IFERROR(F16/E16-1,"")</f>
        <v>7.0560955552260163E-2</v>
      </c>
    </row>
    <row r="51" spans="1:13" x14ac:dyDescent="0.2">
      <c r="H51" s="5" t="s">
        <v>108</v>
      </c>
      <c r="I51" s="6" t="str">
        <f>""</f>
        <v/>
      </c>
      <c r="J51" s="6">
        <f t="shared" ref="J51:M53" si="17">IFERROR(C18/B18-1,"")</f>
        <v>0.1270648916149717</v>
      </c>
      <c r="K51" s="6">
        <f t="shared" si="17"/>
        <v>0.19925788497217067</v>
      </c>
      <c r="L51" s="6">
        <f t="shared" si="17"/>
        <v>4.5946782178217793E-2</v>
      </c>
      <c r="M51" s="6">
        <f t="shared" si="17"/>
        <v>0.12207267169550873</v>
      </c>
    </row>
    <row r="52" spans="1:13" x14ac:dyDescent="0.2">
      <c r="H52" s="5" t="s">
        <v>109</v>
      </c>
      <c r="I52" s="6" t="str">
        <f>""</f>
        <v/>
      </c>
      <c r="J52" s="6">
        <f t="shared" si="17"/>
        <v>5.9483379643922918E-2</v>
      </c>
      <c r="K52" s="6">
        <f t="shared" si="17"/>
        <v>0.28431277319086945</v>
      </c>
      <c r="L52" s="6">
        <f t="shared" si="17"/>
        <v>5.5891695658750518E-2</v>
      </c>
      <c r="M52" s="6">
        <f t="shared" si="17"/>
        <v>9.4047704319174974E-2</v>
      </c>
    </row>
    <row r="53" spans="1:13" x14ac:dyDescent="0.2">
      <c r="H53" s="5" t="s">
        <v>110</v>
      </c>
      <c r="I53" s="6" t="str">
        <f>""</f>
        <v/>
      </c>
      <c r="J53" s="6">
        <f t="shared" si="17"/>
        <v>-0.14192009540846739</v>
      </c>
      <c r="K53" s="6">
        <f t="shared" si="17"/>
        <v>0.62126476719944401</v>
      </c>
      <c r="L53" s="6">
        <f t="shared" si="17"/>
        <v>-2.2824689241320306E-2</v>
      </c>
      <c r="M53" s="6">
        <f t="shared" si="17"/>
        <v>0.18072157034762593</v>
      </c>
    </row>
    <row r="56" spans="1:13" x14ac:dyDescent="0.2">
      <c r="A56" s="2" t="s">
        <v>20</v>
      </c>
    </row>
    <row r="57" spans="1:13" ht="38" customHeight="1" x14ac:dyDescent="0.2">
      <c r="A57" s="7" t="str">
        <f>IF(B5="","", "Revenue CAGR over the five-year period was "&amp;TEXT(B5,"0.0%")&amp;", while latest EBITDA margin reached "&amp;TEXT(B6,"0.0%")&amp;".")</f>
        <v>Revenue CAGR over the five-year period was 09%, while latest EBITDA margin reached 29%.</v>
      </c>
    </row>
    <row r="58" spans="1:13" ht="38" customHeight="1" x14ac:dyDescent="0.2">
      <c r="A58" s="7" t="str">
        <f>IF(B7="","", "ROE of "&amp;TEXT(B7,"0.0%")&amp;" and Debt / Equity of "&amp;TEXT(B8,"0.00x")&amp;" frame a balance sheet that is "&amp;IF(B8&lt;MEDIAN($Q$16:$Q$22),"less levered","more levered")&amp;" than the peer median.")</f>
        <v>ROE of 13% and Debt / Equity of 001x frame a balance sheet that is less levered than the peer median.</v>
      </c>
    </row>
    <row r="59" spans="1:13" ht="38" customHeight="1" x14ac:dyDescent="0.2">
      <c r="A59" s="7" t="str">
        <f>IF(B9="","", "Liquidity remains "&amp;IF(B9&gt;MEDIAN($P$16:$P$22),"strong","adequate")&amp;", with current ratio of "&amp;TEXT(B9,"0.00x")&amp;" and peer rank of "&amp;TEXT(B10,"0.0")&amp;".")</f>
        <v>Liquidity remains adequate, with current ratio of 003x and peer rank of 04.</v>
      </c>
    </row>
    <row r="60" spans="1:13" ht="38" customHeight="1" x14ac:dyDescent="0.2">
      <c r="A60" s="7" t="str">
        <f>IF(B10="","", "Overall competitive positioning screens "&amp;IF(B10&lt;=3,"strong","middle of pack")&amp;" versus peers, with profitability and returns supporting the broader financial-health assessment.")</f>
        <v>Overall competitive positioning screens middle of pack versus peers, with profitability and returns supporting the broader financial-health assessment.</v>
      </c>
    </row>
    <row r="63" spans="1:13" x14ac:dyDescent="0.2">
      <c r="A63" s="2" t="s">
        <v>142</v>
      </c>
    </row>
    <row r="64" spans="1:13" x14ac:dyDescent="0.2">
      <c r="A64" s="4" t="s">
        <v>143</v>
      </c>
      <c r="B64" s="4">
        <v>2021</v>
      </c>
      <c r="C64" s="4">
        <v>2022</v>
      </c>
      <c r="D64" s="4">
        <v>2023</v>
      </c>
      <c r="E64" s="4">
        <v>2024</v>
      </c>
      <c r="F64" s="4">
        <v>2025</v>
      </c>
    </row>
    <row r="65" spans="1:6" x14ac:dyDescent="0.2">
      <c r="A65" s="5" t="s">
        <v>62</v>
      </c>
      <c r="B65" s="13">
        <f>B16</f>
        <v>5552.2</v>
      </c>
      <c r="C65" s="13">
        <f>C16</f>
        <v>7315.2</v>
      </c>
      <c r="D65" s="13">
        <f>D16</f>
        <v>7781.9</v>
      </c>
      <c r="E65" s="13">
        <f>E16</f>
        <v>7417.7</v>
      </c>
      <c r="F65" s="13">
        <f>F16</f>
        <v>7941.1</v>
      </c>
    </row>
    <row r="66" spans="1:6" x14ac:dyDescent="0.2">
      <c r="A66" s="5" t="s">
        <v>64</v>
      </c>
      <c r="B66" s="13">
        <f t="shared" ref="B66:F68" si="18">B18</f>
        <v>1434.7</v>
      </c>
      <c r="C66" s="13">
        <f t="shared" si="18"/>
        <v>1617</v>
      </c>
      <c r="D66" s="13">
        <f t="shared" si="18"/>
        <v>1939.2</v>
      </c>
      <c r="E66" s="13">
        <f t="shared" si="18"/>
        <v>2028.3</v>
      </c>
      <c r="F66" s="13">
        <f t="shared" si="18"/>
        <v>2275.9</v>
      </c>
    </row>
    <row r="67" spans="1:6" x14ac:dyDescent="0.2">
      <c r="A67" s="5" t="s">
        <v>114</v>
      </c>
      <c r="B67" s="13">
        <f t="shared" si="18"/>
        <v>971.7</v>
      </c>
      <c r="C67" s="13">
        <f t="shared" si="18"/>
        <v>1029.5</v>
      </c>
      <c r="D67" s="13">
        <f t="shared" si="18"/>
        <v>1322.2</v>
      </c>
      <c r="E67" s="13">
        <f t="shared" si="18"/>
        <v>1396.1</v>
      </c>
      <c r="F67" s="13">
        <f t="shared" si="18"/>
        <v>1527.4</v>
      </c>
    </row>
    <row r="68" spans="1:6" x14ac:dyDescent="0.2">
      <c r="A68" s="5" t="s">
        <v>66</v>
      </c>
      <c r="B68" s="13">
        <f t="shared" si="18"/>
        <v>670.8</v>
      </c>
      <c r="C68" s="13">
        <f t="shared" si="18"/>
        <v>575.6</v>
      </c>
      <c r="D68" s="13">
        <f t="shared" si="18"/>
        <v>933.2</v>
      </c>
      <c r="E68" s="13">
        <f t="shared" si="18"/>
        <v>911.9</v>
      </c>
      <c r="F68" s="13">
        <f t="shared" si="18"/>
        <v>1076.7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83203125" defaultRowHeight="15" x14ac:dyDescent="0.2"/>
  <cols>
    <col min="1" max="1" width="100.6640625" customWidth="1"/>
    <col min="2" max="2" width="15.6640625" customWidth="1"/>
    <col min="3" max="3" width="14.6640625" customWidth="1"/>
    <col min="4" max="4" width="20.6640625" customWidth="1"/>
    <col min="5" max="5" width="19.6640625" customWidth="1"/>
    <col min="6" max="6" width="21.6640625" customWidth="1"/>
  </cols>
  <sheetData>
    <row r="1" spans="1:6" ht="21" x14ac:dyDescent="0.25">
      <c r="A1" s="1" t="s">
        <v>107</v>
      </c>
    </row>
    <row r="2" spans="1:6" ht="16" x14ac:dyDescent="0.2">
      <c r="A2" s="7" t="s">
        <v>108</v>
      </c>
    </row>
    <row r="4" spans="1:6" x14ac:dyDescent="0.2">
      <c r="A4" s="2" t="s">
        <v>109</v>
      </c>
    </row>
    <row r="5" spans="1:6" x14ac:dyDescent="0.2">
      <c r="A5" s="4" t="s">
        <v>3</v>
      </c>
      <c r="B5" s="4" t="s">
        <v>110</v>
      </c>
      <c r="C5" s="4" t="s">
        <v>111</v>
      </c>
    </row>
    <row r="6" spans="1:6" x14ac:dyDescent="0.2">
      <c r="A6" s="9" t="s">
        <v>112</v>
      </c>
      <c r="B6" s="11">
        <v>1.9213937343468519</v>
      </c>
      <c r="C6" s="9" t="s">
        <v>113</v>
      </c>
    </row>
    <row r="7" spans="1:6" x14ac:dyDescent="0.2">
      <c r="A7" s="9" t="s">
        <v>72</v>
      </c>
      <c r="B7" s="11">
        <v>1.840854167582056</v>
      </c>
      <c r="C7" s="9" t="s">
        <v>114</v>
      </c>
    </row>
    <row r="8" spans="1:6" x14ac:dyDescent="0.2">
      <c r="A8" s="9" t="s">
        <v>115</v>
      </c>
      <c r="B8" s="11">
        <v>9.4947851481017942</v>
      </c>
      <c r="C8" s="9" t="s">
        <v>116</v>
      </c>
    </row>
    <row r="9" spans="1:6" x14ac:dyDescent="0.2">
      <c r="A9" s="9" t="s">
        <v>117</v>
      </c>
      <c r="B9" s="11">
        <v>6.3721318314559863</v>
      </c>
      <c r="C9" s="9" t="s">
        <v>116</v>
      </c>
    </row>
    <row r="10" spans="1:6" x14ac:dyDescent="0.2">
      <c r="A10" s="9" t="s">
        <v>118</v>
      </c>
      <c r="B10" s="11">
        <v>0.41459900752361128</v>
      </c>
      <c r="C10" s="9" t="s">
        <v>119</v>
      </c>
    </row>
    <row r="11" spans="1:6" x14ac:dyDescent="0.2">
      <c r="A11" s="9" t="s">
        <v>120</v>
      </c>
      <c r="B11" s="11">
        <v>0.2043495163392714</v>
      </c>
      <c r="C11" s="9" t="s">
        <v>121</v>
      </c>
    </row>
    <row r="12" spans="1:6" x14ac:dyDescent="0.2">
      <c r="A12" s="9" t="s">
        <v>122</v>
      </c>
      <c r="B12" s="11">
        <v>0.33903706000930378</v>
      </c>
      <c r="C12" s="9" t="s">
        <v>123</v>
      </c>
    </row>
    <row r="13" spans="1:6" x14ac:dyDescent="0.2">
      <c r="A13" s="9" t="s">
        <v>61</v>
      </c>
      <c r="B13" s="11">
        <v>0.28659757464331143</v>
      </c>
      <c r="C13" s="9" t="s">
        <v>124</v>
      </c>
    </row>
    <row r="15" spans="1:6" x14ac:dyDescent="0.2">
      <c r="A15" s="2" t="s">
        <v>125</v>
      </c>
    </row>
    <row r="16" spans="1:6" x14ac:dyDescent="0.2">
      <c r="A16" s="4" t="s">
        <v>126</v>
      </c>
      <c r="B16" s="4" t="s">
        <v>127</v>
      </c>
      <c r="C16" s="4" t="s">
        <v>128</v>
      </c>
      <c r="D16" s="4" t="s">
        <v>72</v>
      </c>
      <c r="E16" s="4" t="s">
        <v>115</v>
      </c>
      <c r="F16" s="4" t="s">
        <v>120</v>
      </c>
    </row>
    <row r="17" spans="1:6" x14ac:dyDescent="0.2">
      <c r="A17" s="9" t="s">
        <v>129</v>
      </c>
      <c r="B17" s="12">
        <v>2275.9</v>
      </c>
      <c r="C17" s="12">
        <v>1813</v>
      </c>
      <c r="D17" s="8">
        <v>1.840854167582056</v>
      </c>
      <c r="E17" s="12">
        <v>9.4947851481017942</v>
      </c>
      <c r="F17" s="12">
        <v>0.2043495163392714</v>
      </c>
    </row>
    <row r="18" spans="1:6" x14ac:dyDescent="0.2">
      <c r="A18" s="9" t="s">
        <v>130</v>
      </c>
      <c r="B18" s="12">
        <v>2048.31</v>
      </c>
      <c r="C18" s="12">
        <v>1541.05</v>
      </c>
      <c r="D18" s="8">
        <v>2.045393519535617</v>
      </c>
      <c r="E18" s="12">
        <v>8.1383872698015374</v>
      </c>
      <c r="F18" s="12">
        <v>0.1736970888883807</v>
      </c>
    </row>
    <row r="19" spans="1:6" x14ac:dyDescent="0.2">
      <c r="A19" s="9" t="s">
        <v>131</v>
      </c>
      <c r="B19" s="12">
        <v>1706.925</v>
      </c>
      <c r="C19" s="12">
        <v>1269.0999999999999</v>
      </c>
      <c r="D19" s="8">
        <v>2.4544722234427412</v>
      </c>
      <c r="E19" s="12">
        <v>6.3298567654011961</v>
      </c>
      <c r="F19" s="12">
        <v>0.14304466143749001</v>
      </c>
    </row>
    <row r="22" spans="1:6" x14ac:dyDescent="0.2">
      <c r="A22" s="2" t="s">
        <v>132</v>
      </c>
    </row>
    <row r="23" spans="1:6" ht="40" customHeight="1" x14ac:dyDescent="0.2">
      <c r="A23" s="7" t="s">
        <v>133</v>
      </c>
    </row>
    <row r="24" spans="1:6" ht="40" customHeight="1" x14ac:dyDescent="0.2">
      <c r="A24" s="7" t="s">
        <v>134</v>
      </c>
    </row>
    <row r="25" spans="1:6" ht="40" customHeight="1" x14ac:dyDescent="0.2">
      <c r="A25" s="7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83203125" defaultRowHeight="15" x14ac:dyDescent="0.2"/>
  <cols>
    <col min="1" max="1" width="100.6640625" customWidth="1"/>
    <col min="2" max="2" width="26.6640625" customWidth="1"/>
    <col min="3" max="3" width="14.6640625" customWidth="1"/>
    <col min="4" max="4" width="25.6640625" customWidth="1"/>
    <col min="5" max="6" width="14.6640625" customWidth="1"/>
    <col min="7" max="7" width="19.6640625" customWidth="1"/>
    <col min="8" max="8" width="25.6640625" customWidth="1"/>
    <col min="9" max="9" width="19.6640625" customWidth="1"/>
    <col min="10" max="10" width="25.6640625" customWidth="1"/>
    <col min="11" max="11" width="14.6640625" customWidth="1"/>
    <col min="12" max="12" width="26.6640625" customWidth="1"/>
  </cols>
  <sheetData>
    <row r="1" spans="1:12" ht="21" x14ac:dyDescent="0.25">
      <c r="A1" s="1" t="s">
        <v>136</v>
      </c>
    </row>
    <row r="2" spans="1:12" ht="16" x14ac:dyDescent="0.2">
      <c r="A2" s="7" t="s">
        <v>137</v>
      </c>
    </row>
    <row r="4" spans="1:12" x14ac:dyDescent="0.2">
      <c r="A4" s="2" t="s">
        <v>138</v>
      </c>
    </row>
    <row r="5" spans="1:12" x14ac:dyDescent="0.2">
      <c r="A5" s="4" t="s">
        <v>139</v>
      </c>
      <c r="B5" s="4" t="s">
        <v>140</v>
      </c>
      <c r="C5" s="4" t="s">
        <v>141</v>
      </c>
      <c r="D5" s="4" t="s">
        <v>83</v>
      </c>
      <c r="E5" s="4" t="s">
        <v>142</v>
      </c>
      <c r="F5" s="4" t="s">
        <v>143</v>
      </c>
    </row>
    <row r="6" spans="1:12" ht="32" x14ac:dyDescent="0.2">
      <c r="A6" s="9" t="s">
        <v>144</v>
      </c>
      <c r="B6" s="9" t="s">
        <v>145</v>
      </c>
      <c r="C6" s="7" t="s">
        <v>146</v>
      </c>
      <c r="D6" s="9" t="s">
        <v>147</v>
      </c>
      <c r="E6" s="11">
        <v>5</v>
      </c>
      <c r="F6" s="9" t="s">
        <v>148</v>
      </c>
    </row>
    <row r="7" spans="1:12" ht="16" x14ac:dyDescent="0.2">
      <c r="A7" s="9" t="s">
        <v>144</v>
      </c>
      <c r="B7" s="7" t="s">
        <v>149</v>
      </c>
      <c r="C7" s="7" t="s">
        <v>150</v>
      </c>
      <c r="D7" s="9" t="s">
        <v>151</v>
      </c>
      <c r="E7" s="11">
        <v>4</v>
      </c>
      <c r="F7" s="9" t="s">
        <v>148</v>
      </c>
    </row>
    <row r="8" spans="1:12" ht="16" x14ac:dyDescent="0.2">
      <c r="A8" s="9" t="s">
        <v>152</v>
      </c>
      <c r="B8" s="9" t="s">
        <v>153</v>
      </c>
      <c r="C8" s="7" t="s">
        <v>154</v>
      </c>
      <c r="D8" s="7" t="s">
        <v>155</v>
      </c>
      <c r="E8" s="11">
        <v>5</v>
      </c>
      <c r="F8" s="9" t="s">
        <v>156</v>
      </c>
    </row>
    <row r="9" spans="1:12" ht="16" x14ac:dyDescent="0.2">
      <c r="A9" s="9" t="s">
        <v>157</v>
      </c>
      <c r="B9" s="9" t="s">
        <v>158</v>
      </c>
      <c r="C9" s="7" t="s">
        <v>159</v>
      </c>
      <c r="D9" s="9" t="s">
        <v>160</v>
      </c>
      <c r="E9" s="11">
        <v>4</v>
      </c>
      <c r="F9" s="9" t="s">
        <v>156</v>
      </c>
    </row>
    <row r="11" spans="1:12" x14ac:dyDescent="0.2">
      <c r="A11" s="2" t="s">
        <v>161</v>
      </c>
    </row>
    <row r="12" spans="1:12" x14ac:dyDescent="0.2">
      <c r="A12" s="4" t="s">
        <v>84</v>
      </c>
      <c r="B12" s="4" t="s">
        <v>85</v>
      </c>
      <c r="C12" s="4" t="s">
        <v>162</v>
      </c>
      <c r="D12" s="4" t="s">
        <v>163</v>
      </c>
      <c r="E12" s="4" t="s">
        <v>164</v>
      </c>
      <c r="F12" s="4" t="s">
        <v>165</v>
      </c>
      <c r="G12" s="4" t="s">
        <v>166</v>
      </c>
      <c r="H12" s="4" t="s">
        <v>167</v>
      </c>
      <c r="I12" s="4" t="s">
        <v>168</v>
      </c>
      <c r="J12" s="4" t="s">
        <v>169</v>
      </c>
      <c r="K12" s="4" t="s">
        <v>170</v>
      </c>
      <c r="L12" s="4" t="s">
        <v>171</v>
      </c>
    </row>
    <row r="13" spans="1:12" x14ac:dyDescent="0.2">
      <c r="A13" s="9" t="s">
        <v>4</v>
      </c>
      <c r="B13" s="9" t="s">
        <v>172</v>
      </c>
      <c r="C13" s="11">
        <v>11548</v>
      </c>
      <c r="D13" s="6">
        <v>6</v>
      </c>
      <c r="E13" s="6">
        <v>7</v>
      </c>
      <c r="F13" s="6">
        <v>7</v>
      </c>
      <c r="G13" s="6">
        <v>2</v>
      </c>
      <c r="H13" s="6">
        <v>7</v>
      </c>
      <c r="I13" s="6">
        <v>2.7700000999999999E-3</v>
      </c>
      <c r="J13" s="6">
        <v>0.97868999999999995</v>
      </c>
      <c r="K13" s="6">
        <v>0.24049999</v>
      </c>
      <c r="L13" s="6">
        <v>5.666666666666667</v>
      </c>
    </row>
    <row r="14" spans="1:12" x14ac:dyDescent="0.2">
      <c r="A14" s="9" t="s">
        <v>100</v>
      </c>
      <c r="B14" s="9" t="s">
        <v>173</v>
      </c>
      <c r="C14" s="11">
        <v>9600</v>
      </c>
      <c r="D14" s="6">
        <v>8</v>
      </c>
      <c r="E14" s="6">
        <v>7</v>
      </c>
      <c r="F14" s="6">
        <v>4</v>
      </c>
      <c r="G14" s="6">
        <v>6</v>
      </c>
      <c r="H14" s="6">
        <v>8</v>
      </c>
      <c r="I14" s="6">
        <v>8.3400000000000002E-3</v>
      </c>
      <c r="J14" s="6">
        <v>1.01013</v>
      </c>
      <c r="K14" s="6">
        <v>0.1983</v>
      </c>
      <c r="L14" s="6">
        <v>5.666666666666667</v>
      </c>
    </row>
    <row r="15" spans="1:12" x14ac:dyDescent="0.2">
      <c r="A15" s="9" t="s">
        <v>93</v>
      </c>
      <c r="B15" s="9" t="s">
        <v>94</v>
      </c>
      <c r="C15" s="11">
        <v>83032</v>
      </c>
      <c r="D15" s="6">
        <v>9</v>
      </c>
      <c r="E15" s="6">
        <v>7</v>
      </c>
      <c r="F15" s="6">
        <v>10</v>
      </c>
      <c r="G15" s="6">
        <v>4</v>
      </c>
      <c r="H15" s="6">
        <v>9</v>
      </c>
      <c r="I15" s="6">
        <v>1.49E-3</v>
      </c>
      <c r="J15" s="6">
        <v>0.89875000000000005</v>
      </c>
      <c r="K15" s="6">
        <v>0.26860001999999999</v>
      </c>
      <c r="L15" s="6">
        <v>5.666666666666667</v>
      </c>
    </row>
    <row r="16" spans="1:12" x14ac:dyDescent="0.2">
      <c r="A16" s="9" t="s">
        <v>91</v>
      </c>
      <c r="B16" s="9" t="s">
        <v>92</v>
      </c>
      <c r="C16" s="11">
        <v>2500</v>
      </c>
      <c r="D16" s="6">
        <v>3</v>
      </c>
      <c r="E16" s="6">
        <v>3</v>
      </c>
      <c r="F16" s="6">
        <v>1</v>
      </c>
      <c r="G16" s="6">
        <v>2</v>
      </c>
      <c r="H16" s="6">
        <v>5</v>
      </c>
      <c r="I16" s="6">
        <v>1.1619999000000001E-2</v>
      </c>
      <c r="J16" s="6">
        <v>1.04121</v>
      </c>
      <c r="K16" s="6">
        <v>7.5600000000000001E-2</v>
      </c>
      <c r="L16" s="6">
        <v>5.666666666666667</v>
      </c>
    </row>
    <row r="17" spans="1:12" x14ac:dyDescent="0.2">
      <c r="A17" s="9" t="s">
        <v>95</v>
      </c>
      <c r="B17" s="9" t="s">
        <v>174</v>
      </c>
      <c r="C17" s="11">
        <v>5298</v>
      </c>
      <c r="D17" s="6">
        <v>1</v>
      </c>
      <c r="E17" s="6">
        <v>2</v>
      </c>
      <c r="F17" s="6">
        <v>3</v>
      </c>
      <c r="G17" s="6">
        <v>1</v>
      </c>
      <c r="H17" s="6">
        <v>2</v>
      </c>
      <c r="I17" s="6">
        <v>2.7299999999999998E-3</v>
      </c>
      <c r="J17" s="6">
        <v>0.95599000000000001</v>
      </c>
      <c r="K17" s="6">
        <v>0</v>
      </c>
      <c r="L17" s="6">
        <v>5.666666666666667</v>
      </c>
    </row>
    <row r="18" spans="1:12" x14ac:dyDescent="0.2">
      <c r="A18" s="9" t="s">
        <v>89</v>
      </c>
      <c r="B18" s="9" t="s">
        <v>175</v>
      </c>
      <c r="C18" s="11">
        <v>346</v>
      </c>
      <c r="D18" s="6">
        <v>7</v>
      </c>
      <c r="E18" s="6">
        <v>9</v>
      </c>
      <c r="F18" s="6">
        <v>5</v>
      </c>
      <c r="G18" s="6">
        <v>7</v>
      </c>
      <c r="H18" s="6">
        <v>5</v>
      </c>
      <c r="I18" s="6">
        <v>0.62531999999999999</v>
      </c>
      <c r="J18" s="6">
        <v>0.31465998000000001</v>
      </c>
      <c r="K18" s="6">
        <v>5.1400000000000001E-2</v>
      </c>
      <c r="L18" s="6">
        <v>5.666666666666667</v>
      </c>
    </row>
    <row r="19" spans="1:12" x14ac:dyDescent="0.2">
      <c r="A19" s="9" t="s">
        <v>98</v>
      </c>
      <c r="B19" s="9" t="s">
        <v>176</v>
      </c>
      <c r="C19" s="11">
        <v>39462</v>
      </c>
      <c r="D19" s="9"/>
      <c r="E19" s="9"/>
      <c r="F19" s="9"/>
      <c r="G19" s="9"/>
      <c r="H19" s="9"/>
      <c r="I19" s="6">
        <v>0</v>
      </c>
      <c r="J19" s="6">
        <v>0.36070000000000002</v>
      </c>
      <c r="K19" s="6">
        <v>0.32519999999999999</v>
      </c>
      <c r="L19" s="6">
        <v>5.666666666666667</v>
      </c>
    </row>
    <row r="22" spans="1:12" x14ac:dyDescent="0.2">
      <c r="A22" s="2" t="s">
        <v>177</v>
      </c>
    </row>
    <row r="23" spans="1:12" ht="40" customHeight="1" x14ac:dyDescent="0.2">
      <c r="A23" s="7" t="s">
        <v>178</v>
      </c>
    </row>
    <row r="24" spans="1:12" ht="40" customHeight="1" x14ac:dyDescent="0.2">
      <c r="A24" s="7" t="s">
        <v>179</v>
      </c>
    </row>
    <row r="25" spans="1:12" ht="40" customHeight="1" x14ac:dyDescent="0.2">
      <c r="A25" s="7" t="s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83203125" defaultRowHeight="15" x14ac:dyDescent="0.2"/>
  <cols>
    <col min="1" max="1" width="100.6640625" customWidth="1"/>
    <col min="2" max="2" width="16.6640625" customWidth="1"/>
    <col min="3" max="3" width="14.6640625" customWidth="1"/>
    <col min="4" max="4" width="26.6640625" customWidth="1"/>
    <col min="5" max="5" width="16.6640625" customWidth="1"/>
    <col min="6" max="7" width="14.6640625" customWidth="1"/>
  </cols>
  <sheetData>
    <row r="1" spans="1:7" ht="21" x14ac:dyDescent="0.25">
      <c r="A1" s="1" t="s">
        <v>181</v>
      </c>
    </row>
    <row r="2" spans="1:7" ht="16" x14ac:dyDescent="0.2">
      <c r="A2" s="7" t="s">
        <v>182</v>
      </c>
    </row>
    <row r="4" spans="1:7" x14ac:dyDescent="0.2">
      <c r="A4" s="2" t="s">
        <v>183</v>
      </c>
    </row>
    <row r="5" spans="1:7" x14ac:dyDescent="0.2">
      <c r="A5" s="4" t="s">
        <v>184</v>
      </c>
      <c r="B5" s="4" t="s">
        <v>185</v>
      </c>
    </row>
    <row r="6" spans="1:7" x14ac:dyDescent="0.2">
      <c r="A6" s="9" t="s">
        <v>186</v>
      </c>
      <c r="B6" s="6">
        <v>0.1086310786280054</v>
      </c>
    </row>
    <row r="7" spans="1:7" x14ac:dyDescent="0.2">
      <c r="A7" s="9" t="s">
        <v>187</v>
      </c>
      <c r="B7" s="6">
        <v>0.1184156311903103</v>
      </c>
    </row>
    <row r="8" spans="1:7" x14ac:dyDescent="0.2">
      <c r="A8" s="9" t="s">
        <v>188</v>
      </c>
      <c r="B8" s="6">
        <v>4.6342048165432317E-2</v>
      </c>
    </row>
    <row r="9" spans="1:7" x14ac:dyDescent="0.2">
      <c r="A9" s="9" t="s">
        <v>189</v>
      </c>
      <c r="B9" s="6">
        <v>5.1951243209716731E-2</v>
      </c>
    </row>
    <row r="10" spans="1:7" x14ac:dyDescent="0.2">
      <c r="A10" s="9" t="s">
        <v>190</v>
      </c>
      <c r="B10" s="6">
        <v>1.6274114758982709E-3</v>
      </c>
    </row>
    <row r="12" spans="1:7" x14ac:dyDescent="0.2">
      <c r="A12" s="2" t="s">
        <v>191</v>
      </c>
    </row>
    <row r="13" spans="1:7" x14ac:dyDescent="0.2">
      <c r="A13" s="4" t="s">
        <v>84</v>
      </c>
      <c r="B13" s="4" t="s">
        <v>85</v>
      </c>
      <c r="C13" s="4" t="s">
        <v>86</v>
      </c>
      <c r="D13" s="4" t="s">
        <v>61</v>
      </c>
      <c r="E13" s="4" t="s">
        <v>65</v>
      </c>
      <c r="F13" s="4" t="s">
        <v>70</v>
      </c>
      <c r="G13" s="4" t="s">
        <v>88</v>
      </c>
    </row>
    <row r="14" spans="1:7" x14ac:dyDescent="0.2">
      <c r="A14" s="9" t="s">
        <v>89</v>
      </c>
      <c r="B14" s="9" t="s">
        <v>90</v>
      </c>
      <c r="C14" s="12">
        <v>372.72699999999998</v>
      </c>
      <c r="D14" s="6">
        <v>0.49118523745261278</v>
      </c>
      <c r="E14" s="6">
        <v>0.2379705467695642</v>
      </c>
      <c r="F14" s="8">
        <v>0</v>
      </c>
      <c r="G14" s="8">
        <v>1</v>
      </c>
    </row>
    <row r="15" spans="1:7" x14ac:dyDescent="0.2">
      <c r="A15" s="9" t="s">
        <v>91</v>
      </c>
      <c r="B15" s="9" t="s">
        <v>92</v>
      </c>
      <c r="C15" s="12">
        <v>2260.5079999999998</v>
      </c>
      <c r="D15" s="6">
        <v>0.33731798339134389</v>
      </c>
      <c r="E15" s="6">
        <v>0.33517295998350949</v>
      </c>
      <c r="F15" s="8">
        <v>0.85008306446076753</v>
      </c>
      <c r="G15" s="8">
        <v>2</v>
      </c>
    </row>
    <row r="16" spans="1:7" x14ac:dyDescent="0.2">
      <c r="A16" s="9" t="s">
        <v>93</v>
      </c>
      <c r="B16" s="9" t="s">
        <v>94</v>
      </c>
      <c r="C16" s="12">
        <v>37447</v>
      </c>
      <c r="D16" s="6">
        <v>0.19972227414746169</v>
      </c>
      <c r="E16" s="6">
        <v>0.16456556532415431</v>
      </c>
      <c r="F16" s="8">
        <v>0.75766538910181636</v>
      </c>
      <c r="G16" s="8">
        <v>3</v>
      </c>
    </row>
    <row r="17" spans="1:7" x14ac:dyDescent="0.2">
      <c r="A17" s="9" t="s">
        <v>95</v>
      </c>
      <c r="B17" s="9" t="s">
        <v>96</v>
      </c>
      <c r="C17" s="12">
        <v>3146.0120000000002</v>
      </c>
      <c r="D17" s="6">
        <v>0.15596698296128561</v>
      </c>
      <c r="E17" s="6">
        <v>0.1007845622027414</v>
      </c>
      <c r="F17" s="8">
        <v>0.71028678684168833</v>
      </c>
      <c r="G17" s="8">
        <v>4</v>
      </c>
    </row>
    <row r="18" spans="1:7" x14ac:dyDescent="0.2">
      <c r="A18" s="9" t="s">
        <v>4</v>
      </c>
      <c r="B18" s="9" t="s">
        <v>97</v>
      </c>
      <c r="C18" s="12">
        <v>7941.1</v>
      </c>
      <c r="D18" s="6">
        <v>0.28659757464331143</v>
      </c>
      <c r="E18" s="6">
        <v>0.12938228879395811</v>
      </c>
      <c r="F18" s="8">
        <v>0.51294412968762826</v>
      </c>
      <c r="G18" s="8">
        <v>5</v>
      </c>
    </row>
    <row r="19" spans="1:7" x14ac:dyDescent="0.2">
      <c r="A19" s="9" t="s">
        <v>98</v>
      </c>
      <c r="B19" s="9" t="s">
        <v>99</v>
      </c>
      <c r="C19" s="12">
        <v>16131.879000000001</v>
      </c>
      <c r="D19" s="6">
        <v>0.14231336597553201</v>
      </c>
      <c r="E19" s="6">
        <v>5.7148748527216957E-2</v>
      </c>
      <c r="F19" s="8">
        <v>0.50923752706454184</v>
      </c>
      <c r="G19" s="8">
        <v>6</v>
      </c>
    </row>
    <row r="20" spans="1:7" x14ac:dyDescent="0.2">
      <c r="A20" s="9" t="s">
        <v>100</v>
      </c>
      <c r="B20" s="9" t="s">
        <v>101</v>
      </c>
      <c r="C20" s="12">
        <v>6150</v>
      </c>
      <c r="D20" s="6">
        <v>0.34308943089430888</v>
      </c>
      <c r="E20" s="6">
        <v>0.1167051578137028</v>
      </c>
      <c r="F20" s="8">
        <v>0.56070574162679421</v>
      </c>
      <c r="G20" s="8">
        <v>7</v>
      </c>
    </row>
    <row r="22" spans="1:7" x14ac:dyDescent="0.2">
      <c r="A22" s="2" t="s">
        <v>192</v>
      </c>
    </row>
    <row r="23" spans="1:7" x14ac:dyDescent="0.2">
      <c r="A23" s="4" t="s">
        <v>20</v>
      </c>
      <c r="B23" s="4" t="s">
        <v>189</v>
      </c>
      <c r="C23" s="4" t="s">
        <v>193</v>
      </c>
      <c r="D23" s="4" t="s">
        <v>194</v>
      </c>
      <c r="E23" s="4" t="s">
        <v>195</v>
      </c>
      <c r="F23" s="4" t="s">
        <v>196</v>
      </c>
    </row>
    <row r="24" spans="1:7" x14ac:dyDescent="0.2">
      <c r="A24" s="10">
        <v>44986</v>
      </c>
      <c r="B24" s="6">
        <v>4.6500000000000004</v>
      </c>
      <c r="C24" s="11">
        <v>301.82100000000003</v>
      </c>
      <c r="D24" s="11">
        <v>1996401</v>
      </c>
      <c r="E24" s="11">
        <v>1377</v>
      </c>
      <c r="F24" s="9"/>
    </row>
    <row r="25" spans="1:7" x14ac:dyDescent="0.2">
      <c r="A25" s="10">
        <v>45017</v>
      </c>
      <c r="B25" s="6">
        <v>4.83</v>
      </c>
      <c r="C25" s="11">
        <v>302.84500000000003</v>
      </c>
      <c r="D25" s="11">
        <v>2023621</v>
      </c>
      <c r="E25" s="11">
        <v>1354</v>
      </c>
      <c r="F25" s="11">
        <v>22580.499</v>
      </c>
    </row>
    <row r="26" spans="1:7" x14ac:dyDescent="0.2">
      <c r="A26" s="10">
        <v>45047</v>
      </c>
      <c r="B26" s="6">
        <v>5.0599999999999996</v>
      </c>
      <c r="C26" s="11">
        <v>303.334</v>
      </c>
      <c r="D26" s="11">
        <v>2054535</v>
      </c>
      <c r="E26" s="11">
        <v>1584</v>
      </c>
      <c r="F26" s="9"/>
    </row>
    <row r="27" spans="1:7" x14ac:dyDescent="0.2">
      <c r="A27" s="10">
        <v>45078</v>
      </c>
      <c r="B27" s="6">
        <v>5.08</v>
      </c>
      <c r="C27" s="11">
        <v>304.01400000000001</v>
      </c>
      <c r="D27" s="11">
        <v>2071559</v>
      </c>
      <c r="E27" s="11">
        <v>1421</v>
      </c>
      <c r="F27" s="9"/>
    </row>
    <row r="28" spans="1:7" x14ac:dyDescent="0.2">
      <c r="A28" s="10">
        <v>45108</v>
      </c>
      <c r="B28" s="6">
        <v>5.12</v>
      </c>
      <c r="C28" s="11">
        <v>304.60899999999998</v>
      </c>
      <c r="D28" s="11">
        <v>2085773</v>
      </c>
      <c r="E28" s="11">
        <v>1460</v>
      </c>
      <c r="F28" s="11">
        <v>22840.989000000001</v>
      </c>
    </row>
    <row r="29" spans="1:7" x14ac:dyDescent="0.2">
      <c r="A29" s="10">
        <v>45139</v>
      </c>
      <c r="B29" s="6">
        <v>5.33</v>
      </c>
      <c r="C29" s="11">
        <v>306.08199999999999</v>
      </c>
      <c r="D29" s="11">
        <v>2108277</v>
      </c>
      <c r="E29" s="11">
        <v>1317</v>
      </c>
      <c r="F29" s="9"/>
    </row>
    <row r="30" spans="1:7" x14ac:dyDescent="0.2">
      <c r="A30" s="10">
        <v>45170</v>
      </c>
      <c r="B30" s="6">
        <v>5.33</v>
      </c>
      <c r="C30" s="11">
        <v>307.27600000000001</v>
      </c>
      <c r="D30" s="11">
        <v>2123480</v>
      </c>
      <c r="E30" s="11">
        <v>1371</v>
      </c>
      <c r="F30" s="9"/>
    </row>
    <row r="31" spans="1:7" x14ac:dyDescent="0.2">
      <c r="A31" s="10">
        <v>45200</v>
      </c>
      <c r="B31" s="6">
        <v>5.33</v>
      </c>
      <c r="C31" s="11">
        <v>307.69600000000003</v>
      </c>
      <c r="D31" s="11">
        <v>2142735</v>
      </c>
      <c r="E31" s="11">
        <v>1368</v>
      </c>
      <c r="F31" s="11">
        <v>23033.78</v>
      </c>
    </row>
    <row r="32" spans="1:7" x14ac:dyDescent="0.2">
      <c r="A32" s="10">
        <v>45231</v>
      </c>
      <c r="B32" s="6">
        <v>5.33</v>
      </c>
      <c r="C32" s="11">
        <v>308.14800000000002</v>
      </c>
      <c r="D32" s="11">
        <v>2167301</v>
      </c>
      <c r="E32" s="11">
        <v>1514</v>
      </c>
      <c r="F32" s="9"/>
    </row>
    <row r="33" spans="1:6" x14ac:dyDescent="0.2">
      <c r="A33" s="10">
        <v>45261</v>
      </c>
      <c r="B33" s="6">
        <v>5.33</v>
      </c>
      <c r="C33" s="11">
        <v>308.74099999999999</v>
      </c>
      <c r="D33" s="11">
        <v>2176796</v>
      </c>
      <c r="E33" s="11">
        <v>1521</v>
      </c>
      <c r="F33" s="9"/>
    </row>
    <row r="34" spans="1:6" x14ac:dyDescent="0.2">
      <c r="A34" s="10">
        <v>45292</v>
      </c>
      <c r="B34" s="6">
        <v>5.33</v>
      </c>
      <c r="C34" s="11">
        <v>309.69799999999998</v>
      </c>
      <c r="D34" s="11">
        <v>2161405</v>
      </c>
      <c r="E34" s="11">
        <v>1381</v>
      </c>
      <c r="F34" s="11">
        <v>23082.118999999999</v>
      </c>
    </row>
    <row r="35" spans="1:6" x14ac:dyDescent="0.2">
      <c r="A35" s="10">
        <v>45323</v>
      </c>
      <c r="B35" s="6">
        <v>5.33</v>
      </c>
      <c r="C35" s="11">
        <v>310.96699999999998</v>
      </c>
      <c r="D35" s="11">
        <v>2184616</v>
      </c>
      <c r="E35" s="11">
        <v>1552</v>
      </c>
      <c r="F35" s="9"/>
    </row>
    <row r="36" spans="1:6" x14ac:dyDescent="0.2">
      <c r="A36" s="10">
        <v>45352</v>
      </c>
      <c r="B36" s="6">
        <v>5.33</v>
      </c>
      <c r="C36" s="11">
        <v>312.34500000000003</v>
      </c>
      <c r="D36" s="11">
        <v>2174863</v>
      </c>
      <c r="E36" s="11">
        <v>1312</v>
      </c>
      <c r="F36" s="9"/>
    </row>
    <row r="37" spans="1:6" x14ac:dyDescent="0.2">
      <c r="A37" s="10">
        <v>45383</v>
      </c>
      <c r="B37" s="6">
        <v>5.33</v>
      </c>
      <c r="C37" s="11">
        <v>313.02300000000002</v>
      </c>
      <c r="D37" s="11">
        <v>2206494</v>
      </c>
      <c r="E37" s="11">
        <v>1385</v>
      </c>
      <c r="F37" s="11">
        <v>23286.508000000002</v>
      </c>
    </row>
    <row r="38" spans="1:6" x14ac:dyDescent="0.2">
      <c r="A38" s="10">
        <v>45413</v>
      </c>
      <c r="B38" s="6">
        <v>5.33</v>
      </c>
      <c r="C38" s="11">
        <v>313.17500000000001</v>
      </c>
      <c r="D38" s="11">
        <v>2215350</v>
      </c>
      <c r="E38" s="11">
        <v>1316</v>
      </c>
      <c r="F38" s="9"/>
    </row>
    <row r="39" spans="1:6" x14ac:dyDescent="0.2">
      <c r="A39" s="10">
        <v>45444</v>
      </c>
      <c r="B39" s="6">
        <v>5.33</v>
      </c>
      <c r="C39" s="11">
        <v>313.04399999999998</v>
      </c>
      <c r="D39" s="11">
        <v>2199846</v>
      </c>
      <c r="E39" s="11">
        <v>1327</v>
      </c>
      <c r="F39" s="9"/>
    </row>
    <row r="40" spans="1:6" x14ac:dyDescent="0.2">
      <c r="A40" s="10">
        <v>45474</v>
      </c>
      <c r="B40" s="6">
        <v>5.33</v>
      </c>
      <c r="C40" s="11">
        <v>313.56900000000002</v>
      </c>
      <c r="D40" s="11">
        <v>2200746</v>
      </c>
      <c r="E40" s="11">
        <v>1265</v>
      </c>
      <c r="F40" s="11">
        <v>23478.57</v>
      </c>
    </row>
    <row r="41" spans="1:6" x14ac:dyDescent="0.2">
      <c r="A41" s="10">
        <v>45505</v>
      </c>
      <c r="B41" s="6">
        <v>5.33</v>
      </c>
      <c r="C41" s="11">
        <v>314.06200000000001</v>
      </c>
      <c r="D41" s="11">
        <v>2205322</v>
      </c>
      <c r="E41" s="11">
        <v>1391</v>
      </c>
      <c r="F41" s="9"/>
    </row>
    <row r="42" spans="1:6" x14ac:dyDescent="0.2">
      <c r="A42" s="10">
        <v>45536</v>
      </c>
      <c r="B42" s="6">
        <v>5.13</v>
      </c>
      <c r="C42" s="11">
        <v>314.73200000000003</v>
      </c>
      <c r="D42" s="11">
        <v>2197940</v>
      </c>
      <c r="E42" s="11">
        <v>1357</v>
      </c>
      <c r="F42" s="9"/>
    </row>
    <row r="43" spans="1:6" x14ac:dyDescent="0.2">
      <c r="A43" s="10">
        <v>45566</v>
      </c>
      <c r="B43" s="6">
        <v>4.83</v>
      </c>
      <c r="C43" s="11">
        <v>315.63099999999997</v>
      </c>
      <c r="D43" s="11">
        <v>2197116</v>
      </c>
      <c r="E43" s="11">
        <v>1352</v>
      </c>
      <c r="F43" s="11">
        <v>23586.542000000001</v>
      </c>
    </row>
    <row r="44" spans="1:6" x14ac:dyDescent="0.2">
      <c r="A44" s="10">
        <v>45597</v>
      </c>
      <c r="B44" s="6">
        <v>4.6399999999999997</v>
      </c>
      <c r="C44" s="11">
        <v>316.52800000000002</v>
      </c>
      <c r="D44" s="11">
        <v>2192932</v>
      </c>
      <c r="E44" s="11">
        <v>1295</v>
      </c>
      <c r="F44" s="9"/>
    </row>
    <row r="45" spans="1:6" x14ac:dyDescent="0.2">
      <c r="A45" s="10">
        <v>45627</v>
      </c>
      <c r="B45" s="6">
        <v>4.4800000000000004</v>
      </c>
      <c r="C45" s="11">
        <v>317.60399999999998</v>
      </c>
      <c r="D45" s="11">
        <v>2176642</v>
      </c>
      <c r="E45" s="11">
        <v>1514</v>
      </c>
      <c r="F45" s="9"/>
    </row>
    <row r="46" spans="1:6" x14ac:dyDescent="0.2">
      <c r="A46" s="10">
        <v>45658</v>
      </c>
      <c r="B46" s="6">
        <v>4.33</v>
      </c>
      <c r="C46" s="11">
        <v>318.96100000000001</v>
      </c>
      <c r="D46" s="11">
        <v>2169595</v>
      </c>
      <c r="E46" s="11">
        <v>1358</v>
      </c>
      <c r="F46" s="11">
        <v>23548.21</v>
      </c>
    </row>
    <row r="47" spans="1:6" x14ac:dyDescent="0.2">
      <c r="A47" s="10">
        <v>45689</v>
      </c>
      <c r="B47" s="6">
        <v>4.33</v>
      </c>
      <c r="C47" s="11">
        <v>319.67899999999997</v>
      </c>
      <c r="D47" s="11">
        <v>2165431</v>
      </c>
      <c r="E47" s="11">
        <v>1490</v>
      </c>
      <c r="F47" s="9"/>
    </row>
    <row r="48" spans="1:6" x14ac:dyDescent="0.2">
      <c r="A48" s="10">
        <v>45717</v>
      </c>
      <c r="B48" s="6">
        <v>4.33</v>
      </c>
      <c r="C48" s="11">
        <v>319.78500000000003</v>
      </c>
      <c r="D48" s="11">
        <v>2150847</v>
      </c>
      <c r="E48" s="11">
        <v>1355</v>
      </c>
      <c r="F48" s="9"/>
    </row>
    <row r="49" spans="1:6" x14ac:dyDescent="0.2">
      <c r="A49" s="10">
        <v>45748</v>
      </c>
      <c r="B49" s="6">
        <v>4.33</v>
      </c>
      <c r="C49" s="11">
        <v>320.30200000000002</v>
      </c>
      <c r="D49" s="11">
        <v>2153440</v>
      </c>
      <c r="E49" s="11">
        <v>1398</v>
      </c>
      <c r="F49" s="11">
        <v>23770.975999999999</v>
      </c>
    </row>
    <row r="50" spans="1:6" x14ac:dyDescent="0.2">
      <c r="A50" s="10">
        <v>45778</v>
      </c>
      <c r="B50" s="6">
        <v>4.33</v>
      </c>
      <c r="C50" s="11">
        <v>320.62</v>
      </c>
      <c r="D50" s="11">
        <v>2149124</v>
      </c>
      <c r="E50" s="11">
        <v>1282</v>
      </c>
      <c r="F50" s="9"/>
    </row>
    <row r="51" spans="1:6" x14ac:dyDescent="0.2">
      <c r="A51" s="10">
        <v>45809</v>
      </c>
      <c r="B51" s="6">
        <v>4.33</v>
      </c>
      <c r="C51" s="11">
        <v>321.435</v>
      </c>
      <c r="D51" s="11">
        <v>2160743</v>
      </c>
      <c r="E51" s="11">
        <v>1382</v>
      </c>
      <c r="F51" s="9"/>
    </row>
    <row r="52" spans="1:6" x14ac:dyDescent="0.2">
      <c r="A52" s="10">
        <v>45839</v>
      </c>
      <c r="B52" s="6">
        <v>4.33</v>
      </c>
      <c r="C52" s="11">
        <v>322.16899999999998</v>
      </c>
      <c r="D52" s="11">
        <v>2168482</v>
      </c>
      <c r="E52" s="11">
        <v>1420</v>
      </c>
      <c r="F52" s="11">
        <v>24026.833999999999</v>
      </c>
    </row>
    <row r="53" spans="1:6" x14ac:dyDescent="0.2">
      <c r="A53" s="10">
        <v>45870</v>
      </c>
      <c r="B53" s="6">
        <v>4.33</v>
      </c>
      <c r="C53" s="11">
        <v>323.291</v>
      </c>
      <c r="D53" s="11">
        <v>2177240</v>
      </c>
      <c r="E53" s="11">
        <v>1291</v>
      </c>
      <c r="F53" s="9"/>
    </row>
    <row r="54" spans="1:6" x14ac:dyDescent="0.2">
      <c r="A54" s="10">
        <v>45901</v>
      </c>
      <c r="B54" s="6">
        <v>4.22</v>
      </c>
      <c r="C54" s="11">
        <v>324.245</v>
      </c>
      <c r="D54" s="11">
        <v>2169503</v>
      </c>
      <c r="E54" s="11">
        <v>1328</v>
      </c>
      <c r="F54" s="9"/>
    </row>
    <row r="55" spans="1:6" x14ac:dyDescent="0.2">
      <c r="A55" s="10">
        <v>45931</v>
      </c>
      <c r="B55" s="6">
        <v>4.09</v>
      </c>
      <c r="C55" s="9"/>
      <c r="D55" s="11">
        <v>2167944</v>
      </c>
      <c r="E55" s="11">
        <v>1272</v>
      </c>
      <c r="F55" s="11">
        <v>24111.83</v>
      </c>
    </row>
    <row r="56" spans="1:6" x14ac:dyDescent="0.2">
      <c r="A56" s="10">
        <v>45962</v>
      </c>
      <c r="B56" s="6">
        <v>3.88</v>
      </c>
      <c r="C56" s="11">
        <v>325.06299999999999</v>
      </c>
      <c r="D56" s="11">
        <v>2163119</v>
      </c>
      <c r="E56" s="11">
        <v>1322</v>
      </c>
      <c r="F56" s="9"/>
    </row>
    <row r="57" spans="1:6" x14ac:dyDescent="0.2">
      <c r="A57" s="10">
        <v>45992</v>
      </c>
      <c r="B57" s="6">
        <v>3.72</v>
      </c>
      <c r="C57" s="11">
        <v>326.03100000000001</v>
      </c>
      <c r="D57" s="11">
        <v>2168775</v>
      </c>
      <c r="E57" s="11">
        <v>1404</v>
      </c>
      <c r="F57" s="9"/>
    </row>
    <row r="58" spans="1:6" x14ac:dyDescent="0.2">
      <c r="A58" s="10">
        <v>46023</v>
      </c>
      <c r="B58" s="6">
        <v>3.64</v>
      </c>
      <c r="C58" s="11">
        <v>326.58800000000002</v>
      </c>
      <c r="D58" s="9"/>
      <c r="E58" s="9"/>
      <c r="F58" s="9"/>
    </row>
    <row r="59" spans="1:6" x14ac:dyDescent="0.2">
      <c r="A59" s="10">
        <v>46054</v>
      </c>
      <c r="B59" s="6">
        <v>3.64</v>
      </c>
      <c r="C59" s="9"/>
      <c r="D59" s="9"/>
      <c r="E59" s="9"/>
      <c r="F59" s="9"/>
    </row>
    <row r="62" spans="1:6" x14ac:dyDescent="0.2">
      <c r="A62" s="2" t="s">
        <v>197</v>
      </c>
    </row>
    <row r="63" spans="1:6" ht="40" customHeight="1" x14ac:dyDescent="0.2">
      <c r="A63" s="7" t="s">
        <v>198</v>
      </c>
    </row>
    <row r="64" spans="1:6" ht="40" customHeight="1" x14ac:dyDescent="0.2">
      <c r="A64" s="7" t="s">
        <v>199</v>
      </c>
    </row>
    <row r="65" spans="1:1" ht="40" customHeight="1" x14ac:dyDescent="0.2">
      <c r="A65" s="7" t="s">
        <v>200</v>
      </c>
    </row>
    <row r="66" spans="1:1" ht="40" customHeight="1" x14ac:dyDescent="0.2">
      <c r="A66" s="7" t="s">
        <v>201</v>
      </c>
    </row>
    <row r="67" spans="1:1" ht="40" customHeight="1" x14ac:dyDescent="0.2">
      <c r="A67" s="7" t="s">
        <v>202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83203125" defaultRowHeight="15" x14ac:dyDescent="0.2"/>
  <cols>
    <col min="1" max="1" width="100.6640625" customWidth="1"/>
    <col min="2" max="2" width="20.6640625" customWidth="1"/>
    <col min="3" max="3" width="26.6640625" customWidth="1"/>
    <col min="4" max="8" width="20.6640625" customWidth="1"/>
  </cols>
  <sheetData>
    <row r="1" spans="1:8" ht="21" x14ac:dyDescent="0.25">
      <c r="A1" s="1" t="s">
        <v>203</v>
      </c>
    </row>
    <row r="2" spans="1:8" ht="16" x14ac:dyDescent="0.2">
      <c r="A2" s="7" t="s">
        <v>204</v>
      </c>
    </row>
    <row r="4" spans="1:8" x14ac:dyDescent="0.2">
      <c r="A4" s="2" t="s">
        <v>205</v>
      </c>
    </row>
    <row r="5" spans="1:8" x14ac:dyDescent="0.2">
      <c r="A5" s="4" t="s">
        <v>84</v>
      </c>
      <c r="B5" s="4" t="s">
        <v>85</v>
      </c>
      <c r="C5" s="4" t="s">
        <v>79</v>
      </c>
      <c r="D5" s="4" t="s">
        <v>80</v>
      </c>
      <c r="E5" s="4" t="s">
        <v>81</v>
      </c>
      <c r="F5" s="4" t="s">
        <v>82</v>
      </c>
      <c r="G5" s="4" t="s">
        <v>65</v>
      </c>
      <c r="H5" s="4" t="s">
        <v>70</v>
      </c>
    </row>
    <row r="6" spans="1:8" x14ac:dyDescent="0.2">
      <c r="A6" s="9" t="s">
        <v>89</v>
      </c>
      <c r="B6" s="9" t="s">
        <v>90</v>
      </c>
      <c r="C6" s="8">
        <v>25.402171382014519</v>
      </c>
      <c r="D6" s="8">
        <v>16.603592798260848</v>
      </c>
      <c r="E6" s="8">
        <v>8.1554396711802468</v>
      </c>
      <c r="F6" s="8">
        <v>5.4075663680639234</v>
      </c>
      <c r="G6" s="6">
        <v>0.2379705467695642</v>
      </c>
      <c r="H6" s="8">
        <v>0</v>
      </c>
    </row>
    <row r="7" spans="1:8" x14ac:dyDescent="0.2">
      <c r="A7" s="9" t="s">
        <v>91</v>
      </c>
      <c r="B7" s="9" t="s">
        <v>92</v>
      </c>
      <c r="C7" s="8">
        <v>13.32733612050512</v>
      </c>
      <c r="D7" s="8">
        <v>9.6969427228757645</v>
      </c>
      <c r="E7" s="8">
        <v>3.270953164341821</v>
      </c>
      <c r="F7" s="8">
        <v>4.2397891093704949</v>
      </c>
      <c r="G7" s="6">
        <v>0.33517295998350949</v>
      </c>
      <c r="H7" s="8">
        <v>0.85008306446076753</v>
      </c>
    </row>
    <row r="8" spans="1:8" x14ac:dyDescent="0.2">
      <c r="A8" s="9" t="s">
        <v>93</v>
      </c>
      <c r="B8" s="9" t="s">
        <v>94</v>
      </c>
      <c r="C8" s="8">
        <v>19.003679630498269</v>
      </c>
      <c r="D8" s="8">
        <v>11.420217897213529</v>
      </c>
      <c r="E8" s="8">
        <v>2.2808718896910301</v>
      </c>
      <c r="F8" s="8">
        <v>2.9712052013522738</v>
      </c>
      <c r="G8" s="6">
        <v>0.16456556532415431</v>
      </c>
      <c r="H8" s="8">
        <v>0.75766538910181636</v>
      </c>
    </row>
    <row r="9" spans="1:8" x14ac:dyDescent="0.2">
      <c r="A9" s="9" t="s">
        <v>95</v>
      </c>
      <c r="B9" s="9" t="s">
        <v>96</v>
      </c>
      <c r="C9" s="8">
        <v>29.400979458726461</v>
      </c>
      <c r="D9" s="8">
        <v>11.535662063814261</v>
      </c>
      <c r="E9" s="8">
        <v>1.799182408554068</v>
      </c>
      <c r="F9" s="8">
        <v>2.8143195043694469</v>
      </c>
      <c r="G9" s="6">
        <v>0.1007845622027414</v>
      </c>
      <c r="H9" s="8">
        <v>0.71028678684168833</v>
      </c>
    </row>
    <row r="10" spans="1:8" x14ac:dyDescent="0.2">
      <c r="A10" s="9" t="s">
        <v>4</v>
      </c>
      <c r="B10" s="9" t="s">
        <v>97</v>
      </c>
      <c r="C10" s="8">
        <v>33.270285820302782</v>
      </c>
      <c r="D10" s="8">
        <v>17.580612831284331</v>
      </c>
      <c r="E10" s="8">
        <v>5.0385609981891681</v>
      </c>
      <c r="F10" s="8">
        <v>4.2019585392218266</v>
      </c>
      <c r="G10" s="6">
        <v>0.12938228879395811</v>
      </c>
      <c r="H10" s="8">
        <v>0.51294412968762826</v>
      </c>
    </row>
    <row r="11" spans="1:8" x14ac:dyDescent="0.2">
      <c r="A11" s="9" t="s">
        <v>98</v>
      </c>
      <c r="B11" s="9" t="s">
        <v>99</v>
      </c>
      <c r="C11" s="8">
        <v>22.760108355091639</v>
      </c>
      <c r="D11" s="8">
        <v>9.3133826650888025</v>
      </c>
      <c r="E11" s="8">
        <v>1.325418835686959</v>
      </c>
      <c r="F11" s="8">
        <v>1.245122920667151</v>
      </c>
      <c r="G11" s="6">
        <v>5.7148748527216957E-2</v>
      </c>
      <c r="H11" s="8">
        <v>0.50923752706454184</v>
      </c>
    </row>
    <row r="12" spans="1:8" x14ac:dyDescent="0.2">
      <c r="A12" s="9" t="s">
        <v>100</v>
      </c>
      <c r="B12" s="9" t="s">
        <v>101</v>
      </c>
      <c r="C12" s="8">
        <v>32.49105929280563</v>
      </c>
      <c r="D12" s="8">
        <v>20.142338585744071</v>
      </c>
      <c r="E12" s="8">
        <v>6.9106234822634143</v>
      </c>
      <c r="F12" s="8">
        <v>3.6824496028628388</v>
      </c>
      <c r="G12" s="6">
        <v>0.1167051578137028</v>
      </c>
      <c r="H12" s="8">
        <v>0.56070574162679421</v>
      </c>
    </row>
    <row r="14" spans="1:8" x14ac:dyDescent="0.2">
      <c r="A14" s="2" t="s">
        <v>206</v>
      </c>
    </row>
    <row r="15" spans="1:8" x14ac:dyDescent="0.2">
      <c r="A15" s="4" t="s">
        <v>3</v>
      </c>
      <c r="B15" s="4" t="s">
        <v>110</v>
      </c>
      <c r="C15" s="4" t="s">
        <v>207</v>
      </c>
    </row>
    <row r="16" spans="1:8" x14ac:dyDescent="0.2">
      <c r="A16" s="9" t="s">
        <v>208</v>
      </c>
      <c r="B16" s="11">
        <v>274.33</v>
      </c>
      <c r="C16" s="9" t="s">
        <v>209</v>
      </c>
    </row>
    <row r="17" spans="1:8" x14ac:dyDescent="0.2">
      <c r="A17" s="9" t="s">
        <v>210</v>
      </c>
      <c r="B17" s="11">
        <v>33.66962455662334</v>
      </c>
      <c r="C17" s="9" t="s">
        <v>211</v>
      </c>
    </row>
    <row r="18" spans="1:8" x14ac:dyDescent="0.2">
      <c r="A18" s="9" t="s">
        <v>212</v>
      </c>
      <c r="B18" s="11">
        <v>17.580612831284331</v>
      </c>
      <c r="C18" s="9" t="s">
        <v>213</v>
      </c>
    </row>
    <row r="19" spans="1:8" x14ac:dyDescent="0.2">
      <c r="A19" s="9" t="s">
        <v>214</v>
      </c>
      <c r="B19" s="11">
        <v>26.195964870184628</v>
      </c>
      <c r="C19" s="9" t="s">
        <v>215</v>
      </c>
    </row>
    <row r="20" spans="1:8" x14ac:dyDescent="0.2">
      <c r="A20" s="9" t="s">
        <v>216</v>
      </c>
      <c r="B20" s="11">
        <v>5.0385609981891681</v>
      </c>
      <c r="C20" s="9" t="s">
        <v>217</v>
      </c>
    </row>
    <row r="21" spans="1:8" x14ac:dyDescent="0.2">
      <c r="A21" s="9" t="s">
        <v>218</v>
      </c>
      <c r="B21" s="11">
        <v>4.2019585392218266</v>
      </c>
      <c r="C21" s="9" t="s">
        <v>219</v>
      </c>
    </row>
    <row r="23" spans="1:8" x14ac:dyDescent="0.2">
      <c r="A23" s="2" t="s">
        <v>220</v>
      </c>
    </row>
    <row r="24" spans="1:8" x14ac:dyDescent="0.2">
      <c r="A24" s="4" t="s">
        <v>221</v>
      </c>
      <c r="B24" s="4" t="s">
        <v>44</v>
      </c>
      <c r="C24" s="4" t="s">
        <v>222</v>
      </c>
      <c r="D24" s="4" t="s">
        <v>79</v>
      </c>
      <c r="E24" s="4" t="s">
        <v>80</v>
      </c>
      <c r="F24" s="4" t="s">
        <v>223</v>
      </c>
      <c r="G24" s="4" t="s">
        <v>81</v>
      </c>
      <c r="H24" s="4" t="s">
        <v>82</v>
      </c>
    </row>
    <row r="25" spans="1:8" x14ac:dyDescent="0.2">
      <c r="A25" s="11">
        <v>4</v>
      </c>
      <c r="B25" s="11">
        <v>2021</v>
      </c>
      <c r="C25" s="13">
        <v>200.61848449707031</v>
      </c>
      <c r="D25" s="8">
        <v>39.963841533280942</v>
      </c>
      <c r="E25" s="8">
        <v>21.275156952923179</v>
      </c>
      <c r="F25" s="8">
        <v>31.412439724564049</v>
      </c>
      <c r="G25" s="8">
        <v>5.4975446994630746</v>
      </c>
      <c r="H25" s="8">
        <v>4.0920653445926476</v>
      </c>
    </row>
    <row r="26" spans="1:8" x14ac:dyDescent="0.2">
      <c r="A26" s="11">
        <v>3</v>
      </c>
      <c r="B26" s="11">
        <v>2022</v>
      </c>
      <c r="C26" s="13">
        <v>170.79539489746091</v>
      </c>
      <c r="D26" s="8">
        <v>39.627701832357531</v>
      </c>
      <c r="E26" s="8">
        <v>16.505667754051199</v>
      </c>
      <c r="F26" s="8">
        <v>25.92488077542572</v>
      </c>
      <c r="G26" s="8">
        <v>3.6485215384816252</v>
      </c>
      <c r="H26" s="8">
        <v>3.2933442193662179</v>
      </c>
    </row>
    <row r="27" spans="1:8" x14ac:dyDescent="0.2">
      <c r="A27" s="11">
        <v>2</v>
      </c>
      <c r="B27" s="11">
        <v>2023</v>
      </c>
      <c r="C27" s="13">
        <v>223.32127380371091</v>
      </c>
      <c r="D27" s="8">
        <v>31.994451834342541</v>
      </c>
      <c r="E27" s="8">
        <v>16.931649292262868</v>
      </c>
      <c r="F27" s="8">
        <v>24.832744144271778</v>
      </c>
      <c r="G27" s="8">
        <v>4.2192593463750692</v>
      </c>
      <c r="H27" s="8">
        <v>3.9899048971799118</v>
      </c>
    </row>
    <row r="28" spans="1:8" x14ac:dyDescent="0.2">
      <c r="A28" s="11">
        <v>1</v>
      </c>
      <c r="B28" s="11">
        <v>2024</v>
      </c>
      <c r="C28" s="13">
        <v>254.8528137207031</v>
      </c>
      <c r="D28" s="8">
        <v>37.204790324190242</v>
      </c>
      <c r="E28" s="8">
        <v>19.074599174789519</v>
      </c>
      <c r="F28" s="8">
        <v>27.712205075729241</v>
      </c>
      <c r="G28" s="8">
        <v>5.2157689723533691</v>
      </c>
      <c r="H28" s="8">
        <v>4.1781722841654458</v>
      </c>
    </row>
    <row r="29" spans="1:8" x14ac:dyDescent="0.2">
      <c r="A29" s="11">
        <v>0</v>
      </c>
      <c r="B29" s="11">
        <v>2025</v>
      </c>
      <c r="C29" s="13">
        <v>284.6806640625</v>
      </c>
      <c r="D29" s="9"/>
      <c r="E29" s="9"/>
      <c r="F29" s="9"/>
      <c r="G29" s="9"/>
      <c r="H29" s="9"/>
    </row>
    <row r="31" spans="1:8" x14ac:dyDescent="0.2">
      <c r="A31" s="2" t="s">
        <v>224</v>
      </c>
    </row>
    <row r="32" spans="1:8" x14ac:dyDescent="0.2">
      <c r="A32" s="4" t="s">
        <v>207</v>
      </c>
      <c r="B32" s="4" t="s">
        <v>225</v>
      </c>
      <c r="C32" s="4" t="s">
        <v>226</v>
      </c>
    </row>
    <row r="33" spans="1:3" x14ac:dyDescent="0.2">
      <c r="A33" s="9" t="s">
        <v>227</v>
      </c>
      <c r="B33" s="13">
        <v>196.20590330700989</v>
      </c>
      <c r="C33" s="9" t="s">
        <v>228</v>
      </c>
    </row>
    <row r="34" spans="1:3" x14ac:dyDescent="0.2">
      <c r="A34" s="9" t="s">
        <v>229</v>
      </c>
      <c r="B34" s="13">
        <v>167.965837821794</v>
      </c>
      <c r="C34" s="9" t="s">
        <v>230</v>
      </c>
    </row>
    <row r="35" spans="1:3" x14ac:dyDescent="0.2">
      <c r="A35" s="9" t="s">
        <v>231</v>
      </c>
      <c r="B35" s="13">
        <v>136.7295639771601</v>
      </c>
      <c r="C35" s="9" t="s">
        <v>232</v>
      </c>
    </row>
    <row r="36" spans="1:3" x14ac:dyDescent="0.2">
      <c r="A36" s="9" t="s">
        <v>233</v>
      </c>
      <c r="B36" s="13">
        <v>217.19599389221531</v>
      </c>
      <c r="C36" s="9" t="s">
        <v>234</v>
      </c>
    </row>
    <row r="39" spans="1:3" x14ac:dyDescent="0.2">
      <c r="A39" s="2" t="s">
        <v>235</v>
      </c>
    </row>
    <row r="40" spans="1:3" ht="40" customHeight="1" x14ac:dyDescent="0.2">
      <c r="A40" s="7" t="s">
        <v>236</v>
      </c>
    </row>
    <row r="41" spans="1:3" ht="40" customHeight="1" x14ac:dyDescent="0.2">
      <c r="A41" s="7" t="s">
        <v>237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83203125" defaultRowHeight="15" x14ac:dyDescent="0.2"/>
  <cols>
    <col min="1" max="1" width="100.6640625" customWidth="1"/>
    <col min="2" max="2" width="20.6640625" customWidth="1"/>
    <col min="6" max="6" width="21.6640625" customWidth="1"/>
    <col min="7" max="9" width="20.6640625" customWidth="1"/>
  </cols>
  <sheetData>
    <row r="1" spans="1:7" ht="21" x14ac:dyDescent="0.25">
      <c r="A1" s="1" t="s">
        <v>238</v>
      </c>
    </row>
    <row r="2" spans="1:7" ht="16" x14ac:dyDescent="0.2">
      <c r="A2" s="7" t="s">
        <v>239</v>
      </c>
    </row>
    <row r="4" spans="1:7" x14ac:dyDescent="0.2">
      <c r="A4" s="2" t="s">
        <v>240</v>
      </c>
      <c r="F4" s="2" t="s">
        <v>243</v>
      </c>
    </row>
    <row r="5" spans="1:7" x14ac:dyDescent="0.2">
      <c r="A5" s="4" t="s">
        <v>241</v>
      </c>
      <c r="B5" s="4" t="s">
        <v>242</v>
      </c>
      <c r="F5" s="4" t="s">
        <v>244</v>
      </c>
      <c r="G5" s="4" t="s">
        <v>110</v>
      </c>
    </row>
    <row r="6" spans="1:7" x14ac:dyDescent="0.2">
      <c r="A6" s="11">
        <v>2017</v>
      </c>
      <c r="B6" s="13">
        <v>1</v>
      </c>
      <c r="F6" s="9" t="s">
        <v>245</v>
      </c>
      <c r="G6" s="11">
        <v>0.52</v>
      </c>
    </row>
    <row r="7" spans="1:7" x14ac:dyDescent="0.2">
      <c r="A7" s="11">
        <v>2018</v>
      </c>
      <c r="B7" s="13">
        <v>1.1200000000000001</v>
      </c>
      <c r="F7" s="9" t="s">
        <v>246</v>
      </c>
      <c r="G7" s="11">
        <v>-7.0081653710829972E-2</v>
      </c>
    </row>
    <row r="8" spans="1:7" x14ac:dyDescent="0.2">
      <c r="A8" s="11">
        <v>2019</v>
      </c>
      <c r="B8" s="13">
        <v>1.24</v>
      </c>
      <c r="F8" s="9" t="s">
        <v>247</v>
      </c>
      <c r="G8" s="11">
        <v>0.04</v>
      </c>
    </row>
    <row r="9" spans="1:7" x14ac:dyDescent="0.2">
      <c r="A9" s="11">
        <v>2020</v>
      </c>
      <c r="B9" s="13">
        <v>1.36</v>
      </c>
      <c r="F9" s="9" t="s">
        <v>248</v>
      </c>
      <c r="G9" s="11">
        <v>5.5E-2</v>
      </c>
    </row>
    <row r="10" spans="1:7" x14ac:dyDescent="0.2">
      <c r="A10" s="11">
        <v>2021</v>
      </c>
      <c r="B10" s="13">
        <v>1.48</v>
      </c>
      <c r="F10" s="9" t="s">
        <v>249</v>
      </c>
      <c r="G10" s="11">
        <v>0.82801551108594607</v>
      </c>
    </row>
    <row r="11" spans="1:7" x14ac:dyDescent="0.2">
      <c r="A11" s="11">
        <v>2022</v>
      </c>
      <c r="B11" s="13">
        <v>1.6</v>
      </c>
      <c r="F11" s="9" t="s">
        <v>250</v>
      </c>
      <c r="G11" s="11">
        <v>8.5540853109727033E-2</v>
      </c>
    </row>
    <row r="12" spans="1:7" x14ac:dyDescent="0.2">
      <c r="A12" s="11">
        <v>2023</v>
      </c>
      <c r="B12" s="13">
        <v>1.72</v>
      </c>
      <c r="F12" s="9" t="s">
        <v>251</v>
      </c>
      <c r="G12" s="11">
        <v>3.1895527284657173E-2</v>
      </c>
    </row>
    <row r="13" spans="1:7" x14ac:dyDescent="0.2">
      <c r="A13" s="11">
        <v>2024</v>
      </c>
      <c r="B13" s="13">
        <v>1.84</v>
      </c>
      <c r="F13" s="9" t="s">
        <v>252</v>
      </c>
      <c r="G13" s="11">
        <v>0.04</v>
      </c>
    </row>
    <row r="14" spans="1:7" x14ac:dyDescent="0.2">
      <c r="A14" s="11">
        <v>2025</v>
      </c>
      <c r="B14" s="13">
        <v>1.96</v>
      </c>
      <c r="F14" s="9" t="s">
        <v>253</v>
      </c>
      <c r="G14" s="11">
        <v>0.03</v>
      </c>
    </row>
    <row r="15" spans="1:7" x14ac:dyDescent="0.2">
      <c r="A15" s="11">
        <v>2026</v>
      </c>
      <c r="B15" s="13">
        <v>0.52</v>
      </c>
    </row>
    <row r="17" spans="1:9" x14ac:dyDescent="0.2">
      <c r="F17" s="2" t="s">
        <v>254</v>
      </c>
    </row>
    <row r="18" spans="1:9" x14ac:dyDescent="0.2">
      <c r="F18" s="4" t="s">
        <v>255</v>
      </c>
      <c r="G18" s="4" t="s">
        <v>256</v>
      </c>
      <c r="H18" s="4" t="s">
        <v>257</v>
      </c>
      <c r="I18" s="4" t="s">
        <v>258</v>
      </c>
    </row>
    <row r="19" spans="1:9" x14ac:dyDescent="0.2">
      <c r="F19" s="6">
        <v>7.5540853109727038E-2</v>
      </c>
      <c r="G19" s="11">
        <v>11.26823663532609</v>
      </c>
      <c r="H19" s="11">
        <v>12.295279735873979</v>
      </c>
      <c r="I19" s="11">
        <v>13.5756581813314</v>
      </c>
    </row>
    <row r="20" spans="1:9" x14ac:dyDescent="0.2">
      <c r="F20" s="6">
        <v>8.5540853109727033E-2</v>
      </c>
      <c r="G20" s="11">
        <v>9.3963352187919575</v>
      </c>
      <c r="H20" s="11">
        <v>10.073811777102581</v>
      </c>
      <c r="I20" s="11">
        <v>10.88533367035042</v>
      </c>
    </row>
    <row r="21" spans="1:9" x14ac:dyDescent="0.2">
      <c r="F21" s="6">
        <v>9.5540853109727028E-2</v>
      </c>
      <c r="G21" s="11">
        <v>8.0554889713338493</v>
      </c>
      <c r="H21" s="11">
        <v>8.5304663627112411</v>
      </c>
      <c r="I21" s="11">
        <v>9.0838994359926364</v>
      </c>
    </row>
    <row r="26" spans="1:9" x14ac:dyDescent="0.2">
      <c r="A26" s="2" t="s">
        <v>259</v>
      </c>
    </row>
    <row r="27" spans="1:9" ht="40" customHeight="1" x14ac:dyDescent="0.2">
      <c r="A27" s="7" t="s">
        <v>260</v>
      </c>
    </row>
    <row r="28" spans="1:9" ht="40" customHeight="1" x14ac:dyDescent="0.2">
      <c r="A28" s="7" t="s">
        <v>261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8"/>
  <sheetViews>
    <sheetView workbookViewId="0">
      <pane xSplit="1" ySplit="3" topLeftCell="B4" activePane="bottomRight" state="frozen"/>
      <selection activeCell="K52" sqref="K52"/>
      <selection pane="topRight" activeCell="K52" sqref="K52"/>
      <selection pane="bottomLeft" activeCell="K52" sqref="K52"/>
      <selection pane="bottomRight" activeCell="K52" sqref="K52"/>
    </sheetView>
  </sheetViews>
  <sheetFormatPr baseColWidth="10" defaultColWidth="8.83203125" defaultRowHeight="15" x14ac:dyDescent="0.2"/>
  <cols>
    <col min="1" max="1" width="100.6640625" customWidth="1"/>
    <col min="2" max="5" width="20.6640625" customWidth="1"/>
    <col min="6" max="6" width="15.6640625" customWidth="1"/>
    <col min="7" max="8" width="20.6640625" customWidth="1"/>
    <col min="10" max="10" width="21.6640625" customWidth="1"/>
    <col min="11" max="13" width="20.6640625" customWidth="1"/>
  </cols>
  <sheetData>
    <row r="1" spans="1:13" ht="21" x14ac:dyDescent="0.25">
      <c r="A1" s="1" t="s">
        <v>262</v>
      </c>
    </row>
    <row r="2" spans="1:13" ht="16" x14ac:dyDescent="0.2">
      <c r="A2" s="7" t="s">
        <v>263</v>
      </c>
    </row>
    <row r="4" spans="1:13" x14ac:dyDescent="0.2">
      <c r="A4" s="2" t="s">
        <v>264</v>
      </c>
      <c r="J4" s="2" t="s">
        <v>285</v>
      </c>
    </row>
    <row r="5" spans="1:13" x14ac:dyDescent="0.2">
      <c r="A5" s="4" t="s">
        <v>244</v>
      </c>
      <c r="B5" s="4" t="s">
        <v>110</v>
      </c>
      <c r="J5" s="4" t="s">
        <v>3</v>
      </c>
      <c r="K5" s="4" t="s">
        <v>110</v>
      </c>
    </row>
    <row r="6" spans="1:13" x14ac:dyDescent="0.2">
      <c r="A6" s="9" t="s">
        <v>265</v>
      </c>
      <c r="B6" s="11">
        <v>0.1012726251852987</v>
      </c>
      <c r="J6" s="9" t="s">
        <v>286</v>
      </c>
      <c r="K6" s="11">
        <v>27763.74070366281</v>
      </c>
    </row>
    <row r="7" spans="1:13" x14ac:dyDescent="0.2">
      <c r="A7" s="9" t="s">
        <v>266</v>
      </c>
      <c r="B7" s="11">
        <v>0.1923411114329249</v>
      </c>
      <c r="J7" s="9" t="s">
        <v>287</v>
      </c>
      <c r="K7" s="11">
        <v>23574.140703662812</v>
      </c>
    </row>
    <row r="8" spans="1:13" x14ac:dyDescent="0.2">
      <c r="A8" s="9" t="s">
        <v>267</v>
      </c>
      <c r="B8" s="11">
        <v>9.4256463210386471E-2</v>
      </c>
      <c r="J8" s="9" t="s">
        <v>288</v>
      </c>
      <c r="K8" s="11">
        <v>180.53355321472179</v>
      </c>
    </row>
    <row r="9" spans="1:13" x14ac:dyDescent="0.2">
      <c r="A9" s="9" t="s">
        <v>268</v>
      </c>
      <c r="B9" s="11">
        <v>8.5340821800506228E-2</v>
      </c>
      <c r="J9" s="9" t="s">
        <v>289</v>
      </c>
      <c r="K9" s="11">
        <v>16500.363982646759</v>
      </c>
    </row>
    <row r="10" spans="1:13" x14ac:dyDescent="0.2">
      <c r="A10" s="9" t="s">
        <v>269</v>
      </c>
      <c r="B10" s="11">
        <v>0.2029693619271889</v>
      </c>
      <c r="J10" s="9" t="s">
        <v>290</v>
      </c>
      <c r="K10" s="11">
        <v>126.36173579215971</v>
      </c>
    </row>
    <row r="11" spans="1:13" x14ac:dyDescent="0.2">
      <c r="A11" s="9" t="s">
        <v>270</v>
      </c>
      <c r="B11" s="11">
        <v>0.22120710740234509</v>
      </c>
    </row>
    <row r="12" spans="1:13" x14ac:dyDescent="0.2">
      <c r="A12" s="9" t="s">
        <v>271</v>
      </c>
      <c r="B12" s="11">
        <v>8.5540853109727033E-2</v>
      </c>
    </row>
    <row r="13" spans="1:13" x14ac:dyDescent="0.2">
      <c r="A13" s="9" t="s">
        <v>272</v>
      </c>
      <c r="B13" s="11">
        <v>4.2689440955809163E-2</v>
      </c>
      <c r="J13" s="2" t="s">
        <v>291</v>
      </c>
    </row>
    <row r="14" spans="1:13" x14ac:dyDescent="0.2">
      <c r="A14" s="9" t="s">
        <v>273</v>
      </c>
      <c r="B14" s="11">
        <v>8.0878958293081477E-2</v>
      </c>
      <c r="J14" s="4" t="s">
        <v>273</v>
      </c>
      <c r="K14" s="4" t="s">
        <v>292</v>
      </c>
      <c r="L14" s="4" t="s">
        <v>256</v>
      </c>
      <c r="M14" s="4" t="s">
        <v>257</v>
      </c>
    </row>
    <row r="15" spans="1:13" x14ac:dyDescent="0.2">
      <c r="A15" s="9" t="s">
        <v>253</v>
      </c>
      <c r="B15" s="11">
        <v>2.5000000000000001E-2</v>
      </c>
      <c r="J15" s="11">
        <v>7.0878958293081482E-2</v>
      </c>
      <c r="K15" s="11">
        <v>207.07938683887349</v>
      </c>
      <c r="L15" s="11">
        <v>228.1256496579889</v>
      </c>
      <c r="M15" s="11">
        <v>254.32034670779689</v>
      </c>
    </row>
    <row r="16" spans="1:13" x14ac:dyDescent="0.2">
      <c r="A16" s="9" t="s">
        <v>274</v>
      </c>
      <c r="B16" s="11">
        <v>0</v>
      </c>
      <c r="J16" s="11">
        <v>8.0878958293081477E-2</v>
      </c>
      <c r="K16" s="11">
        <v>166.74788414817539</v>
      </c>
      <c r="L16" s="11">
        <v>180.53355321472179</v>
      </c>
      <c r="M16" s="11">
        <v>197.0287252917536</v>
      </c>
    </row>
    <row r="17" spans="1:13" x14ac:dyDescent="0.2">
      <c r="J17" s="11">
        <v>9.0878958293081472E-2</v>
      </c>
      <c r="K17" s="11">
        <v>137.82955089434611</v>
      </c>
      <c r="L17" s="11">
        <v>147.4209464329825</v>
      </c>
      <c r="M17" s="11">
        <v>158.58782811782751</v>
      </c>
    </row>
    <row r="18" spans="1:13" x14ac:dyDescent="0.2">
      <c r="A18" s="2" t="s">
        <v>275</v>
      </c>
    </row>
    <row r="19" spans="1:13" x14ac:dyDescent="0.2">
      <c r="A19" s="4" t="s">
        <v>241</v>
      </c>
      <c r="B19" s="4" t="s">
        <v>45</v>
      </c>
      <c r="C19" s="4" t="s">
        <v>48</v>
      </c>
      <c r="D19" s="4" t="s">
        <v>276</v>
      </c>
      <c r="E19" s="4" t="s">
        <v>277</v>
      </c>
      <c r="F19" s="4" t="s">
        <v>278</v>
      </c>
      <c r="G19" s="4" t="s">
        <v>279</v>
      </c>
      <c r="H19" s="4" t="s">
        <v>280</v>
      </c>
    </row>
    <row r="20" spans="1:13" x14ac:dyDescent="0.2">
      <c r="A20" s="11">
        <v>2026</v>
      </c>
      <c r="B20" s="12">
        <v>8745.3160438589748</v>
      </c>
      <c r="C20" s="12">
        <v>1682.083807708025</v>
      </c>
      <c r="D20" s="11">
        <v>1309.9949141966099</v>
      </c>
      <c r="E20" s="11">
        <v>824.30255995119592</v>
      </c>
      <c r="F20" s="12">
        <v>746.33245808807681</v>
      </c>
      <c r="G20" s="11">
        <v>163.23121727366421</v>
      </c>
      <c r="H20" s="12">
        <v>1224.7337987860651</v>
      </c>
    </row>
    <row r="21" spans="1:13" x14ac:dyDescent="0.2">
      <c r="A21" s="11">
        <v>2027</v>
      </c>
      <c r="B21" s="12">
        <v>9587.2505774763886</v>
      </c>
      <c r="C21" s="12">
        <v>1844.0224316577601</v>
      </c>
      <c r="D21" s="11">
        <v>1436.1115635657079</v>
      </c>
      <c r="E21" s="11">
        <v>903.66033134465965</v>
      </c>
      <c r="F21" s="12">
        <v>818.18384308921293</v>
      </c>
      <c r="G21" s="11">
        <v>170.88691507279199</v>
      </c>
      <c r="H21" s="12">
        <v>1350.7011367483631</v>
      </c>
    </row>
    <row r="22" spans="1:13" x14ac:dyDescent="0.2">
      <c r="A22" s="11">
        <v>2028</v>
      </c>
      <c r="B22" s="12">
        <v>10462.304105991931</v>
      </c>
      <c r="C22" s="12">
        <v>2012.331199895742</v>
      </c>
      <c r="D22" s="11">
        <v>1567.1892360313141</v>
      </c>
      <c r="E22" s="11">
        <v>986.13978206230365</v>
      </c>
      <c r="F22" s="12">
        <v>892.86163033216189</v>
      </c>
      <c r="G22" s="11">
        <v>177.60905633493451</v>
      </c>
      <c r="H22" s="12">
        <v>1482.858331426522</v>
      </c>
    </row>
    <row r="23" spans="1:13" x14ac:dyDescent="0.2">
      <c r="A23" s="11">
        <v>2029</v>
      </c>
      <c r="B23" s="12">
        <v>11364.914546702779</v>
      </c>
      <c r="C23" s="12">
        <v>2185.940295253029</v>
      </c>
      <c r="D23" s="11">
        <v>1702.3947655858781</v>
      </c>
      <c r="E23" s="11">
        <v>1071.216649860477</v>
      </c>
      <c r="F23" s="12">
        <v>969.89114710814317</v>
      </c>
      <c r="G23" s="11">
        <v>183.2022652199006</v>
      </c>
      <c r="H23" s="12">
        <v>1620.5180031183111</v>
      </c>
    </row>
    <row r="24" spans="1:13" x14ac:dyDescent="0.2">
      <c r="A24" s="11">
        <v>2030</v>
      </c>
      <c r="B24" s="12">
        <v>12288.570986919911</v>
      </c>
      <c r="C24" s="12">
        <v>2363.5974015465699</v>
      </c>
      <c r="D24" s="11">
        <v>1840.7528572867541</v>
      </c>
      <c r="E24" s="11">
        <v>1158.2772391368389</v>
      </c>
      <c r="F24" s="12">
        <v>1048.716746777603</v>
      </c>
      <c r="G24" s="11">
        <v>187.4739583108082</v>
      </c>
      <c r="H24" s="12">
        <v>1762.839391335182</v>
      </c>
    </row>
    <row r="26" spans="1:13" x14ac:dyDescent="0.2">
      <c r="A26" s="2" t="s">
        <v>281</v>
      </c>
    </row>
    <row r="27" spans="1:13" x14ac:dyDescent="0.2">
      <c r="A27" s="4" t="s">
        <v>241</v>
      </c>
      <c r="B27" s="4" t="s">
        <v>282</v>
      </c>
      <c r="C27" s="4" t="s">
        <v>277</v>
      </c>
      <c r="D27" s="4" t="s">
        <v>278</v>
      </c>
      <c r="E27" s="4" t="s">
        <v>279</v>
      </c>
      <c r="F27" s="4" t="s">
        <v>283</v>
      </c>
      <c r="G27" s="4" t="s">
        <v>284</v>
      </c>
    </row>
    <row r="28" spans="1:13" x14ac:dyDescent="0.2">
      <c r="A28" s="11">
        <v>2026</v>
      </c>
      <c r="B28" s="12">
        <v>1185.7402355370109</v>
      </c>
      <c r="C28" s="11">
        <v>824.30255995119592</v>
      </c>
      <c r="D28" s="12">
        <v>746.33245808807681</v>
      </c>
      <c r="E28" s="11">
        <v>163.23121727366421</v>
      </c>
      <c r="F28" s="11">
        <v>0</v>
      </c>
      <c r="G28" s="12">
        <v>1100.4791201264659</v>
      </c>
    </row>
    <row r="29" spans="1:13" x14ac:dyDescent="0.2">
      <c r="A29" s="11">
        <v>2027</v>
      </c>
      <c r="B29" s="12">
        <v>1180.356735537011</v>
      </c>
      <c r="C29" s="11">
        <v>903.66033134465965</v>
      </c>
      <c r="D29" s="12">
        <v>818.18384308921293</v>
      </c>
      <c r="E29" s="11">
        <v>170.88691507279199</v>
      </c>
      <c r="F29" s="11">
        <v>0</v>
      </c>
      <c r="G29" s="12">
        <v>1094.9463087196659</v>
      </c>
    </row>
    <row r="30" spans="1:13" x14ac:dyDescent="0.2">
      <c r="A30" s="11">
        <v>2028</v>
      </c>
      <c r="B30" s="12">
        <v>1174.9732355370111</v>
      </c>
      <c r="C30" s="11">
        <v>986.13978206230365</v>
      </c>
      <c r="D30" s="12">
        <v>892.86163033216189</v>
      </c>
      <c r="E30" s="11">
        <v>177.60905633493451</v>
      </c>
      <c r="F30" s="11">
        <v>0</v>
      </c>
      <c r="G30" s="12">
        <v>1090.6423309322181</v>
      </c>
    </row>
    <row r="31" spans="1:13" x14ac:dyDescent="0.2">
      <c r="A31" s="11">
        <v>2029</v>
      </c>
      <c r="B31" s="12">
        <v>1169.5897355370109</v>
      </c>
      <c r="C31" s="11">
        <v>1071.216649860477</v>
      </c>
      <c r="D31" s="12">
        <v>969.89114710814317</v>
      </c>
      <c r="E31" s="11">
        <v>183.2022652199006</v>
      </c>
      <c r="F31" s="11">
        <v>0</v>
      </c>
      <c r="G31" s="12">
        <v>1087.7129730694439</v>
      </c>
    </row>
    <row r="32" spans="1:13" x14ac:dyDescent="0.2">
      <c r="A32" s="11">
        <v>2030</v>
      </c>
      <c r="B32" s="12">
        <v>1164.206235537011</v>
      </c>
      <c r="C32" s="11">
        <v>1158.2772391368389</v>
      </c>
      <c r="D32" s="12">
        <v>1048.716746777603</v>
      </c>
      <c r="E32" s="11">
        <v>187.4739583108082</v>
      </c>
      <c r="F32" s="11">
        <v>0</v>
      </c>
      <c r="G32" s="12">
        <v>1086.2927695854389</v>
      </c>
    </row>
    <row r="35" spans="1:1" x14ac:dyDescent="0.2">
      <c r="A35" s="2" t="s">
        <v>293</v>
      </c>
    </row>
    <row r="36" spans="1:1" ht="40" customHeight="1" x14ac:dyDescent="0.2">
      <c r="A36" s="7" t="s">
        <v>294</v>
      </c>
    </row>
    <row r="37" spans="1:1" ht="40" customHeight="1" x14ac:dyDescent="0.2">
      <c r="A37" s="7" t="s">
        <v>295</v>
      </c>
    </row>
    <row r="38" spans="1:1" ht="40" customHeight="1" x14ac:dyDescent="0.2">
      <c r="A38" s="7" t="s">
        <v>296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DC3EC-E2D6-944D-BC4C-2205964B2888}">
  <dimension ref="A1:W818"/>
  <sheetViews>
    <sheetView tabSelected="1" topLeftCell="A377" zoomScale="123" zoomScaleNormal="123" workbookViewId="0">
      <selection activeCell="S447" sqref="S447:T447"/>
    </sheetView>
  </sheetViews>
  <sheetFormatPr baseColWidth="10" defaultRowHeight="15" x14ac:dyDescent="0.2"/>
  <cols>
    <col min="1" max="1" width="85.6640625" style="109" customWidth="1"/>
    <col min="2" max="6" width="15.6640625" style="109" customWidth="1"/>
    <col min="7" max="8" width="15.6640625" style="110" customWidth="1"/>
    <col min="9" max="9" width="10.83203125" style="113" customWidth="1"/>
    <col min="10" max="10" width="71.5" style="200" customWidth="1"/>
    <col min="11" max="12" width="10.83203125" style="113"/>
    <col min="13" max="13" width="61.33203125" style="113" customWidth="1"/>
    <col min="14" max="15" width="10.83203125" style="113"/>
    <col min="16" max="16" width="51.33203125" style="113" customWidth="1"/>
    <col min="17" max="18" width="10.83203125" style="113"/>
    <col min="19" max="19" width="76" style="113" customWidth="1"/>
    <col min="20" max="20" width="10.83203125" style="113"/>
    <col min="21" max="21" width="13" style="113" customWidth="1"/>
    <col min="22" max="22" width="65.6640625" style="113" customWidth="1"/>
    <col min="23" max="24" width="10.83203125" style="113"/>
    <col min="25" max="25" width="59.83203125" style="113" customWidth="1"/>
    <col min="26" max="16384" width="10.83203125" style="113"/>
  </cols>
  <sheetData>
    <row r="1" spans="1:23" x14ac:dyDescent="0.2">
      <c r="J1" s="113"/>
    </row>
    <row r="2" spans="1:23" x14ac:dyDescent="0.2">
      <c r="A2" s="114" t="s">
        <v>731</v>
      </c>
      <c r="I2" s="113" t="s">
        <v>732</v>
      </c>
      <c r="J2" s="113" t="s">
        <v>733</v>
      </c>
    </row>
    <row r="3" spans="1:23" x14ac:dyDescent="0.2">
      <c r="A3" s="114" t="s">
        <v>865</v>
      </c>
      <c r="J3" s="113"/>
    </row>
    <row r="4" spans="1:23" x14ac:dyDescent="0.2">
      <c r="A4" s="114"/>
      <c r="J4" s="113"/>
    </row>
    <row r="5" spans="1:23" x14ac:dyDescent="0.2">
      <c r="A5" s="114" t="s">
        <v>866</v>
      </c>
      <c r="B5" s="109" t="s">
        <v>867</v>
      </c>
      <c r="C5" s="109" t="s">
        <v>868</v>
      </c>
      <c r="J5" s="113"/>
    </row>
    <row r="6" spans="1:23" x14ac:dyDescent="0.2">
      <c r="A6" s="114" t="s">
        <v>866</v>
      </c>
      <c r="B6" s="109" t="s">
        <v>869</v>
      </c>
      <c r="C6" s="109" t="s">
        <v>733</v>
      </c>
      <c r="J6" s="113"/>
    </row>
    <row r="7" spans="1:23" x14ac:dyDescent="0.2">
      <c r="A7" s="114" t="s">
        <v>866</v>
      </c>
      <c r="B7" s="109" t="s">
        <v>870</v>
      </c>
      <c r="C7" s="109" t="s">
        <v>868</v>
      </c>
      <c r="J7" s="113"/>
    </row>
    <row r="8" spans="1:23" x14ac:dyDescent="0.2">
      <c r="A8" s="114"/>
      <c r="J8" s="113"/>
    </row>
    <row r="9" spans="1:23" x14ac:dyDescent="0.2">
      <c r="A9" s="120" t="s">
        <v>871</v>
      </c>
      <c r="B9" s="120"/>
      <c r="C9" s="120"/>
      <c r="D9" s="120"/>
      <c r="E9" s="120"/>
      <c r="F9" s="120"/>
      <c r="G9" s="121"/>
      <c r="H9" s="121"/>
      <c r="J9" s="122" t="s">
        <v>872</v>
      </c>
      <c r="K9" s="123"/>
      <c r="M9" s="122" t="s">
        <v>873</v>
      </c>
      <c r="N9" s="123"/>
      <c r="P9" s="122" t="s">
        <v>119</v>
      </c>
      <c r="Q9" s="124"/>
      <c r="S9" s="122" t="s">
        <v>874</v>
      </c>
      <c r="T9" s="124"/>
      <c r="V9" s="122" t="s">
        <v>875</v>
      </c>
      <c r="W9" s="124"/>
    </row>
    <row r="10" spans="1:23" x14ac:dyDescent="0.2">
      <c r="A10" s="125" t="s">
        <v>664</v>
      </c>
      <c r="B10" s="125"/>
      <c r="C10" s="125"/>
      <c r="D10" s="125"/>
      <c r="E10" s="125"/>
      <c r="F10" s="125"/>
      <c r="G10" s="126"/>
      <c r="H10" s="126"/>
      <c r="J10" s="111" t="s">
        <v>860</v>
      </c>
      <c r="K10" s="111"/>
      <c r="M10" s="111" t="s">
        <v>861</v>
      </c>
      <c r="N10" s="111"/>
      <c r="P10" s="111" t="s">
        <v>862</v>
      </c>
      <c r="Q10" s="111"/>
      <c r="S10" s="111" t="s">
        <v>863</v>
      </c>
      <c r="T10" s="111"/>
      <c r="V10" s="111" t="s">
        <v>864</v>
      </c>
      <c r="W10" s="111"/>
    </row>
    <row r="11" spans="1:23" x14ac:dyDescent="0.2">
      <c r="A11" s="125" t="s">
        <v>311</v>
      </c>
      <c r="B11" s="127" t="s">
        <v>312</v>
      </c>
      <c r="C11" s="127" t="s">
        <v>313</v>
      </c>
      <c r="D11" s="127" t="s">
        <v>314</v>
      </c>
      <c r="E11" s="127" t="s">
        <v>315</v>
      </c>
      <c r="F11" s="127" t="s">
        <v>316</v>
      </c>
      <c r="G11" s="128"/>
      <c r="H11" s="128"/>
      <c r="J11" s="111" t="s">
        <v>311</v>
      </c>
      <c r="K11" s="112" t="s">
        <v>312</v>
      </c>
      <c r="M11" s="111" t="s">
        <v>311</v>
      </c>
      <c r="N11" s="112" t="s">
        <v>312</v>
      </c>
      <c r="P11" s="111" t="s">
        <v>311</v>
      </c>
      <c r="Q11" s="112" t="s">
        <v>312</v>
      </c>
      <c r="S11" s="111" t="s">
        <v>311</v>
      </c>
      <c r="T11" s="112" t="s">
        <v>312</v>
      </c>
      <c r="V11" s="111" t="s">
        <v>311</v>
      </c>
      <c r="W11" s="112" t="s">
        <v>832</v>
      </c>
    </row>
    <row r="12" spans="1:23" x14ac:dyDescent="0.2">
      <c r="A12" s="129" t="s">
        <v>72</v>
      </c>
      <c r="B12" s="130"/>
      <c r="C12" s="130"/>
      <c r="D12" s="130"/>
      <c r="E12" s="130"/>
      <c r="F12" s="130"/>
      <c r="G12" s="151"/>
      <c r="H12" s="151"/>
      <c r="J12" s="115" t="s">
        <v>72</v>
      </c>
      <c r="K12" s="116"/>
      <c r="M12" s="115" t="s">
        <v>72</v>
      </c>
      <c r="N12" s="116"/>
      <c r="P12" s="115" t="s">
        <v>72</v>
      </c>
      <c r="Q12" s="116"/>
      <c r="S12" s="115" t="s">
        <v>72</v>
      </c>
      <c r="T12" s="116"/>
      <c r="V12" s="115" t="s">
        <v>72</v>
      </c>
      <c r="W12" s="116"/>
    </row>
    <row r="13" spans="1:23" x14ac:dyDescent="0.2">
      <c r="A13" s="131" t="s">
        <v>663</v>
      </c>
      <c r="B13" s="132">
        <v>183.3</v>
      </c>
      <c r="C13" s="132">
        <v>559.70000000000005</v>
      </c>
      <c r="D13" s="132">
        <v>931.1</v>
      </c>
      <c r="E13" s="132">
        <v>161.4</v>
      </c>
      <c r="F13" s="132">
        <v>235</v>
      </c>
      <c r="G13" s="153"/>
      <c r="H13" s="153"/>
      <c r="J13" s="117" t="s">
        <v>663</v>
      </c>
      <c r="K13" s="119">
        <v>67</v>
      </c>
      <c r="M13" s="117" t="s">
        <v>663</v>
      </c>
      <c r="N13" s="118">
        <v>123.42</v>
      </c>
      <c r="P13" s="117" t="s">
        <v>663</v>
      </c>
      <c r="Q13" s="118">
        <v>4096</v>
      </c>
      <c r="S13" s="117" t="s">
        <v>663</v>
      </c>
      <c r="T13" s="118">
        <v>1976.07</v>
      </c>
      <c r="V13" s="117" t="s">
        <v>663</v>
      </c>
      <c r="W13" s="119">
        <v>20.399999999999999</v>
      </c>
    </row>
    <row r="14" spans="1:23" x14ac:dyDescent="0.2">
      <c r="A14" s="133" t="s">
        <v>662</v>
      </c>
      <c r="B14" s="132">
        <v>183.3</v>
      </c>
      <c r="C14" s="132">
        <v>559.70000000000005</v>
      </c>
      <c r="D14" s="132">
        <v>931.1</v>
      </c>
      <c r="E14" s="132">
        <v>161.4</v>
      </c>
      <c r="F14" s="132">
        <v>235</v>
      </c>
      <c r="G14" s="153"/>
      <c r="H14" s="153"/>
      <c r="J14" s="108" t="s">
        <v>662</v>
      </c>
      <c r="K14" s="119">
        <v>67</v>
      </c>
      <c r="M14" s="108" t="s">
        <v>662</v>
      </c>
      <c r="N14" s="118">
        <v>123.42</v>
      </c>
      <c r="P14" s="108" t="s">
        <v>662</v>
      </c>
      <c r="Q14" s="118">
        <v>4096</v>
      </c>
      <c r="S14" s="108" t="s">
        <v>662</v>
      </c>
      <c r="T14" s="118">
        <v>1822.36</v>
      </c>
      <c r="V14" s="108" t="s">
        <v>662</v>
      </c>
      <c r="W14" s="119">
        <v>20.399999999999999</v>
      </c>
    </row>
    <row r="15" spans="1:23" x14ac:dyDescent="0.2">
      <c r="A15" s="131" t="s">
        <v>661</v>
      </c>
      <c r="B15" s="132">
        <v>887.7</v>
      </c>
      <c r="C15" s="132">
        <v>892.3</v>
      </c>
      <c r="D15" s="132">
        <v>889.7</v>
      </c>
      <c r="E15" s="132">
        <v>1045.3</v>
      </c>
      <c r="F15" s="132">
        <v>838.7</v>
      </c>
      <c r="G15" s="153"/>
      <c r="H15" s="153"/>
      <c r="J15" s="117" t="s">
        <v>661</v>
      </c>
      <c r="K15" s="118">
        <v>723</v>
      </c>
      <c r="M15" s="117" t="s">
        <v>661</v>
      </c>
      <c r="N15" s="118">
        <v>355.56</v>
      </c>
      <c r="P15" s="117" t="s">
        <v>661</v>
      </c>
      <c r="Q15" s="118">
        <v>5452</v>
      </c>
      <c r="S15" s="108" t="s">
        <v>821</v>
      </c>
      <c r="T15" s="118">
        <v>153.71</v>
      </c>
      <c r="V15" s="117" t="s">
        <v>661</v>
      </c>
      <c r="W15" s="118">
        <v>222.35</v>
      </c>
    </row>
    <row r="16" spans="1:23" x14ac:dyDescent="0.2">
      <c r="A16" s="133" t="s">
        <v>660</v>
      </c>
      <c r="B16" s="132">
        <v>887.7</v>
      </c>
      <c r="C16" s="132">
        <v>892.3</v>
      </c>
      <c r="D16" s="132">
        <v>889.7</v>
      </c>
      <c r="E16" s="132">
        <v>845.6</v>
      </c>
      <c r="F16" s="132">
        <v>783.2</v>
      </c>
      <c r="G16" s="153"/>
      <c r="H16" s="153"/>
      <c r="J16" s="108" t="s">
        <v>660</v>
      </c>
      <c r="K16" s="118">
        <v>708</v>
      </c>
      <c r="M16" s="108" t="s">
        <v>660</v>
      </c>
      <c r="N16" s="118">
        <v>150.65</v>
      </c>
      <c r="P16" s="108" t="s">
        <v>660</v>
      </c>
      <c r="Q16" s="118">
        <v>5178</v>
      </c>
      <c r="S16" s="108" t="s">
        <v>822</v>
      </c>
      <c r="T16" s="118">
        <v>153.71</v>
      </c>
      <c r="V16" s="108" t="s">
        <v>660</v>
      </c>
      <c r="W16" s="118">
        <v>212.33</v>
      </c>
    </row>
    <row r="17" spans="1:23" x14ac:dyDescent="0.2">
      <c r="A17" s="133" t="s">
        <v>659</v>
      </c>
      <c r="B17" s="132">
        <v>898.2</v>
      </c>
      <c r="C17" s="132">
        <v>905.5</v>
      </c>
      <c r="D17" s="132">
        <v>903.3</v>
      </c>
      <c r="E17" s="132">
        <v>856.5</v>
      </c>
      <c r="F17" s="132">
        <v>793.5</v>
      </c>
      <c r="G17" s="153"/>
      <c r="H17" s="153"/>
      <c r="J17" s="108" t="s">
        <v>659</v>
      </c>
      <c r="K17" s="118">
        <v>715</v>
      </c>
      <c r="M17" s="108" t="s">
        <v>659</v>
      </c>
      <c r="N17" s="118">
        <v>155.84</v>
      </c>
      <c r="P17" s="108" t="s">
        <v>659</v>
      </c>
      <c r="Q17" s="118">
        <v>5315</v>
      </c>
      <c r="S17" s="117" t="s">
        <v>661</v>
      </c>
      <c r="T17" s="118">
        <v>2556.6799999999998</v>
      </c>
      <c r="V17" s="108" t="s">
        <v>659</v>
      </c>
      <c r="W17" s="118">
        <v>218.73</v>
      </c>
    </row>
    <row r="18" spans="1:23" x14ac:dyDescent="0.2">
      <c r="A18" s="133" t="s">
        <v>658</v>
      </c>
      <c r="B18" s="135">
        <v>10.5</v>
      </c>
      <c r="C18" s="135">
        <v>13.2</v>
      </c>
      <c r="D18" s="135">
        <v>13.6</v>
      </c>
      <c r="E18" s="135">
        <v>10.9</v>
      </c>
      <c r="F18" s="135">
        <v>10.3</v>
      </c>
      <c r="G18" s="152"/>
      <c r="H18" s="152"/>
      <c r="J18" s="108" t="s">
        <v>658</v>
      </c>
      <c r="K18" s="119">
        <v>7</v>
      </c>
      <c r="M18" s="108" t="s">
        <v>658</v>
      </c>
      <c r="N18" s="119">
        <v>5.19</v>
      </c>
      <c r="P18" s="108" t="s">
        <v>658</v>
      </c>
      <c r="Q18" s="118">
        <v>137</v>
      </c>
      <c r="S18" s="108" t="s">
        <v>660</v>
      </c>
      <c r="T18" s="118">
        <v>1769.5</v>
      </c>
      <c r="V18" s="108" t="s">
        <v>658</v>
      </c>
      <c r="W18" s="119">
        <v>6.4</v>
      </c>
    </row>
    <row r="19" spans="1:23" x14ac:dyDescent="0.2">
      <c r="A19" s="133" t="s">
        <v>657</v>
      </c>
      <c r="B19" s="138"/>
      <c r="C19" s="138"/>
      <c r="D19" s="138"/>
      <c r="E19" s="132">
        <v>199.7</v>
      </c>
      <c r="F19" s="135">
        <v>55.5</v>
      </c>
      <c r="G19" s="152"/>
      <c r="H19" s="152"/>
      <c r="J19" s="108" t="s">
        <v>657</v>
      </c>
      <c r="K19" s="119">
        <v>15</v>
      </c>
      <c r="M19" s="108" t="s">
        <v>657</v>
      </c>
      <c r="N19" s="118">
        <v>204.91</v>
      </c>
      <c r="P19" s="108" t="s">
        <v>767</v>
      </c>
      <c r="Q19" s="118">
        <v>274</v>
      </c>
      <c r="S19" s="108" t="s">
        <v>657</v>
      </c>
      <c r="T19" s="118">
        <v>787.18</v>
      </c>
      <c r="V19" s="108" t="s">
        <v>767</v>
      </c>
      <c r="W19" s="119">
        <v>10.02</v>
      </c>
    </row>
    <row r="20" spans="1:23" x14ac:dyDescent="0.2">
      <c r="A20" s="131" t="s">
        <v>656</v>
      </c>
      <c r="B20" s="132">
        <v>680.5</v>
      </c>
      <c r="C20" s="132">
        <v>681.8</v>
      </c>
      <c r="D20" s="132">
        <v>615.6</v>
      </c>
      <c r="E20" s="132">
        <v>579.29999999999995</v>
      </c>
      <c r="F20" s="132">
        <v>521.29999999999995</v>
      </c>
      <c r="G20" s="153"/>
      <c r="H20" s="153"/>
      <c r="J20" s="117" t="s">
        <v>656</v>
      </c>
      <c r="K20" s="118">
        <v>1078</v>
      </c>
      <c r="M20" s="117" t="s">
        <v>656</v>
      </c>
      <c r="N20" s="118">
        <v>435.71</v>
      </c>
      <c r="P20" s="117" t="s">
        <v>656</v>
      </c>
      <c r="Q20" s="118">
        <v>5251</v>
      </c>
      <c r="S20" s="117" t="s">
        <v>656</v>
      </c>
      <c r="T20" s="118">
        <v>1522.35</v>
      </c>
      <c r="V20" s="117" t="s">
        <v>656</v>
      </c>
      <c r="W20" s="118">
        <v>415.18</v>
      </c>
    </row>
    <row r="21" spans="1:23" x14ac:dyDescent="0.2">
      <c r="A21" s="133" t="s">
        <v>655</v>
      </c>
      <c r="B21" s="135">
        <v>36.700000000000003</v>
      </c>
      <c r="C21" s="135">
        <v>69.7</v>
      </c>
      <c r="D21" s="135">
        <v>51.2</v>
      </c>
      <c r="E21" s="135">
        <v>63.4</v>
      </c>
      <c r="F21" s="135">
        <v>59.9</v>
      </c>
      <c r="G21" s="152"/>
      <c r="H21" s="152"/>
      <c r="J21" s="108" t="s">
        <v>655</v>
      </c>
      <c r="K21" s="119">
        <v>49</v>
      </c>
      <c r="M21" s="108" t="s">
        <v>655</v>
      </c>
      <c r="N21" s="118">
        <v>131.43</v>
      </c>
      <c r="P21" s="108" t="s">
        <v>655</v>
      </c>
      <c r="Q21" s="118">
        <v>2295</v>
      </c>
      <c r="S21" s="108" t="s">
        <v>655</v>
      </c>
      <c r="T21" s="118">
        <v>1522.35</v>
      </c>
      <c r="V21" s="108" t="s">
        <v>655</v>
      </c>
      <c r="W21" s="118">
        <v>164.68</v>
      </c>
    </row>
    <row r="22" spans="1:23" x14ac:dyDescent="0.2">
      <c r="A22" s="133" t="s">
        <v>654</v>
      </c>
      <c r="B22" s="135">
        <v>5.4</v>
      </c>
      <c r="C22" s="135">
        <v>9</v>
      </c>
      <c r="D22" s="135">
        <v>6.5</v>
      </c>
      <c r="E22" s="135">
        <v>6</v>
      </c>
      <c r="F22" s="135">
        <v>4.2</v>
      </c>
      <c r="G22" s="152"/>
      <c r="H22" s="152"/>
      <c r="J22" s="108" t="s">
        <v>654</v>
      </c>
      <c r="K22" s="119">
        <v>14</v>
      </c>
      <c r="M22" s="108" t="s">
        <v>653</v>
      </c>
      <c r="N22" s="118">
        <v>304.27999999999997</v>
      </c>
      <c r="P22" s="108" t="s">
        <v>654</v>
      </c>
      <c r="Q22" s="118">
        <v>360</v>
      </c>
      <c r="S22" s="117" t="s">
        <v>651</v>
      </c>
      <c r="T22" s="119">
        <v>41.67</v>
      </c>
      <c r="V22" s="108" t="s">
        <v>653</v>
      </c>
      <c r="W22" s="119">
        <v>91.1</v>
      </c>
    </row>
    <row r="23" spans="1:23" x14ac:dyDescent="0.2">
      <c r="A23" s="133" t="s">
        <v>653</v>
      </c>
      <c r="B23" s="132">
        <v>557.70000000000005</v>
      </c>
      <c r="C23" s="132">
        <v>534.6</v>
      </c>
      <c r="D23" s="132">
        <v>494.4</v>
      </c>
      <c r="E23" s="132">
        <v>439.3</v>
      </c>
      <c r="F23" s="132">
        <v>418</v>
      </c>
      <c r="G23" s="153"/>
      <c r="H23" s="153"/>
      <c r="J23" s="108" t="s">
        <v>653</v>
      </c>
      <c r="K23" s="118">
        <v>1378</v>
      </c>
      <c r="M23" s="117" t="s">
        <v>759</v>
      </c>
      <c r="N23" s="119">
        <v>46.23</v>
      </c>
      <c r="P23" s="108" t="s">
        <v>653</v>
      </c>
      <c r="Q23" s="118">
        <v>2596</v>
      </c>
      <c r="S23" s="136" t="s">
        <v>647</v>
      </c>
      <c r="T23" s="137">
        <v>6096.77</v>
      </c>
      <c r="V23" s="108" t="s">
        <v>652</v>
      </c>
      <c r="W23" s="118">
        <v>159.38999999999999</v>
      </c>
    </row>
    <row r="24" spans="1:23" x14ac:dyDescent="0.2">
      <c r="A24" s="133" t="s">
        <v>652</v>
      </c>
      <c r="B24" s="135">
        <v>80.7</v>
      </c>
      <c r="C24" s="135">
        <v>68.5</v>
      </c>
      <c r="D24" s="135">
        <v>63.5</v>
      </c>
      <c r="E24" s="135">
        <v>70.599999999999994</v>
      </c>
      <c r="F24" s="135">
        <v>39.200000000000003</v>
      </c>
      <c r="G24" s="152"/>
      <c r="H24" s="152"/>
      <c r="J24" s="108" t="s">
        <v>652</v>
      </c>
      <c r="K24" s="139">
        <v>-363</v>
      </c>
      <c r="M24" s="136" t="s">
        <v>647</v>
      </c>
      <c r="N24" s="137">
        <v>960.92</v>
      </c>
      <c r="P24" s="117" t="s">
        <v>759</v>
      </c>
      <c r="Q24" s="118">
        <v>394</v>
      </c>
      <c r="S24" s="115" t="s">
        <v>646</v>
      </c>
      <c r="T24" s="116"/>
      <c r="V24" s="117" t="s">
        <v>759</v>
      </c>
      <c r="W24" s="119">
        <v>10.73</v>
      </c>
    </row>
    <row r="25" spans="1:23" x14ac:dyDescent="0.2">
      <c r="A25" s="131" t="s">
        <v>651</v>
      </c>
      <c r="B25" s="132">
        <v>708.5</v>
      </c>
      <c r="C25" s="138"/>
      <c r="D25" s="138"/>
      <c r="E25" s="138"/>
      <c r="F25" s="138"/>
      <c r="G25" s="154"/>
      <c r="H25" s="154"/>
      <c r="J25" s="117" t="s">
        <v>651</v>
      </c>
      <c r="K25" s="118">
        <v>1230</v>
      </c>
      <c r="M25" s="115" t="s">
        <v>646</v>
      </c>
      <c r="N25" s="116"/>
      <c r="P25" s="117" t="s">
        <v>650</v>
      </c>
      <c r="Q25" s="119">
        <v>61</v>
      </c>
      <c r="S25" s="117" t="s">
        <v>645</v>
      </c>
      <c r="T25" s="119">
        <v>83.65</v>
      </c>
      <c r="V25" s="136" t="s">
        <v>647</v>
      </c>
      <c r="W25" s="137">
        <v>668.66</v>
      </c>
    </row>
    <row r="26" spans="1:23" x14ac:dyDescent="0.2">
      <c r="A26" s="131" t="s">
        <v>650</v>
      </c>
      <c r="B26" s="132">
        <v>107.9</v>
      </c>
      <c r="C26" s="132">
        <v>131.9</v>
      </c>
      <c r="D26" s="135">
        <v>88.5</v>
      </c>
      <c r="E26" s="132">
        <v>116</v>
      </c>
      <c r="F26" s="132">
        <v>101.6</v>
      </c>
      <c r="G26" s="153"/>
      <c r="H26" s="153"/>
      <c r="J26" s="117" t="s">
        <v>650</v>
      </c>
      <c r="K26" s="119">
        <v>95</v>
      </c>
      <c r="M26" s="117" t="s">
        <v>645</v>
      </c>
      <c r="N26" s="119">
        <v>55.32</v>
      </c>
      <c r="P26" s="108" t="s">
        <v>649</v>
      </c>
      <c r="Q26" s="119">
        <v>51</v>
      </c>
      <c r="S26" s="108" t="s">
        <v>823</v>
      </c>
      <c r="T26" s="119">
        <v>83.65</v>
      </c>
      <c r="V26" s="115" t="s">
        <v>646</v>
      </c>
      <c r="W26" s="116"/>
    </row>
    <row r="27" spans="1:23" x14ac:dyDescent="0.2">
      <c r="A27" s="133" t="s">
        <v>649</v>
      </c>
      <c r="B27" s="135">
        <v>6.1</v>
      </c>
      <c r="C27" s="135">
        <v>41.1</v>
      </c>
      <c r="D27" s="135">
        <v>18.100000000000001</v>
      </c>
      <c r="E27" s="135">
        <v>0.1</v>
      </c>
      <c r="F27" s="135">
        <v>6.5</v>
      </c>
      <c r="G27" s="152"/>
      <c r="H27" s="152"/>
      <c r="J27" s="108" t="s">
        <v>648</v>
      </c>
      <c r="K27" s="119">
        <v>95</v>
      </c>
      <c r="M27" s="108" t="s">
        <v>644</v>
      </c>
      <c r="N27" s="119">
        <v>55.32</v>
      </c>
      <c r="P27" s="108" t="s">
        <v>648</v>
      </c>
      <c r="Q27" s="119">
        <v>10</v>
      </c>
      <c r="S27" s="117" t="s">
        <v>768</v>
      </c>
      <c r="T27" s="118">
        <v>792.14</v>
      </c>
      <c r="V27" s="117" t="s">
        <v>768</v>
      </c>
      <c r="W27" s="118">
        <v>140.09</v>
      </c>
    </row>
    <row r="28" spans="1:23" x14ac:dyDescent="0.2">
      <c r="A28" s="133" t="s">
        <v>648</v>
      </c>
      <c r="B28" s="132">
        <v>101.8</v>
      </c>
      <c r="C28" s="135">
        <v>90.8</v>
      </c>
      <c r="D28" s="135">
        <v>70.400000000000006</v>
      </c>
      <c r="E28" s="132">
        <v>115.9</v>
      </c>
      <c r="F28" s="135">
        <v>95.1</v>
      </c>
      <c r="G28" s="152"/>
      <c r="H28" s="152"/>
      <c r="J28" s="136" t="s">
        <v>647</v>
      </c>
      <c r="K28" s="137">
        <v>3193</v>
      </c>
      <c r="M28" s="117" t="s">
        <v>643</v>
      </c>
      <c r="N28" s="118">
        <v>2081.52</v>
      </c>
      <c r="P28" s="136" t="s">
        <v>647</v>
      </c>
      <c r="Q28" s="140">
        <v>15254</v>
      </c>
      <c r="S28" s="117" t="s">
        <v>824</v>
      </c>
      <c r="T28" s="118">
        <v>128.16999999999999</v>
      </c>
      <c r="V28" s="117" t="s">
        <v>643</v>
      </c>
      <c r="W28" s="118">
        <v>1822.3</v>
      </c>
    </row>
    <row r="29" spans="1:23" x14ac:dyDescent="0.2">
      <c r="A29" s="141" t="s">
        <v>647</v>
      </c>
      <c r="B29" s="142">
        <v>2567.9</v>
      </c>
      <c r="C29" s="142">
        <v>2265.6999999999998</v>
      </c>
      <c r="D29" s="142">
        <v>2524.9</v>
      </c>
      <c r="E29" s="142">
        <v>1902</v>
      </c>
      <c r="F29" s="142">
        <v>1696.6</v>
      </c>
      <c r="G29" s="155"/>
      <c r="H29" s="155"/>
      <c r="J29" s="115" t="s">
        <v>646</v>
      </c>
      <c r="K29" s="116"/>
      <c r="M29" s="108" t="s">
        <v>642</v>
      </c>
      <c r="N29" s="118">
        <v>2081.52</v>
      </c>
      <c r="P29" s="115" t="s">
        <v>646</v>
      </c>
      <c r="Q29" s="116"/>
      <c r="S29" s="108" t="s">
        <v>825</v>
      </c>
      <c r="T29" s="118">
        <v>128.16999999999999</v>
      </c>
      <c r="V29" s="108" t="s">
        <v>642</v>
      </c>
      <c r="W29" s="118">
        <v>1822.3</v>
      </c>
    </row>
    <row r="30" spans="1:23" x14ac:dyDescent="0.2">
      <c r="A30" s="129" t="s">
        <v>646</v>
      </c>
      <c r="B30" s="130"/>
      <c r="C30" s="130"/>
      <c r="D30" s="130"/>
      <c r="E30" s="130"/>
      <c r="F30" s="130"/>
      <c r="G30" s="151"/>
      <c r="H30" s="151"/>
      <c r="J30" s="117" t="s">
        <v>643</v>
      </c>
      <c r="K30" s="134">
        <v>10657</v>
      </c>
      <c r="M30" s="108" t="s">
        <v>632</v>
      </c>
      <c r="N30" s="118">
        <v>3561.83</v>
      </c>
      <c r="P30" s="117" t="s">
        <v>768</v>
      </c>
      <c r="Q30" s="118">
        <v>502</v>
      </c>
      <c r="S30" s="117" t="s">
        <v>643</v>
      </c>
      <c r="T30" s="134">
        <v>12168.49</v>
      </c>
      <c r="V30" s="108" t="s">
        <v>632</v>
      </c>
      <c r="W30" s="118">
        <v>3452.44</v>
      </c>
    </row>
    <row r="31" spans="1:23" x14ac:dyDescent="0.2">
      <c r="A31" s="131" t="s">
        <v>645</v>
      </c>
      <c r="B31" s="135">
        <v>33.700000000000003</v>
      </c>
      <c r="C31" s="135">
        <v>31.3</v>
      </c>
      <c r="D31" s="135">
        <v>31.3</v>
      </c>
      <c r="E31" s="135">
        <v>31.8</v>
      </c>
      <c r="F31" s="135">
        <v>34.1</v>
      </c>
      <c r="G31" s="152"/>
      <c r="H31" s="152"/>
      <c r="J31" s="108" t="s">
        <v>642</v>
      </c>
      <c r="K31" s="134">
        <v>10657</v>
      </c>
      <c r="M31" s="108" t="s">
        <v>631</v>
      </c>
      <c r="N31" s="118">
        <v>3561.83</v>
      </c>
      <c r="P31" s="117" t="s">
        <v>643</v>
      </c>
      <c r="Q31" s="134">
        <v>26408</v>
      </c>
      <c r="S31" s="108" t="s">
        <v>642</v>
      </c>
      <c r="T31" s="134">
        <v>12168.49</v>
      </c>
      <c r="V31" s="108" t="s">
        <v>631</v>
      </c>
      <c r="W31" s="118">
        <v>3452.44</v>
      </c>
    </row>
    <row r="32" spans="1:23" x14ac:dyDescent="0.2">
      <c r="A32" s="133" t="s">
        <v>644</v>
      </c>
      <c r="B32" s="135">
        <v>33.700000000000003</v>
      </c>
      <c r="C32" s="135">
        <v>31.3</v>
      </c>
      <c r="D32" s="135">
        <v>31.3</v>
      </c>
      <c r="E32" s="135">
        <v>31.8</v>
      </c>
      <c r="F32" s="135">
        <v>34.1</v>
      </c>
      <c r="G32" s="152"/>
      <c r="H32" s="152"/>
      <c r="J32" s="108" t="s">
        <v>632</v>
      </c>
      <c r="K32" s="134">
        <v>15697</v>
      </c>
      <c r="M32" s="108" t="s">
        <v>630</v>
      </c>
      <c r="N32" s="118">
        <v>521.44000000000005</v>
      </c>
      <c r="P32" s="108" t="s">
        <v>642</v>
      </c>
      <c r="Q32" s="134">
        <v>26408</v>
      </c>
      <c r="S32" s="108" t="s">
        <v>641</v>
      </c>
      <c r="T32" s="118">
        <v>4962.54</v>
      </c>
      <c r="V32" s="108" t="s">
        <v>630</v>
      </c>
      <c r="W32" s="118">
        <v>677.42</v>
      </c>
    </row>
    <row r="33" spans="1:23" x14ac:dyDescent="0.2">
      <c r="A33" s="131" t="s">
        <v>643</v>
      </c>
      <c r="B33" s="132">
        <v>8670.1</v>
      </c>
      <c r="C33" s="132">
        <v>8987.9</v>
      </c>
      <c r="D33" s="132">
        <v>6729.4</v>
      </c>
      <c r="E33" s="132">
        <v>6623.9</v>
      </c>
      <c r="F33" s="132">
        <v>6238.2</v>
      </c>
      <c r="G33" s="153"/>
      <c r="H33" s="153"/>
      <c r="J33" s="108" t="s">
        <v>631</v>
      </c>
      <c r="K33" s="134">
        <v>15697</v>
      </c>
      <c r="M33" s="108" t="s">
        <v>629</v>
      </c>
      <c r="N33" s="118">
        <v>229.55</v>
      </c>
      <c r="P33" s="108" t="s">
        <v>632</v>
      </c>
      <c r="Q33" s="134">
        <v>44016</v>
      </c>
      <c r="S33" s="108" t="s">
        <v>640</v>
      </c>
      <c r="T33" s="118">
        <v>3631</v>
      </c>
      <c r="V33" s="108" t="s">
        <v>629</v>
      </c>
      <c r="W33" s="118">
        <v>364.55</v>
      </c>
    </row>
    <row r="34" spans="1:23" x14ac:dyDescent="0.2">
      <c r="A34" s="133" t="s">
        <v>642</v>
      </c>
      <c r="B34" s="132">
        <v>8443.7000000000007</v>
      </c>
      <c r="C34" s="132">
        <v>8752.2999999999993</v>
      </c>
      <c r="D34" s="132">
        <v>6558.1</v>
      </c>
      <c r="E34" s="132">
        <v>6458</v>
      </c>
      <c r="F34" s="132">
        <v>6055.7</v>
      </c>
      <c r="G34" s="153"/>
      <c r="H34" s="153"/>
      <c r="J34" s="108" t="s">
        <v>630</v>
      </c>
      <c r="K34" s="118">
        <v>2122</v>
      </c>
      <c r="M34" s="108" t="s">
        <v>628</v>
      </c>
      <c r="N34" s="118">
        <v>291.89</v>
      </c>
      <c r="P34" s="108" t="s">
        <v>631</v>
      </c>
      <c r="Q34" s="134">
        <v>44016</v>
      </c>
      <c r="S34" s="108" t="s">
        <v>639</v>
      </c>
      <c r="T34" s="118">
        <v>1331.54</v>
      </c>
      <c r="V34" s="108" t="s">
        <v>628</v>
      </c>
      <c r="W34" s="118">
        <v>312.87</v>
      </c>
    </row>
    <row r="35" spans="1:23" x14ac:dyDescent="0.2">
      <c r="A35" s="133" t="s">
        <v>641</v>
      </c>
      <c r="B35" s="132">
        <v>6168.4</v>
      </c>
      <c r="C35" s="132">
        <v>6109.2</v>
      </c>
      <c r="D35" s="132">
        <v>4497</v>
      </c>
      <c r="E35" s="132">
        <v>4214.3999999999996</v>
      </c>
      <c r="F35" s="132">
        <v>3814.6</v>
      </c>
      <c r="G35" s="153"/>
      <c r="H35" s="153"/>
      <c r="J35" s="108" t="s">
        <v>629</v>
      </c>
      <c r="K35" s="118">
        <v>1929</v>
      </c>
      <c r="M35" s="108" t="s">
        <v>627</v>
      </c>
      <c r="N35" s="118">
        <v>2050.25</v>
      </c>
      <c r="P35" s="108" t="s">
        <v>630</v>
      </c>
      <c r="Q35" s="134">
        <v>12988</v>
      </c>
      <c r="S35" s="108" t="s">
        <v>638</v>
      </c>
      <c r="T35" s="118">
        <v>4739.22</v>
      </c>
      <c r="V35" s="108" t="s">
        <v>627</v>
      </c>
      <c r="W35" s="118">
        <v>2567.54</v>
      </c>
    </row>
    <row r="36" spans="1:23" x14ac:dyDescent="0.2">
      <c r="A36" s="133" t="s">
        <v>640</v>
      </c>
      <c r="B36" s="132">
        <v>5887.4</v>
      </c>
      <c r="C36" s="132">
        <v>5804.8</v>
      </c>
      <c r="D36" s="132">
        <v>4292.6000000000004</v>
      </c>
      <c r="E36" s="132">
        <v>3991.1</v>
      </c>
      <c r="F36" s="132">
        <v>3631.7</v>
      </c>
      <c r="G36" s="153"/>
      <c r="H36" s="153"/>
      <c r="J36" s="108" t="s">
        <v>628</v>
      </c>
      <c r="K36" s="118">
        <v>193</v>
      </c>
      <c r="M36" s="108" t="s">
        <v>626</v>
      </c>
      <c r="N36" s="119">
        <v>90.07</v>
      </c>
      <c r="P36" s="108" t="s">
        <v>627</v>
      </c>
      <c r="Q36" s="134">
        <v>25842</v>
      </c>
      <c r="S36" s="108" t="s">
        <v>637</v>
      </c>
      <c r="T36" s="118">
        <v>1199.72</v>
      </c>
      <c r="V36" s="108" t="s">
        <v>626</v>
      </c>
      <c r="W36" s="118">
        <v>178.17</v>
      </c>
    </row>
    <row r="37" spans="1:23" x14ac:dyDescent="0.2">
      <c r="A37" s="133" t="s">
        <v>639</v>
      </c>
      <c r="B37" s="132">
        <v>281</v>
      </c>
      <c r="C37" s="132">
        <v>304.39999999999998</v>
      </c>
      <c r="D37" s="132">
        <v>204.4</v>
      </c>
      <c r="E37" s="132">
        <v>223.3</v>
      </c>
      <c r="F37" s="132">
        <v>182.9</v>
      </c>
      <c r="G37" s="153"/>
      <c r="H37" s="153"/>
      <c r="J37" s="108" t="s">
        <v>627</v>
      </c>
      <c r="K37" s="118">
        <v>5992</v>
      </c>
      <c r="M37" s="108" t="s">
        <v>625</v>
      </c>
      <c r="N37" s="119">
        <v>52.59</v>
      </c>
      <c r="P37" s="108" t="s">
        <v>626</v>
      </c>
      <c r="Q37" s="118">
        <v>2974</v>
      </c>
      <c r="S37" s="108" t="s">
        <v>636</v>
      </c>
      <c r="T37" s="118">
        <v>1114.3900000000001</v>
      </c>
      <c r="V37" s="108" t="s">
        <v>625</v>
      </c>
      <c r="W37" s="119">
        <v>29.31</v>
      </c>
    </row>
    <row r="38" spans="1:23" x14ac:dyDescent="0.2">
      <c r="A38" s="133" t="s">
        <v>638</v>
      </c>
      <c r="B38" s="132">
        <v>7576.3</v>
      </c>
      <c r="C38" s="132">
        <v>7717.2</v>
      </c>
      <c r="D38" s="132">
        <v>6785.5</v>
      </c>
      <c r="E38" s="132">
        <v>6454.2</v>
      </c>
      <c r="F38" s="132">
        <v>6109.2</v>
      </c>
      <c r="G38" s="153"/>
      <c r="H38" s="153"/>
      <c r="J38" s="108" t="s">
        <v>626</v>
      </c>
      <c r="K38" s="118">
        <v>319</v>
      </c>
      <c r="M38" s="108" t="s">
        <v>624</v>
      </c>
      <c r="N38" s="119">
        <v>52.59</v>
      </c>
      <c r="P38" s="108" t="s">
        <v>625</v>
      </c>
      <c r="Q38" s="118">
        <v>2212</v>
      </c>
      <c r="S38" s="108" t="s">
        <v>634</v>
      </c>
      <c r="T38" s="118">
        <v>1114.3900000000001</v>
      </c>
      <c r="V38" s="108" t="s">
        <v>624</v>
      </c>
      <c r="W38" s="119">
        <v>29.31</v>
      </c>
    </row>
    <row r="39" spans="1:23" x14ac:dyDescent="0.2">
      <c r="A39" s="133" t="s">
        <v>637</v>
      </c>
      <c r="B39" s="132">
        <v>498.3</v>
      </c>
      <c r="C39" s="132">
        <v>400.1</v>
      </c>
      <c r="D39" s="132">
        <v>319.39999999999998</v>
      </c>
      <c r="E39" s="132">
        <v>378.7</v>
      </c>
      <c r="F39" s="132">
        <v>301.8</v>
      </c>
      <c r="G39" s="153"/>
      <c r="H39" s="153"/>
      <c r="J39" s="108" t="s">
        <v>625</v>
      </c>
      <c r="K39" s="118">
        <v>735</v>
      </c>
      <c r="M39" s="108" t="s">
        <v>622</v>
      </c>
      <c r="N39" s="118">
        <v>847.47</v>
      </c>
      <c r="P39" s="108" t="s">
        <v>624</v>
      </c>
      <c r="Q39" s="118">
        <v>1471</v>
      </c>
      <c r="S39" s="108" t="s">
        <v>633</v>
      </c>
      <c r="T39" s="118">
        <v>152.62</v>
      </c>
      <c r="V39" s="108" t="s">
        <v>621</v>
      </c>
      <c r="W39" s="118">
        <v>1630.15</v>
      </c>
    </row>
    <row r="40" spans="1:23" x14ac:dyDescent="0.2">
      <c r="A40" s="133" t="s">
        <v>636</v>
      </c>
      <c r="B40" s="132">
        <v>556.79999999999995</v>
      </c>
      <c r="C40" s="132">
        <v>581.1</v>
      </c>
      <c r="D40" s="132">
        <v>574</v>
      </c>
      <c r="E40" s="132">
        <v>665.8</v>
      </c>
      <c r="F40" s="132">
        <v>727.7</v>
      </c>
      <c r="G40" s="153"/>
      <c r="H40" s="153"/>
      <c r="J40" s="108" t="s">
        <v>624</v>
      </c>
      <c r="K40" s="118">
        <v>367</v>
      </c>
      <c r="M40" s="108" t="s">
        <v>621</v>
      </c>
      <c r="N40" s="118">
        <v>1480.31</v>
      </c>
      <c r="P40" s="108" t="s">
        <v>623</v>
      </c>
      <c r="Q40" s="118">
        <v>741</v>
      </c>
      <c r="S40" s="117" t="s">
        <v>616</v>
      </c>
      <c r="T40" s="118">
        <v>536.48</v>
      </c>
      <c r="V40" s="108" t="s">
        <v>620</v>
      </c>
      <c r="W40" s="118">
        <v>1630.15</v>
      </c>
    </row>
    <row r="41" spans="1:23" x14ac:dyDescent="0.2">
      <c r="A41" s="133" t="s">
        <v>635</v>
      </c>
      <c r="B41" s="132">
        <v>521.5</v>
      </c>
      <c r="C41" s="132">
        <v>526.4</v>
      </c>
      <c r="D41" s="132">
        <v>511.7</v>
      </c>
      <c r="E41" s="132">
        <v>572.6</v>
      </c>
      <c r="F41" s="132">
        <v>691.4</v>
      </c>
      <c r="G41" s="153"/>
      <c r="H41" s="153"/>
      <c r="J41" s="108" t="s">
        <v>623</v>
      </c>
      <c r="K41" s="118">
        <v>368</v>
      </c>
      <c r="M41" s="108" t="s">
        <v>620</v>
      </c>
      <c r="N41" s="118">
        <v>1480.31</v>
      </c>
      <c r="P41" s="108" t="s">
        <v>621</v>
      </c>
      <c r="Q41" s="134">
        <v>17608</v>
      </c>
      <c r="S41" s="108" t="s">
        <v>826</v>
      </c>
      <c r="T41" s="118">
        <v>536.48</v>
      </c>
      <c r="V41" s="117" t="s">
        <v>616</v>
      </c>
      <c r="W41" s="119">
        <v>37.799999999999997</v>
      </c>
    </row>
    <row r="42" spans="1:23" x14ac:dyDescent="0.2">
      <c r="A42" s="133" t="s">
        <v>634</v>
      </c>
      <c r="B42" s="135">
        <v>35.299999999999997</v>
      </c>
      <c r="C42" s="135">
        <v>54.7</v>
      </c>
      <c r="D42" s="135">
        <v>62.3</v>
      </c>
      <c r="E42" s="135">
        <v>93.2</v>
      </c>
      <c r="F42" s="135">
        <v>36.299999999999997</v>
      </c>
      <c r="G42" s="152"/>
      <c r="H42" s="152"/>
      <c r="J42" s="108" t="s">
        <v>622</v>
      </c>
      <c r="K42" s="118">
        <v>6529</v>
      </c>
      <c r="M42" s="117" t="s">
        <v>614</v>
      </c>
      <c r="N42" s="118">
        <v>552.35</v>
      </c>
      <c r="P42" s="108" t="s">
        <v>620</v>
      </c>
      <c r="Q42" s="134">
        <v>17608</v>
      </c>
      <c r="S42" s="117" t="s">
        <v>614</v>
      </c>
      <c r="T42" s="118">
        <v>9159.82</v>
      </c>
      <c r="V42" s="108" t="s">
        <v>615</v>
      </c>
      <c r="W42" s="119">
        <v>37.799999999999997</v>
      </c>
    </row>
    <row r="43" spans="1:23" x14ac:dyDescent="0.2">
      <c r="A43" s="133" t="s">
        <v>633</v>
      </c>
      <c r="B43" s="143">
        <v>-6356.1</v>
      </c>
      <c r="C43" s="143">
        <v>-6055.3</v>
      </c>
      <c r="D43" s="143">
        <v>-5617.8</v>
      </c>
      <c r="E43" s="143">
        <v>-5255.1</v>
      </c>
      <c r="F43" s="143">
        <v>-4897.6000000000004</v>
      </c>
      <c r="G43" s="157"/>
      <c r="H43" s="157"/>
      <c r="J43" s="108" t="s">
        <v>741</v>
      </c>
      <c r="K43" s="118">
        <v>6529</v>
      </c>
      <c r="M43" s="108" t="s">
        <v>613</v>
      </c>
      <c r="N43" s="118">
        <v>519.66999999999996</v>
      </c>
      <c r="P43" s="117" t="s">
        <v>616</v>
      </c>
      <c r="Q43" s="118">
        <v>1018</v>
      </c>
      <c r="S43" s="108" t="s">
        <v>613</v>
      </c>
      <c r="T43" s="118">
        <v>7169.51</v>
      </c>
      <c r="V43" s="117" t="s">
        <v>614</v>
      </c>
      <c r="W43" s="118">
        <v>595.75</v>
      </c>
    </row>
    <row r="44" spans="1:23" x14ac:dyDescent="0.2">
      <c r="A44" s="133" t="s">
        <v>632</v>
      </c>
      <c r="B44" s="138">
        <v>15178.9</v>
      </c>
      <c r="C44" s="138">
        <v>15190</v>
      </c>
      <c r="D44" s="138">
        <v>12471.6</v>
      </c>
      <c r="E44" s="138">
        <v>11971.8</v>
      </c>
      <c r="F44" s="138">
        <v>11215.5</v>
      </c>
      <c r="G44" s="154"/>
      <c r="H44" s="154"/>
      <c r="J44" s="108" t="s">
        <v>621</v>
      </c>
      <c r="K44" s="118">
        <v>5040</v>
      </c>
      <c r="M44" s="108" t="s">
        <v>612</v>
      </c>
      <c r="N44" s="119">
        <v>32.68</v>
      </c>
      <c r="P44" s="108" t="s">
        <v>615</v>
      </c>
      <c r="Q44" s="118">
        <v>1018</v>
      </c>
      <c r="S44" s="108" t="s">
        <v>612</v>
      </c>
      <c r="T44" s="118">
        <v>1990.31</v>
      </c>
      <c r="V44" s="108" t="s">
        <v>613</v>
      </c>
      <c r="W44" s="118">
        <v>469.89</v>
      </c>
    </row>
    <row r="45" spans="1:23" x14ac:dyDescent="0.2">
      <c r="A45" s="133" t="s">
        <v>631</v>
      </c>
      <c r="B45" s="138">
        <v>15178.9</v>
      </c>
      <c r="C45" s="138">
        <v>15190</v>
      </c>
      <c r="D45" s="138">
        <v>12471.6</v>
      </c>
      <c r="E45" s="138">
        <v>11971.8</v>
      </c>
      <c r="F45" s="138">
        <v>11215.5</v>
      </c>
      <c r="G45" s="154"/>
      <c r="H45" s="154"/>
      <c r="J45" s="108" t="s">
        <v>620</v>
      </c>
      <c r="K45" s="118">
        <v>5040</v>
      </c>
      <c r="M45" s="108" t="s">
        <v>743</v>
      </c>
      <c r="N45" s="119">
        <v>6.8</v>
      </c>
      <c r="P45" s="117" t="s">
        <v>614</v>
      </c>
      <c r="Q45" s="134">
        <v>15147</v>
      </c>
      <c r="S45" s="136" t="s">
        <v>609</v>
      </c>
      <c r="T45" s="140">
        <v>22868.74</v>
      </c>
      <c r="V45" s="108" t="s">
        <v>612</v>
      </c>
      <c r="W45" s="118">
        <v>125.86</v>
      </c>
    </row>
    <row r="46" spans="1:23" x14ac:dyDescent="0.2">
      <c r="A46" s="133" t="s">
        <v>630</v>
      </c>
      <c r="B46" s="132">
        <v>6168.4</v>
      </c>
      <c r="C46" s="132">
        <v>6109.2</v>
      </c>
      <c r="D46" s="132">
        <v>4497</v>
      </c>
      <c r="E46" s="132">
        <v>4214.3999999999996</v>
      </c>
      <c r="F46" s="132">
        <v>3814.6</v>
      </c>
      <c r="G46" s="153"/>
      <c r="H46" s="153"/>
      <c r="J46" s="117" t="s">
        <v>742</v>
      </c>
      <c r="K46" s="134">
        <v>0</v>
      </c>
      <c r="M46" s="108" t="s">
        <v>610</v>
      </c>
      <c r="N46" s="119">
        <v>25.88</v>
      </c>
      <c r="P46" s="108" t="s">
        <v>613</v>
      </c>
      <c r="Q46" s="134">
        <v>13099</v>
      </c>
      <c r="S46" s="115" t="s">
        <v>67</v>
      </c>
      <c r="T46" s="116"/>
      <c r="V46" s="108" t="s">
        <v>743</v>
      </c>
      <c r="W46" s="119">
        <v>1.4</v>
      </c>
    </row>
    <row r="47" spans="1:23" x14ac:dyDescent="0.2">
      <c r="A47" s="133" t="s">
        <v>629</v>
      </c>
      <c r="B47" s="132">
        <v>5887.4</v>
      </c>
      <c r="C47" s="132">
        <v>5804.8</v>
      </c>
      <c r="D47" s="132">
        <v>4292.6000000000004</v>
      </c>
      <c r="E47" s="132">
        <v>3991.1</v>
      </c>
      <c r="F47" s="132">
        <v>3631.7</v>
      </c>
      <c r="G47" s="153"/>
      <c r="H47" s="153"/>
      <c r="J47" s="117" t="s">
        <v>616</v>
      </c>
      <c r="K47" s="118">
        <v>788</v>
      </c>
      <c r="M47" s="136" t="s">
        <v>609</v>
      </c>
      <c r="N47" s="137">
        <v>2689.19</v>
      </c>
      <c r="P47" s="108" t="s">
        <v>612</v>
      </c>
      <c r="Q47" s="118">
        <v>2048</v>
      </c>
      <c r="S47" s="136" t="s">
        <v>67</v>
      </c>
      <c r="T47" s="140">
        <v>28965.51</v>
      </c>
      <c r="V47" s="108" t="s">
        <v>611</v>
      </c>
      <c r="W47" s="118">
        <v>108.06</v>
      </c>
    </row>
    <row r="48" spans="1:23" x14ac:dyDescent="0.2">
      <c r="A48" s="133" t="s">
        <v>628</v>
      </c>
      <c r="B48" s="132">
        <v>281</v>
      </c>
      <c r="C48" s="132">
        <v>304.39999999999998</v>
      </c>
      <c r="D48" s="132">
        <v>204.4</v>
      </c>
      <c r="E48" s="132">
        <v>223.3</v>
      </c>
      <c r="F48" s="132">
        <v>182.9</v>
      </c>
      <c r="G48" s="153"/>
      <c r="H48" s="153"/>
      <c r="J48" s="108" t="s">
        <v>615</v>
      </c>
      <c r="K48" s="118">
        <v>788</v>
      </c>
      <c r="M48" s="115" t="s">
        <v>67</v>
      </c>
      <c r="N48" s="116"/>
      <c r="P48" s="136" t="s">
        <v>609</v>
      </c>
      <c r="Q48" s="140">
        <v>43075</v>
      </c>
      <c r="S48" s="115" t="s">
        <v>73</v>
      </c>
      <c r="T48" s="116"/>
      <c r="V48" s="108" t="s">
        <v>610</v>
      </c>
      <c r="W48" s="119">
        <v>16.399999999999999</v>
      </c>
    </row>
    <row r="49" spans="1:23" x14ac:dyDescent="0.2">
      <c r="A49" s="133" t="s">
        <v>627</v>
      </c>
      <c r="B49" s="132">
        <v>7576.3</v>
      </c>
      <c r="C49" s="132">
        <v>7717.2</v>
      </c>
      <c r="D49" s="132">
        <v>6785.5</v>
      </c>
      <c r="E49" s="132">
        <v>6454.2</v>
      </c>
      <c r="F49" s="132">
        <v>6109.2</v>
      </c>
      <c r="G49" s="153"/>
      <c r="H49" s="153"/>
      <c r="J49" s="117" t="s">
        <v>614</v>
      </c>
      <c r="K49" s="118">
        <v>4073</v>
      </c>
      <c r="M49" s="136" t="s">
        <v>67</v>
      </c>
      <c r="N49" s="137">
        <v>3650.11</v>
      </c>
      <c r="P49" s="115" t="s">
        <v>67</v>
      </c>
      <c r="Q49" s="116"/>
      <c r="S49" s="117" t="s">
        <v>608</v>
      </c>
      <c r="T49" s="118">
        <v>3477.3</v>
      </c>
      <c r="V49" s="108" t="s">
        <v>833</v>
      </c>
      <c r="W49" s="118">
        <v>700.56</v>
      </c>
    </row>
    <row r="50" spans="1:23" x14ac:dyDescent="0.2">
      <c r="A50" s="133" t="s">
        <v>626</v>
      </c>
      <c r="B50" s="132">
        <v>498.3</v>
      </c>
      <c r="C50" s="132">
        <v>400.1</v>
      </c>
      <c r="D50" s="132">
        <v>319.39999999999998</v>
      </c>
      <c r="E50" s="132">
        <v>378.7</v>
      </c>
      <c r="F50" s="132">
        <v>301.8</v>
      </c>
      <c r="G50" s="153"/>
      <c r="H50" s="153"/>
      <c r="J50" s="108" t="s">
        <v>613</v>
      </c>
      <c r="K50" s="118">
        <v>3614</v>
      </c>
      <c r="M50" s="115" t="s">
        <v>73</v>
      </c>
      <c r="N50" s="116"/>
      <c r="P50" s="136" t="s">
        <v>67</v>
      </c>
      <c r="Q50" s="140">
        <v>58329</v>
      </c>
      <c r="S50" s="108" t="s">
        <v>607</v>
      </c>
      <c r="T50" s="118">
        <v>3107.89</v>
      </c>
      <c r="V50" s="108" t="s">
        <v>834</v>
      </c>
      <c r="W50" s="118">
        <v>469.89</v>
      </c>
    </row>
    <row r="51" spans="1:23" x14ac:dyDescent="0.2">
      <c r="A51" s="133" t="s">
        <v>625</v>
      </c>
      <c r="B51" s="132">
        <v>709.5</v>
      </c>
      <c r="C51" s="132">
        <v>727.9</v>
      </c>
      <c r="D51" s="132">
        <v>698.4</v>
      </c>
      <c r="E51" s="132">
        <v>758.6</v>
      </c>
      <c r="F51" s="132">
        <v>807.4</v>
      </c>
      <c r="G51" s="153"/>
      <c r="H51" s="153"/>
      <c r="J51" s="108" t="s">
        <v>612</v>
      </c>
      <c r="K51" s="118">
        <v>459</v>
      </c>
      <c r="M51" s="117" t="s">
        <v>608</v>
      </c>
      <c r="N51" s="118">
        <v>309.22000000000003</v>
      </c>
      <c r="P51" s="115" t="s">
        <v>73</v>
      </c>
      <c r="Q51" s="116"/>
      <c r="S51" s="108" t="s">
        <v>606</v>
      </c>
      <c r="T51" s="118">
        <v>369.41</v>
      </c>
      <c r="V51" s="108" t="s">
        <v>835</v>
      </c>
      <c r="W51" s="118">
        <v>230.66</v>
      </c>
    </row>
    <row r="52" spans="1:23" x14ac:dyDescent="0.2">
      <c r="A52" s="133" t="s">
        <v>624</v>
      </c>
      <c r="B52" s="132">
        <v>674.2</v>
      </c>
      <c r="C52" s="132">
        <v>673.2</v>
      </c>
      <c r="D52" s="132">
        <v>636.1</v>
      </c>
      <c r="E52" s="132">
        <v>665.4</v>
      </c>
      <c r="F52" s="132">
        <v>771.1</v>
      </c>
      <c r="G52" s="153"/>
      <c r="H52" s="153"/>
      <c r="J52" s="108" t="s">
        <v>743</v>
      </c>
      <c r="K52" s="119">
        <v>12</v>
      </c>
      <c r="M52" s="108" t="s">
        <v>607</v>
      </c>
      <c r="N52" s="118">
        <v>145.58000000000001</v>
      </c>
      <c r="P52" s="117" t="s">
        <v>608</v>
      </c>
      <c r="Q52" s="118">
        <v>5459</v>
      </c>
      <c r="S52" s="117" t="s">
        <v>605</v>
      </c>
      <c r="T52" s="118">
        <v>1454.44</v>
      </c>
      <c r="V52" s="108" t="s">
        <v>836</v>
      </c>
      <c r="W52" s="119">
        <v>2.4</v>
      </c>
    </row>
    <row r="53" spans="1:23" x14ac:dyDescent="0.2">
      <c r="A53" s="133" t="s">
        <v>623</v>
      </c>
      <c r="B53" s="135">
        <v>35.299999999999997</v>
      </c>
      <c r="C53" s="135">
        <v>54.7</v>
      </c>
      <c r="D53" s="135">
        <v>62.3</v>
      </c>
      <c r="E53" s="135">
        <v>93.2</v>
      </c>
      <c r="F53" s="135">
        <v>36.299999999999997</v>
      </c>
      <c r="G53" s="152"/>
      <c r="H53" s="152"/>
      <c r="J53" s="108" t="s">
        <v>611</v>
      </c>
      <c r="K53" s="119">
        <v>44</v>
      </c>
      <c r="M53" s="108" t="s">
        <v>606</v>
      </c>
      <c r="N53" s="118">
        <v>163.63999999999999</v>
      </c>
      <c r="P53" s="108" t="s">
        <v>607</v>
      </c>
      <c r="Q53" s="118">
        <v>3263</v>
      </c>
      <c r="S53" s="108" t="s">
        <v>603</v>
      </c>
      <c r="T53" s="118">
        <v>1454.44</v>
      </c>
      <c r="V53" s="108" t="s">
        <v>837</v>
      </c>
      <c r="W53" s="118">
        <v>197.5</v>
      </c>
    </row>
    <row r="54" spans="1:23" x14ac:dyDescent="0.2">
      <c r="A54" s="133" t="s">
        <v>622</v>
      </c>
      <c r="B54" s="132">
        <v>226.4</v>
      </c>
      <c r="C54" s="132">
        <v>235.6</v>
      </c>
      <c r="D54" s="132">
        <v>171.3</v>
      </c>
      <c r="E54" s="132">
        <v>165.9</v>
      </c>
      <c r="F54" s="132">
        <v>182.5</v>
      </c>
      <c r="G54" s="153"/>
      <c r="H54" s="153"/>
      <c r="J54" s="108" t="s">
        <v>610</v>
      </c>
      <c r="K54" s="118">
        <v>403</v>
      </c>
      <c r="M54" s="117" t="s">
        <v>605</v>
      </c>
      <c r="N54" s="119">
        <v>11.71</v>
      </c>
      <c r="P54" s="108" t="s">
        <v>606</v>
      </c>
      <c r="Q54" s="118">
        <v>2196</v>
      </c>
      <c r="S54" s="108" t="s">
        <v>602</v>
      </c>
      <c r="T54" s="118">
        <v>1187.26</v>
      </c>
      <c r="V54" s="108" t="s">
        <v>838</v>
      </c>
      <c r="W54" s="119">
        <v>30.76</v>
      </c>
    </row>
    <row r="55" spans="1:23" x14ac:dyDescent="0.2">
      <c r="A55" s="133" t="s">
        <v>621</v>
      </c>
      <c r="B55" s="132">
        <v>6508.8</v>
      </c>
      <c r="C55" s="132">
        <v>6202.1</v>
      </c>
      <c r="D55" s="132">
        <v>5742.2</v>
      </c>
      <c r="E55" s="132">
        <v>5347.9</v>
      </c>
      <c r="F55" s="132">
        <v>4977.3</v>
      </c>
      <c r="G55" s="153"/>
      <c r="H55" s="153"/>
      <c r="J55" s="136" t="s">
        <v>609</v>
      </c>
      <c r="K55" s="140">
        <v>15518</v>
      </c>
      <c r="M55" s="108" t="s">
        <v>603</v>
      </c>
      <c r="N55" s="119">
        <v>11.71</v>
      </c>
      <c r="P55" s="117" t="s">
        <v>605</v>
      </c>
      <c r="Q55" s="118">
        <v>1291</v>
      </c>
      <c r="S55" s="108" t="s">
        <v>601</v>
      </c>
      <c r="T55" s="118">
        <v>267.18</v>
      </c>
      <c r="V55" s="108" t="s">
        <v>839</v>
      </c>
      <c r="W55" s="118">
        <v>104.81</v>
      </c>
    </row>
    <row r="56" spans="1:23" x14ac:dyDescent="0.2">
      <c r="A56" s="133" t="s">
        <v>620</v>
      </c>
      <c r="B56" s="132">
        <v>6508.8</v>
      </c>
      <c r="C56" s="132">
        <v>6202.1</v>
      </c>
      <c r="D56" s="132">
        <v>5742.2</v>
      </c>
      <c r="E56" s="132">
        <v>5347.9</v>
      </c>
      <c r="F56" s="132">
        <v>4977.3</v>
      </c>
      <c r="G56" s="153"/>
      <c r="H56" s="153"/>
      <c r="J56" s="115" t="s">
        <v>67</v>
      </c>
      <c r="K56" s="116"/>
      <c r="M56" s="108" t="s">
        <v>602</v>
      </c>
      <c r="N56" s="119">
        <v>11.71</v>
      </c>
      <c r="P56" s="108" t="s">
        <v>604</v>
      </c>
      <c r="Q56" s="118">
        <v>120</v>
      </c>
      <c r="S56" s="117" t="s">
        <v>600</v>
      </c>
      <c r="T56" s="119">
        <v>4.2300000000000004</v>
      </c>
      <c r="V56" s="108" t="s">
        <v>840</v>
      </c>
      <c r="W56" s="134">
        <v>0</v>
      </c>
    </row>
    <row r="57" spans="1:23" x14ac:dyDescent="0.2">
      <c r="A57" s="133" t="s">
        <v>619</v>
      </c>
      <c r="B57" s="132">
        <v>152.69999999999999</v>
      </c>
      <c r="C57" s="132">
        <v>146.80000000000001</v>
      </c>
      <c r="D57" s="132">
        <v>124.4</v>
      </c>
      <c r="E57" s="135">
        <v>92.8</v>
      </c>
      <c r="F57" s="135">
        <v>79.7</v>
      </c>
      <c r="G57" s="152"/>
      <c r="H57" s="152"/>
      <c r="J57" s="136" t="s">
        <v>67</v>
      </c>
      <c r="K57" s="140">
        <v>18711</v>
      </c>
      <c r="M57" s="117" t="s">
        <v>599</v>
      </c>
      <c r="N57" s="119">
        <v>15.94</v>
      </c>
      <c r="P57" s="108" t="s">
        <v>603</v>
      </c>
      <c r="Q57" s="118">
        <v>1171</v>
      </c>
      <c r="S57" s="117" t="s">
        <v>769</v>
      </c>
      <c r="T57" s="118">
        <v>437.13</v>
      </c>
      <c r="V57" s="108" t="s">
        <v>841</v>
      </c>
      <c r="W57" s="118">
        <v>104.81</v>
      </c>
    </row>
    <row r="58" spans="1:23" x14ac:dyDescent="0.2">
      <c r="A58" s="133" t="s">
        <v>618</v>
      </c>
      <c r="B58" s="132">
        <v>152.69999999999999</v>
      </c>
      <c r="C58" s="132">
        <v>146.80000000000001</v>
      </c>
      <c r="D58" s="132">
        <v>124.4</v>
      </c>
      <c r="E58" s="135">
        <v>92.8</v>
      </c>
      <c r="F58" s="135">
        <v>79.7</v>
      </c>
      <c r="G58" s="152"/>
      <c r="H58" s="152"/>
      <c r="J58" s="115" t="s">
        <v>73</v>
      </c>
      <c r="K58" s="116"/>
      <c r="M58" s="117" t="s">
        <v>598</v>
      </c>
      <c r="N58" s="119">
        <v>41.12</v>
      </c>
      <c r="P58" s="108" t="s">
        <v>602</v>
      </c>
      <c r="Q58" s="118">
        <v>1055</v>
      </c>
      <c r="S58" s="117" t="s">
        <v>598</v>
      </c>
      <c r="T58" s="118">
        <v>2010.54</v>
      </c>
      <c r="V58" s="108" t="s">
        <v>842</v>
      </c>
      <c r="W58" s="119">
        <v>1</v>
      </c>
    </row>
    <row r="59" spans="1:23" x14ac:dyDescent="0.2">
      <c r="A59" s="133" t="s">
        <v>617</v>
      </c>
      <c r="B59" s="132">
        <v>6356.1</v>
      </c>
      <c r="C59" s="132">
        <v>6055.3</v>
      </c>
      <c r="D59" s="132">
        <v>5617.8</v>
      </c>
      <c r="E59" s="132">
        <v>5255.1</v>
      </c>
      <c r="F59" s="132">
        <v>4897.6000000000004</v>
      </c>
      <c r="G59" s="153"/>
      <c r="H59" s="153"/>
      <c r="J59" s="117" t="s">
        <v>608</v>
      </c>
      <c r="K59" s="118">
        <v>540</v>
      </c>
      <c r="M59" s="108" t="s">
        <v>760</v>
      </c>
      <c r="N59" s="119">
        <v>33.770000000000003</v>
      </c>
      <c r="P59" s="108" t="s">
        <v>601</v>
      </c>
      <c r="Q59" s="118">
        <v>116</v>
      </c>
      <c r="S59" s="108" t="s">
        <v>827</v>
      </c>
      <c r="T59" s="118">
        <v>581.78</v>
      </c>
      <c r="V59" s="108" t="s">
        <v>843</v>
      </c>
      <c r="W59" s="119">
        <v>89.44</v>
      </c>
    </row>
    <row r="60" spans="1:23" x14ac:dyDescent="0.2">
      <c r="A60" s="131" t="s">
        <v>616</v>
      </c>
      <c r="B60" s="132">
        <v>158.80000000000001</v>
      </c>
      <c r="C60" s="132">
        <v>317.10000000000002</v>
      </c>
      <c r="D60" s="132">
        <v>267.7</v>
      </c>
      <c r="E60" s="132">
        <v>285.2</v>
      </c>
      <c r="F60" s="132">
        <v>268</v>
      </c>
      <c r="G60" s="153"/>
      <c r="H60" s="153"/>
      <c r="J60" s="108" t="s">
        <v>607</v>
      </c>
      <c r="K60" s="118">
        <v>389</v>
      </c>
      <c r="M60" s="108" t="s">
        <v>597</v>
      </c>
      <c r="N60" s="119">
        <v>7.35</v>
      </c>
      <c r="P60" s="117" t="s">
        <v>769</v>
      </c>
      <c r="Q60" s="118">
        <v>106</v>
      </c>
      <c r="S60" s="108" t="s">
        <v>597</v>
      </c>
      <c r="T60" s="118">
        <v>1428.75</v>
      </c>
      <c r="V60" s="108" t="s">
        <v>844</v>
      </c>
      <c r="W60" s="119">
        <v>14.36</v>
      </c>
    </row>
    <row r="61" spans="1:23" x14ac:dyDescent="0.2">
      <c r="A61" s="133" t="s">
        <v>615</v>
      </c>
      <c r="B61" s="132">
        <v>158.80000000000001</v>
      </c>
      <c r="C61" s="132">
        <v>317.10000000000002</v>
      </c>
      <c r="D61" s="132">
        <v>267.7</v>
      </c>
      <c r="E61" s="132">
        <v>285.2</v>
      </c>
      <c r="F61" s="132">
        <v>268</v>
      </c>
      <c r="G61" s="153"/>
      <c r="H61" s="153"/>
      <c r="J61" s="108" t="s">
        <v>606</v>
      </c>
      <c r="K61" s="118">
        <v>151</v>
      </c>
      <c r="M61" s="136" t="s">
        <v>596</v>
      </c>
      <c r="N61" s="137">
        <v>377.99</v>
      </c>
      <c r="P61" s="117" t="s">
        <v>599</v>
      </c>
      <c r="Q61" s="118">
        <v>286</v>
      </c>
      <c r="S61" s="136" t="s">
        <v>596</v>
      </c>
      <c r="T61" s="137">
        <v>7383.63</v>
      </c>
      <c r="V61" s="136" t="s">
        <v>609</v>
      </c>
      <c r="W61" s="137">
        <v>2595.9299999999998</v>
      </c>
    </row>
    <row r="62" spans="1:23" x14ac:dyDescent="0.2">
      <c r="A62" s="131" t="s">
        <v>614</v>
      </c>
      <c r="B62" s="132">
        <v>5269.9</v>
      </c>
      <c r="C62" s="132">
        <v>5502.8</v>
      </c>
      <c r="D62" s="132">
        <v>4992.3999999999996</v>
      </c>
      <c r="E62" s="132">
        <v>5391.7</v>
      </c>
      <c r="F62" s="132">
        <v>5445.7</v>
      </c>
      <c r="G62" s="153"/>
      <c r="H62" s="153"/>
      <c r="J62" s="117" t="s">
        <v>605</v>
      </c>
      <c r="K62" s="119">
        <v>45</v>
      </c>
      <c r="M62" s="115" t="s">
        <v>595</v>
      </c>
      <c r="N62" s="116"/>
      <c r="P62" s="117" t="s">
        <v>598</v>
      </c>
      <c r="Q62" s="118">
        <v>1612</v>
      </c>
      <c r="S62" s="115" t="s">
        <v>595</v>
      </c>
      <c r="T62" s="116"/>
      <c r="V62" s="115" t="s">
        <v>67</v>
      </c>
      <c r="W62" s="116"/>
    </row>
    <row r="63" spans="1:23" x14ac:dyDescent="0.2">
      <c r="A63" s="133" t="s">
        <v>613</v>
      </c>
      <c r="B63" s="132">
        <v>3780.9</v>
      </c>
      <c r="C63" s="132">
        <v>3788.1</v>
      </c>
      <c r="D63" s="132">
        <v>3531.7</v>
      </c>
      <c r="E63" s="132">
        <v>3689.6</v>
      </c>
      <c r="F63" s="132">
        <v>3696.7</v>
      </c>
      <c r="G63" s="153"/>
      <c r="H63" s="153"/>
      <c r="J63" s="108" t="s">
        <v>603</v>
      </c>
      <c r="K63" s="119">
        <v>45</v>
      </c>
      <c r="M63" s="117" t="s">
        <v>594</v>
      </c>
      <c r="N63" s="118">
        <v>1153.83</v>
      </c>
      <c r="P63" s="108" t="s">
        <v>760</v>
      </c>
      <c r="Q63" s="118">
        <v>405</v>
      </c>
      <c r="S63" s="117" t="s">
        <v>594</v>
      </c>
      <c r="T63" s="118">
        <v>5325.55</v>
      </c>
      <c r="V63" s="136" t="s">
        <v>67</v>
      </c>
      <c r="W63" s="137">
        <v>3264.59</v>
      </c>
    </row>
    <row r="64" spans="1:23" x14ac:dyDescent="0.2">
      <c r="A64" s="133" t="s">
        <v>612</v>
      </c>
      <c r="B64" s="132">
        <v>1489</v>
      </c>
      <c r="C64" s="132">
        <v>1714.7</v>
      </c>
      <c r="D64" s="132">
        <v>1460.7</v>
      </c>
      <c r="E64" s="132">
        <v>1702.1</v>
      </c>
      <c r="F64" s="132">
        <v>1749</v>
      </c>
      <c r="G64" s="153"/>
      <c r="H64" s="153"/>
      <c r="J64" s="108" t="s">
        <v>602</v>
      </c>
      <c r="K64" s="119">
        <v>30</v>
      </c>
      <c r="M64" s="108" t="s">
        <v>593</v>
      </c>
      <c r="N64" s="118">
        <v>1153.83</v>
      </c>
      <c r="P64" s="108" t="s">
        <v>597</v>
      </c>
      <c r="Q64" s="118">
        <v>1207</v>
      </c>
      <c r="S64" s="108" t="s">
        <v>593</v>
      </c>
      <c r="T64" s="118">
        <v>4457.1000000000004</v>
      </c>
      <c r="V64" s="115" t="s">
        <v>73</v>
      </c>
      <c r="W64" s="116"/>
    </row>
    <row r="65" spans="1:23" x14ac:dyDescent="0.2">
      <c r="A65" s="133" t="s">
        <v>611</v>
      </c>
      <c r="B65" s="132">
        <v>1225.2</v>
      </c>
      <c r="C65" s="132">
        <v>1642.9</v>
      </c>
      <c r="D65" s="132">
        <v>1395.5</v>
      </c>
      <c r="E65" s="132">
        <v>1610.7</v>
      </c>
      <c r="F65" s="132">
        <v>1651.5</v>
      </c>
      <c r="G65" s="153"/>
      <c r="H65" s="153"/>
      <c r="J65" s="108" t="s">
        <v>601</v>
      </c>
      <c r="K65" s="119">
        <v>15</v>
      </c>
      <c r="M65" s="108" t="s">
        <v>592</v>
      </c>
      <c r="N65" s="118">
        <v>1153.83</v>
      </c>
      <c r="P65" s="136" t="s">
        <v>596</v>
      </c>
      <c r="Q65" s="137">
        <v>8754</v>
      </c>
      <c r="S65" s="108" t="s">
        <v>592</v>
      </c>
      <c r="T65" s="118">
        <v>4457.1000000000004</v>
      </c>
      <c r="V65" s="117" t="s">
        <v>608</v>
      </c>
      <c r="W65" s="118">
        <v>209.82</v>
      </c>
    </row>
    <row r="66" spans="1:23" x14ac:dyDescent="0.2">
      <c r="A66" s="133" t="s">
        <v>610</v>
      </c>
      <c r="B66" s="132">
        <v>263.8</v>
      </c>
      <c r="C66" s="135">
        <v>71.8</v>
      </c>
      <c r="D66" s="135">
        <v>65.2</v>
      </c>
      <c r="E66" s="135">
        <v>91.4</v>
      </c>
      <c r="F66" s="135">
        <v>97.5</v>
      </c>
      <c r="G66" s="152"/>
      <c r="H66" s="152"/>
      <c r="J66" s="117" t="s">
        <v>599</v>
      </c>
      <c r="K66" s="119">
        <v>62</v>
      </c>
      <c r="M66" s="117" t="s">
        <v>590</v>
      </c>
      <c r="N66" s="118">
        <v>287.92</v>
      </c>
      <c r="P66" s="115" t="s">
        <v>595</v>
      </c>
      <c r="Q66" s="116"/>
      <c r="S66" s="108" t="s">
        <v>591</v>
      </c>
      <c r="T66" s="118">
        <v>868.45</v>
      </c>
      <c r="V66" s="108" t="s">
        <v>607</v>
      </c>
      <c r="W66" s="118">
        <v>129.9</v>
      </c>
    </row>
    <row r="67" spans="1:23" x14ac:dyDescent="0.2">
      <c r="A67" s="141" t="s">
        <v>609</v>
      </c>
      <c r="B67" s="144">
        <v>14132.5</v>
      </c>
      <c r="C67" s="144">
        <v>14839.1</v>
      </c>
      <c r="D67" s="144">
        <v>12020.8</v>
      </c>
      <c r="E67" s="144">
        <v>12332.6</v>
      </c>
      <c r="F67" s="144">
        <v>11986</v>
      </c>
      <c r="G67" s="171"/>
      <c r="H67" s="171"/>
      <c r="J67" s="117" t="s">
        <v>598</v>
      </c>
      <c r="K67" s="118">
        <v>248</v>
      </c>
      <c r="M67" s="108" t="s">
        <v>589</v>
      </c>
      <c r="N67" s="118">
        <v>287.92</v>
      </c>
      <c r="P67" s="117" t="s">
        <v>594</v>
      </c>
      <c r="Q67" s="134">
        <v>16896</v>
      </c>
      <c r="S67" s="117" t="s">
        <v>590</v>
      </c>
      <c r="T67" s="118">
        <v>601.33000000000004</v>
      </c>
      <c r="V67" s="108" t="s">
        <v>606</v>
      </c>
      <c r="W67" s="119">
        <v>79.930000000000007</v>
      </c>
    </row>
    <row r="68" spans="1:23" x14ac:dyDescent="0.2">
      <c r="A68" s="129" t="s">
        <v>67</v>
      </c>
      <c r="B68" s="130"/>
      <c r="C68" s="130"/>
      <c r="D68" s="130"/>
      <c r="E68" s="130"/>
      <c r="F68" s="130"/>
      <c r="G68" s="151"/>
      <c r="H68" s="151"/>
      <c r="J68" s="108" t="s">
        <v>597</v>
      </c>
      <c r="K68" s="118">
        <v>248</v>
      </c>
      <c r="M68" s="117" t="s">
        <v>588</v>
      </c>
      <c r="N68" s="119">
        <v>36.65</v>
      </c>
      <c r="P68" s="108" t="s">
        <v>593</v>
      </c>
      <c r="Q68" s="134">
        <v>16478</v>
      </c>
      <c r="S68" s="108" t="s">
        <v>589</v>
      </c>
      <c r="T68" s="118">
        <v>601.33000000000004</v>
      </c>
      <c r="V68" s="117" t="s">
        <v>605</v>
      </c>
      <c r="W68" s="119">
        <v>15</v>
      </c>
    </row>
    <row r="69" spans="1:23" x14ac:dyDescent="0.2">
      <c r="A69" s="141" t="s">
        <v>67</v>
      </c>
      <c r="B69" s="144">
        <v>16700.400000000001</v>
      </c>
      <c r="C69" s="144">
        <v>17104.8</v>
      </c>
      <c r="D69" s="144">
        <v>14545.7</v>
      </c>
      <c r="E69" s="144">
        <v>14234.6</v>
      </c>
      <c r="F69" s="144">
        <v>13682.6</v>
      </c>
      <c r="G69" s="171"/>
      <c r="H69" s="171"/>
      <c r="J69" s="136" t="s">
        <v>596</v>
      </c>
      <c r="K69" s="137">
        <v>895</v>
      </c>
      <c r="M69" s="117" t="s">
        <v>587</v>
      </c>
      <c r="N69" s="118">
        <v>152.79</v>
      </c>
      <c r="P69" s="108" t="s">
        <v>592</v>
      </c>
      <c r="Q69" s="134">
        <v>16478</v>
      </c>
      <c r="S69" s="117" t="s">
        <v>587</v>
      </c>
      <c r="T69" s="118">
        <v>2033.32</v>
      </c>
      <c r="V69" s="108" t="s">
        <v>603</v>
      </c>
      <c r="W69" s="119">
        <v>15</v>
      </c>
    </row>
    <row r="70" spans="1:23" x14ac:dyDescent="0.2">
      <c r="A70" s="129" t="s">
        <v>73</v>
      </c>
      <c r="B70" s="130"/>
      <c r="C70" s="130"/>
      <c r="D70" s="130"/>
      <c r="E70" s="130"/>
      <c r="F70" s="130"/>
      <c r="G70" s="151"/>
      <c r="H70" s="151"/>
      <c r="J70" s="115" t="s">
        <v>595</v>
      </c>
      <c r="K70" s="116"/>
      <c r="M70" s="108" t="s">
        <v>582</v>
      </c>
      <c r="N70" s="118">
        <v>152.79</v>
      </c>
      <c r="P70" s="108" t="s">
        <v>591</v>
      </c>
      <c r="Q70" s="118">
        <v>418</v>
      </c>
      <c r="S70" s="108" t="s">
        <v>586</v>
      </c>
      <c r="T70" s="118">
        <v>587.70000000000005</v>
      </c>
      <c r="V70" s="108" t="s">
        <v>602</v>
      </c>
      <c r="W70" s="119">
        <v>15</v>
      </c>
    </row>
    <row r="71" spans="1:23" x14ac:dyDescent="0.2">
      <c r="A71" s="131" t="s">
        <v>608</v>
      </c>
      <c r="B71" s="132">
        <v>569.20000000000005</v>
      </c>
      <c r="C71" s="132">
        <v>531</v>
      </c>
      <c r="D71" s="132">
        <v>526.20000000000005</v>
      </c>
      <c r="E71" s="132">
        <v>567.20000000000005</v>
      </c>
      <c r="F71" s="132">
        <v>486</v>
      </c>
      <c r="G71" s="153"/>
      <c r="H71" s="153"/>
      <c r="J71" s="117" t="s">
        <v>594</v>
      </c>
      <c r="K71" s="118">
        <v>5580</v>
      </c>
      <c r="M71" s="117" t="s">
        <v>581</v>
      </c>
      <c r="N71" s="118">
        <v>1631.18</v>
      </c>
      <c r="P71" s="117" t="s">
        <v>590</v>
      </c>
      <c r="Q71" s="118">
        <v>3511</v>
      </c>
      <c r="S71" s="108" t="s">
        <v>585</v>
      </c>
      <c r="T71" s="118">
        <v>587.70000000000005</v>
      </c>
      <c r="V71" s="117" t="s">
        <v>845</v>
      </c>
      <c r="W71" s="119">
        <v>8.4600000000000009</v>
      </c>
    </row>
    <row r="72" spans="1:23" x14ac:dyDescent="0.2">
      <c r="A72" s="133" t="s">
        <v>607</v>
      </c>
      <c r="B72" s="132">
        <v>438.5</v>
      </c>
      <c r="C72" s="132">
        <v>407</v>
      </c>
      <c r="D72" s="132">
        <v>390.4</v>
      </c>
      <c r="E72" s="132">
        <v>454.5</v>
      </c>
      <c r="F72" s="132">
        <v>365.5</v>
      </c>
      <c r="G72" s="153"/>
      <c r="H72" s="153"/>
      <c r="J72" s="108" t="s">
        <v>593</v>
      </c>
      <c r="K72" s="118">
        <v>5293</v>
      </c>
      <c r="M72" s="115" t="s">
        <v>68</v>
      </c>
      <c r="N72" s="116"/>
      <c r="P72" s="108" t="s">
        <v>589</v>
      </c>
      <c r="Q72" s="118">
        <v>3511</v>
      </c>
      <c r="S72" s="108" t="s">
        <v>582</v>
      </c>
      <c r="T72" s="118">
        <v>1445.62</v>
      </c>
      <c r="V72" s="117" t="s">
        <v>599</v>
      </c>
      <c r="W72" s="119">
        <v>4.03</v>
      </c>
    </row>
    <row r="73" spans="1:23" x14ac:dyDescent="0.2">
      <c r="A73" s="133" t="s">
        <v>606</v>
      </c>
      <c r="B73" s="132">
        <v>130.69999999999999</v>
      </c>
      <c r="C73" s="132">
        <v>124</v>
      </c>
      <c r="D73" s="132">
        <v>135.80000000000001</v>
      </c>
      <c r="E73" s="132">
        <v>112.7</v>
      </c>
      <c r="F73" s="132">
        <v>120.5</v>
      </c>
      <c r="G73" s="153"/>
      <c r="H73" s="153"/>
      <c r="J73" s="108" t="s">
        <v>592</v>
      </c>
      <c r="K73" s="118">
        <v>5293</v>
      </c>
      <c r="M73" s="136" t="s">
        <v>68</v>
      </c>
      <c r="N73" s="137">
        <v>2009.17</v>
      </c>
      <c r="P73" s="117" t="s">
        <v>588</v>
      </c>
      <c r="Q73" s="118">
        <v>1232</v>
      </c>
      <c r="S73" s="117" t="s">
        <v>581</v>
      </c>
      <c r="T73" s="118">
        <v>7960.2</v>
      </c>
      <c r="V73" s="117" t="s">
        <v>598</v>
      </c>
      <c r="W73" s="119">
        <v>7.69</v>
      </c>
    </row>
    <row r="74" spans="1:23" x14ac:dyDescent="0.2">
      <c r="A74" s="131" t="s">
        <v>605</v>
      </c>
      <c r="B74" s="135">
        <v>6.2</v>
      </c>
      <c r="C74" s="132">
        <v>411.2</v>
      </c>
      <c r="D74" s="135">
        <v>13</v>
      </c>
      <c r="E74" s="132">
        <v>122.8</v>
      </c>
      <c r="F74" s="135">
        <v>40.6</v>
      </c>
      <c r="G74" s="152"/>
      <c r="H74" s="152"/>
      <c r="J74" s="108" t="s">
        <v>591</v>
      </c>
      <c r="K74" s="118">
        <v>287</v>
      </c>
      <c r="M74" s="115" t="s">
        <v>580</v>
      </c>
      <c r="N74" s="116"/>
      <c r="P74" s="117" t="s">
        <v>587</v>
      </c>
      <c r="Q74" s="118">
        <v>2458</v>
      </c>
      <c r="S74" s="115" t="s">
        <v>68</v>
      </c>
      <c r="T74" s="116"/>
      <c r="V74" s="108" t="s">
        <v>597</v>
      </c>
      <c r="W74" s="119">
        <v>7.69</v>
      </c>
    </row>
    <row r="75" spans="1:23" x14ac:dyDescent="0.2">
      <c r="A75" s="133" t="s">
        <v>604</v>
      </c>
      <c r="B75" s="138"/>
      <c r="C75" s="138"/>
      <c r="D75" s="138">
        <v>0</v>
      </c>
      <c r="E75" s="132">
        <v>100</v>
      </c>
      <c r="F75" s="138"/>
      <c r="G75" s="154"/>
      <c r="H75" s="154"/>
      <c r="J75" s="117" t="s">
        <v>590</v>
      </c>
      <c r="K75" s="118">
        <v>1266</v>
      </c>
      <c r="M75" s="117" t="s">
        <v>579</v>
      </c>
      <c r="N75" s="118">
        <v>1640.94</v>
      </c>
      <c r="P75" s="108" t="s">
        <v>586</v>
      </c>
      <c r="Q75" s="118">
        <v>605</v>
      </c>
      <c r="S75" s="136" t="s">
        <v>68</v>
      </c>
      <c r="T75" s="140">
        <v>15343.83</v>
      </c>
      <c r="V75" s="136" t="s">
        <v>596</v>
      </c>
      <c r="W75" s="137">
        <v>245</v>
      </c>
    </row>
    <row r="76" spans="1:23" x14ac:dyDescent="0.2">
      <c r="A76" s="133" t="s">
        <v>603</v>
      </c>
      <c r="B76" s="135">
        <v>6.2</v>
      </c>
      <c r="C76" s="132">
        <v>411.2</v>
      </c>
      <c r="D76" s="135">
        <v>13</v>
      </c>
      <c r="E76" s="135">
        <v>22.8</v>
      </c>
      <c r="F76" s="135">
        <v>40.6</v>
      </c>
      <c r="G76" s="152"/>
      <c r="H76" s="152"/>
      <c r="J76" s="108" t="s">
        <v>589</v>
      </c>
      <c r="K76" s="118">
        <v>1266</v>
      </c>
      <c r="M76" s="108" t="s">
        <v>578</v>
      </c>
      <c r="N76" s="118">
        <v>1640.94</v>
      </c>
      <c r="P76" s="108" t="s">
        <v>585</v>
      </c>
      <c r="Q76" s="118">
        <v>248</v>
      </c>
      <c r="S76" s="115" t="s">
        <v>580</v>
      </c>
      <c r="T76" s="116"/>
      <c r="V76" s="115" t="s">
        <v>595</v>
      </c>
      <c r="W76" s="116"/>
    </row>
    <row r="77" spans="1:23" x14ac:dyDescent="0.2">
      <c r="A77" s="133" t="s">
        <v>602</v>
      </c>
      <c r="B77" s="135">
        <v>0.4</v>
      </c>
      <c r="C77" s="132">
        <v>400.5</v>
      </c>
      <c r="D77" s="135">
        <v>0.5</v>
      </c>
      <c r="E77" s="135">
        <v>0.5</v>
      </c>
      <c r="F77" s="135">
        <v>5.2</v>
      </c>
      <c r="G77" s="152"/>
      <c r="H77" s="152"/>
      <c r="J77" s="117" t="s">
        <v>588</v>
      </c>
      <c r="K77" s="118">
        <v>320</v>
      </c>
      <c r="M77" s="108" t="s">
        <v>761</v>
      </c>
      <c r="N77" s="119">
        <v>3.63</v>
      </c>
      <c r="P77" s="108" t="s">
        <v>584</v>
      </c>
      <c r="Q77" s="118">
        <v>357</v>
      </c>
      <c r="S77" s="117" t="s">
        <v>579</v>
      </c>
      <c r="T77" s="134">
        <v>13314.01</v>
      </c>
      <c r="V77" s="117" t="s">
        <v>594</v>
      </c>
      <c r="W77" s="118">
        <v>1223.32</v>
      </c>
    </row>
    <row r="78" spans="1:23" x14ac:dyDescent="0.2">
      <c r="A78" s="133" t="s">
        <v>601</v>
      </c>
      <c r="B78" s="135">
        <v>5.8</v>
      </c>
      <c r="C78" s="135">
        <v>10.7</v>
      </c>
      <c r="D78" s="135">
        <v>12.5</v>
      </c>
      <c r="E78" s="135">
        <v>22.3</v>
      </c>
      <c r="F78" s="135">
        <v>35.4</v>
      </c>
      <c r="G78" s="152"/>
      <c r="H78" s="152"/>
      <c r="J78" s="117" t="s">
        <v>587</v>
      </c>
      <c r="K78" s="118">
        <v>616</v>
      </c>
      <c r="M78" s="108" t="s">
        <v>577</v>
      </c>
      <c r="N78" s="118">
        <v>630.21</v>
      </c>
      <c r="P78" s="108" t="s">
        <v>582</v>
      </c>
      <c r="Q78" s="118">
        <v>1853</v>
      </c>
      <c r="S78" s="108" t="s">
        <v>578</v>
      </c>
      <c r="T78" s="134">
        <v>13314.01</v>
      </c>
      <c r="V78" s="108" t="s">
        <v>593</v>
      </c>
      <c r="W78" s="118">
        <v>1223.32</v>
      </c>
    </row>
    <row r="79" spans="1:23" x14ac:dyDescent="0.2">
      <c r="A79" s="131" t="s">
        <v>600</v>
      </c>
      <c r="B79" s="135">
        <v>29.3</v>
      </c>
      <c r="C79" s="138"/>
      <c r="D79" s="138"/>
      <c r="E79" s="138"/>
      <c r="F79" s="138"/>
      <c r="G79" s="154"/>
      <c r="H79" s="154"/>
      <c r="J79" s="108" t="s">
        <v>582</v>
      </c>
      <c r="K79" s="118">
        <v>616</v>
      </c>
      <c r="M79" s="108" t="s">
        <v>576</v>
      </c>
      <c r="N79" s="119">
        <v>0.56999999999999995</v>
      </c>
      <c r="P79" s="117" t="s">
        <v>770</v>
      </c>
      <c r="Q79" s="118">
        <v>430</v>
      </c>
      <c r="S79" s="108" t="s">
        <v>577</v>
      </c>
      <c r="T79" s="118">
        <v>7699.11</v>
      </c>
      <c r="V79" s="108" t="s">
        <v>592</v>
      </c>
      <c r="W79" s="118">
        <v>1223.32</v>
      </c>
    </row>
    <row r="80" spans="1:23" x14ac:dyDescent="0.2">
      <c r="A80" s="131" t="s">
        <v>599</v>
      </c>
      <c r="B80" s="135">
        <v>44.5</v>
      </c>
      <c r="C80" s="135">
        <v>49.3</v>
      </c>
      <c r="D80" s="135">
        <v>47.3</v>
      </c>
      <c r="E80" s="135">
        <v>48.1</v>
      </c>
      <c r="F80" s="135">
        <v>49.2</v>
      </c>
      <c r="G80" s="152"/>
      <c r="H80" s="152"/>
      <c r="J80" s="117" t="s">
        <v>581</v>
      </c>
      <c r="K80" s="118">
        <v>7782</v>
      </c>
      <c r="M80" s="108" t="s">
        <v>575</v>
      </c>
      <c r="N80" s="118">
        <v>629.64</v>
      </c>
      <c r="P80" s="117" t="s">
        <v>581</v>
      </c>
      <c r="Q80" s="134">
        <v>24527</v>
      </c>
      <c r="S80" s="108" t="s">
        <v>576</v>
      </c>
      <c r="T80" s="118">
        <v>318.13</v>
      </c>
      <c r="V80" s="117" t="s">
        <v>590</v>
      </c>
      <c r="W80" s="118">
        <v>239.94</v>
      </c>
    </row>
    <row r="81" spans="1:23" x14ac:dyDescent="0.2">
      <c r="A81" s="131" t="s">
        <v>598</v>
      </c>
      <c r="B81" s="132">
        <v>306.89999999999998</v>
      </c>
      <c r="C81" s="132">
        <v>247.6</v>
      </c>
      <c r="D81" s="132">
        <v>211.1</v>
      </c>
      <c r="E81" s="132">
        <v>218.5</v>
      </c>
      <c r="F81" s="132">
        <v>193.5</v>
      </c>
      <c r="G81" s="153"/>
      <c r="H81" s="153"/>
      <c r="J81" s="115" t="s">
        <v>68</v>
      </c>
      <c r="K81" s="116"/>
      <c r="M81" s="108" t="s">
        <v>574</v>
      </c>
      <c r="N81" s="118">
        <v>1014.36</v>
      </c>
      <c r="P81" s="115" t="s">
        <v>68</v>
      </c>
      <c r="Q81" s="116"/>
      <c r="S81" s="108" t="s">
        <v>575</v>
      </c>
      <c r="T81" s="118">
        <v>7380.98</v>
      </c>
      <c r="V81" s="108" t="s">
        <v>589</v>
      </c>
      <c r="W81" s="118">
        <v>239.94</v>
      </c>
    </row>
    <row r="82" spans="1:23" x14ac:dyDescent="0.2">
      <c r="A82" s="133" t="s">
        <v>597</v>
      </c>
      <c r="B82" s="132">
        <v>306.89999999999998</v>
      </c>
      <c r="C82" s="132">
        <v>247.6</v>
      </c>
      <c r="D82" s="132">
        <v>211.1</v>
      </c>
      <c r="E82" s="132">
        <v>218.5</v>
      </c>
      <c r="F82" s="132">
        <v>193.5</v>
      </c>
      <c r="G82" s="153"/>
      <c r="H82" s="153"/>
      <c r="J82" s="136" t="s">
        <v>68</v>
      </c>
      <c r="K82" s="137">
        <v>8677</v>
      </c>
      <c r="M82" s="108" t="s">
        <v>573</v>
      </c>
      <c r="N82" s="118">
        <v>1024.6199999999999</v>
      </c>
      <c r="P82" s="136" t="s">
        <v>68</v>
      </c>
      <c r="Q82" s="140">
        <v>33281</v>
      </c>
      <c r="S82" s="108" t="s">
        <v>574</v>
      </c>
      <c r="T82" s="118">
        <v>5614.9</v>
      </c>
      <c r="V82" s="117" t="s">
        <v>588</v>
      </c>
      <c r="W82" s="119">
        <v>33.6</v>
      </c>
    </row>
    <row r="83" spans="1:23" x14ac:dyDescent="0.2">
      <c r="A83" s="141" t="s">
        <v>596</v>
      </c>
      <c r="B83" s="142">
        <v>956.1</v>
      </c>
      <c r="C83" s="142">
        <v>1239.0999999999999</v>
      </c>
      <c r="D83" s="142">
        <v>797.6</v>
      </c>
      <c r="E83" s="142">
        <v>956.6</v>
      </c>
      <c r="F83" s="142">
        <v>769.3</v>
      </c>
      <c r="G83" s="155"/>
      <c r="H83" s="155"/>
      <c r="J83" s="115" t="s">
        <v>580</v>
      </c>
      <c r="K83" s="116"/>
      <c r="M83" s="108" t="s">
        <v>572</v>
      </c>
      <c r="N83" s="145">
        <v>-10.26</v>
      </c>
      <c r="P83" s="115" t="s">
        <v>580</v>
      </c>
      <c r="Q83" s="116"/>
      <c r="S83" s="108" t="s">
        <v>573</v>
      </c>
      <c r="T83" s="118">
        <v>6076.91</v>
      </c>
      <c r="V83" s="117" t="s">
        <v>587</v>
      </c>
      <c r="W83" s="119">
        <v>66.03</v>
      </c>
    </row>
    <row r="84" spans="1:23" x14ac:dyDescent="0.2">
      <c r="A84" s="129" t="s">
        <v>595</v>
      </c>
      <c r="B84" s="130"/>
      <c r="C84" s="130"/>
      <c r="D84" s="130"/>
      <c r="E84" s="130"/>
      <c r="F84" s="130"/>
      <c r="G84" s="151"/>
      <c r="H84" s="151"/>
      <c r="J84" s="117" t="s">
        <v>579</v>
      </c>
      <c r="K84" s="134">
        <v>10032</v>
      </c>
      <c r="M84" s="108" t="s">
        <v>569</v>
      </c>
      <c r="N84" s="118">
        <v>1640.94</v>
      </c>
      <c r="P84" s="117" t="s">
        <v>579</v>
      </c>
      <c r="Q84" s="134">
        <v>24004</v>
      </c>
      <c r="S84" s="108" t="s">
        <v>572</v>
      </c>
      <c r="T84" s="139">
        <v>-462.01</v>
      </c>
      <c r="V84" s="108" t="s">
        <v>582</v>
      </c>
      <c r="W84" s="119">
        <v>66.03</v>
      </c>
    </row>
    <row r="85" spans="1:23" x14ac:dyDescent="0.2">
      <c r="A85" s="131" t="s">
        <v>594</v>
      </c>
      <c r="B85" s="132">
        <v>4366.7</v>
      </c>
      <c r="C85" s="132">
        <v>4916.6000000000004</v>
      </c>
      <c r="D85" s="132">
        <v>3893.9</v>
      </c>
      <c r="E85" s="132">
        <v>3910</v>
      </c>
      <c r="F85" s="132">
        <v>3935.3</v>
      </c>
      <c r="G85" s="153"/>
      <c r="H85" s="153"/>
      <c r="J85" s="108" t="s">
        <v>744</v>
      </c>
      <c r="K85" s="134">
        <v>0</v>
      </c>
      <c r="M85" s="115" t="s">
        <v>567</v>
      </c>
      <c r="N85" s="116"/>
      <c r="P85" s="108" t="s">
        <v>744</v>
      </c>
      <c r="Q85" s="119">
        <v>1</v>
      </c>
      <c r="S85" s="108" t="s">
        <v>571</v>
      </c>
      <c r="T85" s="139">
        <v>-120.64</v>
      </c>
      <c r="V85" s="117" t="s">
        <v>581</v>
      </c>
      <c r="W85" s="118">
        <v>1562.88</v>
      </c>
    </row>
    <row r="86" spans="1:23" x14ac:dyDescent="0.2">
      <c r="A86" s="133" t="s">
        <v>593</v>
      </c>
      <c r="B86" s="132">
        <v>4361.7</v>
      </c>
      <c r="C86" s="132">
        <v>4906.8999999999996</v>
      </c>
      <c r="D86" s="132">
        <v>3877.3</v>
      </c>
      <c r="E86" s="132">
        <v>3875.2</v>
      </c>
      <c r="F86" s="132">
        <v>3874.8</v>
      </c>
      <c r="G86" s="153"/>
      <c r="H86" s="153"/>
      <c r="J86" s="108" t="s">
        <v>745</v>
      </c>
      <c r="K86" s="134">
        <v>0</v>
      </c>
      <c r="M86" s="136" t="s">
        <v>566</v>
      </c>
      <c r="N86" s="137">
        <v>1640.94</v>
      </c>
      <c r="P86" s="108" t="s">
        <v>745</v>
      </c>
      <c r="Q86" s="119">
        <v>1</v>
      </c>
      <c r="S86" s="108" t="s">
        <v>746</v>
      </c>
      <c r="T86" s="134">
        <v>17051.439999999999</v>
      </c>
      <c r="V86" s="115" t="s">
        <v>68</v>
      </c>
      <c r="W86" s="116"/>
    </row>
    <row r="87" spans="1:23" x14ac:dyDescent="0.2">
      <c r="A87" s="133" t="s">
        <v>592</v>
      </c>
      <c r="B87" s="132">
        <v>4361.7</v>
      </c>
      <c r="C87" s="132">
        <v>4906.8999999999996</v>
      </c>
      <c r="D87" s="132">
        <v>3877.3</v>
      </c>
      <c r="E87" s="132">
        <v>3875.2</v>
      </c>
      <c r="F87" s="132">
        <v>3874.8</v>
      </c>
      <c r="G87" s="153"/>
      <c r="H87" s="153"/>
      <c r="J87" s="108" t="s">
        <v>578</v>
      </c>
      <c r="K87" s="134">
        <v>10032</v>
      </c>
      <c r="M87" s="115" t="s">
        <v>565</v>
      </c>
      <c r="N87" s="116"/>
      <c r="P87" s="108" t="s">
        <v>578</v>
      </c>
      <c r="Q87" s="134">
        <v>24003</v>
      </c>
      <c r="S87" s="108" t="s">
        <v>570</v>
      </c>
      <c r="T87" s="139">
        <v>-7152</v>
      </c>
      <c r="V87" s="136" t="s">
        <v>68</v>
      </c>
      <c r="W87" s="137">
        <v>1807.89</v>
      </c>
    </row>
    <row r="88" spans="1:23" x14ac:dyDescent="0.2">
      <c r="A88" s="133" t="s">
        <v>591</v>
      </c>
      <c r="B88" s="135">
        <v>5</v>
      </c>
      <c r="C88" s="135">
        <v>9.6999999999999993</v>
      </c>
      <c r="D88" s="135">
        <v>16.600000000000001</v>
      </c>
      <c r="E88" s="135">
        <v>34.799999999999997</v>
      </c>
      <c r="F88" s="135">
        <v>60.5</v>
      </c>
      <c r="G88" s="152"/>
      <c r="H88" s="152"/>
      <c r="J88" s="108" t="s">
        <v>577</v>
      </c>
      <c r="K88" s="118">
        <v>3570</v>
      </c>
      <c r="M88" s="136" t="s">
        <v>564</v>
      </c>
      <c r="N88" s="137">
        <v>3650.11</v>
      </c>
      <c r="P88" s="108" t="s">
        <v>761</v>
      </c>
      <c r="Q88" s="118">
        <v>2016</v>
      </c>
      <c r="S88" s="108" t="s">
        <v>828</v>
      </c>
      <c r="T88" s="146">
        <v>-10240.82</v>
      </c>
      <c r="V88" s="115" t="s">
        <v>580</v>
      </c>
      <c r="W88" s="116"/>
    </row>
    <row r="89" spans="1:23" x14ac:dyDescent="0.2">
      <c r="A89" s="131" t="s">
        <v>590</v>
      </c>
      <c r="B89" s="132">
        <v>1358.3</v>
      </c>
      <c r="C89" s="132">
        <v>1336.5</v>
      </c>
      <c r="D89" s="132">
        <v>1028.9000000000001</v>
      </c>
      <c r="E89" s="132">
        <v>1072.8</v>
      </c>
      <c r="F89" s="132">
        <v>1005.9</v>
      </c>
      <c r="G89" s="153"/>
      <c r="H89" s="153"/>
      <c r="J89" s="108" t="s">
        <v>576</v>
      </c>
      <c r="K89" s="119">
        <v>1</v>
      </c>
      <c r="M89" s="115" t="s">
        <v>563</v>
      </c>
      <c r="N89" s="116"/>
      <c r="P89" s="108" t="s">
        <v>577</v>
      </c>
      <c r="Q89" s="118">
        <v>683</v>
      </c>
      <c r="S89" s="108" t="s">
        <v>569</v>
      </c>
      <c r="T89" s="134">
        <v>13314.01</v>
      </c>
      <c r="V89" s="117" t="s">
        <v>579</v>
      </c>
      <c r="W89" s="118">
        <v>1456.7</v>
      </c>
    </row>
    <row r="90" spans="1:23" x14ac:dyDescent="0.2">
      <c r="A90" s="133" t="s">
        <v>589</v>
      </c>
      <c r="B90" s="132">
        <v>1358.3</v>
      </c>
      <c r="C90" s="132">
        <v>1336.5</v>
      </c>
      <c r="D90" s="132">
        <v>1028.9000000000001</v>
      </c>
      <c r="E90" s="132">
        <v>1072.8</v>
      </c>
      <c r="F90" s="132">
        <v>1005.9</v>
      </c>
      <c r="G90" s="153"/>
      <c r="H90" s="153"/>
      <c r="J90" s="108" t="s">
        <v>575</v>
      </c>
      <c r="K90" s="118">
        <v>3569</v>
      </c>
      <c r="M90" s="117" t="s">
        <v>562</v>
      </c>
      <c r="N90" s="119">
        <v>57.1</v>
      </c>
      <c r="P90" s="108" t="s">
        <v>576</v>
      </c>
      <c r="Q90" s="118">
        <v>286</v>
      </c>
      <c r="S90" s="117" t="s">
        <v>568</v>
      </c>
      <c r="T90" s="118">
        <v>307.67</v>
      </c>
      <c r="V90" s="108" t="s">
        <v>744</v>
      </c>
      <c r="W90" s="134">
        <v>0</v>
      </c>
    </row>
    <row r="91" spans="1:23" x14ac:dyDescent="0.2">
      <c r="A91" s="131" t="s">
        <v>588</v>
      </c>
      <c r="B91" s="132">
        <v>522.6</v>
      </c>
      <c r="C91" s="132">
        <v>521.4</v>
      </c>
      <c r="D91" s="132">
        <v>507.4</v>
      </c>
      <c r="E91" s="132">
        <v>548.4</v>
      </c>
      <c r="F91" s="132">
        <v>642.5</v>
      </c>
      <c r="G91" s="153"/>
      <c r="H91" s="153"/>
      <c r="J91" s="108" t="s">
        <v>574</v>
      </c>
      <c r="K91" s="118">
        <v>6462</v>
      </c>
      <c r="M91" s="108" t="s">
        <v>561</v>
      </c>
      <c r="N91" s="119">
        <v>56.66</v>
      </c>
      <c r="P91" s="108" t="s">
        <v>575</v>
      </c>
      <c r="Q91" s="118">
        <v>397</v>
      </c>
      <c r="S91" s="115" t="s">
        <v>567</v>
      </c>
      <c r="T91" s="116"/>
      <c r="V91" s="108" t="s">
        <v>745</v>
      </c>
      <c r="W91" s="134">
        <v>0</v>
      </c>
    </row>
    <row r="92" spans="1:23" x14ac:dyDescent="0.2">
      <c r="A92" s="131" t="s">
        <v>587</v>
      </c>
      <c r="B92" s="132">
        <v>947.8</v>
      </c>
      <c r="C92" s="132">
        <v>948.7</v>
      </c>
      <c r="D92" s="132">
        <v>810</v>
      </c>
      <c r="E92" s="132">
        <v>794.6</v>
      </c>
      <c r="F92" s="132">
        <v>761.9</v>
      </c>
      <c r="G92" s="153"/>
      <c r="H92" s="153"/>
      <c r="J92" s="108" t="s">
        <v>573</v>
      </c>
      <c r="K92" s="118">
        <v>6402</v>
      </c>
      <c r="M92" s="108" t="s">
        <v>560</v>
      </c>
      <c r="N92" s="119">
        <v>0.43</v>
      </c>
      <c r="P92" s="108" t="s">
        <v>574</v>
      </c>
      <c r="Q92" s="134">
        <v>25336</v>
      </c>
      <c r="S92" s="136" t="s">
        <v>566</v>
      </c>
      <c r="T92" s="140">
        <v>13621.68</v>
      </c>
      <c r="V92" s="108" t="s">
        <v>846</v>
      </c>
      <c r="W92" s="134">
        <v>0</v>
      </c>
    </row>
    <row r="93" spans="1:23" x14ac:dyDescent="0.2">
      <c r="A93" s="133" t="s">
        <v>586</v>
      </c>
      <c r="B93" s="132">
        <v>520.70000000000005</v>
      </c>
      <c r="C93" s="132">
        <v>502.6</v>
      </c>
      <c r="D93" s="132">
        <v>407.7</v>
      </c>
      <c r="E93" s="132">
        <v>393.5</v>
      </c>
      <c r="F93" s="132">
        <v>421.5</v>
      </c>
      <c r="G93" s="153"/>
      <c r="H93" s="153"/>
      <c r="J93" s="108" t="s">
        <v>572</v>
      </c>
      <c r="K93" s="119">
        <v>60</v>
      </c>
      <c r="M93" s="117" t="s">
        <v>559</v>
      </c>
      <c r="N93" s="118">
        <v>300</v>
      </c>
      <c r="P93" s="108" t="s">
        <v>573</v>
      </c>
      <c r="Q93" s="134">
        <v>25593</v>
      </c>
      <c r="S93" s="115" t="s">
        <v>565</v>
      </c>
      <c r="T93" s="116"/>
      <c r="V93" s="108" t="s">
        <v>578</v>
      </c>
      <c r="W93" s="118">
        <v>1456.7</v>
      </c>
    </row>
    <row r="94" spans="1:23" x14ac:dyDescent="0.2">
      <c r="A94" s="133" t="s">
        <v>585</v>
      </c>
      <c r="B94" s="135">
        <v>64.2</v>
      </c>
      <c r="C94" s="135">
        <v>75.2</v>
      </c>
      <c r="D94" s="135">
        <v>83.6</v>
      </c>
      <c r="E94" s="135">
        <v>82.2</v>
      </c>
      <c r="F94" s="132">
        <v>106.3</v>
      </c>
      <c r="G94" s="153"/>
      <c r="H94" s="153"/>
      <c r="J94" s="108" t="s">
        <v>746</v>
      </c>
      <c r="K94" s="145">
        <v>-2</v>
      </c>
      <c r="M94" s="117" t="s">
        <v>558</v>
      </c>
      <c r="N94" s="119">
        <v>57.1</v>
      </c>
      <c r="P94" s="108" t="s">
        <v>572</v>
      </c>
      <c r="Q94" s="139">
        <v>-257</v>
      </c>
      <c r="S94" s="136" t="s">
        <v>564</v>
      </c>
      <c r="T94" s="140">
        <v>28965.51</v>
      </c>
      <c r="V94" s="108" t="s">
        <v>577</v>
      </c>
      <c r="W94" s="119">
        <v>0.33</v>
      </c>
    </row>
    <row r="95" spans="1:23" x14ac:dyDescent="0.2">
      <c r="A95" s="133" t="s">
        <v>584</v>
      </c>
      <c r="B95" s="132">
        <v>456.5</v>
      </c>
      <c r="C95" s="132">
        <v>427.4</v>
      </c>
      <c r="D95" s="132">
        <v>324.10000000000002</v>
      </c>
      <c r="E95" s="132">
        <v>311.3</v>
      </c>
      <c r="F95" s="132">
        <v>315.2</v>
      </c>
      <c r="G95" s="153"/>
      <c r="H95" s="153"/>
      <c r="J95" s="108" t="s">
        <v>570</v>
      </c>
      <c r="K95" s="119">
        <v>62</v>
      </c>
      <c r="M95" s="108" t="s">
        <v>557</v>
      </c>
      <c r="N95" s="119">
        <v>56.66</v>
      </c>
      <c r="P95" s="108" t="s">
        <v>571</v>
      </c>
      <c r="Q95" s="145">
        <v>-48</v>
      </c>
      <c r="S95" s="115" t="s">
        <v>563</v>
      </c>
      <c r="T95" s="116"/>
      <c r="V95" s="108" t="s">
        <v>576</v>
      </c>
      <c r="W95" s="119">
        <v>0.33</v>
      </c>
    </row>
    <row r="96" spans="1:23" x14ac:dyDescent="0.2">
      <c r="A96" s="133" t="s">
        <v>583</v>
      </c>
      <c r="B96" s="132">
        <v>130.6</v>
      </c>
      <c r="C96" s="132">
        <v>137.80000000000001</v>
      </c>
      <c r="D96" s="132">
        <v>145.30000000000001</v>
      </c>
      <c r="E96" s="132">
        <v>159.80000000000001</v>
      </c>
      <c r="F96" s="132">
        <v>167.1</v>
      </c>
      <c r="G96" s="153"/>
      <c r="H96" s="153"/>
      <c r="J96" s="108" t="s">
        <v>569</v>
      </c>
      <c r="K96" s="134">
        <v>10032</v>
      </c>
      <c r="M96" s="108" t="s">
        <v>556</v>
      </c>
      <c r="N96" s="119">
        <v>0.43</v>
      </c>
      <c r="P96" s="108" t="s">
        <v>746</v>
      </c>
      <c r="Q96" s="139">
        <v>-187</v>
      </c>
      <c r="S96" s="117" t="s">
        <v>562</v>
      </c>
      <c r="T96" s="134">
        <v>14508.33</v>
      </c>
      <c r="V96" s="108" t="s">
        <v>575</v>
      </c>
      <c r="W96" s="134">
        <v>0</v>
      </c>
    </row>
    <row r="97" spans="1:23" x14ac:dyDescent="0.2">
      <c r="A97" s="133" t="s">
        <v>582</v>
      </c>
      <c r="B97" s="132">
        <v>296.5</v>
      </c>
      <c r="C97" s="132">
        <v>308.3</v>
      </c>
      <c r="D97" s="132">
        <v>257</v>
      </c>
      <c r="E97" s="132">
        <v>241.3</v>
      </c>
      <c r="F97" s="132">
        <v>173.3</v>
      </c>
      <c r="G97" s="153"/>
      <c r="H97" s="153"/>
      <c r="J97" s="117" t="s">
        <v>568</v>
      </c>
      <c r="K97" s="119">
        <v>2</v>
      </c>
      <c r="M97" s="115" t="s">
        <v>555</v>
      </c>
      <c r="N97" s="116"/>
      <c r="P97" s="108" t="s">
        <v>570</v>
      </c>
      <c r="Q97" s="145">
        <v>-22</v>
      </c>
      <c r="S97" s="108" t="s">
        <v>561</v>
      </c>
      <c r="T97" s="134">
        <v>14508.33</v>
      </c>
      <c r="V97" s="108" t="s">
        <v>574</v>
      </c>
      <c r="W97" s="118">
        <v>1456.37</v>
      </c>
    </row>
    <row r="98" spans="1:23" x14ac:dyDescent="0.2">
      <c r="A98" s="131" t="s">
        <v>581</v>
      </c>
      <c r="B98" s="132">
        <v>7195.4</v>
      </c>
      <c r="C98" s="132">
        <v>7723.2</v>
      </c>
      <c r="D98" s="132">
        <v>6240.2</v>
      </c>
      <c r="E98" s="132">
        <v>6325.8</v>
      </c>
      <c r="F98" s="132">
        <v>6345.6</v>
      </c>
      <c r="G98" s="153"/>
      <c r="H98" s="153"/>
      <c r="J98" s="115" t="s">
        <v>567</v>
      </c>
      <c r="K98" s="116"/>
      <c r="M98" s="117" t="s">
        <v>554</v>
      </c>
      <c r="N98" s="119">
        <v>1</v>
      </c>
      <c r="P98" s="108" t="s">
        <v>569</v>
      </c>
      <c r="Q98" s="134">
        <v>24003</v>
      </c>
      <c r="S98" s="108" t="s">
        <v>560</v>
      </c>
      <c r="T98" s="134">
        <v>0</v>
      </c>
      <c r="V98" s="108" t="s">
        <v>573</v>
      </c>
      <c r="W98" s="118">
        <v>1459.5</v>
      </c>
    </row>
    <row r="99" spans="1:23" x14ac:dyDescent="0.2">
      <c r="A99" s="129" t="s">
        <v>68</v>
      </c>
      <c r="B99" s="130"/>
      <c r="C99" s="130"/>
      <c r="D99" s="130"/>
      <c r="E99" s="130"/>
      <c r="F99" s="130"/>
      <c r="G99" s="151"/>
      <c r="H99" s="151"/>
      <c r="J99" s="136" t="s">
        <v>566</v>
      </c>
      <c r="K99" s="140">
        <v>10034</v>
      </c>
      <c r="M99" s="115" t="s">
        <v>553</v>
      </c>
      <c r="N99" s="116"/>
      <c r="P99" s="117" t="s">
        <v>568</v>
      </c>
      <c r="Q99" s="118">
        <v>1044</v>
      </c>
      <c r="S99" s="117" t="s">
        <v>558</v>
      </c>
      <c r="T99" s="134">
        <v>29016.66</v>
      </c>
      <c r="V99" s="108" t="s">
        <v>572</v>
      </c>
      <c r="W99" s="145">
        <v>-3.12</v>
      </c>
    </row>
    <row r="100" spans="1:23" x14ac:dyDescent="0.2">
      <c r="A100" s="141" t="s">
        <v>68</v>
      </c>
      <c r="B100" s="142">
        <v>8151.5</v>
      </c>
      <c r="C100" s="142">
        <v>8962.2999999999993</v>
      </c>
      <c r="D100" s="142">
        <v>7037.8</v>
      </c>
      <c r="E100" s="142">
        <v>7282.4</v>
      </c>
      <c r="F100" s="142">
        <v>7114.9</v>
      </c>
      <c r="G100" s="155"/>
      <c r="H100" s="155"/>
      <c r="J100" s="115" t="s">
        <v>565</v>
      </c>
      <c r="K100" s="116"/>
      <c r="M100" s="117" t="s">
        <v>552</v>
      </c>
      <c r="N100" s="119">
        <v>52.59</v>
      </c>
      <c r="P100" s="115" t="s">
        <v>567</v>
      </c>
      <c r="Q100" s="116"/>
      <c r="S100" s="108" t="s">
        <v>557</v>
      </c>
      <c r="T100" s="134">
        <v>29016.66</v>
      </c>
      <c r="V100" s="108" t="s">
        <v>569</v>
      </c>
      <c r="W100" s="118">
        <v>1456.7</v>
      </c>
    </row>
    <row r="101" spans="1:23" x14ac:dyDescent="0.2">
      <c r="A101" s="129" t="s">
        <v>580</v>
      </c>
      <c r="B101" s="130"/>
      <c r="C101" s="130"/>
      <c r="D101" s="130"/>
      <c r="E101" s="130"/>
      <c r="F101" s="130"/>
      <c r="G101" s="151"/>
      <c r="H101" s="151"/>
      <c r="J101" s="136" t="s">
        <v>564</v>
      </c>
      <c r="K101" s="140">
        <v>18711</v>
      </c>
      <c r="M101" s="108" t="s">
        <v>551</v>
      </c>
      <c r="N101" s="119">
        <v>52.59</v>
      </c>
      <c r="P101" s="136" t="s">
        <v>566</v>
      </c>
      <c r="Q101" s="140">
        <v>25048</v>
      </c>
      <c r="S101" s="108" t="s">
        <v>556</v>
      </c>
      <c r="T101" s="134">
        <v>0</v>
      </c>
      <c r="V101" s="115" t="s">
        <v>567</v>
      </c>
      <c r="W101" s="116"/>
    </row>
    <row r="102" spans="1:23" x14ac:dyDescent="0.2">
      <c r="A102" s="131" t="s">
        <v>579</v>
      </c>
      <c r="B102" s="132">
        <v>8525.1</v>
      </c>
      <c r="C102" s="132">
        <v>8118.6</v>
      </c>
      <c r="D102" s="132">
        <v>7483.4</v>
      </c>
      <c r="E102" s="132">
        <v>6928.6</v>
      </c>
      <c r="F102" s="132">
        <v>6545</v>
      </c>
      <c r="G102" s="153"/>
      <c r="H102" s="153"/>
      <c r="J102" s="115" t="s">
        <v>563</v>
      </c>
      <c r="K102" s="116"/>
      <c r="M102" s="117" t="s">
        <v>547</v>
      </c>
      <c r="N102" s="118">
        <v>2028.93</v>
      </c>
      <c r="P102" s="115" t="s">
        <v>565</v>
      </c>
      <c r="Q102" s="116"/>
      <c r="S102" s="117" t="s">
        <v>558</v>
      </c>
      <c r="T102" s="134">
        <v>14508.33</v>
      </c>
      <c r="V102" s="136" t="s">
        <v>566</v>
      </c>
      <c r="W102" s="137">
        <v>1456.7</v>
      </c>
    </row>
    <row r="103" spans="1:23" x14ac:dyDescent="0.2">
      <c r="A103" s="133" t="s">
        <v>578</v>
      </c>
      <c r="B103" s="132">
        <v>8525.1</v>
      </c>
      <c r="C103" s="132">
        <v>8118.6</v>
      </c>
      <c r="D103" s="132">
        <v>7483.4</v>
      </c>
      <c r="E103" s="132">
        <v>6928.6</v>
      </c>
      <c r="F103" s="132">
        <v>6545</v>
      </c>
      <c r="G103" s="153"/>
      <c r="H103" s="153"/>
      <c r="J103" s="117" t="s">
        <v>562</v>
      </c>
      <c r="K103" s="119">
        <v>60.31</v>
      </c>
      <c r="M103" s="115" t="s">
        <v>545</v>
      </c>
      <c r="N103" s="116"/>
      <c r="P103" s="136" t="s">
        <v>564</v>
      </c>
      <c r="Q103" s="140">
        <v>58329</v>
      </c>
      <c r="S103" s="108" t="s">
        <v>557</v>
      </c>
      <c r="T103" s="134">
        <v>14508.33</v>
      </c>
      <c r="V103" s="115" t="s">
        <v>565</v>
      </c>
      <c r="W103" s="116"/>
    </row>
    <row r="104" spans="1:23" x14ac:dyDescent="0.2">
      <c r="A104" s="133" t="s">
        <v>577</v>
      </c>
      <c r="B104" s="132">
        <v>3060.6</v>
      </c>
      <c r="C104" s="132">
        <v>3032.2</v>
      </c>
      <c r="D104" s="132">
        <v>3012.2</v>
      </c>
      <c r="E104" s="132">
        <v>2971.9</v>
      </c>
      <c r="F104" s="132">
        <v>2949.2</v>
      </c>
      <c r="G104" s="153"/>
      <c r="H104" s="153"/>
      <c r="J104" s="108" t="s">
        <v>561</v>
      </c>
      <c r="K104" s="119">
        <v>60.31</v>
      </c>
      <c r="M104" s="117" t="s">
        <v>544</v>
      </c>
      <c r="N104" s="119">
        <v>52.59</v>
      </c>
      <c r="P104" s="115" t="s">
        <v>563</v>
      </c>
      <c r="Q104" s="116"/>
      <c r="S104" s="108" t="s">
        <v>556</v>
      </c>
      <c r="T104" s="134">
        <v>0</v>
      </c>
      <c r="V104" s="136" t="s">
        <v>564</v>
      </c>
      <c r="W104" s="137">
        <v>3264.59</v>
      </c>
    </row>
    <row r="105" spans="1:23" x14ac:dyDescent="0.2">
      <c r="A105" s="133" t="s">
        <v>576</v>
      </c>
      <c r="B105" s="132">
        <v>130.6</v>
      </c>
      <c r="C105" s="132">
        <v>132.1</v>
      </c>
      <c r="D105" s="132">
        <v>132.1</v>
      </c>
      <c r="E105" s="132">
        <v>132.9</v>
      </c>
      <c r="F105" s="132">
        <v>132.69999999999999</v>
      </c>
      <c r="G105" s="153"/>
      <c r="H105" s="153"/>
      <c r="J105" s="108" t="s">
        <v>560</v>
      </c>
      <c r="K105" s="134">
        <v>0</v>
      </c>
      <c r="M105" s="108" t="s">
        <v>543</v>
      </c>
      <c r="N105" s="119">
        <v>15.94</v>
      </c>
      <c r="P105" s="117" t="s">
        <v>562</v>
      </c>
      <c r="Q105" s="118">
        <v>706.95</v>
      </c>
      <c r="S105" s="117" t="s">
        <v>771</v>
      </c>
      <c r="T105" s="118">
        <v>1450.83</v>
      </c>
      <c r="V105" s="115" t="s">
        <v>563</v>
      </c>
      <c r="W105" s="116"/>
    </row>
    <row r="106" spans="1:23" x14ac:dyDescent="0.2">
      <c r="A106" s="133" t="s">
        <v>575</v>
      </c>
      <c r="B106" s="132">
        <v>2930</v>
      </c>
      <c r="C106" s="132">
        <v>2900.1</v>
      </c>
      <c r="D106" s="132">
        <v>2880.1</v>
      </c>
      <c r="E106" s="132">
        <v>2839</v>
      </c>
      <c r="F106" s="132">
        <v>2816.5</v>
      </c>
      <c r="G106" s="153"/>
      <c r="H106" s="153"/>
      <c r="J106" s="117" t="s">
        <v>559</v>
      </c>
      <c r="K106" s="118">
        <v>100</v>
      </c>
      <c r="M106" s="108" t="s">
        <v>542</v>
      </c>
      <c r="N106" s="119">
        <v>36.65</v>
      </c>
      <c r="P106" s="108" t="s">
        <v>561</v>
      </c>
      <c r="Q106" s="118">
        <v>668.63</v>
      </c>
      <c r="S106" s="108" t="s">
        <v>772</v>
      </c>
      <c r="T106" s="118">
        <v>1450.83</v>
      </c>
      <c r="V106" s="117" t="s">
        <v>562</v>
      </c>
      <c r="W106" s="119">
        <v>32.97</v>
      </c>
    </row>
    <row r="107" spans="1:23" x14ac:dyDescent="0.2">
      <c r="A107" s="133" t="s">
        <v>574</v>
      </c>
      <c r="B107" s="132">
        <v>5464.5</v>
      </c>
      <c r="C107" s="132">
        <v>5086.3999999999996</v>
      </c>
      <c r="D107" s="132">
        <v>4471.2</v>
      </c>
      <c r="E107" s="132">
        <v>3956.7</v>
      </c>
      <c r="F107" s="132">
        <v>3595.8</v>
      </c>
      <c r="G107" s="153"/>
      <c r="H107" s="153"/>
      <c r="J107" s="117" t="s">
        <v>558</v>
      </c>
      <c r="K107" s="119">
        <v>60.31</v>
      </c>
      <c r="M107" s="117" t="s">
        <v>541</v>
      </c>
      <c r="N107" s="119">
        <v>52.59</v>
      </c>
      <c r="P107" s="108" t="s">
        <v>560</v>
      </c>
      <c r="Q107" s="119">
        <v>38.32</v>
      </c>
      <c r="S107" s="108" t="s">
        <v>773</v>
      </c>
      <c r="T107" s="134">
        <v>0</v>
      </c>
      <c r="V107" s="108" t="s">
        <v>561</v>
      </c>
      <c r="W107" s="119">
        <v>32.97</v>
      </c>
    </row>
    <row r="108" spans="1:23" x14ac:dyDescent="0.2">
      <c r="A108" s="133" t="s">
        <v>573</v>
      </c>
      <c r="B108" s="132">
        <v>5590.1</v>
      </c>
      <c r="C108" s="132">
        <v>5213.8</v>
      </c>
      <c r="D108" s="132">
        <v>4615</v>
      </c>
      <c r="E108" s="132">
        <v>4111.3999999999996</v>
      </c>
      <c r="F108" s="132">
        <v>3748.5</v>
      </c>
      <c r="G108" s="153"/>
      <c r="H108" s="153"/>
      <c r="J108" s="108" t="s">
        <v>557</v>
      </c>
      <c r="K108" s="119">
        <v>60.31</v>
      </c>
      <c r="M108" s="117" t="s">
        <v>540</v>
      </c>
      <c r="N108" s="118">
        <v>1218.1300000000001</v>
      </c>
      <c r="P108" s="117" t="s">
        <v>559</v>
      </c>
      <c r="Q108" s="118">
        <v>1250</v>
      </c>
      <c r="S108" s="117" t="s">
        <v>829</v>
      </c>
      <c r="T108" s="134">
        <v>14508.33</v>
      </c>
      <c r="V108" s="108" t="s">
        <v>560</v>
      </c>
      <c r="W108" s="134">
        <v>0</v>
      </c>
    </row>
    <row r="109" spans="1:23" x14ac:dyDescent="0.2">
      <c r="A109" s="133" t="s">
        <v>572</v>
      </c>
      <c r="B109" s="143">
        <v>-125.6</v>
      </c>
      <c r="C109" s="143">
        <v>-127.4</v>
      </c>
      <c r="D109" s="143">
        <v>-143.80000000000001</v>
      </c>
      <c r="E109" s="143">
        <v>-154.69999999999999</v>
      </c>
      <c r="F109" s="143">
        <v>-152.69999999999999</v>
      </c>
      <c r="G109" s="157"/>
      <c r="H109" s="157"/>
      <c r="J109" s="108" t="s">
        <v>556</v>
      </c>
      <c r="K109" s="134">
        <v>0</v>
      </c>
      <c r="M109" s="115" t="s">
        <v>539</v>
      </c>
      <c r="N109" s="116"/>
      <c r="P109" s="117" t="s">
        <v>558</v>
      </c>
      <c r="Q109" s="118">
        <v>706.95</v>
      </c>
      <c r="S109" s="108" t="s">
        <v>830</v>
      </c>
      <c r="T109" s="134">
        <v>14508.33</v>
      </c>
      <c r="V109" s="117" t="s">
        <v>559</v>
      </c>
      <c r="W109" s="118">
        <v>100</v>
      </c>
    </row>
    <row r="110" spans="1:23" x14ac:dyDescent="0.2">
      <c r="A110" s="133" t="s">
        <v>571</v>
      </c>
      <c r="B110" s="147">
        <v>-16</v>
      </c>
      <c r="C110" s="147">
        <v>-17.7</v>
      </c>
      <c r="D110" s="147">
        <v>-19.399999999999999</v>
      </c>
      <c r="E110" s="147">
        <v>-21</v>
      </c>
      <c r="F110" s="147">
        <v>-22.5</v>
      </c>
      <c r="G110" s="156"/>
      <c r="H110" s="156"/>
      <c r="J110" s="115" t="s">
        <v>555</v>
      </c>
      <c r="K110" s="116"/>
      <c r="M110" s="117" t="s">
        <v>538</v>
      </c>
      <c r="N110" s="119">
        <v>55.32</v>
      </c>
      <c r="P110" s="108" t="s">
        <v>557</v>
      </c>
      <c r="Q110" s="118">
        <v>668.63</v>
      </c>
      <c r="S110" s="108" t="s">
        <v>831</v>
      </c>
      <c r="T110" s="134">
        <v>0</v>
      </c>
      <c r="V110" s="117" t="s">
        <v>558</v>
      </c>
      <c r="W110" s="119">
        <v>32.97</v>
      </c>
    </row>
    <row r="111" spans="1:23" x14ac:dyDescent="0.2">
      <c r="A111" s="133" t="s">
        <v>570</v>
      </c>
      <c r="B111" s="143">
        <v>-109.6</v>
      </c>
      <c r="C111" s="143">
        <v>-109.7</v>
      </c>
      <c r="D111" s="143">
        <v>-124.4</v>
      </c>
      <c r="E111" s="143">
        <v>-133.69999999999999</v>
      </c>
      <c r="F111" s="143">
        <v>-130.19999999999999</v>
      </c>
      <c r="G111" s="157"/>
      <c r="H111" s="157"/>
      <c r="J111" s="117" t="s">
        <v>554</v>
      </c>
      <c r="K111" s="119">
        <v>1</v>
      </c>
      <c r="M111" s="117" t="s">
        <v>537</v>
      </c>
      <c r="N111" s="118">
        <v>355.56</v>
      </c>
      <c r="P111" s="108" t="s">
        <v>556</v>
      </c>
      <c r="Q111" s="119">
        <v>38.32</v>
      </c>
      <c r="S111" s="115" t="s">
        <v>555</v>
      </c>
      <c r="T111" s="116"/>
      <c r="V111" s="108" t="s">
        <v>557</v>
      </c>
      <c r="W111" s="119">
        <v>32.97</v>
      </c>
    </row>
    <row r="112" spans="1:23" x14ac:dyDescent="0.2">
      <c r="A112" s="133" t="s">
        <v>569</v>
      </c>
      <c r="B112" s="132">
        <v>8525.1</v>
      </c>
      <c r="C112" s="132">
        <v>8118.6</v>
      </c>
      <c r="D112" s="132">
        <v>7483.4</v>
      </c>
      <c r="E112" s="132">
        <v>6928.6</v>
      </c>
      <c r="F112" s="132">
        <v>6545</v>
      </c>
      <c r="G112" s="153"/>
      <c r="H112" s="153"/>
      <c r="J112" s="115" t="s">
        <v>553</v>
      </c>
      <c r="K112" s="116"/>
      <c r="M112" s="108" t="s">
        <v>536</v>
      </c>
      <c r="N112" s="118">
        <v>155.84</v>
      </c>
      <c r="P112" s="117" t="s">
        <v>771</v>
      </c>
      <c r="Q112" s="118">
        <v>706.95</v>
      </c>
      <c r="S112" s="117" t="s">
        <v>554</v>
      </c>
      <c r="T112" s="119">
        <v>0.67</v>
      </c>
      <c r="V112" s="108" t="s">
        <v>556</v>
      </c>
      <c r="W112" s="134">
        <v>0</v>
      </c>
    </row>
    <row r="113" spans="1:23" x14ac:dyDescent="0.2">
      <c r="A113" s="131" t="s">
        <v>568</v>
      </c>
      <c r="B113" s="135">
        <v>23.8</v>
      </c>
      <c r="C113" s="135">
        <v>23.9</v>
      </c>
      <c r="D113" s="135">
        <v>24.5</v>
      </c>
      <c r="E113" s="135">
        <v>23.6</v>
      </c>
      <c r="F113" s="135">
        <v>22.7</v>
      </c>
      <c r="G113" s="152"/>
      <c r="H113" s="152"/>
      <c r="J113" s="117" t="s">
        <v>552</v>
      </c>
      <c r="K113" s="118">
        <v>656</v>
      </c>
      <c r="M113" s="117" t="s">
        <v>533</v>
      </c>
      <c r="N113" s="118">
        <v>309.22000000000003</v>
      </c>
      <c r="P113" s="108" t="s">
        <v>772</v>
      </c>
      <c r="Q113" s="118">
        <v>668.63</v>
      </c>
      <c r="S113" s="117" t="s">
        <v>554</v>
      </c>
      <c r="T113" s="119">
        <v>0.33</v>
      </c>
      <c r="V113" s="115" t="s">
        <v>555</v>
      </c>
      <c r="W113" s="116"/>
    </row>
    <row r="114" spans="1:23" x14ac:dyDescent="0.2">
      <c r="A114" s="129" t="s">
        <v>567</v>
      </c>
      <c r="B114" s="130"/>
      <c r="C114" s="130"/>
      <c r="D114" s="130"/>
      <c r="E114" s="130"/>
      <c r="F114" s="130"/>
      <c r="G114" s="151"/>
      <c r="H114" s="151"/>
      <c r="J114" s="108" t="s">
        <v>551</v>
      </c>
      <c r="K114" s="118">
        <v>367</v>
      </c>
      <c r="M114" s="108" t="s">
        <v>532</v>
      </c>
      <c r="N114" s="118">
        <v>145.58000000000001</v>
      </c>
      <c r="P114" s="108" t="s">
        <v>773</v>
      </c>
      <c r="Q114" s="119">
        <v>38.32</v>
      </c>
      <c r="S114" s="117" t="s">
        <v>554</v>
      </c>
      <c r="T114" s="119">
        <v>1</v>
      </c>
      <c r="V114" s="117" t="s">
        <v>554</v>
      </c>
      <c r="W114" s="119">
        <v>1</v>
      </c>
    </row>
    <row r="115" spans="1:23" x14ac:dyDescent="0.2">
      <c r="A115" s="141" t="s">
        <v>566</v>
      </c>
      <c r="B115" s="142">
        <v>8548.9</v>
      </c>
      <c r="C115" s="142">
        <v>8142.5</v>
      </c>
      <c r="D115" s="142">
        <v>7507.9</v>
      </c>
      <c r="E115" s="142">
        <v>6952.2</v>
      </c>
      <c r="F115" s="142">
        <v>6567.7</v>
      </c>
      <c r="G115" s="155"/>
      <c r="H115" s="155"/>
      <c r="J115" s="108" t="s">
        <v>747</v>
      </c>
      <c r="K115" s="118">
        <v>289</v>
      </c>
      <c r="M115" s="108" t="s">
        <v>531</v>
      </c>
      <c r="N115" s="118">
        <v>163.63999999999999</v>
      </c>
      <c r="P115" s="115" t="s">
        <v>774</v>
      </c>
      <c r="Q115" s="116"/>
      <c r="S115" s="117" t="s">
        <v>554</v>
      </c>
      <c r="T115" s="119">
        <v>1</v>
      </c>
      <c r="V115" s="115" t="s">
        <v>553</v>
      </c>
      <c r="W115" s="116"/>
    </row>
    <row r="116" spans="1:23" x14ac:dyDescent="0.2">
      <c r="A116" s="129" t="s">
        <v>565</v>
      </c>
      <c r="B116" s="130"/>
      <c r="C116" s="130"/>
      <c r="D116" s="130"/>
      <c r="E116" s="130"/>
      <c r="F116" s="130"/>
      <c r="G116" s="151"/>
      <c r="H116" s="151"/>
      <c r="J116" s="117" t="s">
        <v>547</v>
      </c>
      <c r="K116" s="134">
        <v>10001</v>
      </c>
      <c r="M116" s="117" t="s">
        <v>762</v>
      </c>
      <c r="N116" s="118">
        <v>204.91</v>
      </c>
      <c r="P116" s="117" t="s">
        <v>775</v>
      </c>
      <c r="Q116" s="119">
        <v>0.15</v>
      </c>
      <c r="S116" s="115" t="s">
        <v>553</v>
      </c>
      <c r="T116" s="116"/>
      <c r="V116" s="117" t="s">
        <v>552</v>
      </c>
      <c r="W116" s="119">
        <v>29.31</v>
      </c>
    </row>
    <row r="117" spans="1:23" x14ac:dyDescent="0.2">
      <c r="A117" s="141" t="s">
        <v>564</v>
      </c>
      <c r="B117" s="144">
        <v>16700.400000000001</v>
      </c>
      <c r="C117" s="144">
        <v>17104.8</v>
      </c>
      <c r="D117" s="144">
        <v>14545.7</v>
      </c>
      <c r="E117" s="144">
        <v>14234.6</v>
      </c>
      <c r="F117" s="144">
        <v>13682.6</v>
      </c>
      <c r="G117" s="171"/>
      <c r="H117" s="171"/>
      <c r="J117" s="115" t="s">
        <v>545</v>
      </c>
      <c r="K117" s="116"/>
      <c r="M117" s="115" t="s">
        <v>529</v>
      </c>
      <c r="N117" s="116"/>
      <c r="P117" s="117" t="s">
        <v>775</v>
      </c>
      <c r="Q117" s="119">
        <v>0.87</v>
      </c>
      <c r="S117" s="117" t="s">
        <v>552</v>
      </c>
      <c r="T117" s="118">
        <v>1114.3900000000001</v>
      </c>
      <c r="V117" s="108" t="s">
        <v>551</v>
      </c>
      <c r="W117" s="119">
        <v>29.31</v>
      </c>
    </row>
    <row r="118" spans="1:23" x14ac:dyDescent="0.2">
      <c r="A118" s="129" t="s">
        <v>563</v>
      </c>
      <c r="B118" s="130"/>
      <c r="C118" s="130"/>
      <c r="D118" s="130"/>
      <c r="E118" s="130"/>
      <c r="F118" s="130"/>
      <c r="G118" s="151"/>
      <c r="H118" s="151"/>
      <c r="J118" s="117" t="s">
        <v>544</v>
      </c>
      <c r="K118" s="118">
        <v>382</v>
      </c>
      <c r="M118" s="117" t="s">
        <v>528</v>
      </c>
      <c r="N118" s="118">
        <v>1042.1199999999999</v>
      </c>
      <c r="P118" s="117" t="s">
        <v>776</v>
      </c>
      <c r="Q118" s="119">
        <v>0.05</v>
      </c>
      <c r="S118" s="108" t="s">
        <v>747</v>
      </c>
      <c r="T118" s="118">
        <v>1114.3900000000001</v>
      </c>
      <c r="V118" s="117" t="s">
        <v>547</v>
      </c>
      <c r="W118" s="118">
        <v>1792.98</v>
      </c>
    </row>
    <row r="119" spans="1:23" x14ac:dyDescent="0.2">
      <c r="A119" s="131" t="s">
        <v>562</v>
      </c>
      <c r="B119" s="132">
        <v>130.6</v>
      </c>
      <c r="C119" s="132">
        <v>132.1</v>
      </c>
      <c r="D119" s="132">
        <v>132.1</v>
      </c>
      <c r="E119" s="132">
        <v>132.9</v>
      </c>
      <c r="F119" s="132">
        <v>132.69999999999999</v>
      </c>
      <c r="G119" s="153"/>
      <c r="H119" s="153"/>
      <c r="J119" s="108" t="s">
        <v>543</v>
      </c>
      <c r="K119" s="119">
        <v>62</v>
      </c>
      <c r="M119" s="117" t="s">
        <v>527</v>
      </c>
      <c r="N119" s="118">
        <v>1165.54</v>
      </c>
      <c r="P119" s="108" t="s">
        <v>777</v>
      </c>
      <c r="Q119" s="119">
        <v>0.05</v>
      </c>
      <c r="S119" s="117" t="s">
        <v>547</v>
      </c>
      <c r="T119" s="134">
        <v>11054.09</v>
      </c>
      <c r="V119" s="115" t="s">
        <v>545</v>
      </c>
      <c r="W119" s="116"/>
    </row>
    <row r="120" spans="1:23" x14ac:dyDescent="0.2">
      <c r="A120" s="133" t="s">
        <v>561</v>
      </c>
      <c r="B120" s="132">
        <v>130.6</v>
      </c>
      <c r="C120" s="132">
        <v>132.1</v>
      </c>
      <c r="D120" s="132">
        <v>132.1</v>
      </c>
      <c r="E120" s="132">
        <v>132.9</v>
      </c>
      <c r="F120" s="132">
        <v>132.69999999999999</v>
      </c>
      <c r="G120" s="153"/>
      <c r="H120" s="153"/>
      <c r="J120" s="108" t="s">
        <v>542</v>
      </c>
      <c r="K120" s="118">
        <v>320</v>
      </c>
      <c r="M120" s="115" t="s">
        <v>523</v>
      </c>
      <c r="N120" s="116"/>
      <c r="P120" s="108" t="s">
        <v>778</v>
      </c>
      <c r="Q120" s="134">
        <v>0</v>
      </c>
      <c r="S120" s="115" t="s">
        <v>545</v>
      </c>
      <c r="T120" s="116"/>
      <c r="V120" s="117" t="s">
        <v>544</v>
      </c>
      <c r="W120" s="119">
        <v>37.630000000000003</v>
      </c>
    </row>
    <row r="121" spans="1:23" x14ac:dyDescent="0.2">
      <c r="A121" s="133" t="s">
        <v>560</v>
      </c>
      <c r="B121" s="138">
        <v>0</v>
      </c>
      <c r="C121" s="138">
        <v>0</v>
      </c>
      <c r="D121" s="138">
        <v>0</v>
      </c>
      <c r="E121" s="138">
        <v>0</v>
      </c>
      <c r="F121" s="138">
        <v>0</v>
      </c>
      <c r="G121" s="154"/>
      <c r="H121" s="154"/>
      <c r="J121" s="117" t="s">
        <v>541</v>
      </c>
      <c r="K121" s="118">
        <v>684</v>
      </c>
      <c r="M121" s="117" t="s">
        <v>522</v>
      </c>
      <c r="N121" s="118">
        <v>1181.1400000000001</v>
      </c>
      <c r="P121" s="117" t="s">
        <v>776</v>
      </c>
      <c r="Q121" s="119">
        <v>0.87</v>
      </c>
      <c r="S121" s="117" t="s">
        <v>541</v>
      </c>
      <c r="T121" s="118">
        <v>1135.6300000000001</v>
      </c>
      <c r="V121" s="108" t="s">
        <v>543</v>
      </c>
      <c r="W121" s="119">
        <v>4.03</v>
      </c>
    </row>
    <row r="122" spans="1:23" x14ac:dyDescent="0.2">
      <c r="A122" s="131" t="s">
        <v>559</v>
      </c>
      <c r="B122" s="132">
        <v>480</v>
      </c>
      <c r="C122" s="132">
        <v>480</v>
      </c>
      <c r="D122" s="132">
        <v>480</v>
      </c>
      <c r="E122" s="132">
        <v>480</v>
      </c>
      <c r="F122" s="132">
        <v>480</v>
      </c>
      <c r="G122" s="153"/>
      <c r="H122" s="153"/>
      <c r="J122" s="117" t="s">
        <v>540</v>
      </c>
      <c r="K122" s="118">
        <v>6007</v>
      </c>
      <c r="M122" s="108" t="s">
        <v>521</v>
      </c>
      <c r="N122" s="119">
        <v>11.71</v>
      </c>
      <c r="P122" s="108" t="s">
        <v>777</v>
      </c>
      <c r="Q122" s="119">
        <v>0.87</v>
      </c>
      <c r="S122" s="117" t="s">
        <v>540</v>
      </c>
      <c r="T122" s="118">
        <v>6779.99</v>
      </c>
      <c r="V122" s="108" t="s">
        <v>542</v>
      </c>
      <c r="W122" s="119">
        <v>33.6</v>
      </c>
    </row>
    <row r="123" spans="1:23" x14ac:dyDescent="0.2">
      <c r="A123" s="131" t="s">
        <v>558</v>
      </c>
      <c r="B123" s="132">
        <v>130.6</v>
      </c>
      <c r="C123" s="132">
        <v>132.1</v>
      </c>
      <c r="D123" s="132">
        <v>132.1</v>
      </c>
      <c r="E123" s="132">
        <v>132.9</v>
      </c>
      <c r="F123" s="132">
        <v>132.69999999999999</v>
      </c>
      <c r="G123" s="153"/>
      <c r="H123" s="153"/>
      <c r="J123" s="115" t="s">
        <v>539</v>
      </c>
      <c r="K123" s="116"/>
      <c r="M123" s="108" t="s">
        <v>748</v>
      </c>
      <c r="N123" s="119">
        <v>16.66</v>
      </c>
      <c r="P123" s="108" t="s">
        <v>778</v>
      </c>
      <c r="Q123" s="134">
        <v>0</v>
      </c>
      <c r="S123" s="115" t="s">
        <v>539</v>
      </c>
      <c r="T123" s="116"/>
      <c r="V123" s="117" t="s">
        <v>541</v>
      </c>
      <c r="W123" s="119">
        <v>37.630000000000003</v>
      </c>
    </row>
    <row r="124" spans="1:23" x14ac:dyDescent="0.2">
      <c r="A124" s="133" t="s">
        <v>557</v>
      </c>
      <c r="B124" s="132">
        <v>130.6</v>
      </c>
      <c r="C124" s="132">
        <v>132.1</v>
      </c>
      <c r="D124" s="132">
        <v>132.1</v>
      </c>
      <c r="E124" s="132">
        <v>132.9</v>
      </c>
      <c r="F124" s="132">
        <v>132.69999999999999</v>
      </c>
      <c r="G124" s="153"/>
      <c r="H124" s="153"/>
      <c r="J124" s="117" t="s">
        <v>537</v>
      </c>
      <c r="K124" s="118">
        <v>723</v>
      </c>
      <c r="M124" s="108" t="s">
        <v>520</v>
      </c>
      <c r="N124" s="119">
        <v>18.23</v>
      </c>
      <c r="P124" s="115" t="s">
        <v>555</v>
      </c>
      <c r="Q124" s="116"/>
      <c r="S124" s="117" t="s">
        <v>538</v>
      </c>
      <c r="T124" s="118">
        <v>237.36</v>
      </c>
      <c r="V124" s="117" t="s">
        <v>540</v>
      </c>
      <c r="W124" s="118">
        <v>1275.95</v>
      </c>
    </row>
    <row r="125" spans="1:23" x14ac:dyDescent="0.2">
      <c r="A125" s="133" t="s">
        <v>556</v>
      </c>
      <c r="B125" s="138">
        <v>0</v>
      </c>
      <c r="C125" s="138">
        <v>0</v>
      </c>
      <c r="D125" s="138">
        <v>0</v>
      </c>
      <c r="E125" s="138">
        <v>0</v>
      </c>
      <c r="F125" s="138">
        <v>0</v>
      </c>
      <c r="G125" s="154"/>
      <c r="H125" s="154"/>
      <c r="J125" s="108" t="s">
        <v>536</v>
      </c>
      <c r="K125" s="118">
        <v>715</v>
      </c>
      <c r="M125" s="108" t="s">
        <v>749</v>
      </c>
      <c r="N125" s="119">
        <v>23.2</v>
      </c>
      <c r="P125" s="117" t="s">
        <v>554</v>
      </c>
      <c r="Q125" s="119">
        <v>1</v>
      </c>
      <c r="S125" s="117" t="s">
        <v>537</v>
      </c>
      <c r="T125" s="118">
        <v>2684.85</v>
      </c>
      <c r="V125" s="115" t="s">
        <v>539</v>
      </c>
      <c r="W125" s="116"/>
    </row>
    <row r="126" spans="1:23" x14ac:dyDescent="0.2">
      <c r="A126" s="129" t="s">
        <v>555</v>
      </c>
      <c r="B126" s="130"/>
      <c r="C126" s="130"/>
      <c r="D126" s="130"/>
      <c r="E126" s="130"/>
      <c r="F126" s="130"/>
      <c r="G126" s="151"/>
      <c r="H126" s="151"/>
      <c r="J126" s="117" t="s">
        <v>535</v>
      </c>
      <c r="K126" s="118">
        <v>1230</v>
      </c>
      <c r="M126" s="108" t="s">
        <v>750</v>
      </c>
      <c r="N126" s="118">
        <v>215.1</v>
      </c>
      <c r="P126" s="117" t="s">
        <v>554</v>
      </c>
      <c r="Q126" s="119">
        <v>1</v>
      </c>
      <c r="S126" s="117" t="s">
        <v>535</v>
      </c>
      <c r="T126" s="119">
        <v>41.67</v>
      </c>
      <c r="V126" s="117" t="s">
        <v>537</v>
      </c>
      <c r="W126" s="118">
        <v>222.35</v>
      </c>
    </row>
    <row r="127" spans="1:23" x14ac:dyDescent="0.2">
      <c r="A127" s="131" t="s">
        <v>554</v>
      </c>
      <c r="B127" s="135">
        <v>1</v>
      </c>
      <c r="C127" s="135">
        <v>1</v>
      </c>
      <c r="D127" s="135">
        <v>1</v>
      </c>
      <c r="E127" s="135">
        <v>1</v>
      </c>
      <c r="F127" s="135">
        <v>1</v>
      </c>
      <c r="G127" s="152"/>
      <c r="H127" s="152"/>
      <c r="J127" s="117" t="s">
        <v>534</v>
      </c>
      <c r="K127" s="118">
        <v>883</v>
      </c>
      <c r="M127" s="108" t="s">
        <v>519</v>
      </c>
      <c r="N127" s="118">
        <v>896.25</v>
      </c>
      <c r="P127" s="115" t="s">
        <v>553</v>
      </c>
      <c r="Q127" s="116"/>
      <c r="S127" s="117" t="s">
        <v>534</v>
      </c>
      <c r="T127" s="118">
        <v>536.48</v>
      </c>
      <c r="V127" s="108" t="s">
        <v>536</v>
      </c>
      <c r="W127" s="118">
        <v>218.73</v>
      </c>
    </row>
    <row r="128" spans="1:23" x14ac:dyDescent="0.2">
      <c r="A128" s="129" t="s">
        <v>553</v>
      </c>
      <c r="B128" s="130"/>
      <c r="C128" s="130"/>
      <c r="D128" s="130"/>
      <c r="E128" s="130"/>
      <c r="F128" s="130"/>
      <c r="G128" s="151"/>
      <c r="H128" s="151"/>
      <c r="J128" s="117" t="s">
        <v>533</v>
      </c>
      <c r="K128" s="118">
        <v>540</v>
      </c>
      <c r="M128" s="117" t="s">
        <v>518</v>
      </c>
      <c r="N128" s="119">
        <v>34.89</v>
      </c>
      <c r="P128" s="117" t="s">
        <v>552</v>
      </c>
      <c r="Q128" s="134"/>
      <c r="S128" s="117" t="s">
        <v>779</v>
      </c>
      <c r="T128" s="118">
        <v>437.13</v>
      </c>
      <c r="V128" s="117" t="s">
        <v>534</v>
      </c>
      <c r="W128" s="119">
        <v>37.799999999999997</v>
      </c>
    </row>
    <row r="129" spans="1:23" x14ac:dyDescent="0.2">
      <c r="A129" s="131" t="s">
        <v>552</v>
      </c>
      <c r="B129" s="138"/>
      <c r="C129" s="138"/>
      <c r="D129" s="138"/>
      <c r="E129" s="138"/>
      <c r="F129" s="138"/>
      <c r="G129" s="154"/>
      <c r="H129" s="154"/>
      <c r="J129" s="108" t="s">
        <v>532</v>
      </c>
      <c r="K129" s="118">
        <v>389</v>
      </c>
      <c r="M129" s="117" t="s">
        <v>751</v>
      </c>
      <c r="N129" s="118">
        <v>238.29</v>
      </c>
      <c r="P129" s="108" t="s">
        <v>551</v>
      </c>
      <c r="Q129" s="118">
        <v>1471</v>
      </c>
      <c r="S129" s="117" t="s">
        <v>533</v>
      </c>
      <c r="T129" s="118">
        <v>3477.3</v>
      </c>
      <c r="V129" s="117" t="s">
        <v>847</v>
      </c>
      <c r="W129" s="119">
        <v>8.4600000000000009</v>
      </c>
    </row>
    <row r="130" spans="1:23" x14ac:dyDescent="0.2">
      <c r="A130" s="133" t="s">
        <v>551</v>
      </c>
      <c r="B130" s="132">
        <v>521.5</v>
      </c>
      <c r="C130" s="132">
        <v>526.4</v>
      </c>
      <c r="D130" s="132">
        <v>511.7</v>
      </c>
      <c r="E130" s="132">
        <v>572.6</v>
      </c>
      <c r="F130" s="132">
        <v>691.4</v>
      </c>
      <c r="G130" s="153"/>
      <c r="H130" s="153"/>
      <c r="J130" s="108" t="s">
        <v>531</v>
      </c>
      <c r="K130" s="118">
        <v>151</v>
      </c>
      <c r="M130" s="117" t="s">
        <v>517</v>
      </c>
      <c r="N130" s="118">
        <v>896.25</v>
      </c>
      <c r="P130" s="115" t="s">
        <v>545</v>
      </c>
      <c r="Q130" s="116"/>
      <c r="S130" s="108" t="s">
        <v>532</v>
      </c>
      <c r="T130" s="118">
        <v>3107.89</v>
      </c>
      <c r="V130" s="117" t="s">
        <v>533</v>
      </c>
      <c r="W130" s="118">
        <v>209.82</v>
      </c>
    </row>
    <row r="131" spans="1:23" x14ac:dyDescent="0.2">
      <c r="A131" s="133" t="s">
        <v>550</v>
      </c>
      <c r="B131" s="132">
        <v>709.5</v>
      </c>
      <c r="C131" s="132">
        <v>727.9</v>
      </c>
      <c r="D131" s="132">
        <v>698.4</v>
      </c>
      <c r="E131" s="132">
        <v>758.6</v>
      </c>
      <c r="F131" s="132">
        <v>807.4</v>
      </c>
      <c r="G131" s="153"/>
      <c r="H131" s="153"/>
      <c r="J131" s="115" t="s">
        <v>529</v>
      </c>
      <c r="K131" s="116"/>
      <c r="M131" s="115" t="s">
        <v>504</v>
      </c>
      <c r="N131" s="116"/>
      <c r="P131" s="117" t="s">
        <v>544</v>
      </c>
      <c r="Q131" s="118">
        <v>1518</v>
      </c>
      <c r="S131" s="108" t="s">
        <v>531</v>
      </c>
      <c r="T131" s="118">
        <v>369.41</v>
      </c>
      <c r="V131" s="108" t="s">
        <v>532</v>
      </c>
      <c r="W131" s="118">
        <v>129.9</v>
      </c>
    </row>
    <row r="132" spans="1:23" x14ac:dyDescent="0.2">
      <c r="A132" s="133" t="s">
        <v>549</v>
      </c>
      <c r="B132" s="132">
        <v>674.2</v>
      </c>
      <c r="C132" s="132">
        <v>673.2</v>
      </c>
      <c r="D132" s="132">
        <v>636.1</v>
      </c>
      <c r="E132" s="132">
        <v>665.4</v>
      </c>
      <c r="F132" s="132">
        <v>771.1</v>
      </c>
      <c r="G132" s="153"/>
      <c r="H132" s="153"/>
      <c r="J132" s="117" t="s">
        <v>528</v>
      </c>
      <c r="K132" s="118">
        <v>5558</v>
      </c>
      <c r="M132" s="117" t="s">
        <v>503</v>
      </c>
      <c r="N132" s="119">
        <v>2.15</v>
      </c>
      <c r="P132" s="108" t="s">
        <v>543</v>
      </c>
      <c r="Q132" s="118">
        <v>286</v>
      </c>
      <c r="S132" s="117" t="s">
        <v>530</v>
      </c>
      <c r="T132" s="119">
        <v>4.2300000000000004</v>
      </c>
      <c r="V132" s="108" t="s">
        <v>531</v>
      </c>
      <c r="W132" s="119">
        <v>79.930000000000007</v>
      </c>
    </row>
    <row r="133" spans="1:23" x14ac:dyDescent="0.2">
      <c r="A133" s="133" t="s">
        <v>548</v>
      </c>
      <c r="B133" s="135">
        <v>35.299999999999997</v>
      </c>
      <c r="C133" s="135">
        <v>54.7</v>
      </c>
      <c r="D133" s="135">
        <v>62.3</v>
      </c>
      <c r="E133" s="135">
        <v>93.2</v>
      </c>
      <c r="F133" s="135">
        <v>36.299999999999997</v>
      </c>
      <c r="G133" s="152"/>
      <c r="H133" s="152"/>
      <c r="J133" s="117" t="s">
        <v>527</v>
      </c>
      <c r="K133" s="118">
        <v>5625</v>
      </c>
      <c r="M133" s="117" t="s">
        <v>501</v>
      </c>
      <c r="N133" s="148">
        <v>0</v>
      </c>
      <c r="P133" s="108" t="s">
        <v>542</v>
      </c>
      <c r="Q133" s="118">
        <v>1232</v>
      </c>
      <c r="S133" s="115" t="s">
        <v>529</v>
      </c>
      <c r="T133" s="116"/>
      <c r="V133" s="115" t="s">
        <v>529</v>
      </c>
      <c r="W133" s="116"/>
    </row>
    <row r="134" spans="1:23" x14ac:dyDescent="0.2">
      <c r="A134" s="131" t="s">
        <v>547</v>
      </c>
      <c r="B134" s="138"/>
      <c r="C134" s="138"/>
      <c r="D134" s="138"/>
      <c r="E134" s="138"/>
      <c r="F134" s="138"/>
      <c r="G134" s="154"/>
      <c r="H134" s="154"/>
      <c r="J134" s="117" t="s">
        <v>526</v>
      </c>
      <c r="K134" s="119">
        <v>3</v>
      </c>
      <c r="M134" s="115" t="s">
        <v>456</v>
      </c>
      <c r="N134" s="116"/>
      <c r="P134" s="117" t="s">
        <v>541</v>
      </c>
      <c r="Q134" s="118">
        <v>2052</v>
      </c>
      <c r="S134" s="117" t="s">
        <v>528</v>
      </c>
      <c r="T134" s="118">
        <v>4803.92</v>
      </c>
      <c r="V134" s="117" t="s">
        <v>528</v>
      </c>
      <c r="W134" s="118">
        <v>1217.92</v>
      </c>
    </row>
    <row r="135" spans="1:23" x14ac:dyDescent="0.2">
      <c r="A135" s="133" t="s">
        <v>546</v>
      </c>
      <c r="B135" s="138">
        <v>14469.4</v>
      </c>
      <c r="C135" s="138">
        <v>14462.1</v>
      </c>
      <c r="D135" s="138">
        <v>11773.2</v>
      </c>
      <c r="E135" s="138">
        <v>11213.2</v>
      </c>
      <c r="F135" s="138">
        <v>10408.1</v>
      </c>
      <c r="G135" s="154"/>
      <c r="H135" s="154"/>
      <c r="J135" s="117" t="s">
        <v>525</v>
      </c>
      <c r="K135" s="118">
        <v>797</v>
      </c>
      <c r="M135" s="117" t="s">
        <v>763</v>
      </c>
      <c r="N135" s="119">
        <v>33.770000000000003</v>
      </c>
      <c r="P135" s="117" t="s">
        <v>540</v>
      </c>
      <c r="Q135" s="134">
        <v>19705</v>
      </c>
      <c r="S135" s="117" t="s">
        <v>527</v>
      </c>
      <c r="T135" s="118">
        <v>6779.99</v>
      </c>
      <c r="V135" s="117" t="s">
        <v>527</v>
      </c>
      <c r="W135" s="118">
        <v>1238.32</v>
      </c>
    </row>
    <row r="136" spans="1:23" x14ac:dyDescent="0.2">
      <c r="A136" s="129" t="s">
        <v>545</v>
      </c>
      <c r="B136" s="130"/>
      <c r="C136" s="130"/>
      <c r="D136" s="130"/>
      <c r="E136" s="130"/>
      <c r="F136" s="130"/>
      <c r="G136" s="151"/>
      <c r="H136" s="151"/>
      <c r="J136" s="117" t="s">
        <v>524</v>
      </c>
      <c r="K136" s="118">
        <v>800</v>
      </c>
      <c r="M136" s="117" t="s">
        <v>498</v>
      </c>
      <c r="N136" s="118">
        <v>459.52</v>
      </c>
      <c r="P136" s="115" t="s">
        <v>539</v>
      </c>
      <c r="Q136" s="116"/>
      <c r="S136" s="115" t="s">
        <v>523</v>
      </c>
      <c r="T136" s="116"/>
      <c r="V136" s="117" t="s">
        <v>526</v>
      </c>
      <c r="W136" s="118">
        <v>209.9</v>
      </c>
    </row>
    <row r="137" spans="1:23" x14ac:dyDescent="0.2">
      <c r="A137" s="131" t="s">
        <v>544</v>
      </c>
      <c r="B137" s="132">
        <v>567.1</v>
      </c>
      <c r="C137" s="132">
        <v>570.70000000000005</v>
      </c>
      <c r="D137" s="132">
        <v>554.70000000000005</v>
      </c>
      <c r="E137" s="132">
        <v>596.5</v>
      </c>
      <c r="F137" s="132">
        <v>691.7</v>
      </c>
      <c r="G137" s="153"/>
      <c r="H137" s="153"/>
      <c r="J137" s="115" t="s">
        <v>523</v>
      </c>
      <c r="K137" s="116"/>
      <c r="M137" s="117" t="s">
        <v>497</v>
      </c>
      <c r="N137" s="118">
        <v>3007.03</v>
      </c>
      <c r="P137" s="117" t="s">
        <v>537</v>
      </c>
      <c r="Q137" s="118">
        <v>5452</v>
      </c>
      <c r="S137" s="117" t="s">
        <v>522</v>
      </c>
      <c r="T137" s="118">
        <v>5644.36</v>
      </c>
      <c r="V137" s="117" t="s">
        <v>525</v>
      </c>
      <c r="W137" s="118">
        <v>540.1</v>
      </c>
    </row>
    <row r="138" spans="1:23" x14ac:dyDescent="0.2">
      <c r="A138" s="133" t="s">
        <v>543</v>
      </c>
      <c r="B138" s="135">
        <v>44.5</v>
      </c>
      <c r="C138" s="135">
        <v>49.3</v>
      </c>
      <c r="D138" s="135">
        <v>47.3</v>
      </c>
      <c r="E138" s="135">
        <v>48.1</v>
      </c>
      <c r="F138" s="135">
        <v>49.2</v>
      </c>
      <c r="G138" s="152"/>
      <c r="H138" s="152"/>
      <c r="J138" s="117" t="s">
        <v>522</v>
      </c>
      <c r="K138" s="118">
        <v>5323</v>
      </c>
      <c r="M138" s="117" t="s">
        <v>496</v>
      </c>
      <c r="N138" s="118">
        <v>123.42</v>
      </c>
      <c r="P138" s="108" t="s">
        <v>536</v>
      </c>
      <c r="Q138" s="118">
        <v>5315</v>
      </c>
      <c r="S138" s="108" t="s">
        <v>521</v>
      </c>
      <c r="T138" s="118">
        <v>1187.26</v>
      </c>
      <c r="V138" s="117" t="s">
        <v>524</v>
      </c>
      <c r="W138" s="118">
        <v>750</v>
      </c>
    </row>
    <row r="139" spans="1:23" x14ac:dyDescent="0.2">
      <c r="A139" s="133" t="s">
        <v>542</v>
      </c>
      <c r="B139" s="132">
        <v>522.6</v>
      </c>
      <c r="C139" s="132">
        <v>521.4</v>
      </c>
      <c r="D139" s="132">
        <v>507.4</v>
      </c>
      <c r="E139" s="132">
        <v>548.4</v>
      </c>
      <c r="F139" s="132">
        <v>642.5</v>
      </c>
      <c r="G139" s="153"/>
      <c r="H139" s="153"/>
      <c r="J139" s="108" t="s">
        <v>521</v>
      </c>
      <c r="K139" s="118">
        <v>792</v>
      </c>
      <c r="M139" s="117" t="s">
        <v>495</v>
      </c>
      <c r="N139" s="118">
        <v>123.42</v>
      </c>
      <c r="P139" s="117" t="s">
        <v>534</v>
      </c>
      <c r="Q139" s="118">
        <v>1079</v>
      </c>
      <c r="S139" s="108" t="s">
        <v>748</v>
      </c>
      <c r="T139" s="118">
        <v>628.34</v>
      </c>
      <c r="V139" s="115" t="s">
        <v>523</v>
      </c>
      <c r="W139" s="116"/>
    </row>
    <row r="140" spans="1:23" x14ac:dyDescent="0.2">
      <c r="A140" s="131" t="s">
        <v>541</v>
      </c>
      <c r="B140" s="132">
        <v>577.9</v>
      </c>
      <c r="C140" s="132">
        <v>591.1</v>
      </c>
      <c r="D140" s="132">
        <v>583.79999999999995</v>
      </c>
      <c r="E140" s="132">
        <v>653.6</v>
      </c>
      <c r="F140" s="132">
        <v>787.6</v>
      </c>
      <c r="G140" s="153"/>
      <c r="H140" s="153"/>
      <c r="J140" s="108" t="s">
        <v>748</v>
      </c>
      <c r="K140" s="119">
        <v>30</v>
      </c>
      <c r="M140" s="117" t="s">
        <v>494</v>
      </c>
      <c r="N140" s="118">
        <v>1165.54</v>
      </c>
      <c r="P140" s="117" t="s">
        <v>779</v>
      </c>
      <c r="Q140" s="118">
        <v>106</v>
      </c>
      <c r="S140" s="108" t="s">
        <v>520</v>
      </c>
      <c r="T140" s="118">
        <v>627.75</v>
      </c>
      <c r="V140" s="117" t="s">
        <v>522</v>
      </c>
      <c r="W140" s="118">
        <v>1246.25</v>
      </c>
    </row>
    <row r="141" spans="1:23" x14ac:dyDescent="0.2">
      <c r="A141" s="131" t="s">
        <v>540</v>
      </c>
      <c r="B141" s="132">
        <v>4940</v>
      </c>
      <c r="C141" s="132">
        <v>5898.5</v>
      </c>
      <c r="D141" s="132">
        <v>4461.6000000000004</v>
      </c>
      <c r="E141" s="132">
        <v>4629.3</v>
      </c>
      <c r="F141" s="132">
        <v>4667.6000000000004</v>
      </c>
      <c r="G141" s="153"/>
      <c r="H141" s="153"/>
      <c r="J141" s="108" t="s">
        <v>520</v>
      </c>
      <c r="K141" s="134">
        <v>0</v>
      </c>
      <c r="M141" s="117" t="s">
        <v>493</v>
      </c>
      <c r="N141" s="119">
        <v>55.32</v>
      </c>
      <c r="P141" s="117" t="s">
        <v>533</v>
      </c>
      <c r="Q141" s="118">
        <v>5459</v>
      </c>
      <c r="S141" s="108" t="s">
        <v>749</v>
      </c>
      <c r="T141" s="118">
        <v>880.86</v>
      </c>
      <c r="V141" s="108" t="s">
        <v>521</v>
      </c>
      <c r="W141" s="119">
        <v>15</v>
      </c>
    </row>
    <row r="142" spans="1:23" x14ac:dyDescent="0.2">
      <c r="A142" s="129" t="s">
        <v>539</v>
      </c>
      <c r="B142" s="130"/>
      <c r="C142" s="130"/>
      <c r="D142" s="130"/>
      <c r="E142" s="130"/>
      <c r="F142" s="130"/>
      <c r="G142" s="151"/>
      <c r="H142" s="151"/>
      <c r="J142" s="108" t="s">
        <v>749</v>
      </c>
      <c r="K142" s="134">
        <v>0</v>
      </c>
      <c r="M142" s="117" t="s">
        <v>492</v>
      </c>
      <c r="N142" s="118">
        <v>2683.06</v>
      </c>
      <c r="P142" s="108" t="s">
        <v>532</v>
      </c>
      <c r="Q142" s="118">
        <v>3263</v>
      </c>
      <c r="S142" s="108" t="s">
        <v>519</v>
      </c>
      <c r="T142" s="118">
        <v>2320.15</v>
      </c>
      <c r="V142" s="108" t="s">
        <v>748</v>
      </c>
      <c r="W142" s="119">
        <v>15</v>
      </c>
    </row>
    <row r="143" spans="1:23" x14ac:dyDescent="0.2">
      <c r="A143" s="131" t="s">
        <v>538</v>
      </c>
      <c r="B143" s="135">
        <v>33.700000000000003</v>
      </c>
      <c r="C143" s="135">
        <v>31.3</v>
      </c>
      <c r="D143" s="135">
        <v>31.3</v>
      </c>
      <c r="E143" s="135">
        <v>31.8</v>
      </c>
      <c r="F143" s="135">
        <v>34.1</v>
      </c>
      <c r="G143" s="152"/>
      <c r="H143" s="152"/>
      <c r="J143" s="108" t="s">
        <v>750</v>
      </c>
      <c r="K143" s="118">
        <v>473</v>
      </c>
      <c r="M143" s="117" t="s">
        <v>491</v>
      </c>
      <c r="N143" s="118">
        <v>2683.06</v>
      </c>
      <c r="P143" s="108" t="s">
        <v>531</v>
      </c>
      <c r="Q143" s="118">
        <v>2196</v>
      </c>
      <c r="S143" s="117" t="s">
        <v>518</v>
      </c>
      <c r="T143" s="118">
        <v>1256.0899999999999</v>
      </c>
      <c r="V143" s="108" t="s">
        <v>520</v>
      </c>
      <c r="W143" s="119">
        <v>15</v>
      </c>
    </row>
    <row r="144" spans="1:23" x14ac:dyDescent="0.2">
      <c r="A144" s="131" t="s">
        <v>537</v>
      </c>
      <c r="B144" s="132">
        <v>887.7</v>
      </c>
      <c r="C144" s="132">
        <v>892.3</v>
      </c>
      <c r="D144" s="132">
        <v>889.7</v>
      </c>
      <c r="E144" s="132">
        <v>1045.3</v>
      </c>
      <c r="F144" s="132">
        <v>838.7</v>
      </c>
      <c r="G144" s="153"/>
      <c r="H144" s="153"/>
      <c r="J144" s="108" t="s">
        <v>519</v>
      </c>
      <c r="K144" s="118">
        <v>4028</v>
      </c>
      <c r="M144" s="117" t="s">
        <v>490</v>
      </c>
      <c r="N144" s="118">
        <v>287.92</v>
      </c>
      <c r="P144" s="115" t="s">
        <v>529</v>
      </c>
      <c r="Q144" s="116"/>
      <c r="S144" s="117" t="s">
        <v>751</v>
      </c>
      <c r="T144" s="118">
        <v>880.86</v>
      </c>
      <c r="V144" s="108" t="s">
        <v>749</v>
      </c>
      <c r="W144" s="119">
        <v>15</v>
      </c>
    </row>
    <row r="145" spans="1:23" x14ac:dyDescent="0.2">
      <c r="A145" s="133" t="s">
        <v>536</v>
      </c>
      <c r="B145" s="132">
        <v>898.2</v>
      </c>
      <c r="C145" s="132">
        <v>905.5</v>
      </c>
      <c r="D145" s="132">
        <v>903.3</v>
      </c>
      <c r="E145" s="132">
        <v>856.5</v>
      </c>
      <c r="F145" s="132">
        <v>793.5</v>
      </c>
      <c r="G145" s="153"/>
      <c r="H145" s="153"/>
      <c r="J145" s="117" t="s">
        <v>518</v>
      </c>
      <c r="K145" s="119">
        <v>30</v>
      </c>
      <c r="M145" s="117" t="s">
        <v>489</v>
      </c>
      <c r="N145" s="118">
        <v>1640.94</v>
      </c>
      <c r="P145" s="117" t="s">
        <v>528</v>
      </c>
      <c r="Q145" s="134">
        <v>14091</v>
      </c>
      <c r="S145" s="117" t="s">
        <v>517</v>
      </c>
      <c r="T145" s="118">
        <v>2320.15</v>
      </c>
      <c r="V145" s="108" t="s">
        <v>750</v>
      </c>
      <c r="W145" s="118">
        <v>436.25</v>
      </c>
    </row>
    <row r="146" spans="1:23" x14ac:dyDescent="0.2">
      <c r="A146" s="131" t="s">
        <v>535</v>
      </c>
      <c r="B146" s="132">
        <v>708.5</v>
      </c>
      <c r="C146" s="138"/>
      <c r="D146" s="138"/>
      <c r="E146" s="138"/>
      <c r="F146" s="138"/>
      <c r="G146" s="154"/>
      <c r="H146" s="154"/>
      <c r="J146" s="117" t="s">
        <v>751</v>
      </c>
      <c r="K146" s="118">
        <v>473</v>
      </c>
      <c r="M146" s="117" t="s">
        <v>488</v>
      </c>
      <c r="N146" s="118">
        <v>1088.5899999999999</v>
      </c>
      <c r="P146" s="117" t="s">
        <v>527</v>
      </c>
      <c r="Q146" s="134">
        <v>18187</v>
      </c>
      <c r="S146" s="115" t="s">
        <v>456</v>
      </c>
      <c r="T146" s="116"/>
      <c r="V146" s="108" t="s">
        <v>519</v>
      </c>
      <c r="W146" s="118">
        <v>750</v>
      </c>
    </row>
    <row r="147" spans="1:23" x14ac:dyDescent="0.2">
      <c r="A147" s="131" t="s">
        <v>534</v>
      </c>
      <c r="B147" s="132">
        <v>266.7</v>
      </c>
      <c r="C147" s="132">
        <v>449</v>
      </c>
      <c r="D147" s="132">
        <v>356.2</v>
      </c>
      <c r="E147" s="132">
        <v>401.2</v>
      </c>
      <c r="F147" s="132">
        <v>369.6</v>
      </c>
      <c r="G147" s="153"/>
      <c r="H147" s="153"/>
      <c r="J147" s="117" t="s">
        <v>517</v>
      </c>
      <c r="K147" s="118">
        <v>4028</v>
      </c>
      <c r="M147" s="117" t="s">
        <v>487</v>
      </c>
      <c r="N147" s="118">
        <v>1088.5899999999999</v>
      </c>
      <c r="P147" s="115" t="s">
        <v>523</v>
      </c>
      <c r="Q147" s="116"/>
      <c r="S147" s="117" t="s">
        <v>499</v>
      </c>
      <c r="T147" s="118">
        <v>307.67</v>
      </c>
      <c r="V147" s="117" t="s">
        <v>518</v>
      </c>
      <c r="W147" s="119">
        <v>30</v>
      </c>
    </row>
    <row r="148" spans="1:23" x14ac:dyDescent="0.2">
      <c r="A148" s="131" t="s">
        <v>533</v>
      </c>
      <c r="B148" s="132">
        <v>569.20000000000005</v>
      </c>
      <c r="C148" s="132">
        <v>531</v>
      </c>
      <c r="D148" s="132">
        <v>526.20000000000005</v>
      </c>
      <c r="E148" s="132">
        <v>567.20000000000005</v>
      </c>
      <c r="F148" s="132">
        <v>486</v>
      </c>
      <c r="G148" s="153"/>
      <c r="H148" s="153"/>
      <c r="J148" s="115" t="s">
        <v>516</v>
      </c>
      <c r="K148" s="116"/>
      <c r="M148" s="117" t="s">
        <v>486</v>
      </c>
      <c r="N148" s="118">
        <v>2806.48</v>
      </c>
      <c r="P148" s="117" t="s">
        <v>522</v>
      </c>
      <c r="Q148" s="134">
        <v>17533</v>
      </c>
      <c r="S148" s="117" t="s">
        <v>498</v>
      </c>
      <c r="T148" s="139">
        <v>-3109.22</v>
      </c>
      <c r="V148" s="117" t="s">
        <v>751</v>
      </c>
      <c r="W148" s="118">
        <v>451.25</v>
      </c>
    </row>
    <row r="149" spans="1:23" x14ac:dyDescent="0.2">
      <c r="A149" s="133" t="s">
        <v>532</v>
      </c>
      <c r="B149" s="132">
        <v>438.5</v>
      </c>
      <c r="C149" s="132">
        <v>407</v>
      </c>
      <c r="D149" s="132">
        <v>390.4</v>
      </c>
      <c r="E149" s="132">
        <v>454.5</v>
      </c>
      <c r="F149" s="132">
        <v>365.5</v>
      </c>
      <c r="G149" s="153"/>
      <c r="H149" s="153"/>
      <c r="J149" s="117" t="s">
        <v>515</v>
      </c>
      <c r="K149" s="118">
        <v>314</v>
      </c>
      <c r="M149" s="117" t="s">
        <v>485</v>
      </c>
      <c r="N149" s="118">
        <v>2806.48</v>
      </c>
      <c r="P149" s="108" t="s">
        <v>521</v>
      </c>
      <c r="Q149" s="118">
        <v>1055</v>
      </c>
      <c r="S149" s="117" t="s">
        <v>497</v>
      </c>
      <c r="T149" s="134">
        <v>19845.46</v>
      </c>
      <c r="V149" s="117" t="s">
        <v>517</v>
      </c>
      <c r="W149" s="118">
        <v>750</v>
      </c>
    </row>
    <row r="150" spans="1:23" x14ac:dyDescent="0.2">
      <c r="A150" s="133" t="s">
        <v>531</v>
      </c>
      <c r="B150" s="132">
        <v>130.69999999999999</v>
      </c>
      <c r="C150" s="132">
        <v>124</v>
      </c>
      <c r="D150" s="132">
        <v>135.80000000000001</v>
      </c>
      <c r="E150" s="132">
        <v>112.7</v>
      </c>
      <c r="F150" s="132">
        <v>120.5</v>
      </c>
      <c r="G150" s="153"/>
      <c r="H150" s="153"/>
      <c r="J150" s="108" t="s">
        <v>514</v>
      </c>
      <c r="K150" s="119">
        <v>28</v>
      </c>
      <c r="M150" s="117" t="s">
        <v>484</v>
      </c>
      <c r="N150" s="118">
        <v>3272.12</v>
      </c>
      <c r="P150" s="108" t="s">
        <v>748</v>
      </c>
      <c r="Q150" s="118">
        <v>2237</v>
      </c>
      <c r="S150" s="117" t="s">
        <v>496</v>
      </c>
      <c r="T150" s="118">
        <v>1822.36</v>
      </c>
      <c r="V150" s="115" t="s">
        <v>504</v>
      </c>
      <c r="W150" s="116"/>
    </row>
    <row r="151" spans="1:23" x14ac:dyDescent="0.2">
      <c r="A151" s="131" t="s">
        <v>530</v>
      </c>
      <c r="B151" s="135">
        <v>29.3</v>
      </c>
      <c r="C151" s="138"/>
      <c r="D151" s="138"/>
      <c r="E151" s="138"/>
      <c r="F151" s="138"/>
      <c r="G151" s="154"/>
      <c r="H151" s="154"/>
      <c r="J151" s="108" t="s">
        <v>513</v>
      </c>
      <c r="K151" s="119">
        <v>27</v>
      </c>
      <c r="M151" s="117" t="s">
        <v>483</v>
      </c>
      <c r="N151" s="118">
        <v>2169.52</v>
      </c>
      <c r="P151" s="108" t="s">
        <v>520</v>
      </c>
      <c r="Q151" s="118">
        <v>2000</v>
      </c>
      <c r="S151" s="117" t="s">
        <v>495</v>
      </c>
      <c r="T151" s="118">
        <v>1976.07</v>
      </c>
      <c r="V151" s="117" t="s">
        <v>503</v>
      </c>
      <c r="W151" s="119">
        <v>12.6</v>
      </c>
    </row>
    <row r="152" spans="1:23" x14ac:dyDescent="0.2">
      <c r="A152" s="129" t="s">
        <v>529</v>
      </c>
      <c r="B152" s="130"/>
      <c r="C152" s="130"/>
      <c r="D152" s="130"/>
      <c r="E152" s="130"/>
      <c r="F152" s="130"/>
      <c r="G152" s="151"/>
      <c r="H152" s="151"/>
      <c r="J152" s="108" t="s">
        <v>512</v>
      </c>
      <c r="K152" s="119">
        <v>29</v>
      </c>
      <c r="M152" s="117" t="s">
        <v>482</v>
      </c>
      <c r="N152" s="119">
        <v>33.770000000000003</v>
      </c>
      <c r="P152" s="108" t="s">
        <v>749</v>
      </c>
      <c r="Q152" s="118">
        <v>3673</v>
      </c>
      <c r="S152" s="117" t="s">
        <v>494</v>
      </c>
      <c r="T152" s="118">
        <v>7087.67</v>
      </c>
      <c r="V152" s="117" t="s">
        <v>501</v>
      </c>
      <c r="W152" s="148">
        <v>0</v>
      </c>
    </row>
    <row r="153" spans="1:23" x14ac:dyDescent="0.2">
      <c r="A153" s="131" t="s">
        <v>528</v>
      </c>
      <c r="B153" s="132">
        <v>4189.6000000000004</v>
      </c>
      <c r="C153" s="132">
        <v>4768.1000000000004</v>
      </c>
      <c r="D153" s="132">
        <v>2975.8</v>
      </c>
      <c r="E153" s="132">
        <v>3871.4</v>
      </c>
      <c r="F153" s="132">
        <v>3740.9</v>
      </c>
      <c r="G153" s="153"/>
      <c r="H153" s="153"/>
      <c r="J153" s="108" t="s">
        <v>511</v>
      </c>
      <c r="K153" s="119">
        <v>25</v>
      </c>
      <c r="M153" s="117" t="s">
        <v>481</v>
      </c>
      <c r="N153" s="118">
        <v>582.92999999999995</v>
      </c>
      <c r="P153" s="108" t="s">
        <v>519</v>
      </c>
      <c r="Q153" s="118">
        <v>8568</v>
      </c>
      <c r="S153" s="117" t="s">
        <v>493</v>
      </c>
      <c r="T153" s="118">
        <v>875.78</v>
      </c>
      <c r="V153" s="115" t="s">
        <v>456</v>
      </c>
      <c r="W153" s="116"/>
    </row>
    <row r="154" spans="1:23" x14ac:dyDescent="0.2">
      <c r="A154" s="131" t="s">
        <v>527</v>
      </c>
      <c r="B154" s="132">
        <v>4372.8999999999996</v>
      </c>
      <c r="C154" s="132">
        <v>5327.8</v>
      </c>
      <c r="D154" s="132">
        <v>3906.9</v>
      </c>
      <c r="E154" s="132">
        <v>4032.8</v>
      </c>
      <c r="F154" s="132">
        <v>3975.9</v>
      </c>
      <c r="G154" s="153"/>
      <c r="H154" s="153"/>
      <c r="J154" s="108" t="s">
        <v>510</v>
      </c>
      <c r="K154" s="119">
        <v>25</v>
      </c>
      <c r="M154" s="117" t="s">
        <v>480</v>
      </c>
      <c r="N154" s="118">
        <v>459.52</v>
      </c>
      <c r="P154" s="117" t="s">
        <v>518</v>
      </c>
      <c r="Q154" s="118">
        <v>4237</v>
      </c>
      <c r="S154" s="117" t="s">
        <v>492</v>
      </c>
      <c r="T154" s="134">
        <v>18425.599999999999</v>
      </c>
      <c r="V154" s="117" t="s">
        <v>498</v>
      </c>
      <c r="W154" s="118">
        <v>403.25</v>
      </c>
    </row>
    <row r="155" spans="1:23" x14ac:dyDescent="0.2">
      <c r="A155" s="131" t="s">
        <v>526</v>
      </c>
      <c r="B155" s="135">
        <v>23.1</v>
      </c>
      <c r="C155" s="135">
        <v>95.2</v>
      </c>
      <c r="D155" s="135">
        <v>83.2</v>
      </c>
      <c r="E155" s="132">
        <v>178.6</v>
      </c>
      <c r="F155" s="135">
        <v>59.6</v>
      </c>
      <c r="G155" s="152"/>
      <c r="H155" s="152"/>
      <c r="J155" s="108" t="s">
        <v>509</v>
      </c>
      <c r="K155" s="118">
        <v>345</v>
      </c>
      <c r="M155" s="117" t="s">
        <v>479</v>
      </c>
      <c r="N155" s="118">
        <v>624.04999999999995</v>
      </c>
      <c r="P155" s="117" t="s">
        <v>751</v>
      </c>
      <c r="Q155" s="118">
        <v>3673</v>
      </c>
      <c r="S155" s="117" t="s">
        <v>491</v>
      </c>
      <c r="T155" s="134">
        <v>18425.599999999999</v>
      </c>
      <c r="V155" s="117" t="s">
        <v>497</v>
      </c>
      <c r="W155" s="118">
        <v>2774.29</v>
      </c>
    </row>
    <row r="156" spans="1:23" x14ac:dyDescent="0.2">
      <c r="A156" s="131" t="s">
        <v>525</v>
      </c>
      <c r="B156" s="132">
        <v>1576.9</v>
      </c>
      <c r="C156" s="132">
        <v>1504.8</v>
      </c>
      <c r="D156" s="132">
        <v>1516.8</v>
      </c>
      <c r="E156" s="132">
        <v>1421.4</v>
      </c>
      <c r="F156" s="132">
        <v>940.4</v>
      </c>
      <c r="G156" s="153"/>
      <c r="H156" s="153"/>
      <c r="J156" s="108" t="s">
        <v>508</v>
      </c>
      <c r="K156" s="118">
        <v>165</v>
      </c>
      <c r="M156" s="117" t="s">
        <v>478</v>
      </c>
      <c r="N156" s="118">
        <v>1640.94</v>
      </c>
      <c r="P156" s="117" t="s">
        <v>517</v>
      </c>
      <c r="Q156" s="118">
        <v>8568</v>
      </c>
      <c r="S156" s="117" t="s">
        <v>490</v>
      </c>
      <c r="T156" s="118">
        <v>1770.81</v>
      </c>
      <c r="V156" s="117" t="s">
        <v>496</v>
      </c>
      <c r="W156" s="119">
        <v>20.399999999999999</v>
      </c>
    </row>
    <row r="157" spans="1:23" x14ac:dyDescent="0.2">
      <c r="A157" s="131" t="s">
        <v>524</v>
      </c>
      <c r="B157" s="132">
        <v>1600</v>
      </c>
      <c r="C157" s="132">
        <v>1600</v>
      </c>
      <c r="D157" s="132">
        <v>1600</v>
      </c>
      <c r="E157" s="132">
        <v>1600</v>
      </c>
      <c r="F157" s="132">
        <v>1000</v>
      </c>
      <c r="G157" s="153"/>
      <c r="H157" s="153"/>
      <c r="J157" s="117" t="s">
        <v>507</v>
      </c>
      <c r="K157" s="119">
        <v>56</v>
      </c>
      <c r="M157" s="117" t="s">
        <v>764</v>
      </c>
      <c r="N157" s="118">
        <v>1032.0999999999999</v>
      </c>
      <c r="P157" s="115" t="s">
        <v>516</v>
      </c>
      <c r="Q157" s="116"/>
      <c r="S157" s="117" t="s">
        <v>489</v>
      </c>
      <c r="T157" s="134">
        <v>13314.01</v>
      </c>
      <c r="V157" s="117" t="s">
        <v>495</v>
      </c>
      <c r="W157" s="119">
        <v>20.399999999999999</v>
      </c>
    </row>
    <row r="158" spans="1:23" x14ac:dyDescent="0.2">
      <c r="A158" s="129" t="s">
        <v>523</v>
      </c>
      <c r="B158" s="130"/>
      <c r="C158" s="130"/>
      <c r="D158" s="130"/>
      <c r="E158" s="130"/>
      <c r="F158" s="130"/>
      <c r="G158" s="151"/>
      <c r="H158" s="151"/>
      <c r="J158" s="117" t="s">
        <v>506</v>
      </c>
      <c r="K158" s="119">
        <v>50</v>
      </c>
      <c r="M158" s="115" t="s">
        <v>476</v>
      </c>
      <c r="N158" s="116"/>
      <c r="P158" s="117" t="s">
        <v>515</v>
      </c>
      <c r="Q158" s="118">
        <v>534</v>
      </c>
      <c r="S158" s="117" t="s">
        <v>488</v>
      </c>
      <c r="T158" s="118">
        <v>4461.8599999999997</v>
      </c>
      <c r="V158" s="117" t="s">
        <v>494</v>
      </c>
      <c r="W158" s="118">
        <v>1238.32</v>
      </c>
    </row>
    <row r="159" spans="1:23" x14ac:dyDescent="0.2">
      <c r="A159" s="131" t="s">
        <v>522</v>
      </c>
      <c r="B159" s="132">
        <v>4440.6000000000004</v>
      </c>
      <c r="C159" s="132">
        <v>4841.1000000000004</v>
      </c>
      <c r="D159" s="132">
        <v>3391.5</v>
      </c>
      <c r="E159" s="132">
        <v>3392</v>
      </c>
      <c r="F159" s="132">
        <v>3949.6</v>
      </c>
      <c r="G159" s="153"/>
      <c r="H159" s="153"/>
      <c r="J159" s="117" t="s">
        <v>505</v>
      </c>
      <c r="K159" s="118">
        <v>345</v>
      </c>
      <c r="M159" s="117" t="s">
        <v>475</v>
      </c>
      <c r="N159" s="118">
        <v>7500</v>
      </c>
      <c r="P159" s="108" t="s">
        <v>514</v>
      </c>
      <c r="Q159" s="118">
        <v>121</v>
      </c>
      <c r="S159" s="117" t="s">
        <v>487</v>
      </c>
      <c r="T159" s="118">
        <v>4154.18</v>
      </c>
      <c r="V159" s="117" t="s">
        <v>493</v>
      </c>
      <c r="W159" s="118">
        <v>140.09</v>
      </c>
    </row>
    <row r="160" spans="1:23" x14ac:dyDescent="0.2">
      <c r="A160" s="133" t="s">
        <v>521</v>
      </c>
      <c r="B160" s="135">
        <v>0.4</v>
      </c>
      <c r="C160" s="132">
        <v>400.5</v>
      </c>
      <c r="D160" s="135">
        <v>0.5</v>
      </c>
      <c r="E160" s="135">
        <v>0.5</v>
      </c>
      <c r="F160" s="135">
        <v>5.2</v>
      </c>
      <c r="G160" s="152"/>
      <c r="H160" s="152"/>
      <c r="J160" s="115" t="s">
        <v>504</v>
      </c>
      <c r="K160" s="116"/>
      <c r="M160" s="115" t="s">
        <v>474</v>
      </c>
      <c r="N160" s="116"/>
      <c r="P160" s="108" t="s">
        <v>513</v>
      </c>
      <c r="Q160" s="118">
        <v>132</v>
      </c>
      <c r="S160" s="117" t="s">
        <v>486</v>
      </c>
      <c r="T160" s="134">
        <v>20094</v>
      </c>
      <c r="V160" s="117" t="s">
        <v>492</v>
      </c>
      <c r="W160" s="118">
        <v>2674.62</v>
      </c>
    </row>
    <row r="161" spans="1:23" x14ac:dyDescent="0.2">
      <c r="A161" s="133" t="s">
        <v>520</v>
      </c>
      <c r="B161" s="132">
        <v>1650</v>
      </c>
      <c r="C161" s="132">
        <v>900.4</v>
      </c>
      <c r="D161" s="132">
        <v>1350.9</v>
      </c>
      <c r="E161" s="132">
        <v>1351.4</v>
      </c>
      <c r="F161" s="132">
        <v>1504.2</v>
      </c>
      <c r="G161" s="153"/>
      <c r="H161" s="153"/>
      <c r="J161" s="117" t="s">
        <v>503</v>
      </c>
      <c r="K161" s="119">
        <v>10.199999999999999</v>
      </c>
      <c r="M161" s="117" t="s">
        <v>473</v>
      </c>
      <c r="N161" s="119">
        <v>52.59</v>
      </c>
      <c r="P161" s="108" t="s">
        <v>512</v>
      </c>
      <c r="Q161" s="119">
        <v>85</v>
      </c>
      <c r="S161" s="117" t="s">
        <v>485</v>
      </c>
      <c r="T161" s="134">
        <v>20401.669999999998</v>
      </c>
      <c r="V161" s="117" t="s">
        <v>491</v>
      </c>
      <c r="W161" s="118">
        <v>2674.62</v>
      </c>
    </row>
    <row r="162" spans="1:23" x14ac:dyDescent="0.2">
      <c r="A162" s="133" t="s">
        <v>519</v>
      </c>
      <c r="B162" s="132">
        <v>2790.2</v>
      </c>
      <c r="C162" s="132">
        <v>3540.2</v>
      </c>
      <c r="D162" s="132">
        <v>2040.1</v>
      </c>
      <c r="E162" s="132">
        <v>2040.1</v>
      </c>
      <c r="F162" s="132">
        <v>2440.1999999999998</v>
      </c>
      <c r="G162" s="153"/>
      <c r="H162" s="153"/>
      <c r="J162" s="117" t="s">
        <v>502</v>
      </c>
      <c r="K162" s="119">
        <v>22</v>
      </c>
      <c r="M162" s="108" t="s">
        <v>472</v>
      </c>
      <c r="N162" s="119">
        <v>17.510000000000002</v>
      </c>
      <c r="P162" s="108" t="s">
        <v>511</v>
      </c>
      <c r="Q162" s="119">
        <v>58</v>
      </c>
      <c r="S162" s="117" t="s">
        <v>484</v>
      </c>
      <c r="T162" s="134">
        <v>21581.88</v>
      </c>
      <c r="V162" s="117" t="s">
        <v>490</v>
      </c>
      <c r="W162" s="118">
        <v>239.94</v>
      </c>
    </row>
    <row r="163" spans="1:23" x14ac:dyDescent="0.2">
      <c r="A163" s="131" t="s">
        <v>518</v>
      </c>
      <c r="B163" s="132">
        <v>1650</v>
      </c>
      <c r="C163" s="132">
        <v>900.4</v>
      </c>
      <c r="D163" s="132">
        <v>1350.9</v>
      </c>
      <c r="E163" s="132">
        <v>1351.4</v>
      </c>
      <c r="F163" s="132">
        <v>1504.2</v>
      </c>
      <c r="G163" s="153"/>
      <c r="H163" s="153"/>
      <c r="J163" s="117" t="s">
        <v>501</v>
      </c>
      <c r="K163" s="148">
        <v>0</v>
      </c>
      <c r="M163" s="108" t="s">
        <v>471</v>
      </c>
      <c r="N163" s="119">
        <v>14.02</v>
      </c>
      <c r="P163" s="108" t="s">
        <v>510</v>
      </c>
      <c r="Q163" s="119">
        <v>88</v>
      </c>
      <c r="S163" s="117" t="s">
        <v>483</v>
      </c>
      <c r="T163" s="134">
        <v>15571.06</v>
      </c>
      <c r="V163" s="117" t="s">
        <v>489</v>
      </c>
      <c r="W163" s="118">
        <v>1456.7</v>
      </c>
    </row>
    <row r="164" spans="1:23" x14ac:dyDescent="0.2">
      <c r="A164" s="131" t="s">
        <v>517</v>
      </c>
      <c r="B164" s="132">
        <v>2790.2</v>
      </c>
      <c r="C164" s="132">
        <v>3540.2</v>
      </c>
      <c r="D164" s="132">
        <v>2040.1</v>
      </c>
      <c r="E164" s="132">
        <v>2040.1</v>
      </c>
      <c r="F164" s="132">
        <v>2440.1999999999998</v>
      </c>
      <c r="G164" s="153"/>
      <c r="H164" s="153"/>
      <c r="J164" s="117" t="s">
        <v>500</v>
      </c>
      <c r="K164" s="148">
        <v>0</v>
      </c>
      <c r="M164" s="108" t="s">
        <v>470</v>
      </c>
      <c r="N164" s="119">
        <v>10.25</v>
      </c>
      <c r="P164" s="108" t="s">
        <v>509</v>
      </c>
      <c r="Q164" s="118">
        <v>225</v>
      </c>
      <c r="S164" s="117" t="s">
        <v>481</v>
      </c>
      <c r="T164" s="139">
        <v>-1286.8599999999999</v>
      </c>
      <c r="V164" s="117" t="s">
        <v>488</v>
      </c>
      <c r="W164" s="118">
        <v>860.95</v>
      </c>
    </row>
    <row r="165" spans="1:23" x14ac:dyDescent="0.2">
      <c r="A165" s="129" t="s">
        <v>516</v>
      </c>
      <c r="B165" s="130"/>
      <c r="C165" s="130"/>
      <c r="D165" s="130"/>
      <c r="E165" s="130"/>
      <c r="F165" s="130"/>
      <c r="G165" s="151"/>
      <c r="H165" s="151"/>
      <c r="J165" s="115" t="s">
        <v>456</v>
      </c>
      <c r="K165" s="116"/>
      <c r="M165" s="108" t="s">
        <v>469</v>
      </c>
      <c r="N165" s="119">
        <v>6.35</v>
      </c>
      <c r="P165" s="108" t="s">
        <v>508</v>
      </c>
      <c r="Q165" s="118">
        <v>175</v>
      </c>
      <c r="S165" s="117" t="s">
        <v>480</v>
      </c>
      <c r="T165" s="139">
        <v>-3262.93</v>
      </c>
      <c r="V165" s="117" t="s">
        <v>487</v>
      </c>
      <c r="W165" s="118">
        <v>860.95</v>
      </c>
    </row>
    <row r="166" spans="1:23" x14ac:dyDescent="0.2">
      <c r="A166" s="131" t="s">
        <v>515</v>
      </c>
      <c r="B166" s="135">
        <v>10.8</v>
      </c>
      <c r="C166" s="135">
        <v>20.399999999999999</v>
      </c>
      <c r="D166" s="135">
        <v>29.1</v>
      </c>
      <c r="E166" s="135">
        <v>57.1</v>
      </c>
      <c r="F166" s="135">
        <v>95.9</v>
      </c>
      <c r="G166" s="152"/>
      <c r="H166" s="152"/>
      <c r="J166" s="117" t="s">
        <v>499</v>
      </c>
      <c r="K166" s="119">
        <v>2</v>
      </c>
      <c r="M166" s="108" t="s">
        <v>468</v>
      </c>
      <c r="N166" s="119">
        <v>3.34</v>
      </c>
      <c r="P166" s="117" t="s">
        <v>507</v>
      </c>
      <c r="Q166" s="118">
        <v>217</v>
      </c>
      <c r="S166" s="117" t="s">
        <v>479</v>
      </c>
      <c r="T166" s="118">
        <v>723.68</v>
      </c>
      <c r="V166" s="117" t="s">
        <v>486</v>
      </c>
      <c r="W166" s="118">
        <v>2695.02</v>
      </c>
    </row>
    <row r="167" spans="1:23" x14ac:dyDescent="0.2">
      <c r="A167" s="133" t="s">
        <v>514</v>
      </c>
      <c r="B167" s="135">
        <v>6.1</v>
      </c>
      <c r="C167" s="135">
        <v>11.2</v>
      </c>
      <c r="D167" s="135">
        <v>13.1</v>
      </c>
      <c r="E167" s="135">
        <v>23.2</v>
      </c>
      <c r="F167" s="135">
        <v>33.9</v>
      </c>
      <c r="G167" s="152"/>
      <c r="H167" s="152"/>
      <c r="J167" s="117" t="s">
        <v>498</v>
      </c>
      <c r="K167" s="118">
        <v>2231</v>
      </c>
      <c r="M167" s="108" t="s">
        <v>467</v>
      </c>
      <c r="N167" s="119">
        <v>9.43</v>
      </c>
      <c r="P167" s="117" t="s">
        <v>506</v>
      </c>
      <c r="Q167" s="118">
        <v>146</v>
      </c>
      <c r="S167" s="117" t="s">
        <v>478</v>
      </c>
      <c r="T167" s="134">
        <v>13314.01</v>
      </c>
      <c r="V167" s="117" t="s">
        <v>485</v>
      </c>
      <c r="W167" s="118">
        <v>2695.02</v>
      </c>
    </row>
    <row r="168" spans="1:23" x14ac:dyDescent="0.2">
      <c r="A168" s="133" t="s">
        <v>513</v>
      </c>
      <c r="B168" s="135">
        <v>2.8</v>
      </c>
      <c r="C168" s="135">
        <v>6.7</v>
      </c>
      <c r="D168" s="135">
        <v>10</v>
      </c>
      <c r="E168" s="135">
        <v>17.3</v>
      </c>
      <c r="F168" s="135">
        <v>27.1</v>
      </c>
      <c r="G168" s="152"/>
      <c r="H168" s="152"/>
      <c r="J168" s="117" t="s">
        <v>497</v>
      </c>
      <c r="K168" s="134">
        <v>15030</v>
      </c>
      <c r="M168" s="108" t="s">
        <v>466</v>
      </c>
      <c r="N168" s="119">
        <v>8.31</v>
      </c>
      <c r="P168" s="117" t="s">
        <v>505</v>
      </c>
      <c r="Q168" s="118">
        <v>225</v>
      </c>
      <c r="S168" s="115" t="s">
        <v>200</v>
      </c>
      <c r="T168" s="116"/>
      <c r="V168" s="117" t="s">
        <v>484</v>
      </c>
      <c r="W168" s="118">
        <v>3019.58</v>
      </c>
    </row>
    <row r="169" spans="1:23" x14ac:dyDescent="0.2">
      <c r="A169" s="133" t="s">
        <v>512</v>
      </c>
      <c r="B169" s="135">
        <v>1.5</v>
      </c>
      <c r="C169" s="135">
        <v>2.1</v>
      </c>
      <c r="D169" s="135">
        <v>5.5</v>
      </c>
      <c r="E169" s="135">
        <v>11.8</v>
      </c>
      <c r="F169" s="135">
        <v>19.7</v>
      </c>
      <c r="G169" s="152"/>
      <c r="H169" s="152"/>
      <c r="J169" s="117" t="s">
        <v>496</v>
      </c>
      <c r="K169" s="119">
        <v>67</v>
      </c>
      <c r="M169" s="117" t="s">
        <v>465</v>
      </c>
      <c r="N169" s="119">
        <v>24.27</v>
      </c>
      <c r="P169" s="115" t="s">
        <v>504</v>
      </c>
      <c r="Q169" s="116"/>
      <c r="S169" s="117" t="s">
        <v>462</v>
      </c>
      <c r="T169" s="134">
        <v>39462</v>
      </c>
      <c r="V169" s="117" t="s">
        <v>483</v>
      </c>
      <c r="W169" s="118">
        <v>2126.04</v>
      </c>
    </row>
    <row r="170" spans="1:23" x14ac:dyDescent="0.2">
      <c r="A170" s="133" t="s">
        <v>511</v>
      </c>
      <c r="B170" s="135">
        <v>0.6</v>
      </c>
      <c r="C170" s="135">
        <v>0.8</v>
      </c>
      <c r="D170" s="135">
        <v>1.2</v>
      </c>
      <c r="E170" s="135">
        <v>5.9</v>
      </c>
      <c r="F170" s="135">
        <v>12.2</v>
      </c>
      <c r="G170" s="152"/>
      <c r="H170" s="152"/>
      <c r="J170" s="117" t="s">
        <v>495</v>
      </c>
      <c r="K170" s="119">
        <v>67</v>
      </c>
      <c r="M170" s="117" t="s">
        <v>464</v>
      </c>
      <c r="N170" s="119">
        <v>9.69</v>
      </c>
      <c r="P170" s="117" t="s">
        <v>503</v>
      </c>
      <c r="Q170" s="119">
        <v>4.32</v>
      </c>
      <c r="S170" s="117" t="s">
        <v>461</v>
      </c>
      <c r="T170" s="134">
        <v>39462</v>
      </c>
      <c r="V170" s="117" t="s">
        <v>481</v>
      </c>
      <c r="W170" s="118">
        <v>423.65</v>
      </c>
    </row>
    <row r="171" spans="1:23" x14ac:dyDescent="0.2">
      <c r="A171" s="133" t="s">
        <v>510</v>
      </c>
      <c r="B171" s="135">
        <v>0.2</v>
      </c>
      <c r="C171" s="135">
        <v>0.4</v>
      </c>
      <c r="D171" s="135">
        <v>0.4</v>
      </c>
      <c r="E171" s="135">
        <v>0.6</v>
      </c>
      <c r="F171" s="135">
        <v>5.3</v>
      </c>
      <c r="G171" s="152"/>
      <c r="H171" s="152"/>
      <c r="J171" s="117" t="s">
        <v>494</v>
      </c>
      <c r="K171" s="118">
        <v>5627</v>
      </c>
      <c r="M171" s="117" t="s">
        <v>463</v>
      </c>
      <c r="N171" s="119">
        <v>9.43</v>
      </c>
      <c r="P171" s="117" t="s">
        <v>502</v>
      </c>
      <c r="Q171" s="119">
        <v>4.9400000000000004</v>
      </c>
      <c r="V171" s="117" t="s">
        <v>480</v>
      </c>
      <c r="W171" s="118">
        <v>403.25</v>
      </c>
    </row>
    <row r="172" spans="1:23" x14ac:dyDescent="0.2">
      <c r="A172" s="133" t="s">
        <v>509</v>
      </c>
      <c r="B172" s="135">
        <v>0.1</v>
      </c>
      <c r="C172" s="138">
        <v>0</v>
      </c>
      <c r="D172" s="138"/>
      <c r="E172" s="138">
        <v>0</v>
      </c>
      <c r="F172" s="138">
        <v>0</v>
      </c>
      <c r="G172" s="154"/>
      <c r="H172" s="154"/>
      <c r="J172" s="117" t="s">
        <v>492</v>
      </c>
      <c r="K172" s="134">
        <v>15592</v>
      </c>
      <c r="M172" s="115" t="s">
        <v>200</v>
      </c>
      <c r="N172" s="116"/>
      <c r="P172" s="117" t="s">
        <v>501</v>
      </c>
      <c r="Q172" s="148">
        <v>0</v>
      </c>
      <c r="V172" s="117" t="s">
        <v>479</v>
      </c>
      <c r="W172" s="118">
        <v>431.34</v>
      </c>
    </row>
    <row r="173" spans="1:23" x14ac:dyDescent="0.2">
      <c r="A173" s="133" t="s">
        <v>508</v>
      </c>
      <c r="B173" s="135">
        <v>0.5</v>
      </c>
      <c r="C173" s="135">
        <v>0.8</v>
      </c>
      <c r="D173" s="135">
        <v>1.1000000000000001</v>
      </c>
      <c r="E173" s="135">
        <v>1.7</v>
      </c>
      <c r="F173" s="135">
        <v>2.2999999999999998</v>
      </c>
      <c r="G173" s="152"/>
      <c r="H173" s="152"/>
      <c r="J173" s="117" t="s">
        <v>491</v>
      </c>
      <c r="K173" s="134">
        <v>15592</v>
      </c>
      <c r="M173" s="117" t="s">
        <v>462</v>
      </c>
      <c r="N173" s="118">
        <v>5298</v>
      </c>
      <c r="P173" s="117" t="s">
        <v>500</v>
      </c>
      <c r="Q173" s="148">
        <v>0</v>
      </c>
      <c r="V173" s="117" t="s">
        <v>478</v>
      </c>
      <c r="W173" s="118">
        <v>1456.7</v>
      </c>
    </row>
    <row r="174" spans="1:23" x14ac:dyDescent="0.2">
      <c r="A174" s="131" t="s">
        <v>507</v>
      </c>
      <c r="B174" s="135">
        <v>4.3</v>
      </c>
      <c r="C174" s="135">
        <v>8.8000000000000007</v>
      </c>
      <c r="D174" s="135">
        <v>15.5</v>
      </c>
      <c r="E174" s="135">
        <v>29.1</v>
      </c>
      <c r="F174" s="135">
        <v>46.8</v>
      </c>
      <c r="G174" s="152"/>
      <c r="H174" s="152"/>
      <c r="J174" s="117" t="s">
        <v>490</v>
      </c>
      <c r="K174" s="118">
        <v>1266</v>
      </c>
      <c r="M174" s="117" t="s">
        <v>461</v>
      </c>
      <c r="N174" s="118">
        <v>5298</v>
      </c>
      <c r="P174" s="115" t="s">
        <v>456</v>
      </c>
      <c r="Q174" s="116"/>
      <c r="V174" s="115" t="s">
        <v>476</v>
      </c>
      <c r="W174" s="116"/>
    </row>
    <row r="175" spans="1:23" x14ac:dyDescent="0.2">
      <c r="A175" s="131" t="s">
        <v>506</v>
      </c>
      <c r="B175" s="135">
        <v>0.8</v>
      </c>
      <c r="C175" s="135">
        <v>1.2</v>
      </c>
      <c r="D175" s="135">
        <v>1.6</v>
      </c>
      <c r="E175" s="135">
        <v>6.5</v>
      </c>
      <c r="F175" s="135">
        <v>17.5</v>
      </c>
      <c r="G175" s="152"/>
      <c r="H175" s="152"/>
      <c r="J175" s="117" t="s">
        <v>489</v>
      </c>
      <c r="K175" s="134">
        <v>10032</v>
      </c>
      <c r="P175" s="117" t="s">
        <v>763</v>
      </c>
      <c r="Q175" s="118">
        <v>405</v>
      </c>
      <c r="V175" s="117" t="s">
        <v>475</v>
      </c>
      <c r="W175" s="118">
        <v>1050</v>
      </c>
    </row>
    <row r="176" spans="1:23" x14ac:dyDescent="0.2">
      <c r="A176" s="131" t="s">
        <v>505</v>
      </c>
      <c r="B176" s="135">
        <v>0.1</v>
      </c>
      <c r="C176" s="138">
        <v>0</v>
      </c>
      <c r="D176" s="138"/>
      <c r="E176" s="138">
        <v>0</v>
      </c>
      <c r="F176" s="138">
        <v>0</v>
      </c>
      <c r="G176" s="154"/>
      <c r="H176" s="154"/>
      <c r="J176" s="117" t="s">
        <v>488</v>
      </c>
      <c r="K176" s="118">
        <v>5961</v>
      </c>
      <c r="P176" s="117" t="s">
        <v>499</v>
      </c>
      <c r="Q176" s="118">
        <v>1474</v>
      </c>
      <c r="V176" s="115" t="s">
        <v>474</v>
      </c>
      <c r="W176" s="116"/>
    </row>
    <row r="177" spans="1:23" x14ac:dyDescent="0.2">
      <c r="A177" s="129" t="s">
        <v>504</v>
      </c>
      <c r="B177" s="130"/>
      <c r="C177" s="130"/>
      <c r="D177" s="130"/>
      <c r="E177" s="130"/>
      <c r="F177" s="130"/>
      <c r="G177" s="151"/>
      <c r="H177" s="151"/>
      <c r="J177" s="117" t="s">
        <v>487</v>
      </c>
      <c r="K177" s="118">
        <v>5959</v>
      </c>
      <c r="P177" s="117" t="s">
        <v>498</v>
      </c>
      <c r="Q177" s="118">
        <v>2404</v>
      </c>
      <c r="V177" s="117" t="s">
        <v>473</v>
      </c>
      <c r="W177" s="119">
        <v>37.630000000000003</v>
      </c>
    </row>
    <row r="178" spans="1:23" x14ac:dyDescent="0.2">
      <c r="A178" s="131" t="s">
        <v>503</v>
      </c>
      <c r="B178" s="135">
        <v>18.899999999999999</v>
      </c>
      <c r="C178" s="135">
        <v>18.899999999999999</v>
      </c>
      <c r="D178" s="135">
        <v>19.5</v>
      </c>
      <c r="E178" s="135">
        <v>19.7</v>
      </c>
      <c r="F178" s="135">
        <v>21</v>
      </c>
      <c r="G178" s="152"/>
      <c r="H178" s="152"/>
      <c r="J178" s="117" t="s">
        <v>486</v>
      </c>
      <c r="K178" s="134">
        <v>15657</v>
      </c>
      <c r="P178" s="117" t="s">
        <v>497</v>
      </c>
      <c r="Q178" s="134">
        <v>41134</v>
      </c>
      <c r="V178" s="108" t="s">
        <v>472</v>
      </c>
      <c r="W178" s="119">
        <v>5.01</v>
      </c>
    </row>
    <row r="179" spans="1:23" x14ac:dyDescent="0.2">
      <c r="A179" s="131" t="s">
        <v>502</v>
      </c>
      <c r="B179" s="135">
        <v>2.4</v>
      </c>
      <c r="C179" s="135">
        <v>2.2000000000000002</v>
      </c>
      <c r="D179" s="135">
        <v>2.5</v>
      </c>
      <c r="E179" s="135">
        <v>3</v>
      </c>
      <c r="F179" s="135">
        <v>3.3</v>
      </c>
      <c r="G179" s="152"/>
      <c r="H179" s="152"/>
      <c r="J179" s="117" t="s">
        <v>485</v>
      </c>
      <c r="K179" s="134">
        <v>15659</v>
      </c>
      <c r="P179" s="117" t="s">
        <v>496</v>
      </c>
      <c r="Q179" s="118">
        <v>4096</v>
      </c>
      <c r="V179" s="108" t="s">
        <v>471</v>
      </c>
      <c r="W179" s="119">
        <v>4.24</v>
      </c>
    </row>
    <row r="180" spans="1:23" x14ac:dyDescent="0.2">
      <c r="A180" s="131" t="s">
        <v>501</v>
      </c>
      <c r="B180" s="149">
        <v>0</v>
      </c>
      <c r="C180" s="149">
        <v>0</v>
      </c>
      <c r="D180" s="149">
        <v>0</v>
      </c>
      <c r="E180" s="149">
        <v>0</v>
      </c>
      <c r="F180" s="149">
        <v>0</v>
      </c>
      <c r="G180" s="150"/>
      <c r="H180" s="150"/>
      <c r="J180" s="117" t="s">
        <v>484</v>
      </c>
      <c r="K180" s="134">
        <v>17816</v>
      </c>
      <c r="P180" s="117" t="s">
        <v>495</v>
      </c>
      <c r="Q180" s="118">
        <v>4096</v>
      </c>
      <c r="V180" s="108" t="s">
        <v>470</v>
      </c>
      <c r="W180" s="119">
        <v>3.55</v>
      </c>
    </row>
    <row r="181" spans="1:23" x14ac:dyDescent="0.2">
      <c r="A181" s="131" t="s">
        <v>500</v>
      </c>
      <c r="B181" s="149">
        <v>0</v>
      </c>
      <c r="C181" s="149">
        <v>0</v>
      </c>
      <c r="D181" s="149">
        <v>0</v>
      </c>
      <c r="E181" s="149">
        <v>0</v>
      </c>
      <c r="F181" s="149">
        <v>0</v>
      </c>
      <c r="G181" s="150"/>
      <c r="H181" s="150"/>
      <c r="J181" s="117" t="s">
        <v>483</v>
      </c>
      <c r="K181" s="134">
        <v>11904</v>
      </c>
      <c r="P181" s="117" t="s">
        <v>494</v>
      </c>
      <c r="Q181" s="134">
        <v>19662</v>
      </c>
      <c r="V181" s="108" t="s">
        <v>469</v>
      </c>
      <c r="W181" s="119">
        <v>3.59</v>
      </c>
    </row>
    <row r="182" spans="1:23" x14ac:dyDescent="0.2">
      <c r="A182" s="129" t="s">
        <v>456</v>
      </c>
      <c r="B182" s="130"/>
      <c r="C182" s="130"/>
      <c r="D182" s="130"/>
      <c r="E182" s="130"/>
      <c r="F182" s="130"/>
      <c r="G182" s="151"/>
      <c r="H182" s="151"/>
      <c r="J182" s="117" t="s">
        <v>481</v>
      </c>
      <c r="K182" s="118">
        <v>2298</v>
      </c>
      <c r="P182" s="117" t="s">
        <v>493</v>
      </c>
      <c r="Q182" s="118">
        <v>502</v>
      </c>
      <c r="V182" s="108" t="s">
        <v>468</v>
      </c>
      <c r="W182" s="119">
        <v>3.73</v>
      </c>
    </row>
    <row r="183" spans="1:23" x14ac:dyDescent="0.2">
      <c r="A183" s="131" t="s">
        <v>499</v>
      </c>
      <c r="B183" s="135">
        <v>23.8</v>
      </c>
      <c r="C183" s="135">
        <v>23.9</v>
      </c>
      <c r="D183" s="135">
        <v>24.5</v>
      </c>
      <c r="E183" s="135">
        <v>23.6</v>
      </c>
      <c r="F183" s="135">
        <v>22.7</v>
      </c>
      <c r="G183" s="152"/>
      <c r="H183" s="152"/>
      <c r="J183" s="117" t="s">
        <v>480</v>
      </c>
      <c r="K183" s="118">
        <v>2231</v>
      </c>
      <c r="P183" s="117" t="s">
        <v>492</v>
      </c>
      <c r="Q183" s="134">
        <v>39139</v>
      </c>
      <c r="V183" s="108" t="s">
        <v>467</v>
      </c>
      <c r="W183" s="119">
        <v>30</v>
      </c>
    </row>
    <row r="184" spans="1:23" x14ac:dyDescent="0.2">
      <c r="A184" s="131" t="s">
        <v>498</v>
      </c>
      <c r="B184" s="132">
        <v>1428.5</v>
      </c>
      <c r="C184" s="132">
        <v>466.9</v>
      </c>
      <c r="D184" s="132">
        <v>796.2</v>
      </c>
      <c r="E184" s="132">
        <v>784</v>
      </c>
      <c r="F184" s="132">
        <v>692.3</v>
      </c>
      <c r="G184" s="153"/>
      <c r="H184" s="153"/>
      <c r="J184" s="117" t="s">
        <v>479</v>
      </c>
      <c r="K184" s="118">
        <v>2451</v>
      </c>
      <c r="P184" s="117" t="s">
        <v>491</v>
      </c>
      <c r="Q184" s="134">
        <v>39569</v>
      </c>
      <c r="V184" s="108" t="s">
        <v>466</v>
      </c>
      <c r="W184" s="119">
        <v>12.49</v>
      </c>
    </row>
    <row r="185" spans="1:23" x14ac:dyDescent="0.2">
      <c r="A185" s="131" t="s">
        <v>497</v>
      </c>
      <c r="B185" s="138">
        <v>12736.2</v>
      </c>
      <c r="C185" s="138">
        <v>12757</v>
      </c>
      <c r="D185" s="138">
        <v>10082.9</v>
      </c>
      <c r="E185" s="138">
        <v>10383.6</v>
      </c>
      <c r="F185" s="132">
        <v>9750.9</v>
      </c>
      <c r="G185" s="153"/>
      <c r="H185" s="153"/>
      <c r="J185" s="117" t="s">
        <v>478</v>
      </c>
      <c r="K185" s="134">
        <v>10032</v>
      </c>
      <c r="P185" s="117" t="s">
        <v>490</v>
      </c>
      <c r="Q185" s="118">
        <v>4116</v>
      </c>
      <c r="V185" s="117" t="s">
        <v>465</v>
      </c>
      <c r="W185" s="119">
        <v>7.79</v>
      </c>
    </row>
    <row r="186" spans="1:23" x14ac:dyDescent="0.2">
      <c r="A186" s="131" t="s">
        <v>496</v>
      </c>
      <c r="B186" s="132">
        <v>183.3</v>
      </c>
      <c r="C186" s="132">
        <v>559.70000000000005</v>
      </c>
      <c r="D186" s="132">
        <v>931.1</v>
      </c>
      <c r="E186" s="132">
        <v>161.4</v>
      </c>
      <c r="F186" s="132">
        <v>235</v>
      </c>
      <c r="G186" s="153"/>
      <c r="H186" s="153"/>
      <c r="J186" s="115" t="s">
        <v>476</v>
      </c>
      <c r="K186" s="116"/>
      <c r="P186" s="117" t="s">
        <v>489</v>
      </c>
      <c r="Q186" s="134">
        <v>24003</v>
      </c>
      <c r="V186" s="117" t="s">
        <v>464</v>
      </c>
      <c r="W186" s="119">
        <v>7.31</v>
      </c>
    </row>
    <row r="187" spans="1:23" x14ac:dyDescent="0.2">
      <c r="A187" s="131" t="s">
        <v>495</v>
      </c>
      <c r="B187" s="132">
        <v>183.3</v>
      </c>
      <c r="C187" s="132">
        <v>559.70000000000005</v>
      </c>
      <c r="D187" s="132">
        <v>931.1</v>
      </c>
      <c r="E187" s="132">
        <v>161.4</v>
      </c>
      <c r="F187" s="132">
        <v>235</v>
      </c>
      <c r="G187" s="153"/>
      <c r="H187" s="153"/>
      <c r="J187" s="117" t="s">
        <v>475</v>
      </c>
      <c r="K187" s="118">
        <v>614</v>
      </c>
      <c r="P187" s="117" t="s">
        <v>488</v>
      </c>
      <c r="Q187" s="118">
        <v>9901</v>
      </c>
      <c r="V187" s="117" t="s">
        <v>463</v>
      </c>
      <c r="W187" s="119">
        <v>30</v>
      </c>
    </row>
    <row r="188" spans="1:23" x14ac:dyDescent="0.2">
      <c r="A188" s="131" t="s">
        <v>494</v>
      </c>
      <c r="B188" s="132">
        <v>4396.7</v>
      </c>
      <c r="C188" s="132">
        <v>5351.7</v>
      </c>
      <c r="D188" s="132">
        <v>3931.4</v>
      </c>
      <c r="E188" s="132">
        <v>4056.4</v>
      </c>
      <c r="F188" s="132">
        <v>3998.6</v>
      </c>
      <c r="G188" s="153"/>
      <c r="H188" s="153"/>
      <c r="J188" s="115" t="s">
        <v>474</v>
      </c>
      <c r="K188" s="116"/>
      <c r="P188" s="117" t="s">
        <v>487</v>
      </c>
      <c r="Q188" s="118">
        <v>8856</v>
      </c>
      <c r="V188" s="115" t="s">
        <v>200</v>
      </c>
      <c r="W188" s="116"/>
    </row>
    <row r="189" spans="1:23" x14ac:dyDescent="0.2">
      <c r="A189" s="131" t="s">
        <v>493</v>
      </c>
      <c r="B189" s="135">
        <v>33.700000000000003</v>
      </c>
      <c r="C189" s="135">
        <v>31.3</v>
      </c>
      <c r="D189" s="135">
        <v>31.3</v>
      </c>
      <c r="E189" s="135">
        <v>31.8</v>
      </c>
      <c r="F189" s="135">
        <v>34.1</v>
      </c>
      <c r="G189" s="152"/>
      <c r="H189" s="152"/>
      <c r="J189" s="117" t="s">
        <v>473</v>
      </c>
      <c r="K189" s="118">
        <v>392</v>
      </c>
      <c r="P189" s="117" t="s">
        <v>486</v>
      </c>
      <c r="Q189" s="134">
        <v>42190</v>
      </c>
      <c r="V189" s="117" t="s">
        <v>462</v>
      </c>
      <c r="W189" s="118">
        <v>2500</v>
      </c>
    </row>
    <row r="190" spans="1:23" x14ac:dyDescent="0.2">
      <c r="A190" s="131" t="s">
        <v>492</v>
      </c>
      <c r="B190" s="138">
        <v>12738.5</v>
      </c>
      <c r="C190" s="138">
        <v>12910.6</v>
      </c>
      <c r="D190" s="138">
        <v>10483.700000000001</v>
      </c>
      <c r="E190" s="138">
        <v>10823.6</v>
      </c>
      <c r="F190" s="138">
        <v>10308.6</v>
      </c>
      <c r="G190" s="154"/>
      <c r="H190" s="154"/>
      <c r="J190" s="108" t="s">
        <v>472</v>
      </c>
      <c r="K190" s="119">
        <v>80</v>
      </c>
      <c r="P190" s="117" t="s">
        <v>485</v>
      </c>
      <c r="Q190" s="134">
        <v>43665</v>
      </c>
      <c r="V190" s="117" t="s">
        <v>461</v>
      </c>
      <c r="W190" s="118">
        <v>2500</v>
      </c>
    </row>
    <row r="191" spans="1:23" x14ac:dyDescent="0.2">
      <c r="A191" s="131" t="s">
        <v>491</v>
      </c>
      <c r="B191" s="138">
        <v>12738.5</v>
      </c>
      <c r="C191" s="138">
        <v>12910.6</v>
      </c>
      <c r="D191" s="138">
        <v>10483.700000000001</v>
      </c>
      <c r="E191" s="138">
        <v>10823.6</v>
      </c>
      <c r="F191" s="138">
        <v>10308.6</v>
      </c>
      <c r="G191" s="154"/>
      <c r="H191" s="154"/>
      <c r="J191" s="108" t="s">
        <v>471</v>
      </c>
      <c r="K191" s="119">
        <v>69</v>
      </c>
      <c r="P191" s="117" t="s">
        <v>484</v>
      </c>
      <c r="Q191" s="134">
        <v>49145</v>
      </c>
    </row>
    <row r="192" spans="1:23" x14ac:dyDescent="0.2">
      <c r="A192" s="131" t="s">
        <v>490</v>
      </c>
      <c r="B192" s="132">
        <v>1879</v>
      </c>
      <c r="C192" s="132">
        <v>1839.1</v>
      </c>
      <c r="D192" s="132">
        <v>1436.6</v>
      </c>
      <c r="E192" s="132">
        <v>1466.3</v>
      </c>
      <c r="F192" s="132">
        <v>1427.4</v>
      </c>
      <c r="G192" s="153"/>
      <c r="H192" s="153"/>
      <c r="J192" s="108" t="s">
        <v>470</v>
      </c>
      <c r="K192" s="119">
        <v>58</v>
      </c>
      <c r="P192" s="117" t="s">
        <v>483</v>
      </c>
      <c r="Q192" s="134">
        <v>29976</v>
      </c>
    </row>
    <row r="193" spans="1:17" x14ac:dyDescent="0.2">
      <c r="A193" s="131" t="s">
        <v>489</v>
      </c>
      <c r="B193" s="132">
        <v>8525.1</v>
      </c>
      <c r="C193" s="132">
        <v>8118.6</v>
      </c>
      <c r="D193" s="132">
        <v>7483.4</v>
      </c>
      <c r="E193" s="132">
        <v>6928.6</v>
      </c>
      <c r="F193" s="132">
        <v>6545</v>
      </c>
      <c r="G193" s="153"/>
      <c r="H193" s="153"/>
      <c r="J193" s="108" t="s">
        <v>469</v>
      </c>
      <c r="K193" s="119">
        <v>44</v>
      </c>
      <c r="P193" s="117" t="s">
        <v>482</v>
      </c>
      <c r="Q193" s="118">
        <v>405</v>
      </c>
    </row>
    <row r="194" spans="1:17" x14ac:dyDescent="0.2">
      <c r="A194" s="131" t="s">
        <v>488</v>
      </c>
      <c r="B194" s="132">
        <v>3279</v>
      </c>
      <c r="C194" s="132">
        <v>2639.7</v>
      </c>
      <c r="D194" s="132">
        <v>2515.5</v>
      </c>
      <c r="E194" s="132">
        <v>1560.5</v>
      </c>
      <c r="F194" s="132">
        <v>1122</v>
      </c>
      <c r="G194" s="153"/>
      <c r="H194" s="153"/>
      <c r="J194" s="108" t="s">
        <v>468</v>
      </c>
      <c r="K194" s="119">
        <v>36</v>
      </c>
      <c r="P194" s="117" t="s">
        <v>481</v>
      </c>
      <c r="Q194" s="118">
        <v>6500</v>
      </c>
    </row>
    <row r="195" spans="1:17" x14ac:dyDescent="0.2">
      <c r="A195" s="131" t="s">
        <v>487</v>
      </c>
      <c r="B195" s="132">
        <v>3255.2</v>
      </c>
      <c r="C195" s="132">
        <v>2615.8000000000002</v>
      </c>
      <c r="D195" s="132">
        <v>2491</v>
      </c>
      <c r="E195" s="132">
        <v>1536.9</v>
      </c>
      <c r="F195" s="132">
        <v>1099.3</v>
      </c>
      <c r="G195" s="153"/>
      <c r="H195" s="153"/>
      <c r="J195" s="108" t="s">
        <v>467</v>
      </c>
      <c r="K195" s="118">
        <v>208</v>
      </c>
      <c r="P195" s="117" t="s">
        <v>480</v>
      </c>
      <c r="Q195" s="118">
        <v>2404</v>
      </c>
    </row>
    <row r="196" spans="1:17" x14ac:dyDescent="0.2">
      <c r="A196" s="131" t="s">
        <v>486</v>
      </c>
      <c r="B196" s="138">
        <v>12898</v>
      </c>
      <c r="C196" s="138">
        <v>13446.4</v>
      </c>
      <c r="D196" s="138">
        <v>11390.3</v>
      </c>
      <c r="E196" s="138">
        <v>10961.4</v>
      </c>
      <c r="F196" s="138">
        <v>10520.9</v>
      </c>
      <c r="G196" s="154"/>
      <c r="H196" s="154"/>
      <c r="J196" s="108" t="s">
        <v>466</v>
      </c>
      <c r="K196" s="118">
        <v>103</v>
      </c>
      <c r="P196" s="117" t="s">
        <v>479</v>
      </c>
      <c r="Q196" s="118">
        <v>8051</v>
      </c>
    </row>
    <row r="197" spans="1:17" x14ac:dyDescent="0.2">
      <c r="A197" s="131" t="s">
        <v>485</v>
      </c>
      <c r="B197" s="138">
        <v>12921.8</v>
      </c>
      <c r="C197" s="138">
        <v>13470.3</v>
      </c>
      <c r="D197" s="138">
        <v>11414.8</v>
      </c>
      <c r="E197" s="138">
        <v>10985</v>
      </c>
      <c r="F197" s="138">
        <v>10543.6</v>
      </c>
      <c r="G197" s="154"/>
      <c r="H197" s="154"/>
      <c r="J197" s="117" t="s">
        <v>465</v>
      </c>
      <c r="K197" s="118">
        <v>127</v>
      </c>
      <c r="P197" s="117" t="s">
        <v>478</v>
      </c>
      <c r="Q197" s="134">
        <v>24003</v>
      </c>
    </row>
    <row r="198" spans="1:17" x14ac:dyDescent="0.2">
      <c r="A198" s="131" t="s">
        <v>484</v>
      </c>
      <c r="B198" s="138">
        <v>15744.3</v>
      </c>
      <c r="C198" s="138">
        <v>15865.7</v>
      </c>
      <c r="D198" s="138">
        <v>13748.1</v>
      </c>
      <c r="E198" s="138">
        <v>13278</v>
      </c>
      <c r="F198" s="138">
        <v>12913.3</v>
      </c>
      <c r="G198" s="154"/>
      <c r="H198" s="154"/>
      <c r="J198" s="117" t="s">
        <v>464</v>
      </c>
      <c r="K198" s="119">
        <v>80</v>
      </c>
      <c r="P198" s="115" t="s">
        <v>476</v>
      </c>
      <c r="Q198" s="116"/>
    </row>
    <row r="199" spans="1:17" x14ac:dyDescent="0.2">
      <c r="A199" s="131" t="s">
        <v>483</v>
      </c>
      <c r="B199" s="138">
        <v>10351.6</v>
      </c>
      <c r="C199" s="138">
        <v>11051</v>
      </c>
      <c r="D199" s="132">
        <v>8489.1</v>
      </c>
      <c r="E199" s="132">
        <v>8643</v>
      </c>
      <c r="F199" s="132">
        <v>8289.2999999999993</v>
      </c>
      <c r="G199" s="153"/>
      <c r="H199" s="153"/>
      <c r="J199" s="117" t="s">
        <v>463</v>
      </c>
      <c r="K199" s="118">
        <v>208</v>
      </c>
      <c r="P199" s="117" t="s">
        <v>475</v>
      </c>
      <c r="Q199" s="134">
        <v>14350</v>
      </c>
    </row>
    <row r="200" spans="1:17" x14ac:dyDescent="0.2">
      <c r="A200" s="131" t="s">
        <v>482</v>
      </c>
      <c r="B200" s="132">
        <v>130.6</v>
      </c>
      <c r="C200" s="132">
        <v>137.80000000000001</v>
      </c>
      <c r="D200" s="132">
        <v>145.30000000000001</v>
      </c>
      <c r="E200" s="132">
        <v>159.80000000000001</v>
      </c>
      <c r="F200" s="132">
        <v>167.1</v>
      </c>
      <c r="G200" s="153"/>
      <c r="H200" s="153"/>
      <c r="J200" s="115" t="s">
        <v>200</v>
      </c>
      <c r="K200" s="116"/>
      <c r="P200" s="115" t="s">
        <v>474</v>
      </c>
      <c r="Q200" s="116"/>
    </row>
    <row r="201" spans="1:17" x14ac:dyDescent="0.2">
      <c r="A201" s="131" t="s">
        <v>481</v>
      </c>
      <c r="B201" s="132">
        <v>1611.8</v>
      </c>
      <c r="C201" s="132">
        <v>1026.5999999999999</v>
      </c>
      <c r="D201" s="132">
        <v>1727.3</v>
      </c>
      <c r="E201" s="132">
        <v>945.4</v>
      </c>
      <c r="F201" s="132">
        <v>927.3</v>
      </c>
      <c r="G201" s="153"/>
      <c r="H201" s="153"/>
      <c r="J201" s="117" t="s">
        <v>462</v>
      </c>
      <c r="K201" s="118">
        <v>9600</v>
      </c>
      <c r="P201" s="117" t="s">
        <v>473</v>
      </c>
      <c r="Q201" s="118">
        <v>1518</v>
      </c>
    </row>
    <row r="202" spans="1:17" x14ac:dyDescent="0.2">
      <c r="A202" s="131" t="s">
        <v>480</v>
      </c>
      <c r="B202" s="132">
        <v>1428.5</v>
      </c>
      <c r="C202" s="132">
        <v>466.9</v>
      </c>
      <c r="D202" s="132">
        <v>796.2</v>
      </c>
      <c r="E202" s="132">
        <v>784</v>
      </c>
      <c r="F202" s="132">
        <v>692.3</v>
      </c>
      <c r="G202" s="153"/>
      <c r="H202" s="153"/>
      <c r="J202" s="117" t="s">
        <v>461</v>
      </c>
      <c r="K202" s="118">
        <v>9600</v>
      </c>
      <c r="P202" s="108" t="s">
        <v>472</v>
      </c>
      <c r="Q202" s="118">
        <v>311</v>
      </c>
    </row>
    <row r="203" spans="1:17" x14ac:dyDescent="0.2">
      <c r="A203" s="131" t="s">
        <v>479</v>
      </c>
      <c r="B203" s="132">
        <v>1810.8</v>
      </c>
      <c r="C203" s="132">
        <v>1142.3</v>
      </c>
      <c r="D203" s="132">
        <v>1849.9</v>
      </c>
      <c r="E203" s="132">
        <v>1047.9000000000001</v>
      </c>
      <c r="F203" s="132">
        <v>1019.2</v>
      </c>
      <c r="G203" s="153"/>
      <c r="H203" s="153"/>
      <c r="J203" s="113"/>
      <c r="P203" s="108" t="s">
        <v>471</v>
      </c>
      <c r="Q203" s="118">
        <v>253</v>
      </c>
    </row>
    <row r="204" spans="1:17" x14ac:dyDescent="0.2">
      <c r="A204" s="131" t="s">
        <v>478</v>
      </c>
      <c r="B204" s="132">
        <v>8525.1</v>
      </c>
      <c r="C204" s="132">
        <v>8118.6</v>
      </c>
      <c r="D204" s="132">
        <v>7483.4</v>
      </c>
      <c r="E204" s="132">
        <v>6928.6</v>
      </c>
      <c r="F204" s="132">
        <v>6545</v>
      </c>
      <c r="G204" s="153"/>
      <c r="H204" s="153"/>
      <c r="J204" s="113"/>
      <c r="P204" s="108" t="s">
        <v>470</v>
      </c>
      <c r="Q204" s="118">
        <v>214</v>
      </c>
    </row>
    <row r="205" spans="1:17" x14ac:dyDescent="0.2">
      <c r="A205" s="131" t="s">
        <v>477</v>
      </c>
      <c r="B205" s="138">
        <v>0</v>
      </c>
      <c r="C205" s="138">
        <v>0</v>
      </c>
      <c r="D205" s="138"/>
      <c r="E205" s="138"/>
      <c r="F205" s="138"/>
      <c r="G205" s="154"/>
      <c r="H205" s="154"/>
      <c r="J205" s="113"/>
      <c r="P205" s="108" t="s">
        <v>469</v>
      </c>
      <c r="Q205" s="118">
        <v>172</v>
      </c>
    </row>
    <row r="206" spans="1:17" x14ac:dyDescent="0.2">
      <c r="A206" s="129" t="s">
        <v>476</v>
      </c>
      <c r="B206" s="130"/>
      <c r="C206" s="130"/>
      <c r="D206" s="130"/>
      <c r="E206" s="130"/>
      <c r="F206" s="130"/>
      <c r="G206" s="151"/>
      <c r="H206" s="151"/>
      <c r="J206" s="113"/>
      <c r="P206" s="108" t="s">
        <v>468</v>
      </c>
      <c r="Q206" s="118">
        <v>143</v>
      </c>
    </row>
    <row r="207" spans="1:17" x14ac:dyDescent="0.2">
      <c r="A207" s="131" t="s">
        <v>475</v>
      </c>
      <c r="B207" s="132">
        <v>1877</v>
      </c>
      <c r="C207" s="132">
        <v>1977</v>
      </c>
      <c r="D207" s="132">
        <v>2058</v>
      </c>
      <c r="E207" s="132">
        <v>2158</v>
      </c>
      <c r="F207" s="132">
        <v>2277</v>
      </c>
      <c r="G207" s="153"/>
      <c r="H207" s="153"/>
      <c r="J207" s="113"/>
      <c r="P207" s="108" t="s">
        <v>467</v>
      </c>
      <c r="Q207" s="118">
        <v>790</v>
      </c>
    </row>
    <row r="208" spans="1:17" x14ac:dyDescent="0.2">
      <c r="A208" s="129" t="s">
        <v>474</v>
      </c>
      <c r="B208" s="130"/>
      <c r="C208" s="130"/>
      <c r="D208" s="130"/>
      <c r="E208" s="130"/>
      <c r="F208" s="130"/>
      <c r="G208" s="151"/>
      <c r="H208" s="151"/>
      <c r="J208" s="113"/>
      <c r="P208" s="108" t="s">
        <v>466</v>
      </c>
      <c r="Q208" s="118">
        <v>365</v>
      </c>
    </row>
    <row r="209" spans="1:17" x14ac:dyDescent="0.2">
      <c r="A209" s="131" t="s">
        <v>473</v>
      </c>
      <c r="B209" s="132">
        <v>567.1</v>
      </c>
      <c r="C209" s="132">
        <v>570.70000000000005</v>
      </c>
      <c r="D209" s="132">
        <v>554.70000000000005</v>
      </c>
      <c r="E209" s="132">
        <v>596.5</v>
      </c>
      <c r="F209" s="132">
        <v>691.7</v>
      </c>
      <c r="G209" s="153"/>
      <c r="H209" s="153"/>
      <c r="J209" s="113"/>
      <c r="P209" s="117" t="s">
        <v>465</v>
      </c>
      <c r="Q209" s="118">
        <v>467</v>
      </c>
    </row>
    <row r="210" spans="1:17" x14ac:dyDescent="0.2">
      <c r="A210" s="133" t="s">
        <v>472</v>
      </c>
      <c r="B210" s="135">
        <v>70.400000000000006</v>
      </c>
      <c r="C210" s="135">
        <v>73.8</v>
      </c>
      <c r="D210" s="135">
        <v>69.8</v>
      </c>
      <c r="E210" s="135">
        <v>70</v>
      </c>
      <c r="F210" s="135">
        <v>72.5</v>
      </c>
      <c r="G210" s="152"/>
      <c r="H210" s="152"/>
      <c r="J210" s="113"/>
      <c r="P210" s="117" t="s">
        <v>464</v>
      </c>
      <c r="Q210" s="118">
        <v>315</v>
      </c>
    </row>
    <row r="211" spans="1:17" x14ac:dyDescent="0.2">
      <c r="A211" s="133" t="s">
        <v>471</v>
      </c>
      <c r="B211" s="135">
        <v>65.599999999999994</v>
      </c>
      <c r="C211" s="135">
        <v>66.7</v>
      </c>
      <c r="D211" s="135">
        <v>63.9</v>
      </c>
      <c r="E211" s="135">
        <v>65.3</v>
      </c>
      <c r="F211" s="135">
        <v>66</v>
      </c>
      <c r="G211" s="152"/>
      <c r="H211" s="152"/>
      <c r="J211" s="113"/>
      <c r="P211" s="117" t="s">
        <v>463</v>
      </c>
      <c r="Q211" s="118">
        <v>790</v>
      </c>
    </row>
    <row r="212" spans="1:17" x14ac:dyDescent="0.2">
      <c r="A212" s="133" t="s">
        <v>470</v>
      </c>
      <c r="B212" s="135">
        <v>58.8</v>
      </c>
      <c r="C212" s="135">
        <v>62.2</v>
      </c>
      <c r="D212" s="135">
        <v>57.3</v>
      </c>
      <c r="E212" s="135">
        <v>60.9</v>
      </c>
      <c r="F212" s="135">
        <v>63.3</v>
      </c>
      <c r="G212" s="152"/>
      <c r="H212" s="152"/>
      <c r="J212" s="113"/>
      <c r="P212" s="115" t="s">
        <v>200</v>
      </c>
      <c r="Q212" s="116"/>
    </row>
    <row r="213" spans="1:17" x14ac:dyDescent="0.2">
      <c r="A213" s="133" t="s">
        <v>469</v>
      </c>
      <c r="B213" s="135">
        <v>54.6</v>
      </c>
      <c r="C213" s="135">
        <v>55.2</v>
      </c>
      <c r="D213" s="135">
        <v>52.8</v>
      </c>
      <c r="E213" s="135">
        <v>54.7</v>
      </c>
      <c r="F213" s="135">
        <v>61</v>
      </c>
      <c r="G213" s="152"/>
      <c r="H213" s="152"/>
      <c r="J213" s="113"/>
      <c r="P213" s="117" t="s">
        <v>462</v>
      </c>
      <c r="Q213" s="134">
        <v>83032</v>
      </c>
    </row>
    <row r="214" spans="1:17" x14ac:dyDescent="0.2">
      <c r="A214" s="133" t="s">
        <v>468</v>
      </c>
      <c r="B214" s="135">
        <v>51.6</v>
      </c>
      <c r="C214" s="135">
        <v>50.8</v>
      </c>
      <c r="D214" s="135">
        <v>47.4</v>
      </c>
      <c r="E214" s="135">
        <v>50.5</v>
      </c>
      <c r="F214" s="135">
        <v>56.3</v>
      </c>
      <c r="G214" s="152"/>
      <c r="H214" s="152"/>
      <c r="J214" s="113"/>
      <c r="P214" s="117" t="s">
        <v>461</v>
      </c>
      <c r="Q214" s="134">
        <v>83032</v>
      </c>
    </row>
    <row r="215" spans="1:17" x14ac:dyDescent="0.2">
      <c r="A215" s="133" t="s">
        <v>467</v>
      </c>
      <c r="B215" s="132">
        <v>638.29999999999995</v>
      </c>
      <c r="C215" s="132">
        <v>608.70000000000005</v>
      </c>
      <c r="D215" s="132">
        <v>606.5</v>
      </c>
      <c r="E215" s="132">
        <v>658.3</v>
      </c>
      <c r="F215" s="132">
        <v>797.2</v>
      </c>
      <c r="G215" s="153"/>
      <c r="H215" s="153"/>
      <c r="J215" s="113"/>
    </row>
    <row r="216" spans="1:17" x14ac:dyDescent="0.2">
      <c r="A216" s="133" t="s">
        <v>466</v>
      </c>
      <c r="B216" s="132">
        <v>372.2</v>
      </c>
      <c r="C216" s="132">
        <v>346.7</v>
      </c>
      <c r="D216" s="132">
        <v>343</v>
      </c>
      <c r="E216" s="132">
        <v>363.2</v>
      </c>
      <c r="F216" s="132">
        <v>424.6</v>
      </c>
      <c r="G216" s="153"/>
      <c r="H216" s="153"/>
      <c r="J216" s="113"/>
    </row>
    <row r="217" spans="1:17" x14ac:dyDescent="0.2">
      <c r="A217" s="131" t="s">
        <v>465</v>
      </c>
      <c r="B217" s="132">
        <v>124.4</v>
      </c>
      <c r="C217" s="132">
        <v>128.9</v>
      </c>
      <c r="D217" s="132">
        <v>121.2</v>
      </c>
      <c r="E217" s="132">
        <v>126.2</v>
      </c>
      <c r="F217" s="132">
        <v>129.30000000000001</v>
      </c>
      <c r="G217" s="153"/>
      <c r="H217" s="153"/>
      <c r="J217" s="113"/>
    </row>
    <row r="218" spans="1:17" x14ac:dyDescent="0.2">
      <c r="A218" s="131" t="s">
        <v>464</v>
      </c>
      <c r="B218" s="132">
        <v>106.2</v>
      </c>
      <c r="C218" s="132">
        <v>106</v>
      </c>
      <c r="D218" s="132">
        <v>100.2</v>
      </c>
      <c r="E218" s="132">
        <v>105.2</v>
      </c>
      <c r="F218" s="132">
        <v>117.3</v>
      </c>
      <c r="G218" s="153"/>
      <c r="H218" s="153"/>
      <c r="J218" s="113"/>
    </row>
    <row r="219" spans="1:17" x14ac:dyDescent="0.2">
      <c r="A219" s="131" t="s">
        <v>463</v>
      </c>
      <c r="B219" s="132">
        <v>638.29999999999995</v>
      </c>
      <c r="C219" s="132">
        <v>608.70000000000005</v>
      </c>
      <c r="D219" s="132">
        <v>606.5</v>
      </c>
      <c r="E219" s="132">
        <v>658.3</v>
      </c>
      <c r="F219" s="132">
        <v>797.2</v>
      </c>
      <c r="G219" s="153"/>
      <c r="H219" s="153"/>
      <c r="J219" s="113"/>
    </row>
    <row r="220" spans="1:17" x14ac:dyDescent="0.2">
      <c r="A220" s="129" t="s">
        <v>200</v>
      </c>
      <c r="B220" s="130"/>
      <c r="C220" s="130"/>
      <c r="D220" s="130"/>
      <c r="E220" s="130"/>
      <c r="F220" s="130"/>
      <c r="G220" s="151"/>
      <c r="H220" s="151"/>
      <c r="J220" s="113"/>
    </row>
    <row r="221" spans="1:17" x14ac:dyDescent="0.2">
      <c r="A221" s="131" t="s">
        <v>462</v>
      </c>
      <c r="B221" s="138">
        <v>11172</v>
      </c>
      <c r="C221" s="138">
        <v>11436</v>
      </c>
      <c r="D221" s="138">
        <v>10382</v>
      </c>
      <c r="E221" s="138">
        <v>11397</v>
      </c>
      <c r="F221" s="138">
        <v>11437</v>
      </c>
      <c r="G221" s="154"/>
      <c r="H221" s="154"/>
      <c r="J221" s="113"/>
    </row>
    <row r="222" spans="1:17" x14ac:dyDescent="0.2">
      <c r="A222" s="131" t="s">
        <v>461</v>
      </c>
      <c r="B222" s="138">
        <v>11172</v>
      </c>
      <c r="C222" s="138">
        <v>11436</v>
      </c>
      <c r="D222" s="138">
        <v>10382</v>
      </c>
      <c r="E222" s="138">
        <v>11397</v>
      </c>
      <c r="F222" s="138">
        <v>11437</v>
      </c>
      <c r="G222" s="154"/>
      <c r="H222" s="154"/>
      <c r="J222" s="113"/>
    </row>
    <row r="223" spans="1:17" x14ac:dyDescent="0.2">
      <c r="J223" s="113"/>
    </row>
    <row r="224" spans="1:17" x14ac:dyDescent="0.2">
      <c r="J224" s="113"/>
    </row>
    <row r="225" spans="1:23" x14ac:dyDescent="0.2">
      <c r="A225" s="125" t="s">
        <v>310</v>
      </c>
      <c r="B225" s="125"/>
      <c r="C225" s="125"/>
      <c r="D225" s="125"/>
      <c r="E225" s="125"/>
      <c r="F225" s="125"/>
      <c r="G225" s="126"/>
      <c r="H225" s="126"/>
      <c r="J225" s="111" t="s">
        <v>310</v>
      </c>
      <c r="K225" s="111"/>
      <c r="M225" s="111" t="s">
        <v>310</v>
      </c>
      <c r="N225" s="111"/>
      <c r="P225" s="111" t="s">
        <v>310</v>
      </c>
      <c r="Q225" s="111"/>
      <c r="S225" s="111" t="s">
        <v>310</v>
      </c>
      <c r="T225" s="111"/>
      <c r="V225" s="111" t="s">
        <v>310</v>
      </c>
      <c r="W225" s="111"/>
    </row>
    <row r="226" spans="1:23" x14ac:dyDescent="0.2">
      <c r="A226" s="125" t="s">
        <v>311</v>
      </c>
      <c r="B226" s="127" t="s">
        <v>312</v>
      </c>
      <c r="C226" s="127" t="s">
        <v>313</v>
      </c>
      <c r="D226" s="127" t="s">
        <v>314</v>
      </c>
      <c r="E226" s="127" t="s">
        <v>315</v>
      </c>
      <c r="F226" s="127" t="s">
        <v>316</v>
      </c>
      <c r="G226" s="128"/>
      <c r="H226" s="128"/>
      <c r="J226" s="111" t="s">
        <v>311</v>
      </c>
      <c r="K226" s="112" t="s">
        <v>312</v>
      </c>
      <c r="M226" s="111" t="s">
        <v>311</v>
      </c>
      <c r="N226" s="112" t="s">
        <v>312</v>
      </c>
      <c r="P226" s="111" t="s">
        <v>311</v>
      </c>
      <c r="Q226" s="112" t="s">
        <v>312</v>
      </c>
      <c r="S226" s="111" t="s">
        <v>311</v>
      </c>
      <c r="T226" s="112" t="s">
        <v>312</v>
      </c>
      <c r="V226" s="111" t="s">
        <v>311</v>
      </c>
      <c r="W226" s="112" t="s">
        <v>832</v>
      </c>
    </row>
    <row r="227" spans="1:23" x14ac:dyDescent="0.2">
      <c r="A227" s="129" t="s">
        <v>317</v>
      </c>
      <c r="B227" s="130"/>
      <c r="C227" s="130"/>
      <c r="D227" s="130"/>
      <c r="E227" s="130"/>
      <c r="F227" s="130"/>
      <c r="G227" s="151"/>
      <c r="H227" s="151"/>
      <c r="J227" s="115" t="s">
        <v>317</v>
      </c>
      <c r="K227" s="116"/>
      <c r="M227" s="115" t="s">
        <v>317</v>
      </c>
      <c r="N227" s="116"/>
      <c r="P227" s="115" t="s">
        <v>317</v>
      </c>
      <c r="Q227" s="116"/>
      <c r="S227" s="115" t="s">
        <v>317</v>
      </c>
      <c r="T227" s="116"/>
      <c r="V227" s="115" t="s">
        <v>317</v>
      </c>
      <c r="W227" s="116"/>
    </row>
    <row r="228" spans="1:23" x14ac:dyDescent="0.2">
      <c r="A228" s="131" t="s">
        <v>318</v>
      </c>
      <c r="B228" s="132">
        <v>7941.1</v>
      </c>
      <c r="C228" s="132">
        <v>7417.7</v>
      </c>
      <c r="D228" s="132">
        <v>7781.9</v>
      </c>
      <c r="E228" s="132">
        <v>7315.2</v>
      </c>
      <c r="F228" s="132">
        <v>5552.2</v>
      </c>
      <c r="G228" s="153"/>
      <c r="H228" s="153"/>
      <c r="J228" s="117" t="s">
        <v>318</v>
      </c>
      <c r="K228" s="118">
        <v>6150</v>
      </c>
      <c r="M228" s="117" t="s">
        <v>318</v>
      </c>
      <c r="N228" s="118">
        <v>3146.01</v>
      </c>
      <c r="P228" s="117" t="s">
        <v>318</v>
      </c>
      <c r="Q228" s="134">
        <v>37447</v>
      </c>
      <c r="S228" s="117" t="s">
        <v>318</v>
      </c>
      <c r="T228" s="134">
        <v>16131.88</v>
      </c>
      <c r="V228" s="117" t="s">
        <v>318</v>
      </c>
      <c r="W228" s="118">
        <v>2260.5100000000002</v>
      </c>
    </row>
    <row r="229" spans="1:23" x14ac:dyDescent="0.2">
      <c r="A229" s="133" t="s">
        <v>319</v>
      </c>
      <c r="B229" s="132">
        <v>7941.1</v>
      </c>
      <c r="C229" s="132">
        <v>7417.7</v>
      </c>
      <c r="D229" s="132">
        <v>7781.9</v>
      </c>
      <c r="E229" s="132">
        <v>7315.2</v>
      </c>
      <c r="F229" s="132">
        <v>5552.2</v>
      </c>
      <c r="G229" s="153"/>
      <c r="H229" s="153"/>
      <c r="J229" s="108" t="s">
        <v>319</v>
      </c>
      <c r="K229" s="118">
        <v>6150</v>
      </c>
      <c r="M229" s="108" t="s">
        <v>319</v>
      </c>
      <c r="N229" s="118">
        <v>3146.01</v>
      </c>
      <c r="P229" s="108" t="s">
        <v>319</v>
      </c>
      <c r="Q229" s="134">
        <v>37447</v>
      </c>
      <c r="S229" s="136" t="s">
        <v>320</v>
      </c>
      <c r="T229" s="140">
        <v>16131.88</v>
      </c>
      <c r="V229" s="108" t="s">
        <v>319</v>
      </c>
      <c r="W229" s="118">
        <v>2260.5100000000002</v>
      </c>
    </row>
    <row r="230" spans="1:23" x14ac:dyDescent="0.2">
      <c r="A230" s="141" t="s">
        <v>320</v>
      </c>
      <c r="B230" s="142">
        <v>7941.1</v>
      </c>
      <c r="C230" s="142">
        <v>7417.7</v>
      </c>
      <c r="D230" s="142">
        <v>7781.9</v>
      </c>
      <c r="E230" s="142">
        <v>7315.2</v>
      </c>
      <c r="F230" s="142">
        <v>5552.2</v>
      </c>
      <c r="G230" s="155"/>
      <c r="H230" s="155"/>
      <c r="J230" s="136" t="s">
        <v>320</v>
      </c>
      <c r="K230" s="137">
        <v>6150</v>
      </c>
      <c r="M230" s="136" t="s">
        <v>320</v>
      </c>
      <c r="N230" s="137">
        <v>3146.01</v>
      </c>
      <c r="P230" s="136" t="s">
        <v>320</v>
      </c>
      <c r="Q230" s="140">
        <v>37447</v>
      </c>
      <c r="S230" s="115" t="s">
        <v>321</v>
      </c>
      <c r="T230" s="116"/>
      <c r="V230" s="136" t="s">
        <v>320</v>
      </c>
      <c r="W230" s="137">
        <v>2260.5100000000002</v>
      </c>
    </row>
    <row r="231" spans="1:23" x14ac:dyDescent="0.2">
      <c r="A231" s="129" t="s">
        <v>321</v>
      </c>
      <c r="B231" s="130"/>
      <c r="C231" s="130"/>
      <c r="D231" s="130"/>
      <c r="E231" s="130"/>
      <c r="F231" s="130"/>
      <c r="G231" s="151"/>
      <c r="H231" s="151"/>
      <c r="J231" s="115" t="s">
        <v>321</v>
      </c>
      <c r="K231" s="116"/>
      <c r="M231" s="115" t="s">
        <v>321</v>
      </c>
      <c r="N231" s="116"/>
      <c r="P231" s="115" t="s">
        <v>321</v>
      </c>
      <c r="Q231" s="116"/>
      <c r="S231" s="117" t="s">
        <v>322</v>
      </c>
      <c r="T231" s="134">
        <v>10821.37</v>
      </c>
      <c r="V231" s="115" t="s">
        <v>321</v>
      </c>
      <c r="W231" s="116"/>
    </row>
    <row r="232" spans="1:23" x14ac:dyDescent="0.2">
      <c r="A232" s="131" t="s">
        <v>322</v>
      </c>
      <c r="B232" s="132">
        <v>5766.5</v>
      </c>
      <c r="C232" s="132">
        <v>5418.1</v>
      </c>
      <c r="D232" s="132">
        <v>5833.4</v>
      </c>
      <c r="E232" s="132">
        <v>5757.5</v>
      </c>
      <c r="F232" s="132">
        <v>4178.8</v>
      </c>
      <c r="G232" s="153"/>
      <c r="H232" s="153"/>
      <c r="J232" s="117" t="s">
        <v>322</v>
      </c>
      <c r="K232" s="118">
        <v>4261</v>
      </c>
      <c r="M232" s="117" t="s">
        <v>322</v>
      </c>
      <c r="N232" s="118">
        <v>2568.6799999999998</v>
      </c>
      <c r="P232" s="117" t="s">
        <v>322</v>
      </c>
      <c r="Q232" s="134">
        <v>23919</v>
      </c>
      <c r="S232" s="108" t="s">
        <v>323</v>
      </c>
      <c r="T232" s="134">
        <v>10821.37</v>
      </c>
      <c r="V232" s="117" t="s">
        <v>322</v>
      </c>
      <c r="W232" s="118">
        <v>1587.37</v>
      </c>
    </row>
    <row r="233" spans="1:23" x14ac:dyDescent="0.2">
      <c r="A233" s="133" t="s">
        <v>323</v>
      </c>
      <c r="B233" s="132">
        <v>5766.5</v>
      </c>
      <c r="C233" s="132">
        <v>5418.1</v>
      </c>
      <c r="D233" s="132">
        <v>5833.4</v>
      </c>
      <c r="E233" s="132">
        <v>5757.5</v>
      </c>
      <c r="F233" s="132">
        <v>4178.8</v>
      </c>
      <c r="G233" s="153"/>
      <c r="H233" s="153"/>
      <c r="J233" s="108" t="s">
        <v>323</v>
      </c>
      <c r="K233" s="118">
        <v>4261</v>
      </c>
      <c r="M233" s="108" t="s">
        <v>323</v>
      </c>
      <c r="N233" s="118">
        <v>2568.6799999999998</v>
      </c>
      <c r="P233" s="108" t="s">
        <v>323</v>
      </c>
      <c r="Q233" s="134">
        <v>23919</v>
      </c>
      <c r="S233" s="136" t="s">
        <v>324</v>
      </c>
      <c r="T233" s="137">
        <v>5310.51</v>
      </c>
      <c r="V233" s="108" t="s">
        <v>323</v>
      </c>
      <c r="W233" s="118">
        <v>1587.37</v>
      </c>
    </row>
    <row r="234" spans="1:23" x14ac:dyDescent="0.2">
      <c r="A234" s="141" t="s">
        <v>324</v>
      </c>
      <c r="B234" s="142">
        <v>2174.6</v>
      </c>
      <c r="C234" s="142">
        <v>1999.6</v>
      </c>
      <c r="D234" s="142">
        <v>1948.5</v>
      </c>
      <c r="E234" s="142">
        <v>1557.7</v>
      </c>
      <c r="F234" s="142">
        <v>1373.4</v>
      </c>
      <c r="G234" s="155"/>
      <c r="H234" s="155"/>
      <c r="J234" s="136" t="s">
        <v>324</v>
      </c>
      <c r="K234" s="137">
        <v>1889</v>
      </c>
      <c r="M234" s="136" t="s">
        <v>324</v>
      </c>
      <c r="N234" s="137">
        <v>577.33000000000004</v>
      </c>
      <c r="P234" s="108" t="s">
        <v>806</v>
      </c>
      <c r="Q234" s="134">
        <v>23919</v>
      </c>
      <c r="S234" s="117" t="s">
        <v>325</v>
      </c>
      <c r="T234" s="118">
        <v>3521.37</v>
      </c>
      <c r="V234" s="136" t="s">
        <v>324</v>
      </c>
      <c r="W234" s="137">
        <v>673.14</v>
      </c>
    </row>
    <row r="235" spans="1:23" x14ac:dyDescent="0.2">
      <c r="A235" s="131" t="s">
        <v>325</v>
      </c>
      <c r="B235" s="132">
        <v>564.1</v>
      </c>
      <c r="C235" s="132">
        <v>531.1</v>
      </c>
      <c r="D235" s="132">
        <v>542.79999999999995</v>
      </c>
      <c r="E235" s="132">
        <v>515.1</v>
      </c>
      <c r="F235" s="132">
        <v>417.6</v>
      </c>
      <c r="G235" s="153"/>
      <c r="H235" s="153"/>
      <c r="J235" s="117" t="s">
        <v>325</v>
      </c>
      <c r="K235" s="118">
        <v>443</v>
      </c>
      <c r="M235" s="117" t="s">
        <v>325</v>
      </c>
      <c r="N235" s="118">
        <v>280.64999999999998</v>
      </c>
      <c r="P235" s="108" t="s">
        <v>805</v>
      </c>
      <c r="Q235" s="118">
        <v>292</v>
      </c>
      <c r="S235" s="117" t="s">
        <v>326</v>
      </c>
      <c r="T235" s="118">
        <v>784.29</v>
      </c>
      <c r="V235" s="117" t="s">
        <v>325</v>
      </c>
      <c r="W235" s="119">
        <v>73.94</v>
      </c>
    </row>
    <row r="236" spans="1:23" x14ac:dyDescent="0.2">
      <c r="A236" s="131" t="s">
        <v>326</v>
      </c>
      <c r="B236" s="135">
        <v>83.1</v>
      </c>
      <c r="C236" s="135">
        <v>72.400000000000006</v>
      </c>
      <c r="D236" s="135">
        <v>83.5</v>
      </c>
      <c r="E236" s="135">
        <v>13.1</v>
      </c>
      <c r="F236" s="147">
        <v>-15.9</v>
      </c>
      <c r="G236" s="156"/>
      <c r="H236" s="156"/>
      <c r="J236" s="108" t="s">
        <v>734</v>
      </c>
      <c r="K236" s="118">
        <v>397</v>
      </c>
      <c r="M236" s="117" t="s">
        <v>326</v>
      </c>
      <c r="N236" s="145">
        <v>-0.8</v>
      </c>
      <c r="P236" s="108" t="s">
        <v>804</v>
      </c>
      <c r="Q236" s="118">
        <v>292</v>
      </c>
      <c r="S236" s="108" t="s">
        <v>820</v>
      </c>
      <c r="T236" s="134">
        <v>0</v>
      </c>
      <c r="V236" s="117" t="s">
        <v>326</v>
      </c>
      <c r="W236" s="145">
        <v>-6.42</v>
      </c>
    </row>
    <row r="237" spans="1:23" x14ac:dyDescent="0.2">
      <c r="A237" s="133" t="s">
        <v>327</v>
      </c>
      <c r="B237" s="135">
        <v>43.3</v>
      </c>
      <c r="C237" s="135">
        <v>69.7</v>
      </c>
      <c r="D237" s="135">
        <v>26.4</v>
      </c>
      <c r="E237" s="135">
        <v>34</v>
      </c>
      <c r="F237" s="135">
        <v>65.099999999999994</v>
      </c>
      <c r="G237" s="152"/>
      <c r="H237" s="152"/>
      <c r="J237" s="108" t="s">
        <v>735</v>
      </c>
      <c r="K237" s="119">
        <v>46</v>
      </c>
      <c r="M237" s="108" t="s">
        <v>328</v>
      </c>
      <c r="N237" s="119">
        <v>0.8</v>
      </c>
      <c r="P237" s="136" t="s">
        <v>324</v>
      </c>
      <c r="Q237" s="140">
        <v>13528</v>
      </c>
      <c r="S237" s="108" t="s">
        <v>327</v>
      </c>
      <c r="T237" s="118">
        <v>784.29</v>
      </c>
      <c r="V237" s="117" t="s">
        <v>330</v>
      </c>
      <c r="W237" s="118">
        <v>1654.89</v>
      </c>
    </row>
    <row r="238" spans="1:23" x14ac:dyDescent="0.2">
      <c r="A238" s="133" t="s">
        <v>328</v>
      </c>
      <c r="B238" s="135">
        <v>2.6</v>
      </c>
      <c r="C238" s="135">
        <v>34</v>
      </c>
      <c r="D238" s="135">
        <v>10</v>
      </c>
      <c r="E238" s="135">
        <v>20.9</v>
      </c>
      <c r="F238" s="135">
        <v>81</v>
      </c>
      <c r="G238" s="152"/>
      <c r="H238" s="152"/>
      <c r="J238" s="117" t="s">
        <v>326</v>
      </c>
      <c r="K238" s="145">
        <v>-47</v>
      </c>
      <c r="M238" s="117" t="s">
        <v>330</v>
      </c>
      <c r="N238" s="118">
        <v>2848.54</v>
      </c>
      <c r="P238" s="117" t="s">
        <v>325</v>
      </c>
      <c r="Q238" s="118">
        <v>8205</v>
      </c>
      <c r="S238" s="117" t="s">
        <v>330</v>
      </c>
      <c r="T238" s="134">
        <v>15127.03</v>
      </c>
      <c r="V238" s="115" t="s">
        <v>331</v>
      </c>
      <c r="W238" s="116"/>
    </row>
    <row r="239" spans="1:23" x14ac:dyDescent="0.2">
      <c r="A239" s="133" t="s">
        <v>329</v>
      </c>
      <c r="B239" s="147">
        <v>-42.4</v>
      </c>
      <c r="C239" s="147">
        <v>-36.700000000000003</v>
      </c>
      <c r="D239" s="147">
        <v>-67.099999999999994</v>
      </c>
      <c r="E239" s="138"/>
      <c r="F239" s="138"/>
      <c r="G239" s="154"/>
      <c r="H239" s="154"/>
      <c r="J239" s="117" t="s">
        <v>330</v>
      </c>
      <c r="K239" s="118">
        <v>4657</v>
      </c>
      <c r="M239" s="115" t="s">
        <v>331</v>
      </c>
      <c r="N239" s="116"/>
      <c r="P239" s="108" t="s">
        <v>734</v>
      </c>
      <c r="Q239" s="118">
        <v>8013</v>
      </c>
      <c r="S239" s="115" t="s">
        <v>331</v>
      </c>
      <c r="T239" s="116"/>
      <c r="V239" s="136" t="s">
        <v>332</v>
      </c>
      <c r="W239" s="137">
        <v>605.62</v>
      </c>
    </row>
    <row r="240" spans="1:23" x14ac:dyDescent="0.2">
      <c r="A240" s="131" t="s">
        <v>330</v>
      </c>
      <c r="B240" s="132">
        <v>6413.7</v>
      </c>
      <c r="C240" s="132">
        <v>6021.6</v>
      </c>
      <c r="D240" s="132">
        <v>6459.7</v>
      </c>
      <c r="E240" s="132">
        <v>6285.7</v>
      </c>
      <c r="F240" s="132">
        <v>4580.5</v>
      </c>
      <c r="G240" s="153"/>
      <c r="H240" s="153"/>
      <c r="J240" s="115" t="s">
        <v>331</v>
      </c>
      <c r="K240" s="116"/>
      <c r="M240" s="136" t="s">
        <v>332</v>
      </c>
      <c r="N240" s="137">
        <v>297.47000000000003</v>
      </c>
      <c r="P240" s="108" t="s">
        <v>803</v>
      </c>
      <c r="Q240" s="118">
        <v>192</v>
      </c>
      <c r="S240" s="136" t="s">
        <v>332</v>
      </c>
      <c r="T240" s="137">
        <v>1004.85</v>
      </c>
      <c r="V240" s="115" t="s">
        <v>333</v>
      </c>
      <c r="W240" s="116"/>
    </row>
    <row r="241" spans="1:23" x14ac:dyDescent="0.2">
      <c r="A241" s="129" t="s">
        <v>331</v>
      </c>
      <c r="B241" s="130"/>
      <c r="C241" s="130"/>
      <c r="D241" s="130"/>
      <c r="E241" s="130"/>
      <c r="F241" s="130"/>
      <c r="G241" s="151"/>
      <c r="H241" s="151"/>
      <c r="J241" s="136" t="s">
        <v>332</v>
      </c>
      <c r="K241" s="137">
        <v>1493</v>
      </c>
      <c r="M241" s="115" t="s">
        <v>333</v>
      </c>
      <c r="N241" s="116"/>
      <c r="P241" s="117" t="s">
        <v>330</v>
      </c>
      <c r="Q241" s="134">
        <v>32124</v>
      </c>
      <c r="S241" s="115" t="s">
        <v>333</v>
      </c>
      <c r="T241" s="116"/>
      <c r="V241" s="117" t="s">
        <v>334</v>
      </c>
      <c r="W241" s="145">
        <v>-40.53</v>
      </c>
    </row>
    <row r="242" spans="1:23" x14ac:dyDescent="0.2">
      <c r="A242" s="141" t="s">
        <v>332</v>
      </c>
      <c r="B242" s="142">
        <v>1527.4</v>
      </c>
      <c r="C242" s="142">
        <v>1396.1</v>
      </c>
      <c r="D242" s="142">
        <v>1322.2</v>
      </c>
      <c r="E242" s="142">
        <v>1029.5</v>
      </c>
      <c r="F242" s="142">
        <v>971.7</v>
      </c>
      <c r="G242" s="155"/>
      <c r="H242" s="155"/>
      <c r="J242" s="115" t="s">
        <v>333</v>
      </c>
      <c r="K242" s="116"/>
      <c r="M242" s="117" t="s">
        <v>334</v>
      </c>
      <c r="N242" s="145">
        <v>-81.94</v>
      </c>
      <c r="P242" s="115" t="s">
        <v>331</v>
      </c>
      <c r="Q242" s="116"/>
      <c r="S242" s="117" t="s">
        <v>334</v>
      </c>
      <c r="T242" s="139">
        <v>-262.27999999999997</v>
      </c>
      <c r="V242" s="108" t="s">
        <v>335</v>
      </c>
      <c r="W242" s="119">
        <v>38.520000000000003</v>
      </c>
    </row>
    <row r="243" spans="1:23" x14ac:dyDescent="0.2">
      <c r="A243" s="129" t="s">
        <v>333</v>
      </c>
      <c r="B243" s="130"/>
      <c r="C243" s="130"/>
      <c r="D243" s="130"/>
      <c r="E243" s="130"/>
      <c r="F243" s="130"/>
      <c r="G243" s="151"/>
      <c r="H243" s="151"/>
      <c r="J243" s="117" t="s">
        <v>334</v>
      </c>
      <c r="K243" s="139">
        <v>-240</v>
      </c>
      <c r="M243" s="108" t="s">
        <v>335</v>
      </c>
      <c r="N243" s="119">
        <v>81.94</v>
      </c>
      <c r="P243" s="136" t="s">
        <v>332</v>
      </c>
      <c r="Q243" s="137">
        <v>5323</v>
      </c>
      <c r="S243" s="108" t="s">
        <v>335</v>
      </c>
      <c r="T243" s="118">
        <v>284.88</v>
      </c>
      <c r="V243" s="108" t="s">
        <v>336</v>
      </c>
      <c r="W243" s="119">
        <v>1.72</v>
      </c>
    </row>
    <row r="244" spans="1:23" x14ac:dyDescent="0.2">
      <c r="A244" s="131" t="s">
        <v>334</v>
      </c>
      <c r="B244" s="143">
        <v>-226.3</v>
      </c>
      <c r="C244" s="143">
        <v>-170.3</v>
      </c>
      <c r="D244" s="143">
        <v>-179.6</v>
      </c>
      <c r="E244" s="143">
        <v>-168.4</v>
      </c>
      <c r="F244" s="143">
        <v>-147.69999999999999</v>
      </c>
      <c r="G244" s="157"/>
      <c r="H244" s="157"/>
      <c r="J244" s="108" t="s">
        <v>335</v>
      </c>
      <c r="K244" s="118">
        <v>220</v>
      </c>
      <c r="M244" s="108" t="s">
        <v>337</v>
      </c>
      <c r="N244" s="119">
        <v>81.94</v>
      </c>
      <c r="P244" s="115" t="s">
        <v>333</v>
      </c>
      <c r="Q244" s="116"/>
      <c r="S244" s="108" t="s">
        <v>336</v>
      </c>
      <c r="T244" s="119">
        <v>15.9</v>
      </c>
      <c r="V244" s="108" t="s">
        <v>337</v>
      </c>
      <c r="W244" s="119">
        <v>40.24</v>
      </c>
    </row>
    <row r="245" spans="1:23" x14ac:dyDescent="0.2">
      <c r="A245" s="133" t="s">
        <v>335</v>
      </c>
      <c r="B245" s="132">
        <v>226.3</v>
      </c>
      <c r="C245" s="132">
        <v>170.3</v>
      </c>
      <c r="D245" s="132">
        <v>179.6</v>
      </c>
      <c r="E245" s="132">
        <v>168.4</v>
      </c>
      <c r="F245" s="132">
        <v>147.69999999999999</v>
      </c>
      <c r="G245" s="153"/>
      <c r="H245" s="153"/>
      <c r="J245" s="108" t="s">
        <v>336</v>
      </c>
      <c r="K245" s="119">
        <v>10</v>
      </c>
      <c r="M245" s="117" t="s">
        <v>341</v>
      </c>
      <c r="N245" s="119">
        <v>5.77</v>
      </c>
      <c r="P245" s="117" t="s">
        <v>334</v>
      </c>
      <c r="Q245" s="139">
        <v>-664</v>
      </c>
      <c r="S245" s="108" t="s">
        <v>337</v>
      </c>
      <c r="T245" s="118">
        <v>300.77999999999997</v>
      </c>
      <c r="V245" s="108" t="s">
        <v>736</v>
      </c>
      <c r="W245" s="145">
        <v>-2.0099999999999998</v>
      </c>
    </row>
    <row r="246" spans="1:23" x14ac:dyDescent="0.2">
      <c r="A246" s="133" t="s">
        <v>336</v>
      </c>
      <c r="B246" s="135">
        <v>13.4</v>
      </c>
      <c r="C246" s="135">
        <v>20.9</v>
      </c>
      <c r="D246" s="135">
        <v>16.5</v>
      </c>
      <c r="E246" s="135">
        <v>0.8</v>
      </c>
      <c r="F246" s="135">
        <v>1.6</v>
      </c>
      <c r="G246" s="152"/>
      <c r="H246" s="152"/>
      <c r="J246" s="108" t="s">
        <v>337</v>
      </c>
      <c r="K246" s="118">
        <v>230</v>
      </c>
      <c r="M246" s="117" t="s">
        <v>342</v>
      </c>
      <c r="N246" s="118">
        <v>221.31</v>
      </c>
      <c r="P246" s="108" t="s">
        <v>335</v>
      </c>
      <c r="Q246" s="118">
        <v>664</v>
      </c>
      <c r="S246" s="108" t="s">
        <v>736</v>
      </c>
      <c r="T246" s="119">
        <v>22.6</v>
      </c>
      <c r="V246" s="108" t="s">
        <v>818</v>
      </c>
      <c r="W246" s="145">
        <v>-2.0099999999999998</v>
      </c>
    </row>
    <row r="247" spans="1:23" x14ac:dyDescent="0.2">
      <c r="A247" s="133" t="s">
        <v>337</v>
      </c>
      <c r="B247" s="132">
        <v>239.7</v>
      </c>
      <c r="C247" s="132">
        <v>191.2</v>
      </c>
      <c r="D247" s="132">
        <v>196.1</v>
      </c>
      <c r="E247" s="132">
        <v>169.2</v>
      </c>
      <c r="F247" s="132">
        <v>149.30000000000001</v>
      </c>
      <c r="G247" s="153"/>
      <c r="H247" s="153"/>
      <c r="J247" s="108" t="s">
        <v>338</v>
      </c>
      <c r="K247" s="118">
        <v>230</v>
      </c>
      <c r="M247" s="115" t="s">
        <v>343</v>
      </c>
      <c r="N247" s="116"/>
      <c r="P247" s="108" t="s">
        <v>336</v>
      </c>
      <c r="Q247" s="118">
        <v>146</v>
      </c>
      <c r="S247" s="108" t="s">
        <v>819</v>
      </c>
      <c r="T247" s="118">
        <v>231.8</v>
      </c>
      <c r="V247" s="117" t="s">
        <v>817</v>
      </c>
      <c r="W247" s="119">
        <v>26.4</v>
      </c>
    </row>
    <row r="248" spans="1:23" x14ac:dyDescent="0.2">
      <c r="A248" s="133" t="s">
        <v>338</v>
      </c>
      <c r="B248" s="132">
        <v>247.6</v>
      </c>
      <c r="C248" s="132">
        <v>195.2</v>
      </c>
      <c r="D248" s="132">
        <v>199.8</v>
      </c>
      <c r="E248" s="132">
        <v>172.8</v>
      </c>
      <c r="F248" s="132">
        <v>153.5</v>
      </c>
      <c r="G248" s="153"/>
      <c r="H248" s="153"/>
      <c r="J248" s="108" t="s">
        <v>736</v>
      </c>
      <c r="K248" s="145">
        <v>-20</v>
      </c>
      <c r="M248" s="117" t="s">
        <v>344</v>
      </c>
      <c r="N248" s="145">
        <v>-8.1</v>
      </c>
      <c r="P248" s="108" t="s">
        <v>337</v>
      </c>
      <c r="Q248" s="118">
        <v>810</v>
      </c>
      <c r="S248" s="108" t="s">
        <v>818</v>
      </c>
      <c r="T248" s="139">
        <v>-209.2</v>
      </c>
      <c r="V248" s="117" t="s">
        <v>342</v>
      </c>
      <c r="W248" s="118">
        <v>591.49</v>
      </c>
    </row>
    <row r="249" spans="1:23" x14ac:dyDescent="0.2">
      <c r="A249" s="133" t="s">
        <v>339</v>
      </c>
      <c r="B249" s="135">
        <v>7.9</v>
      </c>
      <c r="C249" s="135">
        <v>4</v>
      </c>
      <c r="D249" s="135">
        <v>3.7</v>
      </c>
      <c r="E249" s="135">
        <v>3.6</v>
      </c>
      <c r="F249" s="135">
        <v>4.2</v>
      </c>
      <c r="G249" s="152"/>
      <c r="H249" s="152"/>
      <c r="J249" s="108" t="s">
        <v>737</v>
      </c>
      <c r="K249" s="119">
        <v>20</v>
      </c>
      <c r="M249" s="108" t="s">
        <v>757</v>
      </c>
      <c r="N249" s="119">
        <v>2.9</v>
      </c>
      <c r="P249" s="117" t="s">
        <v>340</v>
      </c>
      <c r="Q249" s="118">
        <v>235</v>
      </c>
      <c r="S249" s="117" t="s">
        <v>817</v>
      </c>
      <c r="T249" s="119">
        <v>89.67</v>
      </c>
      <c r="V249" s="115" t="s">
        <v>352</v>
      </c>
      <c r="W249" s="116"/>
    </row>
    <row r="250" spans="1:23" x14ac:dyDescent="0.2">
      <c r="A250" s="131" t="s">
        <v>340</v>
      </c>
      <c r="B250" s="135">
        <v>94.8</v>
      </c>
      <c r="C250" s="135">
        <v>89</v>
      </c>
      <c r="D250" s="132">
        <v>143.5</v>
      </c>
      <c r="E250" s="135">
        <v>10.7</v>
      </c>
      <c r="F250" s="132">
        <v>120.1</v>
      </c>
      <c r="G250" s="153"/>
      <c r="H250" s="153"/>
      <c r="J250" s="117" t="s">
        <v>341</v>
      </c>
      <c r="K250" s="119">
        <v>9</v>
      </c>
      <c r="M250" s="108" t="s">
        <v>348</v>
      </c>
      <c r="N250" s="145">
        <v>-10.8</v>
      </c>
      <c r="P250" s="117" t="s">
        <v>341</v>
      </c>
      <c r="Q250" s="119">
        <v>28</v>
      </c>
      <c r="S250" s="117" t="s">
        <v>342</v>
      </c>
      <c r="T250" s="118">
        <v>832.24</v>
      </c>
      <c r="V250" s="136" t="s">
        <v>353</v>
      </c>
      <c r="W250" s="137">
        <v>591.49</v>
      </c>
    </row>
    <row r="251" spans="1:23" x14ac:dyDescent="0.2">
      <c r="A251" s="131" t="s">
        <v>341</v>
      </c>
      <c r="B251" s="147">
        <v>-3.2</v>
      </c>
      <c r="C251" s="147">
        <v>-22.1</v>
      </c>
      <c r="D251" s="147">
        <v>-2.7</v>
      </c>
      <c r="E251" s="135">
        <v>5.0999999999999996</v>
      </c>
      <c r="F251" s="135">
        <v>10.7</v>
      </c>
      <c r="G251" s="152"/>
      <c r="H251" s="152"/>
      <c r="J251" s="117" t="s">
        <v>342</v>
      </c>
      <c r="K251" s="118">
        <v>1262</v>
      </c>
      <c r="M251" s="108" t="s">
        <v>758</v>
      </c>
      <c r="N251" s="145">
        <v>-3.7</v>
      </c>
      <c r="P251" s="117" t="s">
        <v>342</v>
      </c>
      <c r="Q251" s="118">
        <v>4922</v>
      </c>
      <c r="S251" s="115" t="s">
        <v>343</v>
      </c>
      <c r="T251" s="116"/>
      <c r="V251" s="115" t="s">
        <v>354</v>
      </c>
      <c r="W251" s="116"/>
    </row>
    <row r="252" spans="1:23" x14ac:dyDescent="0.2">
      <c r="A252" s="131" t="s">
        <v>342</v>
      </c>
      <c r="B252" s="132">
        <v>1392.7</v>
      </c>
      <c r="C252" s="132">
        <v>1292.7</v>
      </c>
      <c r="D252" s="132">
        <v>1283.4000000000001</v>
      </c>
      <c r="E252" s="132">
        <v>876.9</v>
      </c>
      <c r="F252" s="132">
        <v>954.8</v>
      </c>
      <c r="G252" s="153"/>
      <c r="H252" s="153"/>
      <c r="J252" s="115" t="s">
        <v>343</v>
      </c>
      <c r="K252" s="116"/>
      <c r="M252" s="108" t="s">
        <v>351</v>
      </c>
      <c r="N252" s="119">
        <v>3.5</v>
      </c>
      <c r="P252" s="115" t="s">
        <v>343</v>
      </c>
      <c r="Q252" s="116"/>
      <c r="S252" s="117" t="s">
        <v>344</v>
      </c>
      <c r="T252" s="145">
        <v>-42.9</v>
      </c>
      <c r="V252" s="117" t="s">
        <v>355</v>
      </c>
      <c r="W252" s="118">
        <v>128.07</v>
      </c>
    </row>
    <row r="253" spans="1:23" x14ac:dyDescent="0.2">
      <c r="A253" s="129" t="s">
        <v>343</v>
      </c>
      <c r="B253" s="130"/>
      <c r="C253" s="130"/>
      <c r="D253" s="130"/>
      <c r="E253" s="130"/>
      <c r="F253" s="130"/>
      <c r="G253" s="151"/>
      <c r="H253" s="151"/>
      <c r="J253" s="117" t="s">
        <v>344</v>
      </c>
      <c r="K253" s="145">
        <v>-36</v>
      </c>
      <c r="M253" s="115" t="s">
        <v>352</v>
      </c>
      <c r="N253" s="116"/>
      <c r="P253" s="117" t="s">
        <v>344</v>
      </c>
      <c r="Q253" s="139">
        <v>-117</v>
      </c>
      <c r="S253" s="108" t="s">
        <v>757</v>
      </c>
      <c r="T253" s="145">
        <v>-42.9</v>
      </c>
      <c r="V253" s="108" t="s">
        <v>356</v>
      </c>
      <c r="W253" s="118">
        <v>133.02000000000001</v>
      </c>
    </row>
    <row r="254" spans="1:23" x14ac:dyDescent="0.2">
      <c r="A254" s="131" t="s">
        <v>344</v>
      </c>
      <c r="B254" s="147">
        <v>-2.6</v>
      </c>
      <c r="C254" s="143">
        <v>-120.6</v>
      </c>
      <c r="D254" s="147">
        <v>-38.299999999999997</v>
      </c>
      <c r="E254" s="147">
        <v>-88.8</v>
      </c>
      <c r="F254" s="147">
        <v>-81</v>
      </c>
      <c r="G254" s="156"/>
      <c r="H254" s="156"/>
      <c r="J254" s="108" t="s">
        <v>348</v>
      </c>
      <c r="K254" s="145">
        <v>-15</v>
      </c>
      <c r="M254" s="136" t="s">
        <v>353</v>
      </c>
      <c r="N254" s="137">
        <v>213.21</v>
      </c>
      <c r="P254" s="108" t="s">
        <v>345</v>
      </c>
      <c r="Q254" s="119">
        <v>40</v>
      </c>
      <c r="S254" s="115" t="s">
        <v>352</v>
      </c>
      <c r="T254" s="116"/>
      <c r="V254" s="108" t="s">
        <v>357</v>
      </c>
      <c r="W254" s="118">
        <v>133.02000000000001</v>
      </c>
    </row>
    <row r="255" spans="1:23" x14ac:dyDescent="0.2">
      <c r="A255" s="133" t="s">
        <v>345</v>
      </c>
      <c r="B255" s="138">
        <v>0</v>
      </c>
      <c r="C255" s="135">
        <v>86.6</v>
      </c>
      <c r="D255" s="135">
        <v>28.3</v>
      </c>
      <c r="E255" s="135">
        <v>67.900000000000006</v>
      </c>
      <c r="F255" s="138"/>
      <c r="G255" s="154"/>
      <c r="H255" s="154"/>
      <c r="J255" s="108" t="s">
        <v>351</v>
      </c>
      <c r="K255" s="145">
        <v>-21</v>
      </c>
      <c r="M255" s="115" t="s">
        <v>354</v>
      </c>
      <c r="N255" s="116"/>
      <c r="P255" s="108" t="s">
        <v>346</v>
      </c>
      <c r="Q255" s="119">
        <v>40</v>
      </c>
      <c r="S255" s="136" t="s">
        <v>353</v>
      </c>
      <c r="T255" s="137">
        <v>789.35</v>
      </c>
      <c r="V255" s="108" t="s">
        <v>359</v>
      </c>
      <c r="W255" s="145">
        <v>-4.95</v>
      </c>
    </row>
    <row r="256" spans="1:23" x14ac:dyDescent="0.2">
      <c r="A256" s="133" t="s">
        <v>346</v>
      </c>
      <c r="B256" s="138">
        <v>0</v>
      </c>
      <c r="C256" s="135">
        <v>86.6</v>
      </c>
      <c r="D256" s="135">
        <v>28.3</v>
      </c>
      <c r="E256" s="135">
        <v>67.900000000000006</v>
      </c>
      <c r="F256" s="138"/>
      <c r="G256" s="154"/>
      <c r="H256" s="154"/>
      <c r="J256" s="115" t="s">
        <v>352</v>
      </c>
      <c r="K256" s="116"/>
      <c r="M256" s="117" t="s">
        <v>355</v>
      </c>
      <c r="N256" s="119">
        <v>56.14</v>
      </c>
      <c r="P256" s="108" t="s">
        <v>348</v>
      </c>
      <c r="Q256" s="145">
        <v>-77</v>
      </c>
      <c r="S256" s="115" t="s">
        <v>354</v>
      </c>
      <c r="T256" s="116"/>
      <c r="V256" s="108" t="s">
        <v>360</v>
      </c>
      <c r="W256" s="145">
        <v>-4.95</v>
      </c>
    </row>
    <row r="257" spans="1:23" x14ac:dyDescent="0.2">
      <c r="A257" s="133" t="s">
        <v>347</v>
      </c>
      <c r="B257" s="138"/>
      <c r="C257" s="138"/>
      <c r="D257" s="138"/>
      <c r="E257" s="135">
        <v>7.2</v>
      </c>
      <c r="F257" s="135">
        <v>15</v>
      </c>
      <c r="G257" s="152"/>
      <c r="H257" s="152"/>
      <c r="J257" s="136" t="s">
        <v>353</v>
      </c>
      <c r="K257" s="137">
        <v>1226</v>
      </c>
      <c r="M257" s="108" t="s">
        <v>356</v>
      </c>
      <c r="N257" s="119">
        <v>30.65</v>
      </c>
      <c r="P257" s="115" t="s">
        <v>352</v>
      </c>
      <c r="Q257" s="116"/>
      <c r="S257" s="117" t="s">
        <v>355</v>
      </c>
      <c r="T257" s="118">
        <v>385.01</v>
      </c>
      <c r="V257" s="115" t="s">
        <v>362</v>
      </c>
      <c r="W257" s="116"/>
    </row>
    <row r="258" spans="1:23" x14ac:dyDescent="0.2">
      <c r="A258" s="133" t="s">
        <v>348</v>
      </c>
      <c r="B258" s="147">
        <v>-2.6</v>
      </c>
      <c r="C258" s="147">
        <v>-34</v>
      </c>
      <c r="D258" s="147">
        <v>-10</v>
      </c>
      <c r="E258" s="147">
        <v>-3.1</v>
      </c>
      <c r="F258" s="147">
        <v>-1.5</v>
      </c>
      <c r="G258" s="156"/>
      <c r="H258" s="156"/>
      <c r="J258" s="115" t="s">
        <v>354</v>
      </c>
      <c r="K258" s="116"/>
      <c r="M258" s="108" t="s">
        <v>357</v>
      </c>
      <c r="N258" s="119">
        <v>30.65</v>
      </c>
      <c r="P258" s="136" t="s">
        <v>353</v>
      </c>
      <c r="Q258" s="137">
        <v>4805</v>
      </c>
      <c r="S258" s="108" t="s">
        <v>356</v>
      </c>
      <c r="T258" s="118">
        <v>198.53</v>
      </c>
      <c r="V258" s="117" t="s">
        <v>363</v>
      </c>
      <c r="W258" s="118">
        <v>463.42</v>
      </c>
    </row>
    <row r="259" spans="1:23" x14ac:dyDescent="0.2">
      <c r="A259" s="133" t="s">
        <v>349</v>
      </c>
      <c r="B259" s="138"/>
      <c r="C259" s="138"/>
      <c r="D259" s="138"/>
      <c r="E259" s="138">
        <v>0</v>
      </c>
      <c r="F259" s="147">
        <v>-13.4</v>
      </c>
      <c r="G259" s="156"/>
      <c r="H259" s="156"/>
      <c r="J259" s="117" t="s">
        <v>355</v>
      </c>
      <c r="K259" s="118">
        <v>236</v>
      </c>
      <c r="M259" s="108" t="s">
        <v>359</v>
      </c>
      <c r="N259" s="119">
        <v>25.49</v>
      </c>
      <c r="P259" s="115" t="s">
        <v>354</v>
      </c>
      <c r="Q259" s="116"/>
      <c r="S259" s="108" t="s">
        <v>359</v>
      </c>
      <c r="T259" s="118">
        <v>186.47</v>
      </c>
      <c r="V259" s="115" t="s">
        <v>364</v>
      </c>
      <c r="W259" s="116"/>
    </row>
    <row r="260" spans="1:23" x14ac:dyDescent="0.2">
      <c r="A260" s="133" t="s">
        <v>350</v>
      </c>
      <c r="B260" s="138"/>
      <c r="C260" s="138"/>
      <c r="D260" s="138"/>
      <c r="E260" s="138">
        <v>0</v>
      </c>
      <c r="F260" s="147">
        <v>-13.4</v>
      </c>
      <c r="G260" s="156"/>
      <c r="H260" s="156"/>
      <c r="J260" s="108" t="s">
        <v>356</v>
      </c>
      <c r="K260" s="118">
        <v>171</v>
      </c>
      <c r="M260" s="108" t="s">
        <v>360</v>
      </c>
      <c r="N260" s="119">
        <v>25.49</v>
      </c>
      <c r="P260" s="117" t="s">
        <v>355</v>
      </c>
      <c r="Q260" s="118">
        <v>1041</v>
      </c>
      <c r="S260" s="115" t="s">
        <v>362</v>
      </c>
      <c r="T260" s="116"/>
      <c r="V260" s="136" t="s">
        <v>365</v>
      </c>
      <c r="W260" s="137">
        <v>463.42</v>
      </c>
    </row>
    <row r="261" spans="1:23" x14ac:dyDescent="0.2">
      <c r="A261" s="133" t="s">
        <v>351</v>
      </c>
      <c r="B261" s="138"/>
      <c r="C261" s="138"/>
      <c r="D261" s="138"/>
      <c r="E261" s="147">
        <v>-10.6</v>
      </c>
      <c r="F261" s="147">
        <v>-51.1</v>
      </c>
      <c r="G261" s="156"/>
      <c r="H261" s="156"/>
      <c r="J261" s="108" t="s">
        <v>357</v>
      </c>
      <c r="K261" s="118">
        <v>169</v>
      </c>
      <c r="M261" s="115" t="s">
        <v>362</v>
      </c>
      <c r="N261" s="116"/>
      <c r="P261" s="108" t="s">
        <v>356</v>
      </c>
      <c r="Q261" s="118">
        <v>874</v>
      </c>
      <c r="S261" s="117" t="s">
        <v>363</v>
      </c>
      <c r="T261" s="118">
        <v>404.34</v>
      </c>
      <c r="V261" s="117" t="s">
        <v>371</v>
      </c>
      <c r="W261" s="118">
        <v>463.42</v>
      </c>
    </row>
    <row r="262" spans="1:23" x14ac:dyDescent="0.2">
      <c r="A262" s="129" t="s">
        <v>352</v>
      </c>
      <c r="B262" s="130"/>
      <c r="C262" s="130"/>
      <c r="D262" s="130"/>
      <c r="E262" s="130"/>
      <c r="F262" s="130"/>
      <c r="G262" s="151"/>
      <c r="H262" s="151"/>
      <c r="J262" s="108" t="s">
        <v>358</v>
      </c>
      <c r="K262" s="119">
        <v>2</v>
      </c>
      <c r="M262" s="117" t="s">
        <v>363</v>
      </c>
      <c r="N262" s="118">
        <v>157.07</v>
      </c>
      <c r="P262" s="108" t="s">
        <v>357</v>
      </c>
      <c r="Q262" s="118">
        <v>454</v>
      </c>
      <c r="S262" s="115" t="s">
        <v>364</v>
      </c>
      <c r="T262" s="116"/>
      <c r="V262" s="117" t="s">
        <v>373</v>
      </c>
      <c r="W262" s="118">
        <v>463.42</v>
      </c>
    </row>
    <row r="263" spans="1:23" x14ac:dyDescent="0.2">
      <c r="A263" s="141" t="s">
        <v>353</v>
      </c>
      <c r="B263" s="142">
        <v>1390.1</v>
      </c>
      <c r="C263" s="142">
        <v>1172.0999999999999</v>
      </c>
      <c r="D263" s="142">
        <v>1245.0999999999999</v>
      </c>
      <c r="E263" s="142">
        <v>788.1</v>
      </c>
      <c r="F263" s="142">
        <v>873.8</v>
      </c>
      <c r="G263" s="155"/>
      <c r="H263" s="155"/>
      <c r="J263" s="108" t="s">
        <v>359</v>
      </c>
      <c r="K263" s="119">
        <v>65</v>
      </c>
      <c r="M263" s="115" t="s">
        <v>364</v>
      </c>
      <c r="N263" s="116"/>
      <c r="P263" s="108" t="s">
        <v>358</v>
      </c>
      <c r="Q263" s="118">
        <v>420</v>
      </c>
      <c r="S263" s="136" t="s">
        <v>365</v>
      </c>
      <c r="T263" s="137">
        <v>404.34</v>
      </c>
      <c r="V263" s="115" t="s">
        <v>66</v>
      </c>
      <c r="W263" s="116"/>
    </row>
    <row r="264" spans="1:23" x14ac:dyDescent="0.2">
      <c r="A264" s="129" t="s">
        <v>354</v>
      </c>
      <c r="B264" s="130"/>
      <c r="C264" s="130"/>
      <c r="D264" s="130"/>
      <c r="E264" s="130"/>
      <c r="F264" s="130"/>
      <c r="G264" s="151"/>
      <c r="H264" s="151"/>
      <c r="J264" s="108" t="s">
        <v>360</v>
      </c>
      <c r="K264" s="119">
        <v>64</v>
      </c>
      <c r="M264" s="136" t="s">
        <v>365</v>
      </c>
      <c r="N264" s="137">
        <v>157.07</v>
      </c>
      <c r="P264" s="108" t="s">
        <v>359</v>
      </c>
      <c r="Q264" s="118">
        <v>167</v>
      </c>
      <c r="S264" s="117" t="s">
        <v>366</v>
      </c>
      <c r="T264" s="118">
        <v>565.38</v>
      </c>
      <c r="V264" s="136" t="s">
        <v>374</v>
      </c>
      <c r="W264" s="137">
        <v>463.42</v>
      </c>
    </row>
    <row r="265" spans="1:23" x14ac:dyDescent="0.2">
      <c r="A265" s="131" t="s">
        <v>355</v>
      </c>
      <c r="B265" s="132">
        <v>307.5</v>
      </c>
      <c r="C265" s="132">
        <v>251.4</v>
      </c>
      <c r="D265" s="132">
        <v>299.39999999999998</v>
      </c>
      <c r="E265" s="132">
        <v>193</v>
      </c>
      <c r="F265" s="132">
        <v>200.1</v>
      </c>
      <c r="G265" s="153"/>
      <c r="H265" s="153"/>
      <c r="J265" s="108" t="s">
        <v>361</v>
      </c>
      <c r="K265" s="119">
        <v>1</v>
      </c>
      <c r="M265" s="117" t="s">
        <v>371</v>
      </c>
      <c r="N265" s="118">
        <v>157.07</v>
      </c>
      <c r="P265" s="108" t="s">
        <v>360</v>
      </c>
      <c r="Q265" s="118">
        <v>255</v>
      </c>
      <c r="S265" s="108" t="s">
        <v>367</v>
      </c>
      <c r="T265" s="118">
        <v>565.38</v>
      </c>
      <c r="V265" s="115" t="s">
        <v>375</v>
      </c>
      <c r="W265" s="116"/>
    </row>
    <row r="266" spans="1:23" x14ac:dyDescent="0.2">
      <c r="A266" s="133" t="s">
        <v>356</v>
      </c>
      <c r="B266" s="132">
        <v>281.60000000000002</v>
      </c>
      <c r="C266" s="132">
        <v>261.3</v>
      </c>
      <c r="D266" s="132">
        <v>343.6</v>
      </c>
      <c r="E266" s="132">
        <v>133.4</v>
      </c>
      <c r="F266" s="132">
        <v>133.5</v>
      </c>
      <c r="G266" s="153"/>
      <c r="H266" s="153"/>
      <c r="J266" s="115" t="s">
        <v>362</v>
      </c>
      <c r="K266" s="116"/>
      <c r="M266" s="117" t="s">
        <v>373</v>
      </c>
      <c r="N266" s="118">
        <v>157.07</v>
      </c>
      <c r="P266" s="108" t="s">
        <v>361</v>
      </c>
      <c r="Q266" s="145">
        <v>-88</v>
      </c>
      <c r="S266" s="108" t="s">
        <v>738</v>
      </c>
      <c r="T266" s="118">
        <v>565.38</v>
      </c>
      <c r="V266" s="117" t="s">
        <v>376</v>
      </c>
      <c r="W266" s="118">
        <v>463.42</v>
      </c>
    </row>
    <row r="267" spans="1:23" x14ac:dyDescent="0.2">
      <c r="A267" s="133" t="s">
        <v>357</v>
      </c>
      <c r="B267" s="132">
        <v>276.5</v>
      </c>
      <c r="C267" s="132">
        <v>256.5</v>
      </c>
      <c r="D267" s="132">
        <v>338.8</v>
      </c>
      <c r="E267" s="132">
        <v>128.80000000000001</v>
      </c>
      <c r="F267" s="132">
        <v>138.5</v>
      </c>
      <c r="G267" s="153"/>
      <c r="H267" s="153"/>
      <c r="J267" s="117" t="s">
        <v>363</v>
      </c>
      <c r="K267" s="118">
        <v>990</v>
      </c>
      <c r="M267" s="115" t="s">
        <v>66</v>
      </c>
      <c r="N267" s="116"/>
      <c r="P267" s="115" t="s">
        <v>362</v>
      </c>
      <c r="Q267" s="116"/>
      <c r="S267" s="117" t="s">
        <v>371</v>
      </c>
      <c r="T267" s="118">
        <v>969.72</v>
      </c>
      <c r="V267" s="117" t="s">
        <v>378</v>
      </c>
      <c r="W267" s="119">
        <v>0.25</v>
      </c>
    </row>
    <row r="268" spans="1:23" x14ac:dyDescent="0.2">
      <c r="A268" s="133" t="s">
        <v>358</v>
      </c>
      <c r="B268" s="135">
        <v>5.0999999999999996</v>
      </c>
      <c r="C268" s="135">
        <v>4.8</v>
      </c>
      <c r="D268" s="135">
        <v>4.8</v>
      </c>
      <c r="E268" s="135">
        <v>4.5999999999999996</v>
      </c>
      <c r="F268" s="147">
        <v>-5</v>
      </c>
      <c r="G268" s="156"/>
      <c r="H268" s="156"/>
      <c r="J268" s="115" t="s">
        <v>364</v>
      </c>
      <c r="K268" s="116"/>
      <c r="M268" s="136" t="s">
        <v>374</v>
      </c>
      <c r="N268" s="137">
        <v>157.07</v>
      </c>
      <c r="P268" s="117" t="s">
        <v>363</v>
      </c>
      <c r="Q268" s="118">
        <v>3764</v>
      </c>
      <c r="S268" s="117" t="s">
        <v>372</v>
      </c>
      <c r="T268" s="119">
        <v>9.57</v>
      </c>
      <c r="V268" s="117" t="s">
        <v>379</v>
      </c>
      <c r="W268" s="119">
        <v>0.25</v>
      </c>
    </row>
    <row r="269" spans="1:23" x14ac:dyDescent="0.2">
      <c r="A269" s="133" t="s">
        <v>359</v>
      </c>
      <c r="B269" s="135">
        <v>25.9</v>
      </c>
      <c r="C269" s="147">
        <v>-9.9</v>
      </c>
      <c r="D269" s="147">
        <v>-44.2</v>
      </c>
      <c r="E269" s="135">
        <v>59.6</v>
      </c>
      <c r="F269" s="135">
        <v>66.599999999999994</v>
      </c>
      <c r="G269" s="152"/>
      <c r="H269" s="152"/>
      <c r="J269" s="136" t="s">
        <v>365</v>
      </c>
      <c r="K269" s="137">
        <v>990</v>
      </c>
      <c r="M269" s="115" t="s">
        <v>375</v>
      </c>
      <c r="N269" s="116"/>
      <c r="P269" s="115" t="s">
        <v>364</v>
      </c>
      <c r="Q269" s="116"/>
      <c r="S269" s="117" t="s">
        <v>373</v>
      </c>
      <c r="T269" s="118">
        <v>960.16</v>
      </c>
      <c r="V269" s="136" t="s">
        <v>380</v>
      </c>
      <c r="W269" s="137">
        <v>463.66</v>
      </c>
    </row>
    <row r="270" spans="1:23" x14ac:dyDescent="0.2">
      <c r="A270" s="133" t="s">
        <v>360</v>
      </c>
      <c r="B270" s="135">
        <v>33.299999999999997</v>
      </c>
      <c r="C270" s="147">
        <v>-6.9</v>
      </c>
      <c r="D270" s="147">
        <v>-48.3</v>
      </c>
      <c r="E270" s="135">
        <v>46.7</v>
      </c>
      <c r="F270" s="135">
        <v>65.7</v>
      </c>
      <c r="G270" s="152"/>
      <c r="H270" s="152"/>
      <c r="J270" s="117" t="s">
        <v>366</v>
      </c>
      <c r="K270" s="118">
        <v>147</v>
      </c>
      <c r="M270" s="117" t="s">
        <v>376</v>
      </c>
      <c r="N270" s="118">
        <v>157.07</v>
      </c>
      <c r="P270" s="117" t="s">
        <v>802</v>
      </c>
      <c r="Q270" s="119">
        <v>26</v>
      </c>
      <c r="S270" s="115" t="s">
        <v>66</v>
      </c>
      <c r="T270" s="116"/>
      <c r="V270" s="117" t="s">
        <v>382</v>
      </c>
      <c r="W270" s="118">
        <v>463.66</v>
      </c>
    </row>
    <row r="271" spans="1:23" x14ac:dyDescent="0.2">
      <c r="A271" s="133" t="s">
        <v>361</v>
      </c>
      <c r="B271" s="147">
        <v>-7.4</v>
      </c>
      <c r="C271" s="147">
        <v>-3</v>
      </c>
      <c r="D271" s="135">
        <v>4.0999999999999996</v>
      </c>
      <c r="E271" s="135">
        <v>12.9</v>
      </c>
      <c r="F271" s="135">
        <v>0.9</v>
      </c>
      <c r="G271" s="152"/>
      <c r="H271" s="152"/>
      <c r="J271" s="108" t="s">
        <v>367</v>
      </c>
      <c r="K271" s="118">
        <v>147</v>
      </c>
      <c r="M271" s="117" t="s">
        <v>377</v>
      </c>
      <c r="N271" s="134">
        <v>0</v>
      </c>
      <c r="P271" s="136" t="s">
        <v>365</v>
      </c>
      <c r="Q271" s="137">
        <v>3790</v>
      </c>
      <c r="S271" s="136" t="s">
        <v>374</v>
      </c>
      <c r="T271" s="137">
        <v>960.16</v>
      </c>
      <c r="V271" s="115" t="s">
        <v>383</v>
      </c>
      <c r="W271" s="116"/>
    </row>
    <row r="272" spans="1:23" x14ac:dyDescent="0.2">
      <c r="A272" s="129" t="s">
        <v>362</v>
      </c>
      <c r="B272" s="130"/>
      <c r="C272" s="130"/>
      <c r="D272" s="130"/>
      <c r="E272" s="130"/>
      <c r="F272" s="130"/>
      <c r="G272" s="151"/>
      <c r="H272" s="151"/>
      <c r="J272" s="108" t="s">
        <v>738</v>
      </c>
      <c r="K272" s="118">
        <v>147</v>
      </c>
      <c r="M272" s="117" t="s">
        <v>378</v>
      </c>
      <c r="N272" s="145">
        <v>-0.96</v>
      </c>
      <c r="P272" s="117" t="s">
        <v>371</v>
      </c>
      <c r="Q272" s="118">
        <v>3790</v>
      </c>
      <c r="S272" s="115" t="s">
        <v>383</v>
      </c>
      <c r="T272" s="116"/>
      <c r="V272" s="117" t="s">
        <v>384</v>
      </c>
      <c r="W272" s="118">
        <v>463.42</v>
      </c>
    </row>
    <row r="273" spans="1:23" x14ac:dyDescent="0.2">
      <c r="A273" s="131" t="s">
        <v>363</v>
      </c>
      <c r="B273" s="132">
        <v>1082.5999999999999</v>
      </c>
      <c r="C273" s="132">
        <v>920.7</v>
      </c>
      <c r="D273" s="132">
        <v>945.7</v>
      </c>
      <c r="E273" s="132">
        <v>595.1</v>
      </c>
      <c r="F273" s="132">
        <v>673.7</v>
      </c>
      <c r="G273" s="153"/>
      <c r="H273" s="153"/>
      <c r="J273" s="117" t="s">
        <v>371</v>
      </c>
      <c r="K273" s="118">
        <v>1137</v>
      </c>
      <c r="M273" s="117" t="s">
        <v>379</v>
      </c>
      <c r="N273" s="145">
        <v>-0.96</v>
      </c>
      <c r="P273" s="117" t="s">
        <v>372</v>
      </c>
      <c r="Q273" s="119">
        <v>37</v>
      </c>
      <c r="S273" s="117" t="s">
        <v>384</v>
      </c>
      <c r="T273" s="118">
        <v>960.16</v>
      </c>
      <c r="V273" s="108" t="s">
        <v>385</v>
      </c>
      <c r="W273" s="118">
        <v>463.42</v>
      </c>
    </row>
    <row r="274" spans="1:23" x14ac:dyDescent="0.2">
      <c r="A274" s="129" t="s">
        <v>364</v>
      </c>
      <c r="B274" s="130"/>
      <c r="C274" s="130"/>
      <c r="D274" s="130"/>
      <c r="E274" s="130"/>
      <c r="F274" s="130"/>
      <c r="G274" s="151"/>
      <c r="H274" s="151"/>
      <c r="J274" s="117" t="s">
        <v>372</v>
      </c>
      <c r="K274" s="134">
        <v>0</v>
      </c>
      <c r="M274" s="136" t="s">
        <v>380</v>
      </c>
      <c r="N274" s="137">
        <v>156.11000000000001</v>
      </c>
      <c r="P274" s="117" t="s">
        <v>373</v>
      </c>
      <c r="Q274" s="118">
        <v>3753</v>
      </c>
      <c r="S274" s="108" t="s">
        <v>385</v>
      </c>
      <c r="T274" s="118">
        <v>394.77</v>
      </c>
      <c r="V274" s="108" t="s">
        <v>386</v>
      </c>
      <c r="W274" s="119">
        <v>33.380000000000003</v>
      </c>
    </row>
    <row r="275" spans="1:23" x14ac:dyDescent="0.2">
      <c r="A275" s="141" t="s">
        <v>365</v>
      </c>
      <c r="B275" s="142">
        <v>1082.5999999999999</v>
      </c>
      <c r="C275" s="142">
        <v>920.7</v>
      </c>
      <c r="D275" s="142">
        <v>945.7</v>
      </c>
      <c r="E275" s="142">
        <v>595.1</v>
      </c>
      <c r="F275" s="142">
        <v>673.7</v>
      </c>
      <c r="G275" s="155"/>
      <c r="H275" s="155"/>
      <c r="J275" s="117" t="s">
        <v>373</v>
      </c>
      <c r="K275" s="118">
        <v>1137</v>
      </c>
      <c r="M275" s="117" t="s">
        <v>382</v>
      </c>
      <c r="N275" s="118">
        <v>156.11000000000001</v>
      </c>
      <c r="P275" s="115" t="s">
        <v>66</v>
      </c>
      <c r="Q275" s="116"/>
      <c r="S275" s="108" t="s">
        <v>386</v>
      </c>
      <c r="T275" s="134">
        <v>14508.33</v>
      </c>
      <c r="V275" s="108" t="s">
        <v>387</v>
      </c>
      <c r="W275" s="119">
        <v>13.88</v>
      </c>
    </row>
    <row r="276" spans="1:23" x14ac:dyDescent="0.2">
      <c r="A276" s="131" t="s">
        <v>366</v>
      </c>
      <c r="B276" s="147">
        <v>-4.5</v>
      </c>
      <c r="C276" s="147">
        <v>-7.6</v>
      </c>
      <c r="D276" s="147">
        <v>-10.8</v>
      </c>
      <c r="E276" s="147">
        <v>-18.600000000000001</v>
      </c>
      <c r="F276" s="147">
        <v>-3.3</v>
      </c>
      <c r="G276" s="156"/>
      <c r="H276" s="156"/>
      <c r="J276" s="115" t="s">
        <v>66</v>
      </c>
      <c r="K276" s="116"/>
      <c r="M276" s="115" t="s">
        <v>383</v>
      </c>
      <c r="N276" s="116"/>
      <c r="P276" s="136" t="s">
        <v>374</v>
      </c>
      <c r="Q276" s="137">
        <v>3753</v>
      </c>
      <c r="S276" s="108" t="s">
        <v>387</v>
      </c>
      <c r="T276" s="119">
        <v>7.0000000000000007E-2</v>
      </c>
      <c r="V276" s="108" t="s">
        <v>388</v>
      </c>
      <c r="W276" s="119">
        <v>13.88</v>
      </c>
    </row>
    <row r="277" spans="1:23" x14ac:dyDescent="0.2">
      <c r="A277" s="133" t="s">
        <v>367</v>
      </c>
      <c r="B277" s="147">
        <v>-4.5</v>
      </c>
      <c r="C277" s="147">
        <v>-7.6</v>
      </c>
      <c r="D277" s="147">
        <v>-10.8</v>
      </c>
      <c r="E277" s="147">
        <v>-18.600000000000001</v>
      </c>
      <c r="F277" s="147">
        <v>-3.3</v>
      </c>
      <c r="G277" s="156"/>
      <c r="H277" s="156"/>
      <c r="J277" s="136" t="s">
        <v>374</v>
      </c>
      <c r="K277" s="137">
        <v>1137</v>
      </c>
      <c r="M277" s="117" t="s">
        <v>384</v>
      </c>
      <c r="N277" s="118">
        <v>157.07</v>
      </c>
      <c r="P277" s="115" t="s">
        <v>375</v>
      </c>
      <c r="Q277" s="116"/>
      <c r="S277" s="108" t="s">
        <v>388</v>
      </c>
      <c r="T277" s="119">
        <v>0.03</v>
      </c>
      <c r="V277" s="108" t="s">
        <v>389</v>
      </c>
      <c r="W277" s="119">
        <v>13.88</v>
      </c>
    </row>
    <row r="278" spans="1:23" x14ac:dyDescent="0.2">
      <c r="A278" s="133" t="s">
        <v>368</v>
      </c>
      <c r="B278" s="147">
        <v>-6.1</v>
      </c>
      <c r="C278" s="147">
        <v>-10.199999999999999</v>
      </c>
      <c r="D278" s="147">
        <v>-14.7</v>
      </c>
      <c r="E278" s="147">
        <v>-25.2</v>
      </c>
      <c r="F278" s="147">
        <v>-4.5</v>
      </c>
      <c r="G278" s="156"/>
      <c r="H278" s="156"/>
      <c r="J278" s="115" t="s">
        <v>375</v>
      </c>
      <c r="K278" s="116"/>
      <c r="M278" s="108" t="s">
        <v>385</v>
      </c>
      <c r="N278" s="118">
        <v>157.07</v>
      </c>
      <c r="P278" s="117" t="s">
        <v>376</v>
      </c>
      <c r="Q278" s="118">
        <v>3790</v>
      </c>
      <c r="S278" s="108" t="s">
        <v>389</v>
      </c>
      <c r="T278" s="119">
        <v>0.03</v>
      </c>
      <c r="V278" s="117" t="s">
        <v>390</v>
      </c>
      <c r="W278" s="118">
        <v>463.42</v>
      </c>
    </row>
    <row r="279" spans="1:23" x14ac:dyDescent="0.2">
      <c r="A279" s="133" t="s">
        <v>369</v>
      </c>
      <c r="B279" s="147">
        <v>-6.1</v>
      </c>
      <c r="C279" s="147">
        <v>-10.199999999999999</v>
      </c>
      <c r="D279" s="147">
        <v>-14.7</v>
      </c>
      <c r="E279" s="147">
        <v>-25.2</v>
      </c>
      <c r="F279" s="147">
        <v>-4.5</v>
      </c>
      <c r="G279" s="156"/>
      <c r="H279" s="156"/>
      <c r="J279" s="117" t="s">
        <v>376</v>
      </c>
      <c r="K279" s="118">
        <v>1137</v>
      </c>
      <c r="M279" s="108" t="s">
        <v>386</v>
      </c>
      <c r="N279" s="119">
        <v>56.65</v>
      </c>
      <c r="P279" s="117" t="s">
        <v>739</v>
      </c>
      <c r="Q279" s="118">
        <v>713</v>
      </c>
      <c r="S279" s="117" t="s">
        <v>391</v>
      </c>
      <c r="T279" s="119">
        <v>1</v>
      </c>
      <c r="V279" s="117" t="s">
        <v>391</v>
      </c>
      <c r="W279" s="119">
        <v>1</v>
      </c>
    </row>
    <row r="280" spans="1:23" x14ac:dyDescent="0.2">
      <c r="A280" s="133" t="s">
        <v>370</v>
      </c>
      <c r="B280" s="135">
        <v>1.6</v>
      </c>
      <c r="C280" s="135">
        <v>2.6</v>
      </c>
      <c r="D280" s="135">
        <v>3.9</v>
      </c>
      <c r="E280" s="135">
        <v>6.6</v>
      </c>
      <c r="F280" s="135">
        <v>1.2</v>
      </c>
      <c r="G280" s="152"/>
      <c r="H280" s="152"/>
      <c r="J280" s="117" t="s">
        <v>739</v>
      </c>
      <c r="K280" s="119">
        <v>2</v>
      </c>
      <c r="M280" s="108" t="s">
        <v>387</v>
      </c>
      <c r="N280" s="119">
        <v>2.77</v>
      </c>
      <c r="P280" s="117" t="s">
        <v>377</v>
      </c>
      <c r="Q280" s="119">
        <v>15</v>
      </c>
      <c r="S280" s="108" t="s">
        <v>816</v>
      </c>
      <c r="T280" s="134">
        <v>14508.33</v>
      </c>
      <c r="V280" s="108" t="s">
        <v>392</v>
      </c>
      <c r="W280" s="119">
        <v>33.380000000000003</v>
      </c>
    </row>
    <row r="281" spans="1:23" x14ac:dyDescent="0.2">
      <c r="A281" s="131" t="s">
        <v>371</v>
      </c>
      <c r="B281" s="132">
        <v>1078.0999999999999</v>
      </c>
      <c r="C281" s="132">
        <v>913.1</v>
      </c>
      <c r="D281" s="132">
        <v>934.9</v>
      </c>
      <c r="E281" s="132">
        <v>576.5</v>
      </c>
      <c r="F281" s="132">
        <v>670.4</v>
      </c>
      <c r="G281" s="153"/>
      <c r="H281" s="153"/>
      <c r="J281" s="117" t="s">
        <v>378</v>
      </c>
      <c r="K281" s="119">
        <v>71</v>
      </c>
      <c r="M281" s="108" t="s">
        <v>388</v>
      </c>
      <c r="N281" s="119">
        <v>2.77</v>
      </c>
      <c r="P281" s="117" t="s">
        <v>378</v>
      </c>
      <c r="Q281" s="119">
        <v>64</v>
      </c>
      <c r="S281" s="108" t="s">
        <v>815</v>
      </c>
      <c r="T281" s="119">
        <v>0.2</v>
      </c>
      <c r="V281" s="108" t="s">
        <v>393</v>
      </c>
      <c r="W281" s="119">
        <v>13.88</v>
      </c>
    </row>
    <row r="282" spans="1:23" x14ac:dyDescent="0.2">
      <c r="A282" s="131" t="s">
        <v>372</v>
      </c>
      <c r="B282" s="135">
        <v>1.4</v>
      </c>
      <c r="C282" s="135">
        <v>1.2</v>
      </c>
      <c r="D282" s="135">
        <v>1.7</v>
      </c>
      <c r="E282" s="135">
        <v>0.9</v>
      </c>
      <c r="F282" s="147">
        <v>-0.4</v>
      </c>
      <c r="G282" s="156"/>
      <c r="H282" s="156"/>
      <c r="J282" s="117" t="s">
        <v>379</v>
      </c>
      <c r="K282" s="119">
        <v>73</v>
      </c>
      <c r="M282" s="108" t="s">
        <v>389</v>
      </c>
      <c r="N282" s="119">
        <v>2.92</v>
      </c>
      <c r="P282" s="117" t="s">
        <v>379</v>
      </c>
      <c r="Q282" s="118">
        <v>792</v>
      </c>
      <c r="S282" s="108" t="s">
        <v>814</v>
      </c>
      <c r="T282" s="119">
        <v>0.08</v>
      </c>
      <c r="V282" s="108" t="s">
        <v>394</v>
      </c>
      <c r="W282" s="119">
        <v>13.88</v>
      </c>
    </row>
    <row r="283" spans="1:23" x14ac:dyDescent="0.2">
      <c r="A283" s="131" t="s">
        <v>373</v>
      </c>
      <c r="B283" s="132">
        <v>1076.7</v>
      </c>
      <c r="C283" s="132">
        <v>911.9</v>
      </c>
      <c r="D283" s="132">
        <v>933.2</v>
      </c>
      <c r="E283" s="132">
        <v>575.6</v>
      </c>
      <c r="F283" s="132">
        <v>670.8</v>
      </c>
      <c r="G283" s="153"/>
      <c r="H283" s="153"/>
      <c r="J283" s="136" t="s">
        <v>380</v>
      </c>
      <c r="K283" s="137">
        <v>1210</v>
      </c>
      <c r="M283" s="117" t="s">
        <v>390</v>
      </c>
      <c r="N283" s="118">
        <v>157.07</v>
      </c>
      <c r="P283" s="136" t="s">
        <v>380</v>
      </c>
      <c r="Q283" s="137">
        <v>4582</v>
      </c>
      <c r="S283" s="108" t="s">
        <v>813</v>
      </c>
      <c r="T283" s="119">
        <v>0.03</v>
      </c>
      <c r="V283" s="108" t="s">
        <v>395</v>
      </c>
      <c r="W283" s="119">
        <v>13.88</v>
      </c>
    </row>
    <row r="284" spans="1:23" x14ac:dyDescent="0.2">
      <c r="A284" s="129" t="s">
        <v>66</v>
      </c>
      <c r="B284" s="130"/>
      <c r="C284" s="130"/>
      <c r="D284" s="130"/>
      <c r="E284" s="130"/>
      <c r="F284" s="130"/>
      <c r="G284" s="151"/>
      <c r="H284" s="151"/>
      <c r="J284" s="117" t="s">
        <v>382</v>
      </c>
      <c r="K284" s="118">
        <v>1210</v>
      </c>
      <c r="M284" s="117" t="s">
        <v>391</v>
      </c>
      <c r="N284" s="119">
        <v>1</v>
      </c>
      <c r="P284" s="117" t="s">
        <v>381</v>
      </c>
      <c r="Q284" s="145">
        <v>-53</v>
      </c>
      <c r="S284" s="117" t="s">
        <v>391</v>
      </c>
      <c r="T284" s="119">
        <v>1</v>
      </c>
      <c r="V284" s="117" t="s">
        <v>396</v>
      </c>
      <c r="W284" s="134">
        <v>0</v>
      </c>
    </row>
    <row r="285" spans="1:23" x14ac:dyDescent="0.2">
      <c r="A285" s="141" t="s">
        <v>374</v>
      </c>
      <c r="B285" s="142">
        <v>1076.7</v>
      </c>
      <c r="C285" s="142">
        <v>911.9</v>
      </c>
      <c r="D285" s="142">
        <v>933.2</v>
      </c>
      <c r="E285" s="142">
        <v>575.6</v>
      </c>
      <c r="F285" s="142">
        <v>670.8</v>
      </c>
      <c r="G285" s="155"/>
      <c r="H285" s="155"/>
      <c r="J285" s="115" t="s">
        <v>383</v>
      </c>
      <c r="K285" s="116"/>
      <c r="M285" s="108" t="s">
        <v>392</v>
      </c>
      <c r="N285" s="119">
        <v>56.65</v>
      </c>
      <c r="P285" s="117" t="s">
        <v>382</v>
      </c>
      <c r="Q285" s="145">
        <v>-28</v>
      </c>
      <c r="S285" s="108" t="s">
        <v>801</v>
      </c>
      <c r="T285" s="118">
        <v>1450.83</v>
      </c>
      <c r="V285" s="117" t="s">
        <v>397</v>
      </c>
      <c r="W285" s="119">
        <v>13.89</v>
      </c>
    </row>
    <row r="286" spans="1:23" x14ac:dyDescent="0.2">
      <c r="A286" s="129" t="s">
        <v>375</v>
      </c>
      <c r="B286" s="130"/>
      <c r="C286" s="130"/>
      <c r="D286" s="130"/>
      <c r="E286" s="130"/>
      <c r="F286" s="130"/>
      <c r="G286" s="151"/>
      <c r="H286" s="151"/>
      <c r="J286" s="117" t="s">
        <v>384</v>
      </c>
      <c r="K286" s="118">
        <v>1137</v>
      </c>
      <c r="M286" s="108" t="s">
        <v>393</v>
      </c>
      <c r="N286" s="119">
        <v>2.77</v>
      </c>
      <c r="P286" s="115" t="s">
        <v>383</v>
      </c>
      <c r="Q286" s="116"/>
      <c r="S286" s="108" t="s">
        <v>800</v>
      </c>
      <c r="T286" s="119">
        <v>1.99</v>
      </c>
      <c r="V286" s="115" t="s">
        <v>398</v>
      </c>
      <c r="W286" s="116"/>
    </row>
    <row r="287" spans="1:23" x14ac:dyDescent="0.2">
      <c r="A287" s="131" t="s">
        <v>376</v>
      </c>
      <c r="B287" s="132">
        <v>1082.5999999999999</v>
      </c>
      <c r="C287" s="132">
        <v>911.9</v>
      </c>
      <c r="D287" s="132">
        <v>934.9</v>
      </c>
      <c r="E287" s="132">
        <v>576.5</v>
      </c>
      <c r="F287" s="132">
        <v>670.4</v>
      </c>
      <c r="G287" s="153"/>
      <c r="H287" s="153"/>
      <c r="J287" s="108" t="s">
        <v>385</v>
      </c>
      <c r="K287" s="118">
        <v>990</v>
      </c>
      <c r="M287" s="108" t="s">
        <v>394</v>
      </c>
      <c r="N287" s="119">
        <v>2.77</v>
      </c>
      <c r="P287" s="117" t="s">
        <v>384</v>
      </c>
      <c r="Q287" s="118">
        <v>3753</v>
      </c>
      <c r="S287" s="108" t="s">
        <v>799</v>
      </c>
      <c r="T287" s="119">
        <v>0.82</v>
      </c>
      <c r="V287" s="117" t="s">
        <v>399</v>
      </c>
      <c r="W287" s="118">
        <v>463.42</v>
      </c>
    </row>
    <row r="288" spans="1:23" x14ac:dyDescent="0.2">
      <c r="A288" s="131" t="s">
        <v>377</v>
      </c>
      <c r="B288" s="135">
        <v>1.7</v>
      </c>
      <c r="C288" s="135">
        <v>1.7</v>
      </c>
      <c r="D288" s="135">
        <v>1.6</v>
      </c>
      <c r="E288" s="135">
        <v>1.5</v>
      </c>
      <c r="F288" s="135">
        <v>1.5</v>
      </c>
      <c r="G288" s="152"/>
      <c r="H288" s="152"/>
      <c r="J288" s="108" t="s">
        <v>386</v>
      </c>
      <c r="K288" s="119">
        <v>60.5</v>
      </c>
      <c r="M288" s="108" t="s">
        <v>395</v>
      </c>
      <c r="N288" s="119">
        <v>2.92</v>
      </c>
      <c r="P288" s="108" t="s">
        <v>385</v>
      </c>
      <c r="Q288" s="118">
        <v>3753</v>
      </c>
      <c r="S288" s="108" t="s">
        <v>798</v>
      </c>
      <c r="T288" s="119">
        <v>0.3</v>
      </c>
      <c r="V288" s="108" t="s">
        <v>400</v>
      </c>
      <c r="W288" s="118">
        <v>463.42</v>
      </c>
    </row>
    <row r="289" spans="1:23" x14ac:dyDescent="0.2">
      <c r="A289" s="131" t="s">
        <v>378</v>
      </c>
      <c r="B289" s="135">
        <v>0.1</v>
      </c>
      <c r="C289" s="135">
        <v>14.7</v>
      </c>
      <c r="D289" s="135">
        <v>9.3000000000000007</v>
      </c>
      <c r="E289" s="147">
        <v>-3.5</v>
      </c>
      <c r="F289" s="135">
        <v>27.1</v>
      </c>
      <c r="G289" s="152"/>
      <c r="H289" s="152"/>
      <c r="J289" s="108" t="s">
        <v>387</v>
      </c>
      <c r="K289" s="119">
        <v>18.79</v>
      </c>
      <c r="M289" s="117" t="s">
        <v>396</v>
      </c>
      <c r="N289" s="134">
        <v>0</v>
      </c>
      <c r="P289" s="108" t="s">
        <v>386</v>
      </c>
      <c r="Q289" s="118">
        <v>673.2</v>
      </c>
      <c r="S289" s="117" t="s">
        <v>396</v>
      </c>
      <c r="T289" s="119">
        <v>0.04</v>
      </c>
      <c r="V289" s="108" t="s">
        <v>401</v>
      </c>
      <c r="W289" s="119">
        <v>33.65</v>
      </c>
    </row>
    <row r="290" spans="1:23" x14ac:dyDescent="0.2">
      <c r="A290" s="131" t="s">
        <v>379</v>
      </c>
      <c r="B290" s="135">
        <v>1.8</v>
      </c>
      <c r="C290" s="135">
        <v>16.399999999999999</v>
      </c>
      <c r="D290" s="135">
        <v>10.9</v>
      </c>
      <c r="E290" s="147">
        <v>-2</v>
      </c>
      <c r="F290" s="135">
        <v>28.6</v>
      </c>
      <c r="G290" s="152"/>
      <c r="H290" s="152"/>
      <c r="J290" s="108" t="s">
        <v>388</v>
      </c>
      <c r="K290" s="119">
        <v>16.36</v>
      </c>
      <c r="M290" s="117" t="s">
        <v>397</v>
      </c>
      <c r="N290" s="119">
        <v>2.76</v>
      </c>
      <c r="P290" s="108" t="s">
        <v>387</v>
      </c>
      <c r="Q290" s="119">
        <v>5.57</v>
      </c>
      <c r="S290" s="115" t="s">
        <v>398</v>
      </c>
      <c r="T290" s="116"/>
      <c r="V290" s="108" t="s">
        <v>402</v>
      </c>
      <c r="W290" s="119">
        <v>13.77</v>
      </c>
    </row>
    <row r="291" spans="1:23" x14ac:dyDescent="0.2">
      <c r="A291" s="141" t="s">
        <v>380</v>
      </c>
      <c r="B291" s="142">
        <v>2158.4</v>
      </c>
      <c r="C291" s="142">
        <v>928.3</v>
      </c>
      <c r="D291" s="142">
        <v>945.8</v>
      </c>
      <c r="E291" s="142">
        <v>574.5</v>
      </c>
      <c r="F291" s="142">
        <v>699.4</v>
      </c>
      <c r="G291" s="155"/>
      <c r="H291" s="155"/>
      <c r="J291" s="108" t="s">
        <v>389</v>
      </c>
      <c r="K291" s="119">
        <v>16.96</v>
      </c>
      <c r="M291" s="115" t="s">
        <v>398</v>
      </c>
      <c r="N291" s="116"/>
      <c r="P291" s="108" t="s">
        <v>388</v>
      </c>
      <c r="Q291" s="119">
        <v>5.57</v>
      </c>
      <c r="S291" s="117" t="s">
        <v>399</v>
      </c>
      <c r="T291" s="118">
        <v>960.16</v>
      </c>
      <c r="V291" s="108" t="s">
        <v>403</v>
      </c>
      <c r="W291" s="119">
        <v>13.77</v>
      </c>
    </row>
    <row r="292" spans="1:23" x14ac:dyDescent="0.2">
      <c r="A292" s="131" t="s">
        <v>381</v>
      </c>
      <c r="B292" s="147">
        <v>-1.4</v>
      </c>
      <c r="C292" s="147">
        <v>-1.2</v>
      </c>
      <c r="D292" s="147">
        <v>-1.7</v>
      </c>
      <c r="E292" s="147">
        <v>-0.9</v>
      </c>
      <c r="F292" s="135">
        <v>0.4</v>
      </c>
      <c r="G292" s="152"/>
      <c r="H292" s="152"/>
      <c r="J292" s="117" t="s">
        <v>390</v>
      </c>
      <c r="K292" s="118">
        <v>1137</v>
      </c>
      <c r="M292" s="117" t="s">
        <v>399</v>
      </c>
      <c r="N292" s="118">
        <v>157.07</v>
      </c>
      <c r="P292" s="108" t="s">
        <v>389</v>
      </c>
      <c r="Q292" s="119">
        <v>5.75</v>
      </c>
      <c r="S292" s="108" t="s">
        <v>400</v>
      </c>
      <c r="T292" s="118">
        <v>394.77</v>
      </c>
      <c r="V292" s="108" t="s">
        <v>404</v>
      </c>
      <c r="W292" s="119">
        <v>13.77</v>
      </c>
    </row>
    <row r="293" spans="1:23" x14ac:dyDescent="0.2">
      <c r="A293" s="131" t="s">
        <v>382</v>
      </c>
      <c r="B293" s="132">
        <v>1079.9000000000001</v>
      </c>
      <c r="C293" s="132">
        <v>929.5</v>
      </c>
      <c r="D293" s="132">
        <v>947.5</v>
      </c>
      <c r="E293" s="132">
        <v>575.4</v>
      </c>
      <c r="F293" s="132">
        <v>699</v>
      </c>
      <c r="G293" s="153"/>
      <c r="H293" s="153"/>
      <c r="J293" s="117" t="s">
        <v>391</v>
      </c>
      <c r="K293" s="119">
        <v>1</v>
      </c>
      <c r="M293" s="108" t="s">
        <v>400</v>
      </c>
      <c r="N293" s="118">
        <v>157.07</v>
      </c>
      <c r="P293" s="117" t="s">
        <v>390</v>
      </c>
      <c r="Q293" s="118">
        <v>3753</v>
      </c>
      <c r="S293" s="108" t="s">
        <v>401</v>
      </c>
      <c r="T293" s="134">
        <v>14508.33</v>
      </c>
      <c r="V293" s="117" t="s">
        <v>405</v>
      </c>
      <c r="W293" s="118">
        <v>463.42</v>
      </c>
    </row>
    <row r="294" spans="1:23" x14ac:dyDescent="0.2">
      <c r="A294" s="129" t="s">
        <v>383</v>
      </c>
      <c r="B294" s="130"/>
      <c r="C294" s="130"/>
      <c r="D294" s="130"/>
      <c r="E294" s="130"/>
      <c r="F294" s="130"/>
      <c r="G294" s="151"/>
      <c r="H294" s="151"/>
      <c r="J294" s="108" t="s">
        <v>392</v>
      </c>
      <c r="K294" s="119">
        <v>60.5</v>
      </c>
      <c r="M294" s="108" t="s">
        <v>401</v>
      </c>
      <c r="N294" s="119">
        <v>56.9</v>
      </c>
      <c r="P294" s="117" t="s">
        <v>391</v>
      </c>
      <c r="Q294" s="119">
        <v>1</v>
      </c>
      <c r="S294" s="108" t="s">
        <v>402</v>
      </c>
      <c r="T294" s="119">
        <v>7.0000000000000007E-2</v>
      </c>
      <c r="V294" s="117" t="s">
        <v>406</v>
      </c>
      <c r="W294" s="119">
        <v>1</v>
      </c>
    </row>
    <row r="295" spans="1:23" x14ac:dyDescent="0.2">
      <c r="A295" s="131" t="s">
        <v>384</v>
      </c>
      <c r="B295" s="132">
        <v>1076.7</v>
      </c>
      <c r="C295" s="132">
        <v>911.9</v>
      </c>
      <c r="D295" s="132">
        <v>933.2</v>
      </c>
      <c r="E295" s="132">
        <v>575.6</v>
      </c>
      <c r="F295" s="132">
        <v>670.8</v>
      </c>
      <c r="G295" s="153"/>
      <c r="H295" s="153"/>
      <c r="J295" s="108" t="s">
        <v>393</v>
      </c>
      <c r="K295" s="119">
        <v>18.79</v>
      </c>
      <c r="M295" s="108" t="s">
        <v>402</v>
      </c>
      <c r="N295" s="119">
        <v>2.76</v>
      </c>
      <c r="P295" s="108" t="s">
        <v>392</v>
      </c>
      <c r="Q295" s="118">
        <v>673.2</v>
      </c>
      <c r="S295" s="108" t="s">
        <v>403</v>
      </c>
      <c r="T295" s="119">
        <v>0.03</v>
      </c>
      <c r="V295" s="108" t="s">
        <v>407</v>
      </c>
      <c r="W295" s="119">
        <v>33.65</v>
      </c>
    </row>
    <row r="296" spans="1:23" x14ac:dyDescent="0.2">
      <c r="A296" s="133" t="s">
        <v>385</v>
      </c>
      <c r="B296" s="132">
        <v>1081.2</v>
      </c>
      <c r="C296" s="132">
        <v>919.5</v>
      </c>
      <c r="D296" s="132">
        <v>944</v>
      </c>
      <c r="E296" s="132">
        <v>594.20000000000005</v>
      </c>
      <c r="F296" s="132">
        <v>674.1</v>
      </c>
      <c r="G296" s="153"/>
      <c r="H296" s="153"/>
      <c r="J296" s="108" t="s">
        <v>394</v>
      </c>
      <c r="K296" s="119">
        <v>16.36</v>
      </c>
      <c r="M296" s="108" t="s">
        <v>403</v>
      </c>
      <c r="N296" s="119">
        <v>2.76</v>
      </c>
      <c r="P296" s="108" t="s">
        <v>393</v>
      </c>
      <c r="Q296" s="119">
        <v>5.57</v>
      </c>
      <c r="S296" s="108" t="s">
        <v>404</v>
      </c>
      <c r="T296" s="119">
        <v>0.03</v>
      </c>
      <c r="V296" s="108" t="s">
        <v>408</v>
      </c>
      <c r="W296" s="119">
        <v>13.77</v>
      </c>
    </row>
    <row r="297" spans="1:23" x14ac:dyDescent="0.2">
      <c r="A297" s="133" t="s">
        <v>386</v>
      </c>
      <c r="B297" s="132">
        <v>132</v>
      </c>
      <c r="C297" s="132">
        <v>132.30000000000001</v>
      </c>
      <c r="D297" s="132">
        <v>133</v>
      </c>
      <c r="E297" s="132">
        <v>133</v>
      </c>
      <c r="F297" s="132">
        <v>132.80000000000001</v>
      </c>
      <c r="G297" s="153"/>
      <c r="H297" s="153"/>
      <c r="J297" s="108" t="s">
        <v>395</v>
      </c>
      <c r="K297" s="119">
        <v>16.96</v>
      </c>
      <c r="M297" s="108" t="s">
        <v>404</v>
      </c>
      <c r="N297" s="119">
        <v>2.9</v>
      </c>
      <c r="P297" s="108" t="s">
        <v>394</v>
      </c>
      <c r="Q297" s="119">
        <v>5.57</v>
      </c>
      <c r="S297" s="117" t="s">
        <v>406</v>
      </c>
      <c r="T297" s="119">
        <v>1</v>
      </c>
      <c r="V297" s="108" t="s">
        <v>409</v>
      </c>
      <c r="W297" s="119">
        <v>13.77</v>
      </c>
    </row>
    <row r="298" spans="1:23" x14ac:dyDescent="0.2">
      <c r="A298" s="133" t="s">
        <v>387</v>
      </c>
      <c r="B298" s="135">
        <v>8.16</v>
      </c>
      <c r="C298" s="135">
        <v>6.89</v>
      </c>
      <c r="D298" s="135">
        <v>7.02</v>
      </c>
      <c r="E298" s="135">
        <v>4.33</v>
      </c>
      <c r="F298" s="135">
        <v>5.05</v>
      </c>
      <c r="G298" s="152"/>
      <c r="H298" s="152"/>
      <c r="J298" s="117" t="s">
        <v>396</v>
      </c>
      <c r="K298" s="119">
        <v>2.4300000000000002</v>
      </c>
      <c r="M298" s="117" t="s">
        <v>405</v>
      </c>
      <c r="N298" s="118">
        <v>157.07</v>
      </c>
      <c r="P298" s="108" t="s">
        <v>395</v>
      </c>
      <c r="Q298" s="119">
        <v>5.75</v>
      </c>
      <c r="S298" s="108" t="s">
        <v>812</v>
      </c>
      <c r="T298" s="134">
        <v>14508.33</v>
      </c>
      <c r="V298" s="108" t="s">
        <v>410</v>
      </c>
      <c r="W298" s="119">
        <v>13.77</v>
      </c>
    </row>
    <row r="299" spans="1:23" x14ac:dyDescent="0.2">
      <c r="A299" s="133" t="s">
        <v>388</v>
      </c>
      <c r="B299" s="135">
        <v>8.19</v>
      </c>
      <c r="C299" s="135">
        <v>6.95</v>
      </c>
      <c r="D299" s="135">
        <v>7.1</v>
      </c>
      <c r="E299" s="135">
        <v>4.47</v>
      </c>
      <c r="F299" s="135">
        <v>5.08</v>
      </c>
      <c r="G299" s="152"/>
      <c r="H299" s="152"/>
      <c r="J299" s="117" t="s">
        <v>397</v>
      </c>
      <c r="K299" s="119">
        <v>20</v>
      </c>
      <c r="M299" s="117" t="s">
        <v>406</v>
      </c>
      <c r="N299" s="119">
        <v>1</v>
      </c>
      <c r="P299" s="117" t="s">
        <v>391</v>
      </c>
      <c r="Q299" s="119">
        <v>1</v>
      </c>
      <c r="S299" s="108" t="s">
        <v>811</v>
      </c>
      <c r="T299" s="119">
        <v>0.2</v>
      </c>
      <c r="V299" s="117" t="s">
        <v>411</v>
      </c>
      <c r="W299" s="134">
        <v>0</v>
      </c>
    </row>
    <row r="300" spans="1:23" x14ac:dyDescent="0.2">
      <c r="A300" s="133" t="s">
        <v>389</v>
      </c>
      <c r="B300" s="135">
        <v>8.2100000000000009</v>
      </c>
      <c r="C300" s="135">
        <v>7.86</v>
      </c>
      <c r="D300" s="135">
        <v>7.39</v>
      </c>
      <c r="E300" s="135">
        <v>5.14</v>
      </c>
      <c r="F300" s="135">
        <v>5.69</v>
      </c>
      <c r="G300" s="152"/>
      <c r="H300" s="152"/>
      <c r="J300" s="115" t="s">
        <v>398</v>
      </c>
      <c r="K300" s="116"/>
      <c r="M300" s="108" t="s">
        <v>407</v>
      </c>
      <c r="N300" s="119">
        <v>56.9</v>
      </c>
      <c r="P300" s="108" t="s">
        <v>801</v>
      </c>
      <c r="Q300" s="118">
        <v>673.2</v>
      </c>
      <c r="S300" s="108" t="s">
        <v>810</v>
      </c>
      <c r="T300" s="119">
        <v>0.08</v>
      </c>
      <c r="V300" s="117" t="s">
        <v>412</v>
      </c>
      <c r="W300" s="119">
        <v>13.78</v>
      </c>
    </row>
    <row r="301" spans="1:23" x14ac:dyDescent="0.2">
      <c r="A301" s="131" t="s">
        <v>390</v>
      </c>
      <c r="B301" s="132">
        <v>1076.7</v>
      </c>
      <c r="C301" s="132">
        <v>911.9</v>
      </c>
      <c r="D301" s="132">
        <v>933.2</v>
      </c>
      <c r="E301" s="132">
        <v>575.6</v>
      </c>
      <c r="F301" s="132">
        <v>670.8</v>
      </c>
      <c r="G301" s="153"/>
      <c r="H301" s="153"/>
      <c r="J301" s="117" t="s">
        <v>399</v>
      </c>
      <c r="K301" s="118">
        <v>1137</v>
      </c>
      <c r="M301" s="108" t="s">
        <v>408</v>
      </c>
      <c r="N301" s="119">
        <v>2.76</v>
      </c>
      <c r="P301" s="108" t="s">
        <v>800</v>
      </c>
      <c r="Q301" s="119">
        <v>5.54</v>
      </c>
      <c r="S301" s="108" t="s">
        <v>809</v>
      </c>
      <c r="T301" s="119">
        <v>0.03</v>
      </c>
      <c r="V301" s="115" t="s">
        <v>413</v>
      </c>
      <c r="W301" s="116"/>
    </row>
    <row r="302" spans="1:23" x14ac:dyDescent="0.2">
      <c r="A302" s="131" t="s">
        <v>391</v>
      </c>
      <c r="B302" s="135">
        <v>1</v>
      </c>
      <c r="C302" s="135">
        <v>1</v>
      </c>
      <c r="D302" s="135">
        <v>1</v>
      </c>
      <c r="E302" s="135">
        <v>1</v>
      </c>
      <c r="F302" s="135">
        <v>1</v>
      </c>
      <c r="G302" s="152"/>
      <c r="H302" s="152"/>
      <c r="J302" s="108" t="s">
        <v>400</v>
      </c>
      <c r="K302" s="118">
        <v>990</v>
      </c>
      <c r="M302" s="108" t="s">
        <v>409</v>
      </c>
      <c r="N302" s="119">
        <v>2.76</v>
      </c>
      <c r="P302" s="108" t="s">
        <v>799</v>
      </c>
      <c r="Q302" s="119">
        <v>5.54</v>
      </c>
      <c r="S302" s="117" t="s">
        <v>406</v>
      </c>
      <c r="T302" s="119">
        <v>1</v>
      </c>
      <c r="V302" s="117" t="s">
        <v>414</v>
      </c>
      <c r="W302" s="119">
        <v>1</v>
      </c>
    </row>
    <row r="303" spans="1:23" x14ac:dyDescent="0.2">
      <c r="A303" s="133" t="s">
        <v>392</v>
      </c>
      <c r="B303" s="132">
        <v>132</v>
      </c>
      <c r="C303" s="132">
        <v>132.30000000000001</v>
      </c>
      <c r="D303" s="132">
        <v>133</v>
      </c>
      <c r="E303" s="132">
        <v>133</v>
      </c>
      <c r="F303" s="132">
        <v>132.80000000000001</v>
      </c>
      <c r="G303" s="153"/>
      <c r="H303" s="153"/>
      <c r="J303" s="108" t="s">
        <v>401</v>
      </c>
      <c r="K303" s="119">
        <v>60.6</v>
      </c>
      <c r="M303" s="108" t="s">
        <v>410</v>
      </c>
      <c r="N303" s="119">
        <v>2.9</v>
      </c>
      <c r="P303" s="108" t="s">
        <v>798</v>
      </c>
      <c r="Q303" s="119">
        <v>5.75</v>
      </c>
      <c r="S303" s="108" t="s">
        <v>796</v>
      </c>
      <c r="T303" s="118">
        <v>1450.83</v>
      </c>
      <c r="V303" s="117" t="s">
        <v>415</v>
      </c>
      <c r="W303" s="119">
        <v>1</v>
      </c>
    </row>
    <row r="304" spans="1:23" x14ac:dyDescent="0.2">
      <c r="A304" s="133" t="s">
        <v>393</v>
      </c>
      <c r="B304" s="135">
        <v>8.16</v>
      </c>
      <c r="C304" s="135">
        <v>6.89</v>
      </c>
      <c r="D304" s="135">
        <v>7.02</v>
      </c>
      <c r="E304" s="135">
        <v>4.33</v>
      </c>
      <c r="F304" s="135">
        <v>5.05</v>
      </c>
      <c r="G304" s="152"/>
      <c r="H304" s="152"/>
      <c r="J304" s="108" t="s">
        <v>402</v>
      </c>
      <c r="K304" s="119">
        <v>18.760000000000002</v>
      </c>
      <c r="M304" s="117" t="s">
        <v>411</v>
      </c>
      <c r="N304" s="134">
        <v>0</v>
      </c>
      <c r="P304" s="117" t="s">
        <v>396</v>
      </c>
      <c r="Q304" s="134">
        <v>0</v>
      </c>
      <c r="S304" s="108" t="s">
        <v>795</v>
      </c>
      <c r="T304" s="119">
        <v>1.99</v>
      </c>
      <c r="V304" s="115" t="s">
        <v>416</v>
      </c>
      <c r="W304" s="116"/>
    </row>
    <row r="305" spans="1:23" x14ac:dyDescent="0.2">
      <c r="A305" s="133" t="s">
        <v>394</v>
      </c>
      <c r="B305" s="135">
        <v>8.19</v>
      </c>
      <c r="C305" s="135">
        <v>6.95</v>
      </c>
      <c r="D305" s="135">
        <v>7.1</v>
      </c>
      <c r="E305" s="135">
        <v>4.47</v>
      </c>
      <c r="F305" s="135">
        <v>5.08</v>
      </c>
      <c r="G305" s="152"/>
      <c r="H305" s="152"/>
      <c r="J305" s="108" t="s">
        <v>403</v>
      </c>
      <c r="K305" s="119">
        <v>16.34</v>
      </c>
      <c r="M305" s="117" t="s">
        <v>412</v>
      </c>
      <c r="N305" s="119">
        <v>2.74</v>
      </c>
      <c r="P305" s="117" t="s">
        <v>397</v>
      </c>
      <c r="Q305" s="145">
        <v>-0.04</v>
      </c>
      <c r="S305" s="108" t="s">
        <v>794</v>
      </c>
      <c r="T305" s="119">
        <v>0.82</v>
      </c>
      <c r="V305" s="117" t="s">
        <v>417</v>
      </c>
      <c r="W305" s="118">
        <v>605.62</v>
      </c>
    </row>
    <row r="306" spans="1:23" x14ac:dyDescent="0.2">
      <c r="A306" s="133" t="s">
        <v>395</v>
      </c>
      <c r="B306" s="135">
        <v>8.2100000000000009</v>
      </c>
      <c r="C306" s="135">
        <v>7.86</v>
      </c>
      <c r="D306" s="135">
        <v>7.39</v>
      </c>
      <c r="E306" s="135">
        <v>5.14</v>
      </c>
      <c r="F306" s="135">
        <v>5.69</v>
      </c>
      <c r="G306" s="152"/>
      <c r="H306" s="152"/>
      <c r="J306" s="108" t="s">
        <v>404</v>
      </c>
      <c r="K306" s="119">
        <v>16.93</v>
      </c>
      <c r="M306" s="115" t="s">
        <v>413</v>
      </c>
      <c r="N306" s="116"/>
      <c r="P306" s="117" t="s">
        <v>797</v>
      </c>
      <c r="Q306" s="145">
        <v>-0.04</v>
      </c>
      <c r="S306" s="108" t="s">
        <v>793</v>
      </c>
      <c r="T306" s="119">
        <v>0.3</v>
      </c>
      <c r="V306" s="117" t="s">
        <v>418</v>
      </c>
      <c r="W306" s="118">
        <v>764.52</v>
      </c>
    </row>
    <row r="307" spans="1:23" x14ac:dyDescent="0.2">
      <c r="A307" s="131" t="s">
        <v>396</v>
      </c>
      <c r="B307" s="147">
        <v>-0.03</v>
      </c>
      <c r="C307" s="147">
        <v>-0.06</v>
      </c>
      <c r="D307" s="147">
        <v>-0.08</v>
      </c>
      <c r="E307" s="147">
        <v>-0.14000000000000001</v>
      </c>
      <c r="F307" s="147">
        <v>-0.02</v>
      </c>
      <c r="G307" s="156"/>
      <c r="H307" s="156"/>
      <c r="J307" s="117" t="s">
        <v>405</v>
      </c>
      <c r="K307" s="118">
        <v>1137</v>
      </c>
      <c r="M307" s="117" t="s">
        <v>414</v>
      </c>
      <c r="N307" s="134">
        <v>0</v>
      </c>
      <c r="P307" s="115" t="s">
        <v>398</v>
      </c>
      <c r="Q307" s="116"/>
      <c r="S307" s="117" t="s">
        <v>411</v>
      </c>
      <c r="T307" s="119">
        <v>0.04</v>
      </c>
      <c r="V307" s="117" t="s">
        <v>419</v>
      </c>
      <c r="W307" s="118">
        <v>772.47</v>
      </c>
    </row>
    <row r="308" spans="1:23" x14ac:dyDescent="0.2">
      <c r="A308" s="131" t="s">
        <v>397</v>
      </c>
      <c r="B308" s="135">
        <v>8.18</v>
      </c>
      <c r="C308" s="135">
        <v>7.03</v>
      </c>
      <c r="D308" s="135">
        <v>7.12</v>
      </c>
      <c r="E308" s="135">
        <v>4.33</v>
      </c>
      <c r="F308" s="135">
        <v>5.26</v>
      </c>
      <c r="G308" s="152"/>
      <c r="H308" s="152"/>
      <c r="J308" s="117" t="s">
        <v>406</v>
      </c>
      <c r="K308" s="119">
        <v>1</v>
      </c>
      <c r="M308" s="117" t="s">
        <v>415</v>
      </c>
      <c r="N308" s="134">
        <v>0</v>
      </c>
      <c r="P308" s="117" t="s">
        <v>399</v>
      </c>
      <c r="Q308" s="118">
        <v>3753</v>
      </c>
      <c r="S308" s="115" t="s">
        <v>413</v>
      </c>
      <c r="T308" s="116"/>
      <c r="V308" s="115" t="s">
        <v>420</v>
      </c>
      <c r="W308" s="116"/>
    </row>
    <row r="309" spans="1:23" x14ac:dyDescent="0.2">
      <c r="A309" s="129" t="s">
        <v>398</v>
      </c>
      <c r="B309" s="130"/>
      <c r="C309" s="130"/>
      <c r="D309" s="130"/>
      <c r="E309" s="130"/>
      <c r="F309" s="130"/>
      <c r="G309" s="151"/>
      <c r="H309" s="151"/>
      <c r="J309" s="108" t="s">
        <v>407</v>
      </c>
      <c r="K309" s="119">
        <v>60.6</v>
      </c>
      <c r="M309" s="115" t="s">
        <v>416</v>
      </c>
      <c r="N309" s="116"/>
      <c r="P309" s="108" t="s">
        <v>400</v>
      </c>
      <c r="Q309" s="118">
        <v>3753</v>
      </c>
      <c r="S309" s="117" t="s">
        <v>414</v>
      </c>
      <c r="T309" s="134">
        <v>0</v>
      </c>
      <c r="V309" s="117" t="s">
        <v>421</v>
      </c>
      <c r="W309" s="118">
        <v>158.9</v>
      </c>
    </row>
    <row r="310" spans="1:23" x14ac:dyDescent="0.2">
      <c r="A310" s="131" t="s">
        <v>399</v>
      </c>
      <c r="B310" s="132">
        <v>1076.7</v>
      </c>
      <c r="C310" s="132">
        <v>911.9</v>
      </c>
      <c r="D310" s="132">
        <v>933.2</v>
      </c>
      <c r="E310" s="132">
        <v>575.6</v>
      </c>
      <c r="F310" s="132">
        <v>670.8</v>
      </c>
      <c r="G310" s="153"/>
      <c r="H310" s="153"/>
      <c r="J310" s="108" t="s">
        <v>408</v>
      </c>
      <c r="K310" s="119">
        <v>18.760000000000002</v>
      </c>
      <c r="M310" s="117" t="s">
        <v>417</v>
      </c>
      <c r="N310" s="118">
        <v>297.47000000000003</v>
      </c>
      <c r="P310" s="108" t="s">
        <v>401</v>
      </c>
      <c r="Q310" s="118">
        <v>677</v>
      </c>
      <c r="S310" s="117" t="s">
        <v>414</v>
      </c>
      <c r="T310" s="134">
        <v>0</v>
      </c>
      <c r="V310" s="108" t="s">
        <v>422</v>
      </c>
      <c r="W310" s="118">
        <v>147.6</v>
      </c>
    </row>
    <row r="311" spans="1:23" x14ac:dyDescent="0.2">
      <c r="A311" s="133" t="s">
        <v>400</v>
      </c>
      <c r="B311" s="132">
        <v>1081.2</v>
      </c>
      <c r="C311" s="132">
        <v>919.5</v>
      </c>
      <c r="D311" s="132">
        <v>944</v>
      </c>
      <c r="E311" s="132">
        <v>594.20000000000005</v>
      </c>
      <c r="F311" s="132">
        <v>674.1</v>
      </c>
      <c r="G311" s="153"/>
      <c r="H311" s="153"/>
      <c r="J311" s="108" t="s">
        <v>409</v>
      </c>
      <c r="K311" s="119">
        <v>16.34</v>
      </c>
      <c r="M311" s="117" t="s">
        <v>418</v>
      </c>
      <c r="N311" s="118">
        <v>491.21</v>
      </c>
      <c r="P311" s="108" t="s">
        <v>402</v>
      </c>
      <c r="Q311" s="119">
        <v>5.54</v>
      </c>
      <c r="S311" s="117" t="s">
        <v>415</v>
      </c>
      <c r="T311" s="134">
        <v>0</v>
      </c>
      <c r="V311" s="108" t="s">
        <v>424</v>
      </c>
      <c r="W311" s="119">
        <v>8.4</v>
      </c>
    </row>
    <row r="312" spans="1:23" x14ac:dyDescent="0.2">
      <c r="A312" s="133" t="s">
        <v>401</v>
      </c>
      <c r="B312" s="132">
        <v>132.69999999999999</v>
      </c>
      <c r="C312" s="132">
        <v>133.1</v>
      </c>
      <c r="D312" s="132">
        <v>133.69999999999999</v>
      </c>
      <c r="E312" s="132">
        <v>133.6</v>
      </c>
      <c r="F312" s="132">
        <v>133.5</v>
      </c>
      <c r="G312" s="153"/>
      <c r="H312" s="153"/>
      <c r="J312" s="108" t="s">
        <v>410</v>
      </c>
      <c r="K312" s="119">
        <v>16.93</v>
      </c>
      <c r="M312" s="117" t="s">
        <v>419</v>
      </c>
      <c r="N312" s="118">
        <v>509.78</v>
      </c>
      <c r="P312" s="108" t="s">
        <v>403</v>
      </c>
      <c r="Q312" s="119">
        <v>5.54</v>
      </c>
      <c r="S312" s="117" t="s">
        <v>415</v>
      </c>
      <c r="T312" s="134">
        <v>0</v>
      </c>
      <c r="V312" s="108" t="s">
        <v>425</v>
      </c>
      <c r="W312" s="119">
        <v>8.4</v>
      </c>
    </row>
    <row r="313" spans="1:23" x14ac:dyDescent="0.2">
      <c r="A313" s="133" t="s">
        <v>402</v>
      </c>
      <c r="B313" s="135">
        <v>8.11</v>
      </c>
      <c r="C313" s="135">
        <v>6.85</v>
      </c>
      <c r="D313" s="135">
        <v>6.98</v>
      </c>
      <c r="E313" s="135">
        <v>4.3099999999999996</v>
      </c>
      <c r="F313" s="135">
        <v>5.0199999999999996</v>
      </c>
      <c r="G313" s="152"/>
      <c r="H313" s="152"/>
      <c r="J313" s="117" t="s">
        <v>411</v>
      </c>
      <c r="K313" s="119">
        <v>2.4300000000000002</v>
      </c>
      <c r="M313" s="115" t="s">
        <v>420</v>
      </c>
      <c r="N313" s="116"/>
      <c r="P313" s="108" t="s">
        <v>404</v>
      </c>
      <c r="Q313" s="119">
        <v>5.72</v>
      </c>
      <c r="S313" s="117" t="s">
        <v>791</v>
      </c>
      <c r="T313" s="119">
        <v>0.09</v>
      </c>
      <c r="V313" s="115" t="s">
        <v>426</v>
      </c>
      <c r="W313" s="116"/>
    </row>
    <row r="314" spans="1:23" x14ac:dyDescent="0.2">
      <c r="A314" s="133" t="s">
        <v>403</v>
      </c>
      <c r="B314" s="135">
        <v>8.15</v>
      </c>
      <c r="C314" s="135">
        <v>6.91</v>
      </c>
      <c r="D314" s="135">
        <v>7.06</v>
      </c>
      <c r="E314" s="135">
        <v>4.45</v>
      </c>
      <c r="F314" s="135">
        <v>5.05</v>
      </c>
      <c r="G314" s="152"/>
      <c r="H314" s="152"/>
      <c r="J314" s="117" t="s">
        <v>412</v>
      </c>
      <c r="K314" s="119">
        <v>19.97</v>
      </c>
      <c r="M314" s="117" t="s">
        <v>421</v>
      </c>
      <c r="N314" s="118">
        <v>190.3</v>
      </c>
      <c r="P314" s="117" t="s">
        <v>405</v>
      </c>
      <c r="Q314" s="118">
        <v>3753</v>
      </c>
      <c r="S314" s="117" t="s">
        <v>790</v>
      </c>
      <c r="T314" s="119">
        <v>0.09</v>
      </c>
      <c r="V314" s="117" t="s">
        <v>427</v>
      </c>
      <c r="W314" s="118">
        <v>158.9</v>
      </c>
    </row>
    <row r="315" spans="1:23" x14ac:dyDescent="0.2">
      <c r="A315" s="133" t="s">
        <v>404</v>
      </c>
      <c r="B315" s="135">
        <v>8.17</v>
      </c>
      <c r="C315" s="135">
        <v>7.81</v>
      </c>
      <c r="D315" s="135">
        <v>7.35</v>
      </c>
      <c r="E315" s="135">
        <v>5.1100000000000003</v>
      </c>
      <c r="F315" s="135">
        <v>5.66</v>
      </c>
      <c r="G315" s="152"/>
      <c r="H315" s="152"/>
      <c r="J315" s="115" t="s">
        <v>413</v>
      </c>
      <c r="K315" s="116"/>
      <c r="M315" s="108" t="s">
        <v>422</v>
      </c>
      <c r="N315" s="118">
        <v>175.5</v>
      </c>
      <c r="P315" s="117" t="s">
        <v>406</v>
      </c>
      <c r="Q315" s="119">
        <v>1</v>
      </c>
      <c r="S315" s="117" t="s">
        <v>808</v>
      </c>
      <c r="T315" s="134">
        <v>0</v>
      </c>
      <c r="V315" s="108" t="s">
        <v>428</v>
      </c>
      <c r="W315" s="118">
        <v>147.6</v>
      </c>
    </row>
    <row r="316" spans="1:23" x14ac:dyDescent="0.2">
      <c r="A316" s="131" t="s">
        <v>405</v>
      </c>
      <c r="B316" s="132">
        <v>1076.7</v>
      </c>
      <c r="C316" s="132">
        <v>911.9</v>
      </c>
      <c r="D316" s="132">
        <v>933.2</v>
      </c>
      <c r="E316" s="132">
        <v>575.6</v>
      </c>
      <c r="F316" s="132">
        <v>670.8</v>
      </c>
      <c r="G316" s="153"/>
      <c r="H316" s="153"/>
      <c r="J316" s="117" t="s">
        <v>414</v>
      </c>
      <c r="K316" s="119">
        <v>3.24</v>
      </c>
      <c r="M316" s="108" t="s">
        <v>424</v>
      </c>
      <c r="N316" s="119">
        <v>14.8</v>
      </c>
      <c r="P316" s="108" t="s">
        <v>407</v>
      </c>
      <c r="Q316" s="118">
        <v>677</v>
      </c>
      <c r="S316" s="117" t="s">
        <v>807</v>
      </c>
      <c r="T316" s="134">
        <v>0</v>
      </c>
      <c r="V316" s="108" t="s">
        <v>429</v>
      </c>
      <c r="W316" s="119">
        <v>8.4</v>
      </c>
    </row>
    <row r="317" spans="1:23" x14ac:dyDescent="0.2">
      <c r="A317" s="131" t="s">
        <v>406</v>
      </c>
      <c r="B317" s="135">
        <v>1</v>
      </c>
      <c r="C317" s="135">
        <v>1</v>
      </c>
      <c r="D317" s="135">
        <v>1</v>
      </c>
      <c r="E317" s="135">
        <v>1</v>
      </c>
      <c r="F317" s="135">
        <v>1</v>
      </c>
      <c r="G317" s="152"/>
      <c r="H317" s="152"/>
      <c r="J317" s="117" t="s">
        <v>415</v>
      </c>
      <c r="K317" s="119">
        <v>3.24</v>
      </c>
      <c r="M317" s="108" t="s">
        <v>425</v>
      </c>
      <c r="N317" s="119">
        <v>14.8</v>
      </c>
      <c r="P317" s="108" t="s">
        <v>408</v>
      </c>
      <c r="Q317" s="119">
        <v>5.54</v>
      </c>
      <c r="S317" s="115" t="s">
        <v>416</v>
      </c>
      <c r="T317" s="116"/>
      <c r="V317" s="115" t="s">
        <v>430</v>
      </c>
      <c r="W317" s="116"/>
    </row>
    <row r="318" spans="1:23" x14ac:dyDescent="0.2">
      <c r="A318" s="133" t="s">
        <v>407</v>
      </c>
      <c r="B318" s="132">
        <v>132.69999999999999</v>
      </c>
      <c r="C318" s="132">
        <v>133.1</v>
      </c>
      <c r="D318" s="132">
        <v>133.69999999999999</v>
      </c>
      <c r="E318" s="132">
        <v>133.6</v>
      </c>
      <c r="F318" s="132">
        <v>133.5</v>
      </c>
      <c r="G318" s="153"/>
      <c r="H318" s="153"/>
      <c r="J318" s="115" t="s">
        <v>416</v>
      </c>
      <c r="K318" s="116"/>
      <c r="M318" s="115" t="s">
        <v>426</v>
      </c>
      <c r="N318" s="116"/>
      <c r="P318" s="108" t="s">
        <v>409</v>
      </c>
      <c r="Q318" s="119">
        <v>5.54</v>
      </c>
      <c r="S318" s="117" t="s">
        <v>417</v>
      </c>
      <c r="T318" s="118">
        <v>1004.85</v>
      </c>
      <c r="V318" s="117" t="s">
        <v>431</v>
      </c>
      <c r="W318" s="134"/>
    </row>
    <row r="319" spans="1:23" x14ac:dyDescent="0.2">
      <c r="A319" s="133" t="s">
        <v>408</v>
      </c>
      <c r="B319" s="135">
        <v>8.11</v>
      </c>
      <c r="C319" s="135">
        <v>6.85</v>
      </c>
      <c r="D319" s="135">
        <v>6.98</v>
      </c>
      <c r="E319" s="135">
        <v>4.3099999999999996</v>
      </c>
      <c r="F319" s="135">
        <v>5.0199999999999996</v>
      </c>
      <c r="G319" s="152"/>
      <c r="H319" s="152"/>
      <c r="J319" s="117" t="s">
        <v>417</v>
      </c>
      <c r="K319" s="118">
        <v>1493</v>
      </c>
      <c r="M319" s="117" t="s">
        <v>427</v>
      </c>
      <c r="N319" s="118">
        <v>193.74</v>
      </c>
      <c r="P319" s="108" t="s">
        <v>410</v>
      </c>
      <c r="Q319" s="119">
        <v>5.72</v>
      </c>
      <c r="S319" s="117" t="s">
        <v>418</v>
      </c>
      <c r="T319" s="118">
        <v>2295.7800000000002</v>
      </c>
      <c r="V319" s="108" t="s">
        <v>432</v>
      </c>
      <c r="W319" s="119">
        <v>14.81</v>
      </c>
    </row>
    <row r="320" spans="1:23" x14ac:dyDescent="0.2">
      <c r="A320" s="133" t="s">
        <v>409</v>
      </c>
      <c r="B320" s="135">
        <v>8.15</v>
      </c>
      <c r="C320" s="135">
        <v>6.91</v>
      </c>
      <c r="D320" s="135">
        <v>7.06</v>
      </c>
      <c r="E320" s="135">
        <v>4.45</v>
      </c>
      <c r="F320" s="135">
        <v>5.05</v>
      </c>
      <c r="G320" s="152"/>
      <c r="H320" s="152"/>
      <c r="J320" s="117" t="s">
        <v>418</v>
      </c>
      <c r="K320" s="118">
        <v>2130</v>
      </c>
      <c r="M320" s="108" t="s">
        <v>428</v>
      </c>
      <c r="N320" s="118">
        <v>175.5</v>
      </c>
      <c r="P320" s="117" t="s">
        <v>406</v>
      </c>
      <c r="Q320" s="119">
        <v>1</v>
      </c>
      <c r="S320" s="115" t="s">
        <v>420</v>
      </c>
      <c r="T320" s="116"/>
      <c r="V320" s="108" t="s">
        <v>433</v>
      </c>
      <c r="W320" s="119">
        <v>18.739999999999998</v>
      </c>
    </row>
    <row r="321" spans="1:23" x14ac:dyDescent="0.2">
      <c r="A321" s="133" t="s">
        <v>410</v>
      </c>
      <c r="B321" s="135">
        <v>8.17</v>
      </c>
      <c r="C321" s="135">
        <v>7.81</v>
      </c>
      <c r="D321" s="135">
        <v>7.35</v>
      </c>
      <c r="E321" s="135">
        <v>5.1100000000000003</v>
      </c>
      <c r="F321" s="135">
        <v>5.66</v>
      </c>
      <c r="G321" s="152"/>
      <c r="H321" s="152"/>
      <c r="J321" s="117" t="s">
        <v>419</v>
      </c>
      <c r="K321" s="118">
        <v>2209</v>
      </c>
      <c r="M321" s="108" t="s">
        <v>429</v>
      </c>
      <c r="N321" s="119">
        <v>14.8</v>
      </c>
      <c r="P321" s="108" t="s">
        <v>796</v>
      </c>
      <c r="Q321" s="118">
        <v>677</v>
      </c>
      <c r="S321" s="117" t="s">
        <v>421</v>
      </c>
      <c r="T321" s="118">
        <v>1290.93</v>
      </c>
      <c r="V321" s="108" t="s">
        <v>434</v>
      </c>
      <c r="W321" s="119">
        <v>3.94</v>
      </c>
    </row>
    <row r="322" spans="1:23" x14ac:dyDescent="0.2">
      <c r="A322" s="131" t="s">
        <v>411</v>
      </c>
      <c r="B322" s="147">
        <v>-0.03</v>
      </c>
      <c r="C322" s="147">
        <v>-0.06</v>
      </c>
      <c r="D322" s="147">
        <v>-0.08</v>
      </c>
      <c r="E322" s="147">
        <v>-0.14000000000000001</v>
      </c>
      <c r="F322" s="147">
        <v>-0.02</v>
      </c>
      <c r="G322" s="156"/>
      <c r="H322" s="156"/>
      <c r="J322" s="115" t="s">
        <v>420</v>
      </c>
      <c r="K322" s="116"/>
      <c r="M322" s="115" t="s">
        <v>430</v>
      </c>
      <c r="N322" s="116"/>
      <c r="P322" s="108" t="s">
        <v>795</v>
      </c>
      <c r="Q322" s="119">
        <v>5.51</v>
      </c>
      <c r="S322" s="115" t="s">
        <v>426</v>
      </c>
      <c r="T322" s="116"/>
      <c r="V322" s="115" t="s">
        <v>435</v>
      </c>
      <c r="W322" s="116"/>
    </row>
    <row r="323" spans="1:23" x14ac:dyDescent="0.2">
      <c r="A323" s="131" t="s">
        <v>412</v>
      </c>
      <c r="B323" s="135">
        <v>8.14</v>
      </c>
      <c r="C323" s="135">
        <v>6.98</v>
      </c>
      <c r="D323" s="135">
        <v>7.09</v>
      </c>
      <c r="E323" s="135">
        <v>4.3099999999999996</v>
      </c>
      <c r="F323" s="135">
        <v>5.24</v>
      </c>
      <c r="G323" s="152"/>
      <c r="H323" s="152"/>
      <c r="J323" s="117" t="s">
        <v>421</v>
      </c>
      <c r="K323" s="118">
        <v>588</v>
      </c>
      <c r="M323" s="117" t="s">
        <v>431</v>
      </c>
      <c r="N323" s="134"/>
      <c r="P323" s="108" t="s">
        <v>794</v>
      </c>
      <c r="Q323" s="119">
        <v>5.51</v>
      </c>
      <c r="S323" s="117" t="s">
        <v>427</v>
      </c>
      <c r="T323" s="118">
        <v>1290.93</v>
      </c>
      <c r="V323" s="117" t="s">
        <v>435</v>
      </c>
      <c r="W323" s="119">
        <v>2.6</v>
      </c>
    </row>
    <row r="324" spans="1:23" x14ac:dyDescent="0.2">
      <c r="A324" s="129" t="s">
        <v>413</v>
      </c>
      <c r="B324" s="130"/>
      <c r="C324" s="130"/>
      <c r="D324" s="130"/>
      <c r="E324" s="130"/>
      <c r="F324" s="130"/>
      <c r="G324" s="151"/>
      <c r="H324" s="151"/>
      <c r="J324" s="108" t="s">
        <v>422</v>
      </c>
      <c r="K324" s="118">
        <v>562</v>
      </c>
      <c r="M324" s="108" t="s">
        <v>432</v>
      </c>
      <c r="N324" s="119">
        <v>9</v>
      </c>
      <c r="P324" s="108" t="s">
        <v>793</v>
      </c>
      <c r="Q324" s="119">
        <v>5.72</v>
      </c>
      <c r="S324" s="115" t="s">
        <v>442</v>
      </c>
      <c r="T324" s="116"/>
      <c r="V324" s="108" t="s">
        <v>436</v>
      </c>
      <c r="W324" s="119">
        <v>2.6</v>
      </c>
    </row>
    <row r="325" spans="1:23" x14ac:dyDescent="0.2">
      <c r="A325" s="131" t="s">
        <v>414</v>
      </c>
      <c r="B325" s="135">
        <v>1.96</v>
      </c>
      <c r="C325" s="135">
        <v>1.84</v>
      </c>
      <c r="D325" s="135">
        <v>1.72</v>
      </c>
      <c r="E325" s="135">
        <v>1.6</v>
      </c>
      <c r="F325" s="135">
        <v>1.48</v>
      </c>
      <c r="G325" s="152"/>
      <c r="H325" s="152"/>
      <c r="J325" s="108" t="s">
        <v>423</v>
      </c>
      <c r="K325" s="119">
        <v>21</v>
      </c>
      <c r="M325" s="108" t="s">
        <v>433</v>
      </c>
      <c r="N325" s="119">
        <v>11.39</v>
      </c>
      <c r="P325" s="117" t="s">
        <v>411</v>
      </c>
      <c r="Q325" s="134">
        <v>0</v>
      </c>
      <c r="S325" s="117" t="s">
        <v>443</v>
      </c>
      <c r="T325" s="118">
        <v>447.24</v>
      </c>
      <c r="V325" s="108" t="s">
        <v>437</v>
      </c>
      <c r="W325" s="134">
        <v>0</v>
      </c>
    </row>
    <row r="326" spans="1:23" x14ac:dyDescent="0.2">
      <c r="A326" s="131" t="s">
        <v>415</v>
      </c>
      <c r="B326" s="135">
        <v>1.96</v>
      </c>
      <c r="C326" s="135">
        <v>1.84</v>
      </c>
      <c r="D326" s="135">
        <v>1.72</v>
      </c>
      <c r="E326" s="135">
        <v>1.6</v>
      </c>
      <c r="F326" s="135">
        <v>1.48</v>
      </c>
      <c r="G326" s="152"/>
      <c r="H326" s="152"/>
      <c r="J326" s="108" t="s">
        <v>424</v>
      </c>
      <c r="K326" s="119">
        <v>26</v>
      </c>
      <c r="M326" s="108" t="s">
        <v>434</v>
      </c>
      <c r="N326" s="119">
        <v>2.39</v>
      </c>
      <c r="P326" s="117" t="s">
        <v>412</v>
      </c>
      <c r="Q326" s="145">
        <v>-0.04</v>
      </c>
      <c r="S326" s="117" t="s">
        <v>444</v>
      </c>
      <c r="T326" s="118">
        <v>447.24</v>
      </c>
      <c r="V326" s="108" t="s">
        <v>438</v>
      </c>
      <c r="W326" s="134">
        <v>0</v>
      </c>
    </row>
    <row r="327" spans="1:23" x14ac:dyDescent="0.2">
      <c r="A327" s="129" t="s">
        <v>416</v>
      </c>
      <c r="B327" s="130"/>
      <c r="C327" s="130"/>
      <c r="D327" s="130"/>
      <c r="E327" s="130"/>
      <c r="F327" s="130"/>
      <c r="G327" s="151"/>
      <c r="H327" s="151"/>
      <c r="J327" s="108" t="s">
        <v>425</v>
      </c>
      <c r="K327" s="119">
        <v>26</v>
      </c>
      <c r="M327" s="115" t="s">
        <v>439</v>
      </c>
      <c r="N327" s="116"/>
      <c r="P327" s="117" t="s">
        <v>792</v>
      </c>
      <c r="Q327" s="145">
        <v>-0.04</v>
      </c>
      <c r="S327" s="117" t="s">
        <v>445</v>
      </c>
      <c r="T327" s="118">
        <v>437.67</v>
      </c>
      <c r="V327" s="115" t="s">
        <v>442</v>
      </c>
      <c r="W327" s="116"/>
    </row>
    <row r="328" spans="1:23" x14ac:dyDescent="0.2">
      <c r="A328" s="131" t="s">
        <v>417</v>
      </c>
      <c r="B328" s="132">
        <v>1527.4</v>
      </c>
      <c r="C328" s="132">
        <v>1396.1</v>
      </c>
      <c r="D328" s="132">
        <v>1322.2</v>
      </c>
      <c r="E328" s="132">
        <v>1029.5</v>
      </c>
      <c r="F328" s="132">
        <v>971.7</v>
      </c>
      <c r="G328" s="153"/>
      <c r="H328" s="153"/>
      <c r="J328" s="115" t="s">
        <v>426</v>
      </c>
      <c r="K328" s="116"/>
      <c r="M328" s="117" t="s">
        <v>440</v>
      </c>
      <c r="N328" s="118">
        <v>496.5</v>
      </c>
      <c r="P328" s="115" t="s">
        <v>413</v>
      </c>
      <c r="Q328" s="116"/>
      <c r="S328" s="117" t="s">
        <v>446</v>
      </c>
      <c r="T328" s="118">
        <v>1117.1199999999999</v>
      </c>
      <c r="V328" s="117" t="s">
        <v>443</v>
      </c>
      <c r="W328" s="118">
        <v>463.42</v>
      </c>
    </row>
    <row r="329" spans="1:23" x14ac:dyDescent="0.2">
      <c r="A329" s="131" t="s">
        <v>418</v>
      </c>
      <c r="B329" s="132">
        <v>2275.9</v>
      </c>
      <c r="C329" s="132">
        <v>2028.3</v>
      </c>
      <c r="D329" s="132">
        <v>1939.2</v>
      </c>
      <c r="E329" s="132">
        <v>1617</v>
      </c>
      <c r="F329" s="132">
        <v>1434.7</v>
      </c>
      <c r="G329" s="153"/>
      <c r="H329" s="153"/>
      <c r="J329" s="117" t="s">
        <v>427</v>
      </c>
      <c r="K329" s="118">
        <v>637</v>
      </c>
      <c r="M329" s="115" t="s">
        <v>442</v>
      </c>
      <c r="N329" s="116"/>
      <c r="P329" s="117" t="s">
        <v>414</v>
      </c>
      <c r="Q329" s="119">
        <v>1.48</v>
      </c>
      <c r="S329" s="117" t="s">
        <v>447</v>
      </c>
      <c r="T329" s="118">
        <v>2408.0500000000002</v>
      </c>
      <c r="V329" s="117" t="s">
        <v>444</v>
      </c>
      <c r="W329" s="118">
        <v>463.42</v>
      </c>
    </row>
    <row r="330" spans="1:23" x14ac:dyDescent="0.2">
      <c r="A330" s="131" t="s">
        <v>419</v>
      </c>
      <c r="B330" s="132">
        <v>2357.9</v>
      </c>
      <c r="C330" s="132">
        <v>2103.9</v>
      </c>
      <c r="D330" s="132">
        <v>2016.7</v>
      </c>
      <c r="E330" s="132">
        <v>1702.6</v>
      </c>
      <c r="F330" s="132">
        <v>1505.7</v>
      </c>
      <c r="G330" s="153"/>
      <c r="H330" s="153"/>
      <c r="J330" s="108" t="s">
        <v>428</v>
      </c>
      <c r="K330" s="118">
        <v>562</v>
      </c>
      <c r="M330" s="117" t="s">
        <v>443</v>
      </c>
      <c r="N330" s="118">
        <v>165.17</v>
      </c>
      <c r="P330" s="117" t="s">
        <v>414</v>
      </c>
      <c r="Q330" s="134">
        <v>0</v>
      </c>
      <c r="S330" s="115" t="s">
        <v>456</v>
      </c>
      <c r="T330" s="116"/>
      <c r="V330" s="117" t="s">
        <v>445</v>
      </c>
      <c r="W330" s="118">
        <v>463.42</v>
      </c>
    </row>
    <row r="331" spans="1:23" x14ac:dyDescent="0.2">
      <c r="A331" s="129" t="s">
        <v>420</v>
      </c>
      <c r="B331" s="130"/>
      <c r="C331" s="130"/>
      <c r="D331" s="130"/>
      <c r="E331" s="130"/>
      <c r="F331" s="130"/>
      <c r="G331" s="151"/>
      <c r="H331" s="151"/>
      <c r="J331" s="108" t="s">
        <v>429</v>
      </c>
      <c r="K331" s="119">
        <v>26</v>
      </c>
      <c r="M331" s="117" t="s">
        <v>444</v>
      </c>
      <c r="N331" s="118">
        <v>165.17</v>
      </c>
      <c r="P331" s="117" t="s">
        <v>414</v>
      </c>
      <c r="Q331" s="119">
        <v>0.1</v>
      </c>
      <c r="S331" s="117" t="s">
        <v>458</v>
      </c>
      <c r="T331" s="134">
        <v>10821.37</v>
      </c>
      <c r="V331" s="117" t="s">
        <v>446</v>
      </c>
      <c r="W331" s="118">
        <v>630</v>
      </c>
    </row>
    <row r="332" spans="1:23" x14ac:dyDescent="0.2">
      <c r="A332" s="131" t="s">
        <v>421</v>
      </c>
      <c r="B332" s="132">
        <v>748.5</v>
      </c>
      <c r="C332" s="132">
        <v>632.20000000000005</v>
      </c>
      <c r="D332" s="132">
        <v>617</v>
      </c>
      <c r="E332" s="132">
        <v>587.5</v>
      </c>
      <c r="F332" s="132">
        <v>463</v>
      </c>
      <c r="G332" s="153"/>
      <c r="H332" s="153"/>
      <c r="J332" s="115" t="s">
        <v>430</v>
      </c>
      <c r="K332" s="116"/>
      <c r="M332" s="117" t="s">
        <v>445</v>
      </c>
      <c r="N332" s="118">
        <v>165.17</v>
      </c>
      <c r="P332" s="117" t="s">
        <v>415</v>
      </c>
      <c r="Q332" s="119">
        <v>1.48</v>
      </c>
      <c r="S332" s="117" t="s">
        <v>459</v>
      </c>
      <c r="T332" s="134">
        <v>10821.37</v>
      </c>
      <c r="V332" s="117" t="s">
        <v>447</v>
      </c>
      <c r="W332" s="118">
        <v>788.91</v>
      </c>
    </row>
    <row r="333" spans="1:23" x14ac:dyDescent="0.2">
      <c r="A333" s="133" t="s">
        <v>422</v>
      </c>
      <c r="B333" s="132">
        <v>659.5</v>
      </c>
      <c r="C333" s="132">
        <v>548.29999999999995</v>
      </c>
      <c r="D333" s="132">
        <v>528.9</v>
      </c>
      <c r="E333" s="132">
        <v>489.9</v>
      </c>
      <c r="F333" s="132">
        <v>394.8</v>
      </c>
      <c r="G333" s="153"/>
      <c r="H333" s="153"/>
      <c r="J333" s="117" t="s">
        <v>431</v>
      </c>
      <c r="K333" s="134"/>
      <c r="M333" s="117" t="s">
        <v>446</v>
      </c>
      <c r="N333" s="118">
        <v>303.25</v>
      </c>
      <c r="P333" s="117" t="s">
        <v>415</v>
      </c>
      <c r="Q333" s="134">
        <v>0</v>
      </c>
      <c r="S333" s="117" t="s">
        <v>75</v>
      </c>
      <c r="T333" s="118">
        <v>300.77999999999997</v>
      </c>
      <c r="V333" s="115" t="s">
        <v>448</v>
      </c>
      <c r="W333" s="116"/>
    </row>
    <row r="334" spans="1:23" x14ac:dyDescent="0.2">
      <c r="A334" s="133" t="s">
        <v>423</v>
      </c>
      <c r="B334" s="135">
        <v>8</v>
      </c>
      <c r="C334" s="135">
        <v>9.5</v>
      </c>
      <c r="D334" s="135">
        <v>12.8</v>
      </c>
      <c r="E334" s="135">
        <v>16.5</v>
      </c>
      <c r="F334" s="135">
        <v>7.1</v>
      </c>
      <c r="G334" s="152"/>
      <c r="H334" s="152"/>
      <c r="J334" s="108" t="s">
        <v>432</v>
      </c>
      <c r="K334" s="119">
        <v>36.340000000000003</v>
      </c>
      <c r="M334" s="117" t="s">
        <v>447</v>
      </c>
      <c r="N334" s="118">
        <v>496.99</v>
      </c>
      <c r="P334" s="117" t="s">
        <v>415</v>
      </c>
      <c r="Q334" s="119">
        <v>0.1</v>
      </c>
      <c r="S334" s="117" t="s">
        <v>321</v>
      </c>
      <c r="T334" s="134">
        <v>15127.03</v>
      </c>
      <c r="V334" s="117" t="s">
        <v>449</v>
      </c>
      <c r="W334" s="119">
        <v>9.26</v>
      </c>
    </row>
    <row r="335" spans="1:23" x14ac:dyDescent="0.2">
      <c r="A335" s="133" t="s">
        <v>424</v>
      </c>
      <c r="B335" s="135">
        <v>89</v>
      </c>
      <c r="C335" s="135">
        <v>83.9</v>
      </c>
      <c r="D335" s="135">
        <v>88.1</v>
      </c>
      <c r="E335" s="135">
        <v>97.6</v>
      </c>
      <c r="F335" s="135">
        <v>68.2</v>
      </c>
      <c r="G335" s="152"/>
      <c r="H335" s="152"/>
      <c r="J335" s="108" t="s">
        <v>433</v>
      </c>
      <c r="K335" s="119">
        <v>46</v>
      </c>
      <c r="M335" s="115" t="s">
        <v>448</v>
      </c>
      <c r="N335" s="116"/>
      <c r="P335" s="117" t="s">
        <v>791</v>
      </c>
      <c r="Q335" s="134">
        <v>0</v>
      </c>
      <c r="S335" s="117" t="s">
        <v>460</v>
      </c>
      <c r="T335" s="118">
        <v>3521.37</v>
      </c>
      <c r="V335" s="108" t="s">
        <v>450</v>
      </c>
      <c r="W335" s="119">
        <v>7.95</v>
      </c>
    </row>
    <row r="336" spans="1:23" x14ac:dyDescent="0.2">
      <c r="A336" s="133" t="s">
        <v>425</v>
      </c>
      <c r="B336" s="135">
        <v>89</v>
      </c>
      <c r="C336" s="135">
        <v>83.9</v>
      </c>
      <c r="D336" s="135">
        <v>88.1</v>
      </c>
      <c r="E336" s="135">
        <v>97.6</v>
      </c>
      <c r="F336" s="135">
        <v>68.2</v>
      </c>
      <c r="G336" s="152"/>
      <c r="H336" s="152"/>
      <c r="J336" s="108" t="s">
        <v>434</v>
      </c>
      <c r="K336" s="119">
        <v>9.66</v>
      </c>
      <c r="M336" s="117" t="s">
        <v>449</v>
      </c>
      <c r="N336" s="134"/>
      <c r="P336" s="117" t="s">
        <v>790</v>
      </c>
      <c r="Q336" s="134">
        <v>0</v>
      </c>
      <c r="V336" s="108" t="s">
        <v>454</v>
      </c>
      <c r="W336" s="119">
        <v>1.31</v>
      </c>
    </row>
    <row r="337" spans="1:23" x14ac:dyDescent="0.2">
      <c r="A337" s="129" t="s">
        <v>426</v>
      </c>
      <c r="B337" s="130"/>
      <c r="C337" s="130"/>
      <c r="D337" s="130"/>
      <c r="E337" s="130"/>
      <c r="F337" s="130"/>
      <c r="G337" s="151"/>
      <c r="H337" s="151"/>
      <c r="J337" s="115" t="s">
        <v>439</v>
      </c>
      <c r="K337" s="116"/>
      <c r="M337" s="108" t="s">
        <v>450</v>
      </c>
      <c r="N337" s="119">
        <v>18.57</v>
      </c>
      <c r="P337" s="115" t="s">
        <v>416</v>
      </c>
      <c r="Q337" s="116"/>
      <c r="V337" s="115" t="s">
        <v>456</v>
      </c>
      <c r="W337" s="116"/>
    </row>
    <row r="338" spans="1:23" x14ac:dyDescent="0.2">
      <c r="A338" s="131" t="s">
        <v>427</v>
      </c>
      <c r="B338" s="132">
        <v>748.5</v>
      </c>
      <c r="C338" s="132">
        <v>632.20000000000005</v>
      </c>
      <c r="D338" s="132">
        <v>617</v>
      </c>
      <c r="E338" s="132">
        <v>587.5</v>
      </c>
      <c r="F338" s="132">
        <v>463</v>
      </c>
      <c r="G338" s="153"/>
      <c r="H338" s="153"/>
      <c r="J338" s="117" t="s">
        <v>440</v>
      </c>
      <c r="K338" s="118">
        <v>2302</v>
      </c>
      <c r="M338" s="108" t="s">
        <v>452</v>
      </c>
      <c r="N338" s="119">
        <v>0.22</v>
      </c>
      <c r="P338" s="117" t="s">
        <v>417</v>
      </c>
      <c r="Q338" s="118">
        <v>5323</v>
      </c>
      <c r="V338" s="117" t="s">
        <v>457</v>
      </c>
      <c r="W338" s="119">
        <v>7.95</v>
      </c>
    </row>
    <row r="339" spans="1:23" x14ac:dyDescent="0.2">
      <c r="A339" s="133" t="s">
        <v>428</v>
      </c>
      <c r="B339" s="132">
        <v>659.5</v>
      </c>
      <c r="C339" s="132">
        <v>548.29999999999995</v>
      </c>
      <c r="D339" s="132">
        <v>528.9</v>
      </c>
      <c r="E339" s="132">
        <v>489.9</v>
      </c>
      <c r="F339" s="132">
        <v>394.8</v>
      </c>
      <c r="G339" s="153"/>
      <c r="H339" s="153"/>
      <c r="J339" s="115" t="s">
        <v>442</v>
      </c>
      <c r="K339" s="116"/>
      <c r="M339" s="108" t="s">
        <v>454</v>
      </c>
      <c r="N339" s="119">
        <v>52.71</v>
      </c>
      <c r="P339" s="117" t="s">
        <v>418</v>
      </c>
      <c r="Q339" s="118">
        <v>7479</v>
      </c>
      <c r="V339" s="117" t="s">
        <v>458</v>
      </c>
      <c r="W339" s="118">
        <v>1587.37</v>
      </c>
    </row>
    <row r="340" spans="1:23" x14ac:dyDescent="0.2">
      <c r="A340" s="133" t="s">
        <v>429</v>
      </c>
      <c r="B340" s="135">
        <v>89</v>
      </c>
      <c r="C340" s="135">
        <v>83.9</v>
      </c>
      <c r="D340" s="135">
        <v>88.1</v>
      </c>
      <c r="E340" s="135">
        <v>97.6</v>
      </c>
      <c r="F340" s="135">
        <v>68.2</v>
      </c>
      <c r="G340" s="152"/>
      <c r="H340" s="152"/>
      <c r="J340" s="117" t="s">
        <v>443</v>
      </c>
      <c r="K340" s="118">
        <v>1026</v>
      </c>
      <c r="M340" s="115" t="s">
        <v>456</v>
      </c>
      <c r="N340" s="116"/>
      <c r="P340" s="117" t="s">
        <v>419</v>
      </c>
      <c r="Q340" s="118">
        <v>7771</v>
      </c>
      <c r="V340" s="117" t="s">
        <v>459</v>
      </c>
      <c r="W340" s="118">
        <v>1587.37</v>
      </c>
    </row>
    <row r="341" spans="1:23" x14ac:dyDescent="0.2">
      <c r="A341" s="129" t="s">
        <v>430</v>
      </c>
      <c r="B341" s="130"/>
      <c r="C341" s="130"/>
      <c r="D341" s="130"/>
      <c r="E341" s="130"/>
      <c r="F341" s="130"/>
      <c r="G341" s="151"/>
      <c r="H341" s="151"/>
      <c r="J341" s="117" t="s">
        <v>444</v>
      </c>
      <c r="K341" s="118">
        <v>1026</v>
      </c>
      <c r="M341" s="117" t="s">
        <v>457</v>
      </c>
      <c r="N341" s="119">
        <v>18.57</v>
      </c>
      <c r="P341" s="115" t="s">
        <v>420</v>
      </c>
      <c r="Q341" s="116"/>
      <c r="V341" s="117" t="s">
        <v>75</v>
      </c>
      <c r="W341" s="119">
        <v>40.24</v>
      </c>
    </row>
    <row r="342" spans="1:23" x14ac:dyDescent="0.2">
      <c r="A342" s="131" t="s">
        <v>431</v>
      </c>
      <c r="B342" s="138"/>
      <c r="C342" s="138"/>
      <c r="D342" s="138"/>
      <c r="E342" s="138"/>
      <c r="F342" s="138"/>
      <c r="G342" s="154"/>
      <c r="H342" s="154"/>
      <c r="J342" s="117" t="s">
        <v>445</v>
      </c>
      <c r="K342" s="118">
        <v>1026</v>
      </c>
      <c r="M342" s="117" t="s">
        <v>458</v>
      </c>
      <c r="N342" s="118">
        <v>2568.6799999999998</v>
      </c>
      <c r="P342" s="117" t="s">
        <v>421</v>
      </c>
      <c r="Q342" s="118">
        <v>2156</v>
      </c>
      <c r="V342" s="117" t="s">
        <v>321</v>
      </c>
      <c r="W342" s="118">
        <v>1654.89</v>
      </c>
    </row>
    <row r="343" spans="1:23" x14ac:dyDescent="0.2">
      <c r="A343" s="133" t="s">
        <v>432</v>
      </c>
      <c r="B343" s="135">
        <v>53.2</v>
      </c>
      <c r="C343" s="135">
        <v>42.9</v>
      </c>
      <c r="D343" s="135">
        <v>51.5</v>
      </c>
      <c r="E343" s="135">
        <v>31.8</v>
      </c>
      <c r="F343" s="135">
        <v>27.8</v>
      </c>
      <c r="G343" s="152"/>
      <c r="H343" s="152"/>
      <c r="J343" s="117" t="s">
        <v>446</v>
      </c>
      <c r="K343" s="118">
        <v>1482</v>
      </c>
      <c r="M343" s="117" t="s">
        <v>459</v>
      </c>
      <c r="N343" s="118">
        <v>2568.6799999999998</v>
      </c>
      <c r="P343" s="108" t="s">
        <v>422</v>
      </c>
      <c r="Q343" s="118">
        <v>1964</v>
      </c>
      <c r="V343" s="117" t="s">
        <v>460</v>
      </c>
      <c r="W343" s="119">
        <v>73.94</v>
      </c>
    </row>
    <row r="344" spans="1:23" x14ac:dyDescent="0.2">
      <c r="A344" s="133" t="s">
        <v>433</v>
      </c>
      <c r="B344" s="135">
        <v>60.2</v>
      </c>
      <c r="C344" s="135">
        <v>50.6</v>
      </c>
      <c r="D344" s="135">
        <v>60.6</v>
      </c>
      <c r="E344" s="135">
        <v>38.700000000000003</v>
      </c>
      <c r="F344" s="135">
        <v>32.5</v>
      </c>
      <c r="G344" s="152"/>
      <c r="H344" s="152"/>
      <c r="J344" s="117" t="s">
        <v>447</v>
      </c>
      <c r="K344" s="118">
        <v>2119</v>
      </c>
      <c r="M344" s="117" t="s">
        <v>75</v>
      </c>
      <c r="N344" s="119">
        <v>81.94</v>
      </c>
      <c r="P344" s="108" t="s">
        <v>423</v>
      </c>
      <c r="Q344" s="119">
        <v>78</v>
      </c>
    </row>
    <row r="345" spans="1:23" x14ac:dyDescent="0.2">
      <c r="A345" s="133" t="s">
        <v>434</v>
      </c>
      <c r="B345" s="135">
        <v>7</v>
      </c>
      <c r="C345" s="135">
        <v>7.7</v>
      </c>
      <c r="D345" s="135">
        <v>9.1</v>
      </c>
      <c r="E345" s="135">
        <v>6.9</v>
      </c>
      <c r="F345" s="135">
        <v>4.7</v>
      </c>
      <c r="G345" s="152"/>
      <c r="H345" s="152"/>
      <c r="J345" s="115" t="s">
        <v>448</v>
      </c>
      <c r="K345" s="116"/>
      <c r="M345" s="117" t="s">
        <v>321</v>
      </c>
      <c r="N345" s="118">
        <v>2848.54</v>
      </c>
      <c r="P345" s="108" t="s">
        <v>424</v>
      </c>
      <c r="Q345" s="118">
        <v>192</v>
      </c>
    </row>
    <row r="346" spans="1:23" x14ac:dyDescent="0.2">
      <c r="A346" s="129" t="s">
        <v>435</v>
      </c>
      <c r="B346" s="130"/>
      <c r="C346" s="130"/>
      <c r="D346" s="130"/>
      <c r="E346" s="130"/>
      <c r="F346" s="130"/>
      <c r="G346" s="151"/>
      <c r="H346" s="151"/>
      <c r="J346" s="117" t="s">
        <v>449</v>
      </c>
      <c r="K346" s="118">
        <v>178</v>
      </c>
      <c r="M346" s="117" t="s">
        <v>460</v>
      </c>
      <c r="N346" s="118">
        <v>280.64999999999998</v>
      </c>
      <c r="P346" s="115" t="s">
        <v>426</v>
      </c>
      <c r="Q346" s="116"/>
    </row>
    <row r="347" spans="1:23" x14ac:dyDescent="0.2">
      <c r="A347" s="131" t="s">
        <v>435</v>
      </c>
      <c r="B347" s="138"/>
      <c r="C347" s="135">
        <v>4.3600000000000003</v>
      </c>
      <c r="D347" s="135">
        <v>3.83</v>
      </c>
      <c r="E347" s="135">
        <v>3.69</v>
      </c>
      <c r="F347" s="135">
        <v>3.46</v>
      </c>
      <c r="G347" s="152"/>
      <c r="H347" s="152"/>
      <c r="J347" s="108" t="s">
        <v>450</v>
      </c>
      <c r="K347" s="119">
        <v>79</v>
      </c>
      <c r="P347" s="117" t="s">
        <v>427</v>
      </c>
      <c r="Q347" s="118">
        <v>2156</v>
      </c>
    </row>
    <row r="348" spans="1:23" x14ac:dyDescent="0.2">
      <c r="A348" s="133" t="s">
        <v>436</v>
      </c>
      <c r="B348" s="138"/>
      <c r="C348" s="135">
        <v>4.3600000000000003</v>
      </c>
      <c r="D348" s="135">
        <v>3.83</v>
      </c>
      <c r="E348" s="135">
        <v>3.69</v>
      </c>
      <c r="F348" s="135">
        <v>3.46</v>
      </c>
      <c r="G348" s="152"/>
      <c r="H348" s="152"/>
      <c r="J348" s="108" t="s">
        <v>451</v>
      </c>
      <c r="K348" s="119">
        <v>21</v>
      </c>
      <c r="P348" s="108" t="s">
        <v>428</v>
      </c>
      <c r="Q348" s="118">
        <v>1964</v>
      </c>
    </row>
    <row r="349" spans="1:23" x14ac:dyDescent="0.2">
      <c r="A349" s="133" t="s">
        <v>437</v>
      </c>
      <c r="B349" s="138"/>
      <c r="C349" s="138"/>
      <c r="D349" s="138">
        <v>0</v>
      </c>
      <c r="E349" s="138"/>
      <c r="F349" s="138">
        <v>0</v>
      </c>
      <c r="G349" s="154"/>
      <c r="H349" s="154"/>
      <c r="J349" s="108" t="s">
        <v>740</v>
      </c>
      <c r="K349" s="119">
        <v>18</v>
      </c>
      <c r="P349" s="108" t="s">
        <v>429</v>
      </c>
      <c r="Q349" s="118">
        <v>192</v>
      </c>
    </row>
    <row r="350" spans="1:23" x14ac:dyDescent="0.2">
      <c r="A350" s="133" t="s">
        <v>438</v>
      </c>
      <c r="B350" s="138"/>
      <c r="C350" s="138"/>
      <c r="D350" s="138">
        <v>0</v>
      </c>
      <c r="E350" s="138">
        <v>0</v>
      </c>
      <c r="F350" s="138">
        <v>0</v>
      </c>
      <c r="G350" s="154"/>
      <c r="H350" s="154"/>
      <c r="J350" s="108" t="s">
        <v>453</v>
      </c>
      <c r="K350" s="119">
        <v>10</v>
      </c>
      <c r="P350" s="115" t="s">
        <v>430</v>
      </c>
      <c r="Q350" s="116"/>
    </row>
    <row r="351" spans="1:23" x14ac:dyDescent="0.2">
      <c r="A351" s="129" t="s">
        <v>439</v>
      </c>
      <c r="B351" s="130"/>
      <c r="C351" s="130"/>
      <c r="D351" s="130"/>
      <c r="E351" s="130"/>
      <c r="F351" s="130"/>
      <c r="G351" s="151"/>
      <c r="H351" s="151"/>
      <c r="J351" s="108" t="s">
        <v>454</v>
      </c>
      <c r="K351" s="119">
        <v>50</v>
      </c>
      <c r="P351" s="117" t="s">
        <v>431</v>
      </c>
      <c r="Q351" s="134"/>
    </row>
    <row r="352" spans="1:23" x14ac:dyDescent="0.2">
      <c r="A352" s="131" t="s">
        <v>440</v>
      </c>
      <c r="B352" s="132">
        <v>2323.6</v>
      </c>
      <c r="C352" s="132">
        <v>2057.1999999999998</v>
      </c>
      <c r="D352" s="132">
        <v>2011.3</v>
      </c>
      <c r="E352" s="132">
        <v>1625.6</v>
      </c>
      <c r="F352" s="132">
        <v>1451.3</v>
      </c>
      <c r="G352" s="153"/>
      <c r="H352" s="153"/>
      <c r="J352" s="115" t="s">
        <v>456</v>
      </c>
      <c r="K352" s="116"/>
      <c r="P352" s="108" t="s">
        <v>432</v>
      </c>
      <c r="Q352" s="118">
        <v>125.13</v>
      </c>
    </row>
    <row r="353" spans="1:17" x14ac:dyDescent="0.2">
      <c r="A353" s="131" t="s">
        <v>441</v>
      </c>
      <c r="B353" s="135">
        <v>8</v>
      </c>
      <c r="C353" s="135">
        <v>7.53</v>
      </c>
      <c r="D353" s="135">
        <v>7</v>
      </c>
      <c r="E353" s="135">
        <v>5.1100000000000003</v>
      </c>
      <c r="F353" s="135">
        <v>5.04</v>
      </c>
      <c r="G353" s="152"/>
      <c r="H353" s="152"/>
      <c r="J353" s="117" t="s">
        <v>457</v>
      </c>
      <c r="K353" s="119">
        <v>79</v>
      </c>
      <c r="P353" s="108" t="s">
        <v>433</v>
      </c>
      <c r="Q353" s="118">
        <v>143</v>
      </c>
    </row>
    <row r="354" spans="1:17" x14ac:dyDescent="0.2">
      <c r="A354" s="129" t="s">
        <v>442</v>
      </c>
      <c r="B354" s="130"/>
      <c r="C354" s="130"/>
      <c r="D354" s="130"/>
      <c r="E354" s="130"/>
      <c r="F354" s="130"/>
      <c r="G354" s="151"/>
      <c r="H354" s="151"/>
      <c r="J354" s="117" t="s">
        <v>458</v>
      </c>
      <c r="K354" s="118">
        <v>4261</v>
      </c>
      <c r="P354" s="108" t="s">
        <v>434</v>
      </c>
      <c r="Q354" s="119">
        <v>17.88</v>
      </c>
    </row>
    <row r="355" spans="1:17" x14ac:dyDescent="0.2">
      <c r="A355" s="131" t="s">
        <v>443</v>
      </c>
      <c r="B355" s="132">
        <v>1085.2</v>
      </c>
      <c r="C355" s="132">
        <v>1041.3</v>
      </c>
      <c r="D355" s="132">
        <v>984</v>
      </c>
      <c r="E355" s="132">
        <v>683.9</v>
      </c>
      <c r="F355" s="132">
        <v>754.7</v>
      </c>
      <c r="G355" s="153"/>
      <c r="H355" s="153"/>
      <c r="J355" s="117" t="s">
        <v>459</v>
      </c>
      <c r="K355" s="118">
        <v>4261</v>
      </c>
      <c r="P355" s="115" t="s">
        <v>439</v>
      </c>
      <c r="Q355" s="116"/>
    </row>
    <row r="356" spans="1:17" x14ac:dyDescent="0.2">
      <c r="A356" s="131" t="s">
        <v>444</v>
      </c>
      <c r="B356" s="132">
        <v>1085.2</v>
      </c>
      <c r="C356" s="132">
        <v>1041.3</v>
      </c>
      <c r="D356" s="132">
        <v>984</v>
      </c>
      <c r="E356" s="132">
        <v>683.9</v>
      </c>
      <c r="F356" s="132">
        <v>754.7</v>
      </c>
      <c r="G356" s="153"/>
      <c r="H356" s="153"/>
      <c r="J356" s="117" t="s">
        <v>75</v>
      </c>
      <c r="K356" s="118">
        <v>230</v>
      </c>
      <c r="P356" s="117" t="s">
        <v>440</v>
      </c>
      <c r="Q356" s="118">
        <v>7681</v>
      </c>
    </row>
    <row r="357" spans="1:17" x14ac:dyDescent="0.2">
      <c r="A357" s="131" t="s">
        <v>445</v>
      </c>
      <c r="B357" s="132">
        <v>1083.8</v>
      </c>
      <c r="C357" s="132">
        <v>1040.0999999999999</v>
      </c>
      <c r="D357" s="132">
        <v>982.3</v>
      </c>
      <c r="E357" s="132">
        <v>683</v>
      </c>
      <c r="F357" s="132">
        <v>755.1</v>
      </c>
      <c r="G357" s="153"/>
      <c r="H357" s="153"/>
      <c r="J357" s="117" t="s">
        <v>321</v>
      </c>
      <c r="K357" s="118">
        <v>4657</v>
      </c>
      <c r="P357" s="115" t="s">
        <v>442</v>
      </c>
      <c r="Q357" s="116"/>
    </row>
    <row r="358" spans="1:17" x14ac:dyDescent="0.2">
      <c r="A358" s="131" t="s">
        <v>446</v>
      </c>
      <c r="B358" s="132">
        <v>1619</v>
      </c>
      <c r="C358" s="132">
        <v>1463</v>
      </c>
      <c r="D358" s="132">
        <v>1463</v>
      </c>
      <c r="E358" s="132">
        <v>1045.3</v>
      </c>
      <c r="F358" s="132">
        <v>1102.5</v>
      </c>
      <c r="G358" s="153"/>
      <c r="H358" s="153"/>
      <c r="J358" s="117" t="s">
        <v>460</v>
      </c>
      <c r="K358" s="118">
        <v>443</v>
      </c>
      <c r="P358" s="117" t="s">
        <v>443</v>
      </c>
      <c r="Q358" s="118">
        <v>3881</v>
      </c>
    </row>
    <row r="359" spans="1:17" x14ac:dyDescent="0.2">
      <c r="A359" s="131" t="s">
        <v>447</v>
      </c>
      <c r="B359" s="132">
        <v>2367.5</v>
      </c>
      <c r="C359" s="132">
        <v>2095.1999999999998</v>
      </c>
      <c r="D359" s="132">
        <v>2080</v>
      </c>
      <c r="E359" s="132">
        <v>1632.8</v>
      </c>
      <c r="F359" s="132">
        <v>1565.5</v>
      </c>
      <c r="G359" s="153"/>
      <c r="H359" s="153"/>
      <c r="J359" s="113"/>
      <c r="P359" s="117" t="s">
        <v>444</v>
      </c>
      <c r="Q359" s="118">
        <v>3907</v>
      </c>
    </row>
    <row r="360" spans="1:17" x14ac:dyDescent="0.2">
      <c r="A360" s="129" t="s">
        <v>448</v>
      </c>
      <c r="B360" s="130"/>
      <c r="C360" s="130"/>
      <c r="D360" s="130"/>
      <c r="E360" s="130"/>
      <c r="F360" s="130"/>
      <c r="G360" s="151"/>
      <c r="H360" s="151"/>
      <c r="J360" s="113"/>
      <c r="P360" s="117" t="s">
        <v>445</v>
      </c>
      <c r="Q360" s="118">
        <v>3870</v>
      </c>
    </row>
    <row r="361" spans="1:17" x14ac:dyDescent="0.2">
      <c r="A361" s="131" t="s">
        <v>449</v>
      </c>
      <c r="B361" s="132">
        <v>149.5</v>
      </c>
      <c r="C361" s="132">
        <v>150.5</v>
      </c>
      <c r="D361" s="132">
        <v>161.69999999999999</v>
      </c>
      <c r="E361" s="132">
        <v>161.19999999999999</v>
      </c>
      <c r="F361" s="132">
        <v>113.5</v>
      </c>
      <c r="G361" s="153"/>
      <c r="H361" s="153"/>
      <c r="J361" s="113"/>
      <c r="P361" s="117" t="s">
        <v>446</v>
      </c>
      <c r="Q361" s="118">
        <v>5586</v>
      </c>
    </row>
    <row r="362" spans="1:17" x14ac:dyDescent="0.2">
      <c r="A362" s="133" t="s">
        <v>450</v>
      </c>
      <c r="B362" s="135">
        <v>82</v>
      </c>
      <c r="C362" s="135">
        <v>75.599999999999994</v>
      </c>
      <c r="D362" s="135">
        <v>77.5</v>
      </c>
      <c r="E362" s="135">
        <v>85.6</v>
      </c>
      <c r="F362" s="135">
        <v>71</v>
      </c>
      <c r="G362" s="152"/>
      <c r="H362" s="152"/>
      <c r="J362" s="113"/>
      <c r="P362" s="117" t="s">
        <v>447</v>
      </c>
      <c r="Q362" s="118">
        <v>7742</v>
      </c>
    </row>
    <row r="363" spans="1:17" x14ac:dyDescent="0.2">
      <c r="A363" s="133" t="s">
        <v>451</v>
      </c>
      <c r="B363" s="135">
        <v>8</v>
      </c>
      <c r="C363" s="135">
        <v>9.5</v>
      </c>
      <c r="D363" s="135">
        <v>12.8</v>
      </c>
      <c r="E363" s="135">
        <v>16.5</v>
      </c>
      <c r="F363" s="135">
        <v>7.1</v>
      </c>
      <c r="G363" s="152"/>
      <c r="H363" s="152"/>
      <c r="J363" s="113"/>
      <c r="P363" s="115" t="s">
        <v>448</v>
      </c>
      <c r="Q363" s="116"/>
    </row>
    <row r="364" spans="1:17" x14ac:dyDescent="0.2">
      <c r="A364" s="133" t="s">
        <v>452</v>
      </c>
      <c r="B364" s="135">
        <v>19.2</v>
      </c>
      <c r="C364" s="135">
        <v>20.6</v>
      </c>
      <c r="D364" s="135">
        <v>23.5</v>
      </c>
      <c r="E364" s="135">
        <v>14.4</v>
      </c>
      <c r="F364" s="135">
        <v>10.6</v>
      </c>
      <c r="G364" s="152"/>
      <c r="H364" s="152"/>
      <c r="J364" s="113"/>
      <c r="P364" s="117" t="s">
        <v>449</v>
      </c>
      <c r="Q364" s="134"/>
    </row>
    <row r="365" spans="1:17" x14ac:dyDescent="0.2">
      <c r="A365" s="133" t="s">
        <v>453</v>
      </c>
      <c r="B365" s="135">
        <v>0.5</v>
      </c>
      <c r="C365" s="135">
        <v>0.7</v>
      </c>
      <c r="D365" s="135">
        <v>0.9</v>
      </c>
      <c r="E365" s="135">
        <v>1.2</v>
      </c>
      <c r="F365" s="135">
        <v>0.6</v>
      </c>
      <c r="G365" s="152"/>
      <c r="H365" s="152"/>
      <c r="J365" s="113"/>
      <c r="P365" s="108" t="s">
        <v>451</v>
      </c>
      <c r="Q365" s="119">
        <v>78</v>
      </c>
    </row>
    <row r="366" spans="1:17" x14ac:dyDescent="0.2">
      <c r="A366" s="133" t="s">
        <v>454</v>
      </c>
      <c r="B366" s="135">
        <v>47.5</v>
      </c>
      <c r="C366" s="135">
        <v>46.9</v>
      </c>
      <c r="D366" s="135">
        <v>50.4</v>
      </c>
      <c r="E366" s="135">
        <v>46.4</v>
      </c>
      <c r="F366" s="135">
        <v>27.3</v>
      </c>
      <c r="G366" s="152"/>
      <c r="H366" s="152"/>
      <c r="J366" s="113"/>
      <c r="P366" s="108" t="s">
        <v>789</v>
      </c>
      <c r="Q366" s="119">
        <v>78</v>
      </c>
    </row>
    <row r="367" spans="1:17" x14ac:dyDescent="0.2">
      <c r="A367" s="133" t="s">
        <v>455</v>
      </c>
      <c r="B367" s="135">
        <v>7.7</v>
      </c>
      <c r="C367" s="135">
        <v>2.8</v>
      </c>
      <c r="D367" s="135">
        <v>3.4</v>
      </c>
      <c r="E367" s="135">
        <v>2.9</v>
      </c>
      <c r="F367" s="135">
        <v>3.1</v>
      </c>
      <c r="G367" s="152"/>
      <c r="H367" s="152"/>
      <c r="J367" s="113"/>
      <c r="P367" s="108" t="s">
        <v>453</v>
      </c>
      <c r="Q367" s="119">
        <v>22</v>
      </c>
    </row>
    <row r="368" spans="1:17" x14ac:dyDescent="0.2">
      <c r="A368" s="129" t="s">
        <v>456</v>
      </c>
      <c r="B368" s="130"/>
      <c r="C368" s="130"/>
      <c r="D368" s="130"/>
      <c r="E368" s="130"/>
      <c r="F368" s="130"/>
      <c r="G368" s="151"/>
      <c r="H368" s="151"/>
      <c r="J368" s="113"/>
      <c r="P368" s="108" t="s">
        <v>454</v>
      </c>
      <c r="Q368" s="118">
        <v>319</v>
      </c>
    </row>
    <row r="369" spans="1:23" x14ac:dyDescent="0.2">
      <c r="A369" s="131" t="s">
        <v>457</v>
      </c>
      <c r="B369" s="135">
        <v>82</v>
      </c>
      <c r="C369" s="135">
        <v>75.599999999999994</v>
      </c>
      <c r="D369" s="135">
        <v>77.5</v>
      </c>
      <c r="E369" s="135">
        <v>85.6</v>
      </c>
      <c r="F369" s="135">
        <v>71</v>
      </c>
      <c r="G369" s="152"/>
      <c r="H369" s="152"/>
      <c r="J369" s="113"/>
      <c r="P369" s="115" t="s">
        <v>456</v>
      </c>
      <c r="Q369" s="116"/>
    </row>
    <row r="370" spans="1:23" x14ac:dyDescent="0.2">
      <c r="A370" s="131" t="s">
        <v>458</v>
      </c>
      <c r="B370" s="132">
        <v>5766.5</v>
      </c>
      <c r="C370" s="132">
        <v>5418.1</v>
      </c>
      <c r="D370" s="132">
        <v>5833.4</v>
      </c>
      <c r="E370" s="132">
        <v>5757.5</v>
      </c>
      <c r="F370" s="132">
        <v>4178.8</v>
      </c>
      <c r="G370" s="153"/>
      <c r="H370" s="153"/>
      <c r="J370" s="113"/>
      <c r="P370" s="117" t="s">
        <v>457</v>
      </c>
      <c r="Q370" s="118">
        <v>292</v>
      </c>
    </row>
    <row r="371" spans="1:23" x14ac:dyDescent="0.2">
      <c r="A371" s="131" t="s">
        <v>459</v>
      </c>
      <c r="B371" s="132">
        <v>5766.5</v>
      </c>
      <c r="C371" s="132">
        <v>5418.1</v>
      </c>
      <c r="D371" s="132">
        <v>5833.4</v>
      </c>
      <c r="E371" s="132">
        <v>5757.5</v>
      </c>
      <c r="F371" s="132">
        <v>4178.8</v>
      </c>
      <c r="G371" s="153"/>
      <c r="H371" s="153"/>
      <c r="J371" s="113"/>
      <c r="P371" s="117" t="s">
        <v>458</v>
      </c>
      <c r="Q371" s="134">
        <v>23919</v>
      </c>
    </row>
    <row r="372" spans="1:23" x14ac:dyDescent="0.2">
      <c r="A372" s="131" t="s">
        <v>75</v>
      </c>
      <c r="B372" s="132">
        <v>239.7</v>
      </c>
      <c r="C372" s="132">
        <v>191.2</v>
      </c>
      <c r="D372" s="132">
        <v>196.1</v>
      </c>
      <c r="E372" s="132">
        <v>169.2</v>
      </c>
      <c r="F372" s="132">
        <v>149.30000000000001</v>
      </c>
      <c r="G372" s="153"/>
      <c r="H372" s="153"/>
      <c r="J372" s="113"/>
      <c r="P372" s="117" t="s">
        <v>459</v>
      </c>
      <c r="Q372" s="134">
        <v>23919</v>
      </c>
    </row>
    <row r="373" spans="1:23" x14ac:dyDescent="0.2">
      <c r="A373" s="131" t="s">
        <v>321</v>
      </c>
      <c r="B373" s="132">
        <v>6413.7</v>
      </c>
      <c r="C373" s="132">
        <v>6021.6</v>
      </c>
      <c r="D373" s="132">
        <v>6459.7</v>
      </c>
      <c r="E373" s="132">
        <v>6285.7</v>
      </c>
      <c r="F373" s="132">
        <v>4580.5</v>
      </c>
      <c r="G373" s="153"/>
      <c r="H373" s="153"/>
      <c r="J373" s="113"/>
      <c r="P373" s="117" t="s">
        <v>75</v>
      </c>
      <c r="Q373" s="118">
        <v>810</v>
      </c>
    </row>
    <row r="374" spans="1:23" x14ac:dyDescent="0.2">
      <c r="A374" s="131" t="s">
        <v>460</v>
      </c>
      <c r="B374" s="132">
        <v>564.1</v>
      </c>
      <c r="C374" s="132">
        <v>531.1</v>
      </c>
      <c r="D374" s="132">
        <v>542.79999999999995</v>
      </c>
      <c r="E374" s="132">
        <v>515.1</v>
      </c>
      <c r="F374" s="132">
        <v>417.6</v>
      </c>
      <c r="G374" s="153"/>
      <c r="H374" s="153"/>
      <c r="J374" s="113"/>
      <c r="P374" s="117" t="s">
        <v>321</v>
      </c>
      <c r="Q374" s="134">
        <v>32124</v>
      </c>
    </row>
    <row r="375" spans="1:23" x14ac:dyDescent="0.2">
      <c r="J375" s="113"/>
      <c r="P375" s="117" t="s">
        <v>460</v>
      </c>
      <c r="Q375" s="118">
        <v>8205</v>
      </c>
    </row>
    <row r="376" spans="1:23" x14ac:dyDescent="0.2">
      <c r="J376" s="113"/>
    </row>
    <row r="377" spans="1:23" x14ac:dyDescent="0.2">
      <c r="A377" s="111" t="s">
        <v>665</v>
      </c>
      <c r="B377" s="111"/>
      <c r="C377" s="111"/>
      <c r="D377" s="111"/>
      <c r="E377" s="111"/>
      <c r="F377" s="111"/>
      <c r="G377" s="158"/>
      <c r="H377" s="158"/>
      <c r="J377" s="111" t="s">
        <v>665</v>
      </c>
      <c r="K377" s="111"/>
      <c r="M377" s="111" t="s">
        <v>665</v>
      </c>
      <c r="N377" s="111"/>
      <c r="P377" s="111" t="s">
        <v>665</v>
      </c>
      <c r="Q377" s="111" t="s">
        <v>788</v>
      </c>
      <c r="S377" s="111" t="s">
        <v>665</v>
      </c>
      <c r="T377" s="111"/>
      <c r="V377" s="111" t="s">
        <v>665</v>
      </c>
      <c r="W377" s="111"/>
    </row>
    <row r="378" spans="1:23" x14ac:dyDescent="0.2">
      <c r="A378" s="111" t="s">
        <v>311</v>
      </c>
      <c r="B378" s="112" t="s">
        <v>312</v>
      </c>
      <c r="C378" s="112" t="s">
        <v>313</v>
      </c>
      <c r="D378" s="112" t="s">
        <v>314</v>
      </c>
      <c r="E378" s="112" t="s">
        <v>315</v>
      </c>
      <c r="F378" s="112" t="s">
        <v>316</v>
      </c>
      <c r="G378" s="159"/>
      <c r="H378" s="159"/>
      <c r="J378" s="111" t="s">
        <v>311</v>
      </c>
      <c r="K378" s="112" t="s">
        <v>312</v>
      </c>
      <c r="M378" s="111" t="s">
        <v>311</v>
      </c>
      <c r="N378" s="112" t="s">
        <v>312</v>
      </c>
      <c r="P378" s="111" t="s">
        <v>311</v>
      </c>
      <c r="Q378" s="112" t="s">
        <v>312</v>
      </c>
      <c r="S378" s="111" t="s">
        <v>311</v>
      </c>
      <c r="T378" s="112" t="s">
        <v>312</v>
      </c>
      <c r="V378" s="111" t="s">
        <v>311</v>
      </c>
      <c r="W378" s="112" t="s">
        <v>832</v>
      </c>
    </row>
    <row r="379" spans="1:23" x14ac:dyDescent="0.2">
      <c r="A379" s="115" t="s">
        <v>666</v>
      </c>
      <c r="B379" s="116"/>
      <c r="C379" s="116"/>
      <c r="D379" s="116"/>
      <c r="E379" s="116"/>
      <c r="F379" s="116"/>
      <c r="G379" s="160"/>
      <c r="H379" s="160"/>
      <c r="J379" s="115" t="s">
        <v>666</v>
      </c>
      <c r="K379" s="116"/>
      <c r="M379" s="115" t="s">
        <v>666</v>
      </c>
      <c r="N379" s="116"/>
      <c r="P379" s="115" t="s">
        <v>666</v>
      </c>
      <c r="Q379" s="116"/>
      <c r="S379" s="115" t="s">
        <v>666</v>
      </c>
      <c r="T379" s="116"/>
      <c r="V379" s="115" t="s">
        <v>666</v>
      </c>
      <c r="W379" s="116"/>
    </row>
    <row r="380" spans="1:23" x14ac:dyDescent="0.2">
      <c r="A380" s="117" t="s">
        <v>667</v>
      </c>
      <c r="B380" s="118">
        <v>1078.0999999999999</v>
      </c>
      <c r="C380" s="118">
        <v>913.1</v>
      </c>
      <c r="D380" s="118">
        <v>934.9</v>
      </c>
      <c r="E380" s="118">
        <v>576.5</v>
      </c>
      <c r="F380" s="118">
        <v>670.4</v>
      </c>
      <c r="G380" s="161"/>
      <c r="H380" s="161"/>
      <c r="J380" s="117" t="s">
        <v>667</v>
      </c>
      <c r="K380" s="118">
        <v>1137</v>
      </c>
      <c r="M380" s="117" t="s">
        <v>667</v>
      </c>
      <c r="N380" s="118">
        <v>157.07</v>
      </c>
      <c r="P380" s="117" t="s">
        <v>667</v>
      </c>
      <c r="Q380" s="118">
        <v>3790</v>
      </c>
      <c r="S380" s="117" t="s">
        <v>667</v>
      </c>
      <c r="T380" s="118">
        <v>969.72</v>
      </c>
      <c r="V380" s="117" t="s">
        <v>667</v>
      </c>
      <c r="W380" s="118">
        <v>463.42</v>
      </c>
    </row>
    <row r="381" spans="1:23" x14ac:dyDescent="0.2">
      <c r="A381" s="117" t="s">
        <v>668</v>
      </c>
      <c r="B381" s="118">
        <v>824.9</v>
      </c>
      <c r="C381" s="118">
        <v>753.2</v>
      </c>
      <c r="D381" s="118">
        <v>635.29999999999995</v>
      </c>
      <c r="E381" s="118">
        <v>796</v>
      </c>
      <c r="F381" s="118">
        <v>485.4</v>
      </c>
      <c r="G381" s="161"/>
      <c r="H381" s="161"/>
      <c r="J381" s="117" t="s">
        <v>668</v>
      </c>
      <c r="K381" s="118">
        <v>740</v>
      </c>
      <c r="M381" s="117" t="s">
        <v>668</v>
      </c>
      <c r="N381" s="118">
        <v>212.22</v>
      </c>
      <c r="P381" s="117" t="s">
        <v>668</v>
      </c>
      <c r="Q381" s="118">
        <v>2549</v>
      </c>
      <c r="S381" s="117" t="s">
        <v>668</v>
      </c>
      <c r="T381" s="118">
        <v>1788.14</v>
      </c>
      <c r="V381" s="117" t="s">
        <v>668</v>
      </c>
      <c r="W381" s="118">
        <v>146.38999999999999</v>
      </c>
    </row>
    <row r="382" spans="1:23" x14ac:dyDescent="0.2">
      <c r="A382" s="108" t="s">
        <v>669</v>
      </c>
      <c r="B382" s="119">
        <v>39.6</v>
      </c>
      <c r="C382" s="119">
        <v>42.7</v>
      </c>
      <c r="D382" s="119">
        <v>46.5</v>
      </c>
      <c r="E382" s="119">
        <v>52.5</v>
      </c>
      <c r="F382" s="119">
        <v>41</v>
      </c>
      <c r="G382" s="162"/>
      <c r="H382" s="162"/>
      <c r="J382" s="108" t="s">
        <v>669</v>
      </c>
      <c r="K382" s="119">
        <v>13</v>
      </c>
      <c r="M382" s="108" t="s">
        <v>766</v>
      </c>
      <c r="N382" s="145">
        <v>-0.26</v>
      </c>
      <c r="P382" s="108" t="s">
        <v>766</v>
      </c>
      <c r="Q382" s="145">
        <v>-26</v>
      </c>
      <c r="S382" s="108" t="s">
        <v>859</v>
      </c>
      <c r="T382" s="139">
        <v>-565.38</v>
      </c>
      <c r="V382" s="108" t="s">
        <v>766</v>
      </c>
      <c r="W382" s="145">
        <v>-26.4</v>
      </c>
    </row>
    <row r="383" spans="1:23" x14ac:dyDescent="0.2">
      <c r="A383" s="108" t="s">
        <v>670</v>
      </c>
      <c r="B383" s="118">
        <v>748.5</v>
      </c>
      <c r="C383" s="118">
        <v>718.8</v>
      </c>
      <c r="D383" s="118">
        <v>645.29999999999995</v>
      </c>
      <c r="E383" s="118">
        <v>655.4</v>
      </c>
      <c r="F383" s="118">
        <v>463</v>
      </c>
      <c r="G383" s="161"/>
      <c r="H383" s="161"/>
      <c r="J383" s="108" t="s">
        <v>670</v>
      </c>
      <c r="K383" s="118">
        <v>637</v>
      </c>
      <c r="M383" s="108" t="s">
        <v>669</v>
      </c>
      <c r="N383" s="119">
        <v>6.57</v>
      </c>
      <c r="P383" s="108" t="s">
        <v>669</v>
      </c>
      <c r="Q383" s="118">
        <v>316</v>
      </c>
      <c r="S383" s="108" t="s">
        <v>766</v>
      </c>
      <c r="T383" s="145">
        <v>-89.67</v>
      </c>
      <c r="V383" s="108" t="s">
        <v>670</v>
      </c>
      <c r="W383" s="118">
        <v>158.9</v>
      </c>
    </row>
    <row r="384" spans="1:23" x14ac:dyDescent="0.2">
      <c r="A384" s="108" t="s">
        <v>671</v>
      </c>
      <c r="B384" s="118">
        <v>748.5</v>
      </c>
      <c r="C384" s="118">
        <v>632.20000000000005</v>
      </c>
      <c r="D384" s="118">
        <v>617</v>
      </c>
      <c r="E384" s="118">
        <v>587.5</v>
      </c>
      <c r="F384" s="118">
        <v>463</v>
      </c>
      <c r="G384" s="161"/>
      <c r="H384" s="161"/>
      <c r="J384" s="108" t="s">
        <v>671</v>
      </c>
      <c r="K384" s="118">
        <v>637</v>
      </c>
      <c r="M384" s="108" t="s">
        <v>670</v>
      </c>
      <c r="N384" s="118">
        <v>193.74</v>
      </c>
      <c r="P384" s="108" t="s">
        <v>670</v>
      </c>
      <c r="Q384" s="118">
        <v>2196</v>
      </c>
      <c r="S384" s="108" t="s">
        <v>858</v>
      </c>
      <c r="T384" s="118">
        <v>385.01</v>
      </c>
      <c r="V384" s="108" t="s">
        <v>671</v>
      </c>
      <c r="W384" s="118">
        <v>158.9</v>
      </c>
    </row>
    <row r="385" spans="1:23" x14ac:dyDescent="0.2">
      <c r="A385" s="108" t="s">
        <v>672</v>
      </c>
      <c r="B385" s="134">
        <v>0</v>
      </c>
      <c r="C385" s="119">
        <v>86.6</v>
      </c>
      <c r="D385" s="119">
        <v>28.3</v>
      </c>
      <c r="E385" s="119">
        <v>67.900000000000006</v>
      </c>
      <c r="F385" s="134"/>
      <c r="G385" s="163"/>
      <c r="H385" s="163"/>
      <c r="J385" s="108" t="s">
        <v>673</v>
      </c>
      <c r="K385" s="119">
        <v>69</v>
      </c>
      <c r="M385" s="108" t="s">
        <v>671</v>
      </c>
      <c r="N385" s="118">
        <v>193.74</v>
      </c>
      <c r="P385" s="108" t="s">
        <v>671</v>
      </c>
      <c r="Q385" s="118">
        <v>2156</v>
      </c>
      <c r="S385" s="108" t="s">
        <v>857</v>
      </c>
      <c r="T385" s="118">
        <v>406.09</v>
      </c>
      <c r="V385" s="108" t="s">
        <v>673</v>
      </c>
      <c r="W385" s="145">
        <v>-4.8600000000000003</v>
      </c>
    </row>
    <row r="386" spans="1:23" x14ac:dyDescent="0.2">
      <c r="A386" s="108" t="s">
        <v>673</v>
      </c>
      <c r="B386" s="119">
        <v>26.1</v>
      </c>
      <c r="C386" s="145">
        <v>-9.4</v>
      </c>
      <c r="D386" s="145">
        <v>-43.3</v>
      </c>
      <c r="E386" s="119">
        <v>57.7</v>
      </c>
      <c r="F386" s="119">
        <v>66.8</v>
      </c>
      <c r="G386" s="162"/>
      <c r="H386" s="162"/>
      <c r="J386" s="108" t="s">
        <v>674</v>
      </c>
      <c r="K386" s="145">
        <v>-25</v>
      </c>
      <c r="M386" s="108" t="s">
        <v>673</v>
      </c>
      <c r="N386" s="119">
        <v>25.49</v>
      </c>
      <c r="P386" s="108" t="s">
        <v>672</v>
      </c>
      <c r="Q386" s="119">
        <v>40</v>
      </c>
      <c r="S386" s="108" t="s">
        <v>669</v>
      </c>
      <c r="T386" s="139">
        <v>-231.8</v>
      </c>
      <c r="V386" s="108" t="s">
        <v>675</v>
      </c>
      <c r="W386" s="119">
        <v>18.739999999999998</v>
      </c>
    </row>
    <row r="387" spans="1:23" x14ac:dyDescent="0.2">
      <c r="A387" s="108" t="s">
        <v>674</v>
      </c>
      <c r="B387" s="145">
        <v>-52.4</v>
      </c>
      <c r="C387" s="145">
        <v>-52.3</v>
      </c>
      <c r="D387" s="145">
        <v>-76.400000000000006</v>
      </c>
      <c r="E387" s="145">
        <v>-10.7</v>
      </c>
      <c r="F387" s="139">
        <v>-120.1</v>
      </c>
      <c r="G387" s="164"/>
      <c r="H387" s="164"/>
      <c r="J387" s="108" t="s">
        <v>675</v>
      </c>
      <c r="K387" s="119">
        <v>46</v>
      </c>
      <c r="M387" s="108" t="s">
        <v>674</v>
      </c>
      <c r="N387" s="145">
        <v>-24.72</v>
      </c>
      <c r="P387" s="108" t="s">
        <v>673</v>
      </c>
      <c r="Q387" s="118">
        <v>167</v>
      </c>
      <c r="S387" s="108" t="s">
        <v>670</v>
      </c>
      <c r="T387" s="118">
        <v>1828.61</v>
      </c>
      <c r="V387" s="117" t="s">
        <v>676</v>
      </c>
      <c r="W387" s="118">
        <v>609.80999999999995</v>
      </c>
    </row>
    <row r="388" spans="1:23" x14ac:dyDescent="0.2">
      <c r="A388" s="108" t="s">
        <v>675</v>
      </c>
      <c r="B388" s="119">
        <v>63.1</v>
      </c>
      <c r="C388" s="119">
        <v>53.4</v>
      </c>
      <c r="D388" s="119">
        <v>63.2</v>
      </c>
      <c r="E388" s="119">
        <v>41.1</v>
      </c>
      <c r="F388" s="119">
        <v>34.700000000000003</v>
      </c>
      <c r="G388" s="162"/>
      <c r="H388" s="162"/>
      <c r="J388" s="117" t="s">
        <v>676</v>
      </c>
      <c r="K388" s="118">
        <v>1877</v>
      </c>
      <c r="M388" s="108" t="s">
        <v>675</v>
      </c>
      <c r="N388" s="119">
        <v>11.39</v>
      </c>
      <c r="P388" s="108" t="s">
        <v>674</v>
      </c>
      <c r="Q388" s="139">
        <v>-247</v>
      </c>
      <c r="S388" s="108" t="s">
        <v>671</v>
      </c>
      <c r="T388" s="118">
        <v>1290.93</v>
      </c>
      <c r="V388" s="117" t="s">
        <v>677</v>
      </c>
      <c r="W388" s="145">
        <v>-61.26</v>
      </c>
    </row>
    <row r="389" spans="1:23" x14ac:dyDescent="0.2">
      <c r="A389" s="117" t="s">
        <v>676</v>
      </c>
      <c r="B389" s="118">
        <v>1903</v>
      </c>
      <c r="C389" s="118">
        <v>1666.3</v>
      </c>
      <c r="D389" s="118">
        <v>1570.2</v>
      </c>
      <c r="E389" s="118">
        <v>1372.5</v>
      </c>
      <c r="F389" s="118">
        <v>1155.8</v>
      </c>
      <c r="G389" s="161"/>
      <c r="H389" s="161"/>
      <c r="J389" s="117" t="s">
        <v>677</v>
      </c>
      <c r="K389" s="145">
        <v>-92</v>
      </c>
      <c r="M389" s="117" t="s">
        <v>676</v>
      </c>
      <c r="N389" s="118">
        <v>369.3</v>
      </c>
      <c r="P389" s="108" t="s">
        <v>675</v>
      </c>
      <c r="Q389" s="118">
        <v>143</v>
      </c>
      <c r="S389" s="108" t="s">
        <v>672</v>
      </c>
      <c r="T389" s="118">
        <v>537.66999999999996</v>
      </c>
      <c r="V389" s="108" t="s">
        <v>678</v>
      </c>
      <c r="W389" s="145">
        <v>-7.9</v>
      </c>
    </row>
    <row r="390" spans="1:23" x14ac:dyDescent="0.2">
      <c r="A390" s="117" t="s">
        <v>677</v>
      </c>
      <c r="B390" s="145">
        <v>-90</v>
      </c>
      <c r="C390" s="139">
        <v>-256.7</v>
      </c>
      <c r="D390" s="145">
        <v>-33.4</v>
      </c>
      <c r="E390" s="139">
        <v>-224.3</v>
      </c>
      <c r="F390" s="139">
        <v>-143.9</v>
      </c>
      <c r="G390" s="164"/>
      <c r="H390" s="164"/>
      <c r="J390" s="108" t="s">
        <v>678</v>
      </c>
      <c r="K390" s="145">
        <v>-51</v>
      </c>
      <c r="M390" s="117" t="s">
        <v>677</v>
      </c>
      <c r="N390" s="145">
        <v>-90.82</v>
      </c>
      <c r="P390" s="117" t="s">
        <v>676</v>
      </c>
      <c r="Q390" s="118">
        <v>6339</v>
      </c>
      <c r="S390" s="108" t="s">
        <v>674</v>
      </c>
      <c r="T390" s="145">
        <v>-75.59</v>
      </c>
      <c r="V390" s="108" t="s">
        <v>679</v>
      </c>
      <c r="W390" s="145">
        <v>-36.83</v>
      </c>
    </row>
    <row r="391" spans="1:23" x14ac:dyDescent="0.2">
      <c r="A391" s="108" t="s">
        <v>678</v>
      </c>
      <c r="B391" s="119">
        <v>3.8</v>
      </c>
      <c r="C391" s="119">
        <v>63.2</v>
      </c>
      <c r="D391" s="119">
        <v>28.2</v>
      </c>
      <c r="E391" s="145">
        <v>-53.3</v>
      </c>
      <c r="F391" s="145">
        <v>-42</v>
      </c>
      <c r="G391" s="165"/>
      <c r="H391" s="165"/>
      <c r="J391" s="108" t="s">
        <v>679</v>
      </c>
      <c r="K391" s="145">
        <v>-30</v>
      </c>
      <c r="M391" s="108" t="s">
        <v>678</v>
      </c>
      <c r="N391" s="145">
        <v>-44.04</v>
      </c>
      <c r="P391" s="117" t="s">
        <v>677</v>
      </c>
      <c r="Q391" s="139">
        <v>-714</v>
      </c>
      <c r="S391" s="108" t="s">
        <v>856</v>
      </c>
      <c r="T391" s="118">
        <v>130.88</v>
      </c>
      <c r="V391" s="108" t="s">
        <v>681</v>
      </c>
      <c r="W391" s="145">
        <v>-16.75</v>
      </c>
    </row>
    <row r="392" spans="1:23" x14ac:dyDescent="0.2">
      <c r="A392" s="108" t="s">
        <v>679</v>
      </c>
      <c r="B392" s="145">
        <v>-15.5</v>
      </c>
      <c r="C392" s="145">
        <v>-27.4</v>
      </c>
      <c r="D392" s="145">
        <v>-54.6</v>
      </c>
      <c r="E392" s="145">
        <v>-49.5</v>
      </c>
      <c r="F392" s="119">
        <v>8.3000000000000007</v>
      </c>
      <c r="G392" s="162"/>
      <c r="H392" s="162"/>
      <c r="J392" s="108" t="s">
        <v>756</v>
      </c>
      <c r="K392" s="119">
        <v>21</v>
      </c>
      <c r="M392" s="108" t="s">
        <v>679</v>
      </c>
      <c r="N392" s="145">
        <v>-13.44</v>
      </c>
      <c r="P392" s="108" t="s">
        <v>678</v>
      </c>
      <c r="Q392" s="118">
        <v>121</v>
      </c>
      <c r="S392" s="117" t="s">
        <v>855</v>
      </c>
      <c r="T392" s="118">
        <v>300.7</v>
      </c>
      <c r="V392" s="108" t="s">
        <v>683</v>
      </c>
      <c r="W392" s="119">
        <v>0.87</v>
      </c>
    </row>
    <row r="393" spans="1:23" x14ac:dyDescent="0.2">
      <c r="A393" s="108" t="s">
        <v>680</v>
      </c>
      <c r="B393" s="134"/>
      <c r="C393" s="134"/>
      <c r="D393" s="134"/>
      <c r="E393" s="119">
        <v>9.5</v>
      </c>
      <c r="F393" s="145">
        <v>-14.2</v>
      </c>
      <c r="G393" s="165"/>
      <c r="H393" s="165"/>
      <c r="J393" s="108" t="s">
        <v>755</v>
      </c>
      <c r="K393" s="145">
        <v>-32</v>
      </c>
      <c r="M393" s="108" t="s">
        <v>681</v>
      </c>
      <c r="N393" s="145">
        <v>-9.0500000000000007</v>
      </c>
      <c r="P393" s="108" t="s">
        <v>679</v>
      </c>
      <c r="Q393" s="139">
        <v>-161</v>
      </c>
      <c r="S393" s="117" t="s">
        <v>854</v>
      </c>
      <c r="T393" s="118">
        <v>445.98</v>
      </c>
      <c r="V393" s="108" t="s">
        <v>848</v>
      </c>
      <c r="W393" s="145">
        <v>-0.65</v>
      </c>
    </row>
    <row r="394" spans="1:23" x14ac:dyDescent="0.2">
      <c r="A394" s="108" t="s">
        <v>681</v>
      </c>
      <c r="B394" s="145">
        <v>-51.7</v>
      </c>
      <c r="C394" s="145">
        <v>-93</v>
      </c>
      <c r="D394" s="119">
        <v>27.8</v>
      </c>
      <c r="E394" s="139">
        <v>-101.8</v>
      </c>
      <c r="F394" s="145">
        <v>-29.8</v>
      </c>
      <c r="G394" s="165"/>
      <c r="H394" s="165"/>
      <c r="J394" s="136" t="s">
        <v>685</v>
      </c>
      <c r="K394" s="137">
        <v>1785</v>
      </c>
      <c r="M394" s="108" t="s">
        <v>756</v>
      </c>
      <c r="N394" s="145">
        <v>-14.99</v>
      </c>
      <c r="P394" s="108" t="s">
        <v>681</v>
      </c>
      <c r="Q394" s="139">
        <v>-210</v>
      </c>
      <c r="S394" s="117" t="s">
        <v>853</v>
      </c>
      <c r="T394" s="119">
        <v>66.83</v>
      </c>
      <c r="V394" s="136" t="s">
        <v>685</v>
      </c>
      <c r="W394" s="137">
        <v>548.54999999999995</v>
      </c>
    </row>
    <row r="395" spans="1:23" x14ac:dyDescent="0.2">
      <c r="A395" s="108" t="s">
        <v>682</v>
      </c>
      <c r="B395" s="145">
        <v>-7.3</v>
      </c>
      <c r="C395" s="145">
        <v>-6.8</v>
      </c>
      <c r="D395" s="119">
        <v>18.8</v>
      </c>
      <c r="E395" s="119">
        <v>0.4</v>
      </c>
      <c r="F395" s="145">
        <v>-0.4</v>
      </c>
      <c r="G395" s="165"/>
      <c r="H395" s="165"/>
      <c r="J395" s="115" t="s">
        <v>686</v>
      </c>
      <c r="K395" s="116"/>
      <c r="M395" s="108" t="s">
        <v>684</v>
      </c>
      <c r="N395" s="145">
        <v>-9.3000000000000007</v>
      </c>
      <c r="P395" s="108" t="s">
        <v>756</v>
      </c>
      <c r="Q395" s="139">
        <v>-158</v>
      </c>
      <c r="S395" s="117" t="s">
        <v>676</v>
      </c>
      <c r="T395" s="118">
        <v>2078.02</v>
      </c>
      <c r="V395" s="115" t="s">
        <v>686</v>
      </c>
      <c r="W395" s="116"/>
    </row>
    <row r="396" spans="1:23" x14ac:dyDescent="0.2">
      <c r="A396" s="108" t="s">
        <v>683</v>
      </c>
      <c r="B396" s="119">
        <v>75.7</v>
      </c>
      <c r="C396" s="139">
        <v>-193</v>
      </c>
      <c r="D396" s="145">
        <v>-25.1</v>
      </c>
      <c r="E396" s="145">
        <v>-17.399999999999999</v>
      </c>
      <c r="F396" s="145">
        <v>-23.3</v>
      </c>
      <c r="G396" s="165"/>
      <c r="H396" s="165"/>
      <c r="J396" s="117" t="s">
        <v>687</v>
      </c>
      <c r="K396" s="118">
        <v>807</v>
      </c>
      <c r="M396" s="136" t="s">
        <v>685</v>
      </c>
      <c r="N396" s="137">
        <v>278.48</v>
      </c>
      <c r="P396" s="108" t="s">
        <v>787</v>
      </c>
      <c r="Q396" s="139">
        <v>-310</v>
      </c>
      <c r="S396" s="117" t="s">
        <v>677</v>
      </c>
      <c r="T396" s="145">
        <v>-20.34</v>
      </c>
      <c r="V396" s="117" t="s">
        <v>687</v>
      </c>
      <c r="W396" s="118">
        <v>195.28</v>
      </c>
    </row>
    <row r="397" spans="1:23" x14ac:dyDescent="0.2">
      <c r="A397" s="108" t="s">
        <v>684</v>
      </c>
      <c r="B397" s="145">
        <v>-95</v>
      </c>
      <c r="C397" s="119">
        <v>0.3</v>
      </c>
      <c r="D397" s="145">
        <v>-28.5</v>
      </c>
      <c r="E397" s="145">
        <v>-12.2</v>
      </c>
      <c r="F397" s="145">
        <v>-42.5</v>
      </c>
      <c r="G397" s="165"/>
      <c r="H397" s="165"/>
      <c r="J397" s="108" t="s">
        <v>688</v>
      </c>
      <c r="K397" s="118">
        <v>807</v>
      </c>
      <c r="M397" s="115" t="s">
        <v>686</v>
      </c>
      <c r="N397" s="116"/>
      <c r="P397" s="108" t="s">
        <v>684</v>
      </c>
      <c r="Q397" s="119">
        <v>4</v>
      </c>
      <c r="S397" s="108" t="s">
        <v>678</v>
      </c>
      <c r="T397" s="119">
        <v>22.6</v>
      </c>
      <c r="V397" s="108" t="s">
        <v>688</v>
      </c>
      <c r="W397" s="118">
        <v>195.28</v>
      </c>
    </row>
    <row r="398" spans="1:23" x14ac:dyDescent="0.2">
      <c r="A398" s="136" t="s">
        <v>685</v>
      </c>
      <c r="B398" s="137">
        <v>1813</v>
      </c>
      <c r="C398" s="137">
        <v>1409.6</v>
      </c>
      <c r="D398" s="137">
        <v>1536.8</v>
      </c>
      <c r="E398" s="137">
        <v>1148.2</v>
      </c>
      <c r="F398" s="137">
        <v>1011.9</v>
      </c>
      <c r="G398" s="166"/>
      <c r="H398" s="166"/>
      <c r="J398" s="108" t="s">
        <v>689</v>
      </c>
      <c r="K398" s="118">
        <v>807</v>
      </c>
      <c r="M398" s="117" t="s">
        <v>687</v>
      </c>
      <c r="N398" s="118">
        <v>300.57</v>
      </c>
      <c r="P398" s="136" t="s">
        <v>685</v>
      </c>
      <c r="Q398" s="137">
        <v>5625</v>
      </c>
      <c r="S398" s="108" t="s">
        <v>679</v>
      </c>
      <c r="T398" s="119">
        <v>87.48</v>
      </c>
      <c r="V398" s="108" t="s">
        <v>689</v>
      </c>
      <c r="W398" s="118">
        <v>195.28</v>
      </c>
    </row>
    <row r="399" spans="1:23" x14ac:dyDescent="0.2">
      <c r="A399" s="115" t="s">
        <v>686</v>
      </c>
      <c r="B399" s="116"/>
      <c r="C399" s="116"/>
      <c r="D399" s="116"/>
      <c r="E399" s="116"/>
      <c r="F399" s="116"/>
      <c r="G399" s="160"/>
      <c r="H399" s="160"/>
      <c r="J399" s="108" t="s">
        <v>691</v>
      </c>
      <c r="K399" s="118">
        <v>807</v>
      </c>
      <c r="M399" s="108" t="s">
        <v>688</v>
      </c>
      <c r="N399" s="118">
        <v>300.57</v>
      </c>
      <c r="P399" s="115" t="s">
        <v>686</v>
      </c>
      <c r="Q399" s="116"/>
      <c r="S399" s="108" t="s">
        <v>756</v>
      </c>
      <c r="T399" s="139">
        <v>-209.39</v>
      </c>
      <c r="V399" s="108" t="s">
        <v>691</v>
      </c>
      <c r="W399" s="118">
        <v>195.28</v>
      </c>
    </row>
    <row r="400" spans="1:23" x14ac:dyDescent="0.2">
      <c r="A400" s="117" t="s">
        <v>687</v>
      </c>
      <c r="B400" s="118">
        <v>653.6</v>
      </c>
      <c r="C400" s="118">
        <v>548.79999999999995</v>
      </c>
      <c r="D400" s="118">
        <v>778</v>
      </c>
      <c r="E400" s="118">
        <v>573.9</v>
      </c>
      <c r="F400" s="118">
        <v>234.8</v>
      </c>
      <c r="G400" s="161"/>
      <c r="H400" s="161"/>
      <c r="J400" s="117" t="s">
        <v>692</v>
      </c>
      <c r="K400" s="139">
        <v>-647</v>
      </c>
      <c r="M400" s="108" t="s">
        <v>689</v>
      </c>
      <c r="N400" s="118">
        <v>348.04</v>
      </c>
      <c r="P400" s="117" t="s">
        <v>687</v>
      </c>
      <c r="Q400" s="118">
        <v>2713</v>
      </c>
      <c r="S400" s="108" t="s">
        <v>684</v>
      </c>
      <c r="T400" s="119">
        <v>78.97</v>
      </c>
      <c r="V400" s="117" t="s">
        <v>692</v>
      </c>
      <c r="W400" s="139">
        <v>-174.85</v>
      </c>
    </row>
    <row r="401" spans="1:23" x14ac:dyDescent="0.2">
      <c r="A401" s="108" t="s">
        <v>688</v>
      </c>
      <c r="B401" s="118">
        <v>653.6</v>
      </c>
      <c r="C401" s="118">
        <v>548.79999999999995</v>
      </c>
      <c r="D401" s="118">
        <v>778</v>
      </c>
      <c r="E401" s="118">
        <v>573.9</v>
      </c>
      <c r="F401" s="118">
        <v>234.8</v>
      </c>
      <c r="G401" s="161"/>
      <c r="H401" s="161"/>
      <c r="J401" s="108" t="s">
        <v>693</v>
      </c>
      <c r="K401" s="118">
        <v>685</v>
      </c>
      <c r="M401" s="108" t="s">
        <v>690</v>
      </c>
      <c r="N401" s="119">
        <v>47.47</v>
      </c>
      <c r="P401" s="108" t="s">
        <v>688</v>
      </c>
      <c r="Q401" s="118">
        <v>2713</v>
      </c>
      <c r="S401" s="136" t="s">
        <v>685</v>
      </c>
      <c r="T401" s="137">
        <v>2057.69</v>
      </c>
      <c r="V401" s="108" t="s">
        <v>693</v>
      </c>
      <c r="W401" s="118">
        <v>174.85</v>
      </c>
    </row>
    <row r="402" spans="1:23" x14ac:dyDescent="0.2">
      <c r="A402" s="108" t="s">
        <v>689</v>
      </c>
      <c r="B402" s="118">
        <v>677.7</v>
      </c>
      <c r="C402" s="118">
        <v>603.5</v>
      </c>
      <c r="D402" s="118">
        <v>872.6</v>
      </c>
      <c r="E402" s="118">
        <v>612.6</v>
      </c>
      <c r="F402" s="118">
        <v>451.3</v>
      </c>
      <c r="G402" s="161"/>
      <c r="H402" s="161"/>
      <c r="J402" s="108" t="s">
        <v>694</v>
      </c>
      <c r="K402" s="119">
        <v>38</v>
      </c>
      <c r="M402" s="108" t="s">
        <v>691</v>
      </c>
      <c r="N402" s="118">
        <v>348.04</v>
      </c>
      <c r="P402" s="108" t="s">
        <v>689</v>
      </c>
      <c r="Q402" s="118">
        <v>2713</v>
      </c>
      <c r="S402" s="115" t="s">
        <v>686</v>
      </c>
      <c r="T402" s="116"/>
      <c r="V402" s="136" t="s">
        <v>696</v>
      </c>
      <c r="W402" s="167">
        <v>-370.13</v>
      </c>
    </row>
    <row r="403" spans="1:23" x14ac:dyDescent="0.2">
      <c r="A403" s="108" t="s">
        <v>690</v>
      </c>
      <c r="B403" s="119">
        <v>24.1</v>
      </c>
      <c r="C403" s="119">
        <v>54.7</v>
      </c>
      <c r="D403" s="119">
        <v>94.6</v>
      </c>
      <c r="E403" s="119">
        <v>38.700000000000003</v>
      </c>
      <c r="F403" s="118">
        <v>216.5</v>
      </c>
      <c r="G403" s="161"/>
      <c r="H403" s="161"/>
      <c r="J403" s="117" t="s">
        <v>754</v>
      </c>
      <c r="K403" s="134">
        <v>0</v>
      </c>
      <c r="M403" s="117" t="s">
        <v>692</v>
      </c>
      <c r="N403" s="139">
        <v>-609.99</v>
      </c>
      <c r="P403" s="108" t="s">
        <v>691</v>
      </c>
      <c r="Q403" s="118">
        <v>2713</v>
      </c>
      <c r="S403" s="117" t="s">
        <v>687</v>
      </c>
      <c r="T403" s="118">
        <v>1221.3699999999999</v>
      </c>
      <c r="V403" s="115" t="s">
        <v>697</v>
      </c>
      <c r="W403" s="116"/>
    </row>
    <row r="404" spans="1:23" x14ac:dyDescent="0.2">
      <c r="A404" s="108" t="s">
        <v>691</v>
      </c>
      <c r="B404" s="118">
        <v>677.7</v>
      </c>
      <c r="C404" s="118">
        <v>603.5</v>
      </c>
      <c r="D404" s="118">
        <v>872.6</v>
      </c>
      <c r="E404" s="118">
        <v>612.6</v>
      </c>
      <c r="F404" s="118">
        <v>451.3</v>
      </c>
      <c r="G404" s="161"/>
      <c r="H404" s="161"/>
      <c r="J404" s="108" t="s">
        <v>753</v>
      </c>
      <c r="K404" s="134">
        <v>0</v>
      </c>
      <c r="M404" s="117" t="s">
        <v>754</v>
      </c>
      <c r="N404" s="145">
        <v>-3.1</v>
      </c>
      <c r="P404" s="117" t="s">
        <v>692</v>
      </c>
      <c r="Q404" s="139">
        <v>-3541</v>
      </c>
      <c r="S404" s="108" t="s">
        <v>688</v>
      </c>
      <c r="T404" s="118">
        <v>956</v>
      </c>
      <c r="V404" s="117" t="s">
        <v>698</v>
      </c>
      <c r="W404" s="119">
        <v>33.72</v>
      </c>
    </row>
    <row r="405" spans="1:23" x14ac:dyDescent="0.2">
      <c r="A405" s="117" t="s">
        <v>692</v>
      </c>
      <c r="B405" s="118">
        <v>113.9</v>
      </c>
      <c r="C405" s="139">
        <v>-2266</v>
      </c>
      <c r="D405" s="118">
        <v>614.5</v>
      </c>
      <c r="E405" s="139">
        <v>-479.2</v>
      </c>
      <c r="F405" s="139">
        <v>-1639.4</v>
      </c>
      <c r="G405" s="164"/>
      <c r="H405" s="164"/>
      <c r="J405" s="108" t="s">
        <v>752</v>
      </c>
      <c r="K405" s="134">
        <v>0</v>
      </c>
      <c r="M405" s="108" t="s">
        <v>753</v>
      </c>
      <c r="N405" s="145">
        <v>-3.1</v>
      </c>
      <c r="P405" s="108" t="s">
        <v>693</v>
      </c>
      <c r="Q405" s="118">
        <v>3856</v>
      </c>
      <c r="S405" s="108" t="s">
        <v>689</v>
      </c>
      <c r="T405" s="118">
        <v>1059.92</v>
      </c>
      <c r="V405" s="108" t="s">
        <v>699</v>
      </c>
      <c r="W405" s="119">
        <v>33.72</v>
      </c>
    </row>
    <row r="406" spans="1:23" x14ac:dyDescent="0.2">
      <c r="A406" s="108" t="s">
        <v>693</v>
      </c>
      <c r="B406" s="119">
        <v>13.5</v>
      </c>
      <c r="C406" s="118">
        <v>2266.1999999999998</v>
      </c>
      <c r="D406" s="134"/>
      <c r="E406" s="118">
        <v>529.20000000000005</v>
      </c>
      <c r="F406" s="118">
        <v>1639.4</v>
      </c>
      <c r="G406" s="161"/>
      <c r="H406" s="161"/>
      <c r="J406" s="117" t="s">
        <v>695</v>
      </c>
      <c r="K406" s="139">
        <v>-134</v>
      </c>
      <c r="M406" s="136" t="s">
        <v>696</v>
      </c>
      <c r="N406" s="167">
        <v>-913.66</v>
      </c>
      <c r="P406" s="108" t="s">
        <v>694</v>
      </c>
      <c r="Q406" s="118">
        <v>315</v>
      </c>
      <c r="S406" s="108" t="s">
        <v>690</v>
      </c>
      <c r="T406" s="118">
        <v>103.91</v>
      </c>
      <c r="V406" s="117" t="s">
        <v>700</v>
      </c>
      <c r="W406" s="139">
        <v>-291.91000000000003</v>
      </c>
    </row>
    <row r="407" spans="1:23" x14ac:dyDescent="0.2">
      <c r="A407" s="108" t="s">
        <v>694</v>
      </c>
      <c r="B407" s="118">
        <v>127.4</v>
      </c>
      <c r="C407" s="119">
        <v>0.2</v>
      </c>
      <c r="D407" s="118">
        <v>614.5</v>
      </c>
      <c r="E407" s="119">
        <v>50</v>
      </c>
      <c r="F407" s="134">
        <v>0</v>
      </c>
      <c r="G407" s="163"/>
      <c r="H407" s="163"/>
      <c r="J407" s="136" t="s">
        <v>696</v>
      </c>
      <c r="K407" s="167">
        <v>-1588</v>
      </c>
      <c r="M407" s="115" t="s">
        <v>697</v>
      </c>
      <c r="N407" s="116"/>
      <c r="P407" s="117" t="s">
        <v>786</v>
      </c>
      <c r="Q407" s="145">
        <v>-81</v>
      </c>
      <c r="S407" s="108" t="s">
        <v>852</v>
      </c>
      <c r="T407" s="118">
        <v>265.36</v>
      </c>
      <c r="V407" s="108" t="s">
        <v>701</v>
      </c>
      <c r="W407" s="139">
        <v>-298.29000000000002</v>
      </c>
    </row>
    <row r="408" spans="1:23" x14ac:dyDescent="0.2">
      <c r="A408" s="117" t="s">
        <v>695</v>
      </c>
      <c r="B408" s="119">
        <v>10.5</v>
      </c>
      <c r="C408" s="145">
        <v>-0.1</v>
      </c>
      <c r="D408" s="134">
        <v>0</v>
      </c>
      <c r="E408" s="119">
        <v>0.1</v>
      </c>
      <c r="F408" s="119">
        <v>0.1</v>
      </c>
      <c r="G408" s="162"/>
      <c r="H408" s="162"/>
      <c r="J408" s="115" t="s">
        <v>697</v>
      </c>
      <c r="K408" s="116"/>
      <c r="M408" s="117" t="s">
        <v>700</v>
      </c>
      <c r="N408" s="145">
        <v>-2.65</v>
      </c>
      <c r="P408" s="117" t="s">
        <v>695</v>
      </c>
      <c r="Q408" s="118">
        <v>290</v>
      </c>
      <c r="S408" s="108" t="s">
        <v>851</v>
      </c>
      <c r="T408" s="118">
        <v>265.36</v>
      </c>
      <c r="V408" s="108" t="s">
        <v>702</v>
      </c>
      <c r="W408" s="139">
        <v>-298.29000000000002</v>
      </c>
    </row>
    <row r="409" spans="1:23" x14ac:dyDescent="0.2">
      <c r="A409" s="136" t="s">
        <v>696</v>
      </c>
      <c r="B409" s="167">
        <v>-529.20000000000005</v>
      </c>
      <c r="C409" s="167">
        <v>-2814.9</v>
      </c>
      <c r="D409" s="167">
        <v>-163.5</v>
      </c>
      <c r="E409" s="167">
        <v>-1053</v>
      </c>
      <c r="F409" s="167">
        <v>-1874.1</v>
      </c>
      <c r="G409" s="168"/>
      <c r="H409" s="168"/>
      <c r="J409" s="117" t="s">
        <v>698</v>
      </c>
      <c r="K409" s="118">
        <v>197</v>
      </c>
      <c r="M409" s="108" t="s">
        <v>765</v>
      </c>
      <c r="N409" s="145">
        <v>-2.65</v>
      </c>
      <c r="P409" s="136" t="s">
        <v>696</v>
      </c>
      <c r="Q409" s="167">
        <v>-6045</v>
      </c>
      <c r="S409" s="108" t="s">
        <v>691</v>
      </c>
      <c r="T409" s="118">
        <v>1325.28</v>
      </c>
      <c r="V409" s="108" t="s">
        <v>703</v>
      </c>
      <c r="W409" s="118">
        <v>298.29000000000002</v>
      </c>
    </row>
    <row r="410" spans="1:23" x14ac:dyDescent="0.2">
      <c r="A410" s="115" t="s">
        <v>697</v>
      </c>
      <c r="B410" s="116"/>
      <c r="C410" s="116"/>
      <c r="D410" s="116"/>
      <c r="E410" s="116"/>
      <c r="F410" s="116"/>
      <c r="G410" s="160"/>
      <c r="H410" s="160"/>
      <c r="J410" s="108" t="s">
        <v>699</v>
      </c>
      <c r="K410" s="118">
        <v>197</v>
      </c>
      <c r="M410" s="117" t="s">
        <v>704</v>
      </c>
      <c r="N410" s="118">
        <v>491.19</v>
      </c>
      <c r="P410" s="115" t="s">
        <v>697</v>
      </c>
      <c r="Q410" s="116"/>
      <c r="S410" s="117" t="s">
        <v>692</v>
      </c>
      <c r="T410" s="118">
        <v>964.83</v>
      </c>
      <c r="V410" s="108" t="s">
        <v>765</v>
      </c>
      <c r="W410" s="119">
        <v>6.38</v>
      </c>
    </row>
    <row r="411" spans="1:23" x14ac:dyDescent="0.2">
      <c r="A411" s="117" t="s">
        <v>698</v>
      </c>
      <c r="B411" s="118">
        <v>259.8</v>
      </c>
      <c r="C411" s="118">
        <v>244.4</v>
      </c>
      <c r="D411" s="118">
        <v>228.4</v>
      </c>
      <c r="E411" s="118">
        <v>212.6</v>
      </c>
      <c r="F411" s="118">
        <v>196.4</v>
      </c>
      <c r="G411" s="161"/>
      <c r="H411" s="161"/>
      <c r="J411" s="117" t="s">
        <v>700</v>
      </c>
      <c r="K411" s="139">
        <v>-450</v>
      </c>
      <c r="M411" s="108" t="s">
        <v>708</v>
      </c>
      <c r="N411" s="118">
        <v>491.19</v>
      </c>
      <c r="P411" s="117" t="s">
        <v>698</v>
      </c>
      <c r="Q411" s="118">
        <v>996</v>
      </c>
      <c r="S411" s="108" t="s">
        <v>693</v>
      </c>
      <c r="T411" s="119">
        <v>44.27</v>
      </c>
      <c r="V411" s="117" t="s">
        <v>704</v>
      </c>
      <c r="W411" s="118">
        <v>143.75</v>
      </c>
    </row>
    <row r="412" spans="1:23" x14ac:dyDescent="0.2">
      <c r="A412" s="108" t="s">
        <v>699</v>
      </c>
      <c r="B412" s="118">
        <v>259.8</v>
      </c>
      <c r="C412" s="118">
        <v>244.4</v>
      </c>
      <c r="D412" s="118">
        <v>228.4</v>
      </c>
      <c r="E412" s="118">
        <v>212.6</v>
      </c>
      <c r="F412" s="118">
        <v>196.4</v>
      </c>
      <c r="G412" s="161"/>
      <c r="H412" s="161"/>
      <c r="J412" s="108" t="s">
        <v>701</v>
      </c>
      <c r="K412" s="139">
        <v>-450</v>
      </c>
      <c r="M412" s="108" t="s">
        <v>710</v>
      </c>
      <c r="N412" s="118">
        <v>500</v>
      </c>
      <c r="P412" s="108" t="s">
        <v>699</v>
      </c>
      <c r="Q412" s="118">
        <v>996</v>
      </c>
      <c r="S412" s="108" t="s">
        <v>694</v>
      </c>
      <c r="T412" s="118">
        <v>1009.1</v>
      </c>
      <c r="V412" s="108" t="s">
        <v>708</v>
      </c>
      <c r="W412" s="118">
        <v>143.75</v>
      </c>
    </row>
    <row r="413" spans="1:23" x14ac:dyDescent="0.2">
      <c r="A413" s="117" t="s">
        <v>700</v>
      </c>
      <c r="B413" s="139">
        <v>-438.4</v>
      </c>
      <c r="C413" s="145">
        <v>-68.8</v>
      </c>
      <c r="D413" s="139">
        <v>-200</v>
      </c>
      <c r="E413" s="134">
        <v>0</v>
      </c>
      <c r="F413" s="134">
        <v>0</v>
      </c>
      <c r="G413" s="163"/>
      <c r="H413" s="163"/>
      <c r="J413" s="108" t="s">
        <v>702</v>
      </c>
      <c r="K413" s="139">
        <v>-450</v>
      </c>
      <c r="M413" s="108" t="s">
        <v>711</v>
      </c>
      <c r="N413" s="119">
        <v>8.81</v>
      </c>
      <c r="P413" s="117" t="s">
        <v>700</v>
      </c>
      <c r="Q413" s="139">
        <v>-1181</v>
      </c>
      <c r="S413" s="117" t="s">
        <v>695</v>
      </c>
      <c r="T413" s="145">
        <v>-6.93</v>
      </c>
      <c r="V413" s="108" t="s">
        <v>710</v>
      </c>
      <c r="W413" s="118">
        <v>460</v>
      </c>
    </row>
    <row r="414" spans="1:23" x14ac:dyDescent="0.2">
      <c r="A414" s="108" t="s">
        <v>701</v>
      </c>
      <c r="B414" s="139">
        <v>-438.4</v>
      </c>
      <c r="C414" s="145">
        <v>-68.8</v>
      </c>
      <c r="D414" s="139">
        <v>-200</v>
      </c>
      <c r="E414" s="134">
        <v>0</v>
      </c>
      <c r="F414" s="134">
        <v>0</v>
      </c>
      <c r="G414" s="163"/>
      <c r="H414" s="163"/>
      <c r="J414" s="108" t="s">
        <v>703</v>
      </c>
      <c r="K414" s="118">
        <v>450</v>
      </c>
      <c r="M414" s="117" t="s">
        <v>713</v>
      </c>
      <c r="N414" s="145">
        <v>-11.07</v>
      </c>
      <c r="P414" s="108" t="s">
        <v>701</v>
      </c>
      <c r="Q414" s="139">
        <v>-1181</v>
      </c>
      <c r="S414" s="136" t="s">
        <v>696</v>
      </c>
      <c r="T414" s="167">
        <v>-263.45999999999998</v>
      </c>
      <c r="V414" s="108" t="s">
        <v>711</v>
      </c>
      <c r="W414" s="118">
        <v>316.25</v>
      </c>
    </row>
    <row r="415" spans="1:23" x14ac:dyDescent="0.2">
      <c r="A415" s="108" t="s">
        <v>702</v>
      </c>
      <c r="B415" s="139">
        <v>-438.4</v>
      </c>
      <c r="C415" s="145">
        <v>-68.8</v>
      </c>
      <c r="D415" s="139">
        <v>-200</v>
      </c>
      <c r="E415" s="134">
        <v>0</v>
      </c>
      <c r="F415" s="134">
        <v>0</v>
      </c>
      <c r="G415" s="163"/>
      <c r="H415" s="163"/>
      <c r="J415" s="117" t="s">
        <v>704</v>
      </c>
      <c r="K415" s="139">
        <v>-118</v>
      </c>
      <c r="M415" s="136" t="s">
        <v>715</v>
      </c>
      <c r="N415" s="137">
        <v>477.47</v>
      </c>
      <c r="P415" s="108" t="s">
        <v>702</v>
      </c>
      <c r="Q415" s="139">
        <v>-1181</v>
      </c>
      <c r="S415" s="115" t="s">
        <v>697</v>
      </c>
      <c r="T415" s="116"/>
      <c r="V415" s="117" t="s">
        <v>713</v>
      </c>
      <c r="W415" s="145">
        <v>-11.06</v>
      </c>
    </row>
    <row r="416" spans="1:23" x14ac:dyDescent="0.2">
      <c r="A416" s="108" t="s">
        <v>703</v>
      </c>
      <c r="B416" s="118">
        <v>438.4</v>
      </c>
      <c r="C416" s="119">
        <v>68.8</v>
      </c>
      <c r="D416" s="118">
        <v>200</v>
      </c>
      <c r="E416" s="134">
        <v>0</v>
      </c>
      <c r="F416" s="134">
        <v>0</v>
      </c>
      <c r="G416" s="163"/>
      <c r="H416" s="163"/>
      <c r="J416" s="108" t="s">
        <v>708</v>
      </c>
      <c r="K416" s="139">
        <v>-118</v>
      </c>
      <c r="M416" s="115" t="s">
        <v>716</v>
      </c>
      <c r="N416" s="116"/>
      <c r="P416" s="108" t="s">
        <v>703</v>
      </c>
      <c r="Q416" s="118">
        <v>1181</v>
      </c>
      <c r="S416" s="117" t="s">
        <v>698</v>
      </c>
      <c r="T416" s="118">
        <v>127.47</v>
      </c>
      <c r="V416" s="108" t="s">
        <v>714</v>
      </c>
      <c r="W416" s="119">
        <v>9.23</v>
      </c>
    </row>
    <row r="417" spans="1:23" x14ac:dyDescent="0.2">
      <c r="A417" s="117" t="s">
        <v>704</v>
      </c>
      <c r="B417" s="139">
        <v>-961.4</v>
      </c>
      <c r="C417" s="118">
        <v>1436.5</v>
      </c>
      <c r="D417" s="139">
        <v>-131.30000000000001</v>
      </c>
      <c r="E417" s="119">
        <v>58.5</v>
      </c>
      <c r="F417" s="118">
        <v>134.80000000000001</v>
      </c>
      <c r="G417" s="161"/>
      <c r="H417" s="161"/>
      <c r="J417" s="108" t="s">
        <v>709</v>
      </c>
      <c r="K417" s="145">
        <v>-23</v>
      </c>
      <c r="M417" s="136" t="s">
        <v>717</v>
      </c>
      <c r="N417" s="167">
        <v>-157.72</v>
      </c>
      <c r="P417" s="117" t="s">
        <v>785</v>
      </c>
      <c r="Q417" s="119">
        <v>28</v>
      </c>
      <c r="S417" s="108" t="s">
        <v>699</v>
      </c>
      <c r="T417" s="118">
        <v>127.47</v>
      </c>
      <c r="V417" s="136" t="s">
        <v>715</v>
      </c>
      <c r="W417" s="167">
        <v>-192.94</v>
      </c>
    </row>
    <row r="418" spans="1:23" x14ac:dyDescent="0.2">
      <c r="A418" s="108" t="s">
        <v>705</v>
      </c>
      <c r="B418" s="139">
        <v>-550</v>
      </c>
      <c r="C418" s="134">
        <v>0</v>
      </c>
      <c r="D418" s="139">
        <v>-100</v>
      </c>
      <c r="E418" s="118">
        <v>100</v>
      </c>
      <c r="F418" s="134">
        <v>0</v>
      </c>
      <c r="G418" s="163"/>
      <c r="H418" s="163"/>
      <c r="J418" s="108" t="s">
        <v>710</v>
      </c>
      <c r="K418" s="118">
        <v>640</v>
      </c>
      <c r="M418" s="108" t="s">
        <v>718</v>
      </c>
      <c r="N418" s="139">
        <v>-157.72</v>
      </c>
      <c r="P418" s="117" t="s">
        <v>704</v>
      </c>
      <c r="Q418" s="118">
        <v>2736</v>
      </c>
      <c r="S418" s="117" t="s">
        <v>700</v>
      </c>
      <c r="T418" s="118">
        <v>994.5</v>
      </c>
      <c r="V418" s="115" t="s">
        <v>716</v>
      </c>
      <c r="W418" s="116"/>
    </row>
    <row r="419" spans="1:23" x14ac:dyDescent="0.2">
      <c r="A419" s="108" t="s">
        <v>706</v>
      </c>
      <c r="B419" s="134">
        <v>0</v>
      </c>
      <c r="C419" s="119">
        <v>8</v>
      </c>
      <c r="D419" s="118">
        <v>166.1</v>
      </c>
      <c r="E419" s="118">
        <v>1361</v>
      </c>
      <c r="F419" s="134">
        <v>0</v>
      </c>
      <c r="G419" s="163"/>
      <c r="H419" s="163"/>
      <c r="J419" s="108" t="s">
        <v>711</v>
      </c>
      <c r="K419" s="118">
        <v>758</v>
      </c>
      <c r="M419" s="117" t="s">
        <v>719</v>
      </c>
      <c r="N419" s="118">
        <v>281.13</v>
      </c>
      <c r="P419" s="108" t="s">
        <v>784</v>
      </c>
      <c r="Q419" s="118">
        <v>2867</v>
      </c>
      <c r="S419" s="108" t="s">
        <v>701</v>
      </c>
      <c r="T419" s="118">
        <v>994.5</v>
      </c>
      <c r="V419" s="136" t="s">
        <v>717</v>
      </c>
      <c r="W419" s="169">
        <v>-14.52</v>
      </c>
    </row>
    <row r="420" spans="1:23" x14ac:dyDescent="0.2">
      <c r="A420" s="108" t="s">
        <v>707</v>
      </c>
      <c r="B420" s="118">
        <v>550</v>
      </c>
      <c r="C420" s="119">
        <v>8</v>
      </c>
      <c r="D420" s="118">
        <v>266.10000000000002</v>
      </c>
      <c r="E420" s="118">
        <v>1261</v>
      </c>
      <c r="F420" s="134">
        <v>0</v>
      </c>
      <c r="G420" s="163"/>
      <c r="H420" s="163"/>
      <c r="J420" s="108" t="s">
        <v>712</v>
      </c>
      <c r="K420" s="119">
        <v>23</v>
      </c>
      <c r="M420" s="117" t="s">
        <v>720</v>
      </c>
      <c r="N420" s="118">
        <v>123.42</v>
      </c>
      <c r="P420" s="108" t="s">
        <v>783</v>
      </c>
      <c r="Q420" s="134">
        <v>10479</v>
      </c>
      <c r="S420" s="108" t="s">
        <v>702</v>
      </c>
      <c r="T420" s="118">
        <v>994.5</v>
      </c>
      <c r="V420" s="108" t="s">
        <v>718</v>
      </c>
      <c r="W420" s="145">
        <v>-14.52</v>
      </c>
    </row>
    <row r="421" spans="1:23" x14ac:dyDescent="0.2">
      <c r="A421" s="108" t="s">
        <v>708</v>
      </c>
      <c r="B421" s="139">
        <v>-411.4</v>
      </c>
      <c r="C421" s="118">
        <v>1436.5</v>
      </c>
      <c r="D421" s="145">
        <v>-31.3</v>
      </c>
      <c r="E421" s="145">
        <v>-41.5</v>
      </c>
      <c r="F421" s="118">
        <v>134.80000000000001</v>
      </c>
      <c r="G421" s="161"/>
      <c r="H421" s="161"/>
      <c r="J421" s="117" t="s">
        <v>713</v>
      </c>
      <c r="K421" s="145">
        <v>-35</v>
      </c>
      <c r="M421" s="115" t="s">
        <v>721</v>
      </c>
      <c r="N421" s="116"/>
      <c r="P421" s="108" t="s">
        <v>782</v>
      </c>
      <c r="Q421" s="118">
        <v>7612</v>
      </c>
      <c r="S421" s="108" t="s">
        <v>850</v>
      </c>
      <c r="T421" s="118">
        <v>994.5</v>
      </c>
      <c r="V421" s="117" t="s">
        <v>719</v>
      </c>
      <c r="W421" s="119">
        <v>34.92</v>
      </c>
    </row>
    <row r="422" spans="1:23" x14ac:dyDescent="0.2">
      <c r="A422" s="108" t="s">
        <v>709</v>
      </c>
      <c r="B422" s="145">
        <v>-10.9</v>
      </c>
      <c r="C422" s="145">
        <v>-13</v>
      </c>
      <c r="D422" s="145">
        <v>-30.8</v>
      </c>
      <c r="E422" s="145">
        <v>-33.799999999999997</v>
      </c>
      <c r="F422" s="145">
        <v>-13.5</v>
      </c>
      <c r="G422" s="165"/>
      <c r="H422" s="165"/>
      <c r="J422" s="108" t="s">
        <v>714</v>
      </c>
      <c r="K422" s="119">
        <v>31</v>
      </c>
      <c r="M422" s="117" t="s">
        <v>722</v>
      </c>
      <c r="N422" s="119">
        <v>41.77</v>
      </c>
      <c r="P422" s="108" t="s">
        <v>708</v>
      </c>
      <c r="Q422" s="139">
        <v>-131</v>
      </c>
      <c r="S422" s="117" t="s">
        <v>785</v>
      </c>
      <c r="T422" s="145">
        <v>-0.05</v>
      </c>
      <c r="V422" s="117" t="s">
        <v>720</v>
      </c>
      <c r="W422" s="119">
        <v>20.399999999999999</v>
      </c>
    </row>
    <row r="423" spans="1:23" x14ac:dyDescent="0.2">
      <c r="A423" s="108" t="s">
        <v>710</v>
      </c>
      <c r="B423" s="134">
        <v>0</v>
      </c>
      <c r="C423" s="118">
        <v>2000</v>
      </c>
      <c r="D423" s="118">
        <v>550</v>
      </c>
      <c r="E423" s="118">
        <v>550</v>
      </c>
      <c r="F423" s="118">
        <v>1600</v>
      </c>
      <c r="G423" s="161"/>
      <c r="H423" s="161"/>
      <c r="J423" s="136" t="s">
        <v>715</v>
      </c>
      <c r="K423" s="167">
        <v>-800</v>
      </c>
      <c r="M423" s="117" t="s">
        <v>723</v>
      </c>
      <c r="N423" s="119">
        <v>78.78</v>
      </c>
      <c r="P423" s="108" t="s">
        <v>709</v>
      </c>
      <c r="Q423" s="139">
        <v>-131</v>
      </c>
      <c r="S423" s="117" t="s">
        <v>704</v>
      </c>
      <c r="T423" s="139">
        <v>-434.03</v>
      </c>
      <c r="V423" s="115" t="s">
        <v>721</v>
      </c>
      <c r="W423" s="116"/>
    </row>
    <row r="424" spans="1:23" x14ac:dyDescent="0.2">
      <c r="A424" s="108" t="s">
        <v>711</v>
      </c>
      <c r="B424" s="118">
        <v>411.4</v>
      </c>
      <c r="C424" s="118">
        <v>563.5</v>
      </c>
      <c r="D424" s="118">
        <v>581.29999999999995</v>
      </c>
      <c r="E424" s="118">
        <v>591.5</v>
      </c>
      <c r="F424" s="118">
        <v>1465.2</v>
      </c>
      <c r="G424" s="161"/>
      <c r="H424" s="161"/>
      <c r="J424" s="115" t="s">
        <v>716</v>
      </c>
      <c r="K424" s="116"/>
      <c r="M424" s="117" t="s">
        <v>724</v>
      </c>
      <c r="N424" s="118">
        <v>369.3</v>
      </c>
      <c r="P424" s="108" t="s">
        <v>711</v>
      </c>
      <c r="Q424" s="118">
        <v>131</v>
      </c>
      <c r="S424" s="108" t="s">
        <v>708</v>
      </c>
      <c r="T424" s="139">
        <v>-434.03</v>
      </c>
      <c r="V424" s="117" t="s">
        <v>722</v>
      </c>
      <c r="W424" s="118">
        <v>140.79</v>
      </c>
    </row>
    <row r="425" spans="1:23" x14ac:dyDescent="0.2">
      <c r="A425" s="108" t="s">
        <v>712</v>
      </c>
      <c r="B425" s="119">
        <v>10.9</v>
      </c>
      <c r="C425" s="119">
        <v>13</v>
      </c>
      <c r="D425" s="119">
        <v>30.8</v>
      </c>
      <c r="E425" s="119">
        <v>33.799999999999997</v>
      </c>
      <c r="F425" s="119">
        <v>13.5</v>
      </c>
      <c r="G425" s="162"/>
      <c r="H425" s="162"/>
      <c r="J425" s="136" t="s">
        <v>717</v>
      </c>
      <c r="K425" s="167">
        <v>-603</v>
      </c>
      <c r="M425" s="117" t="s">
        <v>727</v>
      </c>
      <c r="N425" s="118">
        <v>193.74</v>
      </c>
      <c r="P425" s="108" t="s">
        <v>712</v>
      </c>
      <c r="Q425" s="118">
        <v>131</v>
      </c>
      <c r="S425" s="108" t="s">
        <v>709</v>
      </c>
      <c r="T425" s="139">
        <v>-284.83</v>
      </c>
      <c r="V425" s="117" t="s">
        <v>723</v>
      </c>
      <c r="W425" s="119">
        <v>42.37</v>
      </c>
    </row>
    <row r="426" spans="1:23" x14ac:dyDescent="0.2">
      <c r="A426" s="117" t="s">
        <v>713</v>
      </c>
      <c r="B426" s="145">
        <v>-35.6</v>
      </c>
      <c r="C426" s="145">
        <v>-66.400000000000006</v>
      </c>
      <c r="D426" s="145">
        <v>-25.9</v>
      </c>
      <c r="E426" s="145">
        <v>-21.1</v>
      </c>
      <c r="F426" s="145">
        <v>-32.700000000000003</v>
      </c>
      <c r="G426" s="165"/>
      <c r="H426" s="165"/>
      <c r="J426" s="108" t="s">
        <v>718</v>
      </c>
      <c r="K426" s="139">
        <v>-603</v>
      </c>
      <c r="M426" s="117" t="s">
        <v>728</v>
      </c>
      <c r="N426" s="118">
        <v>469.1</v>
      </c>
      <c r="P426" s="117" t="s">
        <v>713</v>
      </c>
      <c r="Q426" s="119">
        <v>9</v>
      </c>
      <c r="S426" s="108" t="s">
        <v>711</v>
      </c>
      <c r="T426" s="118">
        <v>434.03</v>
      </c>
      <c r="V426" s="117" t="s">
        <v>724</v>
      </c>
      <c r="W426" s="118">
        <v>609.80999999999995</v>
      </c>
    </row>
    <row r="427" spans="1:23" x14ac:dyDescent="0.2">
      <c r="A427" s="108" t="s">
        <v>714</v>
      </c>
      <c r="B427" s="119">
        <v>34</v>
      </c>
      <c r="C427" s="119">
        <v>33</v>
      </c>
      <c r="D427" s="119">
        <v>21.9</v>
      </c>
      <c r="E427" s="119">
        <v>18.5</v>
      </c>
      <c r="F427" s="119">
        <v>19.100000000000001</v>
      </c>
      <c r="G427" s="162"/>
      <c r="H427" s="162"/>
      <c r="J427" s="117" t="s">
        <v>719</v>
      </c>
      <c r="K427" s="118">
        <v>670</v>
      </c>
      <c r="M427" s="117" t="s">
        <v>729</v>
      </c>
      <c r="N427" s="145">
        <v>-69.569999999999993</v>
      </c>
      <c r="P427" s="136" t="s">
        <v>715</v>
      </c>
      <c r="Q427" s="137">
        <v>596</v>
      </c>
      <c r="S427" s="108" t="s">
        <v>712</v>
      </c>
      <c r="T427" s="118">
        <v>284.83</v>
      </c>
      <c r="V427" s="117" t="s">
        <v>725</v>
      </c>
      <c r="W427" s="118">
        <v>332.01</v>
      </c>
    </row>
    <row r="428" spans="1:23" x14ac:dyDescent="0.2">
      <c r="A428" s="136" t="s">
        <v>715</v>
      </c>
      <c r="B428" s="167">
        <v>-1695.2</v>
      </c>
      <c r="C428" s="137">
        <v>1056.9000000000001</v>
      </c>
      <c r="D428" s="167">
        <v>-585.6</v>
      </c>
      <c r="E428" s="167">
        <v>-175.2</v>
      </c>
      <c r="F428" s="169">
        <v>-94.3</v>
      </c>
      <c r="G428" s="170"/>
      <c r="H428" s="170"/>
      <c r="J428" s="117" t="s">
        <v>720</v>
      </c>
      <c r="K428" s="119">
        <v>67</v>
      </c>
      <c r="M428" s="117" t="s">
        <v>77</v>
      </c>
      <c r="N428" s="145">
        <v>-69.569999999999993</v>
      </c>
      <c r="P428" s="115" t="s">
        <v>781</v>
      </c>
      <c r="Q428" s="116"/>
      <c r="S428" s="117" t="s">
        <v>713</v>
      </c>
      <c r="T428" s="139">
        <v>-1222.1099999999999</v>
      </c>
      <c r="V428" s="117" t="s">
        <v>726</v>
      </c>
      <c r="W428" s="118">
        <v>298.29000000000002</v>
      </c>
    </row>
    <row r="429" spans="1:23" x14ac:dyDescent="0.2">
      <c r="A429" s="115" t="s">
        <v>716</v>
      </c>
      <c r="B429" s="116"/>
      <c r="C429" s="116"/>
      <c r="D429" s="116"/>
      <c r="E429" s="116"/>
      <c r="F429" s="116"/>
      <c r="G429" s="160"/>
      <c r="H429" s="160"/>
      <c r="J429" s="115" t="s">
        <v>721</v>
      </c>
      <c r="K429" s="116"/>
      <c r="M429" s="117" t="s">
        <v>730</v>
      </c>
      <c r="N429" s="134">
        <v>0</v>
      </c>
      <c r="P429" s="117" t="s">
        <v>780</v>
      </c>
      <c r="Q429" s="118">
        <v>212</v>
      </c>
      <c r="S429" s="136" t="s">
        <v>715</v>
      </c>
      <c r="T429" s="167">
        <v>-789.16</v>
      </c>
      <c r="V429" s="117" t="s">
        <v>727</v>
      </c>
      <c r="W429" s="118">
        <v>158.9</v>
      </c>
    </row>
    <row r="430" spans="1:23" x14ac:dyDescent="0.2">
      <c r="A430" s="136" t="s">
        <v>717</v>
      </c>
      <c r="B430" s="167">
        <v>-411.4</v>
      </c>
      <c r="C430" s="167">
        <v>-348.4</v>
      </c>
      <c r="D430" s="137">
        <v>787.7</v>
      </c>
      <c r="E430" s="169">
        <v>-80</v>
      </c>
      <c r="F430" s="167">
        <v>-956.5</v>
      </c>
      <c r="G430" s="168"/>
      <c r="H430" s="168"/>
      <c r="J430" s="117" t="s">
        <v>723</v>
      </c>
      <c r="K430" s="118">
        <v>229</v>
      </c>
      <c r="P430" s="115" t="s">
        <v>716</v>
      </c>
      <c r="Q430" s="116"/>
      <c r="S430" s="115" t="s">
        <v>781</v>
      </c>
      <c r="T430" s="116"/>
      <c r="V430" s="117" t="s">
        <v>728</v>
      </c>
      <c r="W430" s="118">
        <v>497.02</v>
      </c>
    </row>
    <row r="431" spans="1:23" x14ac:dyDescent="0.2">
      <c r="A431" s="108" t="s">
        <v>718</v>
      </c>
      <c r="B431" s="139">
        <v>-411.4</v>
      </c>
      <c r="C431" s="139">
        <v>-348.4</v>
      </c>
      <c r="D431" s="118">
        <v>787.7</v>
      </c>
      <c r="E431" s="145">
        <v>-80</v>
      </c>
      <c r="F431" s="139">
        <v>-956.5</v>
      </c>
      <c r="G431" s="164"/>
      <c r="H431" s="164"/>
      <c r="J431" s="117" t="s">
        <v>724</v>
      </c>
      <c r="K431" s="118">
        <v>1877</v>
      </c>
      <c r="P431" s="136" t="s">
        <v>717</v>
      </c>
      <c r="Q431" s="137">
        <v>388</v>
      </c>
      <c r="S431" s="117" t="s">
        <v>780</v>
      </c>
      <c r="T431" s="145">
        <v>-46.63</v>
      </c>
      <c r="V431" s="117" t="s">
        <v>729</v>
      </c>
      <c r="W431" s="118">
        <v>319.55</v>
      </c>
    </row>
    <row r="432" spans="1:23" x14ac:dyDescent="0.2">
      <c r="A432" s="117" t="s">
        <v>719</v>
      </c>
      <c r="B432" s="118">
        <v>600.79999999999995</v>
      </c>
      <c r="C432" s="118">
        <v>949.2</v>
      </c>
      <c r="D432" s="118">
        <v>161.5</v>
      </c>
      <c r="E432" s="118">
        <v>241.5</v>
      </c>
      <c r="F432" s="118">
        <v>1198</v>
      </c>
      <c r="G432" s="161"/>
      <c r="H432" s="161"/>
      <c r="J432" s="117" t="s">
        <v>725</v>
      </c>
      <c r="K432" s="118">
        <v>647</v>
      </c>
      <c r="P432" s="108" t="s">
        <v>718</v>
      </c>
      <c r="Q432" s="118">
        <v>388</v>
      </c>
      <c r="S432" s="115" t="s">
        <v>716</v>
      </c>
      <c r="T432" s="116"/>
      <c r="V432" s="117" t="s">
        <v>77</v>
      </c>
      <c r="W432" s="118">
        <v>353.27</v>
      </c>
    </row>
    <row r="433" spans="1:23" x14ac:dyDescent="0.2">
      <c r="A433" s="117" t="s">
        <v>720</v>
      </c>
      <c r="B433" s="118">
        <v>189.4</v>
      </c>
      <c r="C433" s="118">
        <v>600.79999999999995</v>
      </c>
      <c r="D433" s="118">
        <v>949.2</v>
      </c>
      <c r="E433" s="118">
        <v>161.5</v>
      </c>
      <c r="F433" s="118">
        <v>241.5</v>
      </c>
      <c r="G433" s="161"/>
      <c r="H433" s="161"/>
      <c r="J433" s="117" t="s">
        <v>726</v>
      </c>
      <c r="K433" s="118">
        <v>450</v>
      </c>
      <c r="P433" s="117" t="s">
        <v>719</v>
      </c>
      <c r="Q433" s="118">
        <v>3759</v>
      </c>
      <c r="S433" s="136" t="s">
        <v>717</v>
      </c>
      <c r="T433" s="137">
        <v>958.43</v>
      </c>
      <c r="V433" s="117" t="s">
        <v>730</v>
      </c>
      <c r="W433" s="119">
        <v>33.46</v>
      </c>
    </row>
    <row r="434" spans="1:23" x14ac:dyDescent="0.2">
      <c r="A434" s="115" t="s">
        <v>721</v>
      </c>
      <c r="B434" s="116"/>
      <c r="C434" s="116"/>
      <c r="D434" s="116"/>
      <c r="E434" s="116"/>
      <c r="F434" s="116"/>
      <c r="G434" s="160"/>
      <c r="H434" s="160"/>
      <c r="J434" s="117" t="s">
        <v>727</v>
      </c>
      <c r="K434" s="118">
        <v>637</v>
      </c>
      <c r="P434" s="117" t="s">
        <v>720</v>
      </c>
      <c r="Q434" s="118">
        <v>4147</v>
      </c>
      <c r="S434" s="108" t="s">
        <v>718</v>
      </c>
      <c r="T434" s="118">
        <v>958.43</v>
      </c>
    </row>
    <row r="435" spans="1:23" x14ac:dyDescent="0.2">
      <c r="A435" s="117" t="s">
        <v>722</v>
      </c>
      <c r="B435" s="118">
        <v>290.7</v>
      </c>
      <c r="C435" s="118">
        <v>279.8</v>
      </c>
      <c r="D435" s="118">
        <v>291.7</v>
      </c>
      <c r="E435" s="118">
        <v>143.5</v>
      </c>
      <c r="F435" s="118">
        <v>127.9</v>
      </c>
      <c r="G435" s="161"/>
      <c r="H435" s="161"/>
      <c r="J435" s="117" t="s">
        <v>728</v>
      </c>
      <c r="K435" s="118">
        <v>860</v>
      </c>
      <c r="P435" s="115" t="s">
        <v>721</v>
      </c>
      <c r="Q435" s="116"/>
      <c r="S435" s="117" t="s">
        <v>719</v>
      </c>
      <c r="T435" s="118">
        <v>863.93</v>
      </c>
    </row>
    <row r="436" spans="1:23" x14ac:dyDescent="0.2">
      <c r="A436" s="117" t="s">
        <v>723</v>
      </c>
      <c r="B436" s="118">
        <v>247.1</v>
      </c>
      <c r="C436" s="118">
        <v>182.9</v>
      </c>
      <c r="D436" s="118">
        <v>178.7</v>
      </c>
      <c r="E436" s="118">
        <v>164.3</v>
      </c>
      <c r="F436" s="118">
        <v>138</v>
      </c>
      <c r="G436" s="161"/>
      <c r="H436" s="161"/>
      <c r="J436" s="117" t="s">
        <v>729</v>
      </c>
      <c r="K436" s="118">
        <v>781</v>
      </c>
      <c r="P436" s="117" t="s">
        <v>722</v>
      </c>
      <c r="Q436" s="118">
        <v>831</v>
      </c>
      <c r="S436" s="117" t="s">
        <v>720</v>
      </c>
      <c r="T436" s="118">
        <v>1822.36</v>
      </c>
    </row>
    <row r="437" spans="1:23" x14ac:dyDescent="0.2">
      <c r="A437" s="117" t="s">
        <v>724</v>
      </c>
      <c r="B437" s="118">
        <v>1903</v>
      </c>
      <c r="C437" s="118">
        <v>1666.3</v>
      </c>
      <c r="D437" s="118">
        <v>1570.2</v>
      </c>
      <c r="E437" s="118">
        <v>1372.5</v>
      </c>
      <c r="F437" s="118">
        <v>1155.8</v>
      </c>
      <c r="G437" s="161"/>
      <c r="H437" s="161"/>
      <c r="J437" s="117" t="s">
        <v>77</v>
      </c>
      <c r="K437" s="118">
        <v>978</v>
      </c>
      <c r="P437" s="117" t="s">
        <v>723</v>
      </c>
      <c r="Q437" s="118">
        <v>724</v>
      </c>
      <c r="S437" s="115" t="s">
        <v>721</v>
      </c>
      <c r="T437" s="116"/>
    </row>
    <row r="438" spans="1:23" x14ac:dyDescent="0.2">
      <c r="A438" s="117" t="s">
        <v>725</v>
      </c>
      <c r="B438" s="118">
        <v>698.2</v>
      </c>
      <c r="C438" s="118">
        <v>313.2</v>
      </c>
      <c r="D438" s="118">
        <v>428.4</v>
      </c>
      <c r="E438" s="118">
        <v>212.6</v>
      </c>
      <c r="F438" s="118">
        <v>196.4</v>
      </c>
      <c r="G438" s="161"/>
      <c r="H438" s="161"/>
      <c r="J438" s="117" t="s">
        <v>730</v>
      </c>
      <c r="K438" s="118">
        <v>197</v>
      </c>
      <c r="P438" s="117" t="s">
        <v>724</v>
      </c>
      <c r="Q438" s="118">
        <v>6339</v>
      </c>
      <c r="S438" s="117" t="s">
        <v>722</v>
      </c>
      <c r="T438" s="118">
        <v>300.7</v>
      </c>
    </row>
    <row r="439" spans="1:23" x14ac:dyDescent="0.2">
      <c r="A439" s="117" t="s">
        <v>726</v>
      </c>
      <c r="B439" s="118">
        <v>438.4</v>
      </c>
      <c r="C439" s="119">
        <v>68.8</v>
      </c>
      <c r="D439" s="118">
        <v>200</v>
      </c>
      <c r="E439" s="134">
        <v>0</v>
      </c>
      <c r="F439" s="134">
        <v>0</v>
      </c>
      <c r="G439" s="163"/>
      <c r="H439" s="163"/>
      <c r="J439" s="113"/>
      <c r="P439" s="117" t="s">
        <v>725</v>
      </c>
      <c r="Q439" s="118">
        <v>2177</v>
      </c>
      <c r="S439" s="117" t="s">
        <v>723</v>
      </c>
      <c r="T439" s="118">
        <v>445.98</v>
      </c>
    </row>
    <row r="440" spans="1:23" x14ac:dyDescent="0.2">
      <c r="A440" s="117" t="s">
        <v>727</v>
      </c>
      <c r="B440" s="118">
        <v>748.5</v>
      </c>
      <c r="C440" s="118">
        <v>632.20000000000005</v>
      </c>
      <c r="D440" s="118">
        <v>617</v>
      </c>
      <c r="E440" s="118">
        <v>587.5</v>
      </c>
      <c r="F440" s="118">
        <v>463</v>
      </c>
      <c r="G440" s="161"/>
      <c r="H440" s="161"/>
      <c r="J440" s="113"/>
      <c r="P440" s="117" t="s">
        <v>726</v>
      </c>
      <c r="Q440" s="118">
        <v>1181</v>
      </c>
      <c r="S440" s="117" t="s">
        <v>849</v>
      </c>
      <c r="T440" s="119">
        <v>66.83</v>
      </c>
    </row>
    <row r="441" spans="1:23" x14ac:dyDescent="0.2">
      <c r="A441" s="117" t="s">
        <v>728</v>
      </c>
      <c r="B441" s="118">
        <v>198</v>
      </c>
      <c r="C441" s="118">
        <v>2297.3000000000002</v>
      </c>
      <c r="D441" s="118">
        <v>627.5</v>
      </c>
      <c r="E441" s="118">
        <v>632.79999999999995</v>
      </c>
      <c r="F441" s="118">
        <v>911.9</v>
      </c>
      <c r="G441" s="161"/>
      <c r="H441" s="161"/>
      <c r="J441" s="113"/>
      <c r="P441" s="117" t="s">
        <v>727</v>
      </c>
      <c r="Q441" s="118">
        <v>2156</v>
      </c>
      <c r="S441" s="117" t="s">
        <v>724</v>
      </c>
      <c r="T441" s="118">
        <v>2524</v>
      </c>
    </row>
    <row r="442" spans="1:23" x14ac:dyDescent="0.2">
      <c r="A442" s="117" t="s">
        <v>729</v>
      </c>
      <c r="B442" s="118">
        <v>875.5</v>
      </c>
      <c r="C442" s="118">
        <v>561.70000000000005</v>
      </c>
      <c r="D442" s="118">
        <v>435.8</v>
      </c>
      <c r="E442" s="118">
        <v>323</v>
      </c>
      <c r="F442" s="118">
        <v>364.2</v>
      </c>
      <c r="G442" s="161"/>
      <c r="H442" s="161"/>
      <c r="J442" s="113"/>
      <c r="P442" s="117" t="s">
        <v>728</v>
      </c>
      <c r="Q442" s="118">
        <v>5648</v>
      </c>
      <c r="S442" s="117" t="s">
        <v>725</v>
      </c>
      <c r="T442" s="139">
        <v>-867.03</v>
      </c>
    </row>
    <row r="443" spans="1:23" x14ac:dyDescent="0.2">
      <c r="A443" s="117" t="s">
        <v>77</v>
      </c>
      <c r="B443" s="118">
        <v>1135.3</v>
      </c>
      <c r="C443" s="118">
        <v>806.1</v>
      </c>
      <c r="D443" s="118">
        <v>664.2</v>
      </c>
      <c r="E443" s="118">
        <v>535.6</v>
      </c>
      <c r="F443" s="118">
        <v>560.6</v>
      </c>
      <c r="G443" s="161"/>
      <c r="H443" s="161"/>
      <c r="J443" s="113"/>
      <c r="P443" s="117" t="s">
        <v>729</v>
      </c>
      <c r="Q443" s="118">
        <v>1916</v>
      </c>
      <c r="S443" s="117" t="s">
        <v>726</v>
      </c>
      <c r="T443" s="139">
        <v>-994.5</v>
      </c>
    </row>
    <row r="444" spans="1:23" x14ac:dyDescent="0.2">
      <c r="A444" s="117" t="s">
        <v>730</v>
      </c>
      <c r="B444" s="118">
        <v>259.8</v>
      </c>
      <c r="C444" s="118">
        <v>244.4</v>
      </c>
      <c r="D444" s="118">
        <v>228.4</v>
      </c>
      <c r="E444" s="118">
        <v>212.6</v>
      </c>
      <c r="F444" s="118">
        <v>196.4</v>
      </c>
      <c r="G444" s="161"/>
      <c r="H444" s="161"/>
      <c r="J444" s="113"/>
      <c r="P444" s="117" t="s">
        <v>77</v>
      </c>
      <c r="Q444" s="118">
        <v>2912</v>
      </c>
      <c r="S444" s="117" t="s">
        <v>727</v>
      </c>
      <c r="T444" s="118">
        <v>1290.93</v>
      </c>
    </row>
    <row r="445" spans="1:23" x14ac:dyDescent="0.2">
      <c r="J445" s="113"/>
      <c r="P445" s="117" t="s">
        <v>730</v>
      </c>
      <c r="Q445" s="118">
        <v>996</v>
      </c>
      <c r="S445" s="117" t="s">
        <v>728</v>
      </c>
      <c r="T445" s="118">
        <v>402.29</v>
      </c>
    </row>
    <row r="446" spans="1:23" x14ac:dyDescent="0.2">
      <c r="J446" s="113"/>
      <c r="S446" s="117" t="s">
        <v>729</v>
      </c>
      <c r="T446" s="118">
        <v>604.94000000000005</v>
      </c>
    </row>
    <row r="447" spans="1:23" x14ac:dyDescent="0.2">
      <c r="J447" s="113"/>
      <c r="S447" s="117" t="s">
        <v>77</v>
      </c>
      <c r="T447" s="118">
        <v>732.41</v>
      </c>
    </row>
    <row r="448" spans="1:23" x14ac:dyDescent="0.2">
      <c r="A448" s="120" t="s">
        <v>887</v>
      </c>
      <c r="B448" s="120"/>
      <c r="C448" s="120"/>
      <c r="D448" s="120"/>
      <c r="E448" s="120"/>
      <c r="F448" s="120"/>
      <c r="G448" s="120"/>
      <c r="H448" s="120"/>
      <c r="I448" s="122"/>
      <c r="J448" s="113"/>
    </row>
    <row r="449" spans="1:10" x14ac:dyDescent="0.2">
      <c r="A449" s="172" t="s">
        <v>311</v>
      </c>
      <c r="B449" s="202">
        <v>46022</v>
      </c>
      <c r="C449" s="202">
        <v>45930</v>
      </c>
      <c r="D449" s="202">
        <v>45838</v>
      </c>
      <c r="E449" s="202">
        <v>45747</v>
      </c>
      <c r="F449" s="202">
        <v>45657</v>
      </c>
      <c r="G449" s="202">
        <v>45565</v>
      </c>
      <c r="H449" s="202">
        <v>45473</v>
      </c>
      <c r="I449" s="202">
        <v>45382</v>
      </c>
      <c r="J449" s="201"/>
    </row>
    <row r="450" spans="1:10" x14ac:dyDescent="0.2">
      <c r="A450" s="173" t="s">
        <v>72</v>
      </c>
      <c r="B450" s="174"/>
      <c r="C450" s="174"/>
      <c r="D450" s="174"/>
      <c r="E450" s="174"/>
      <c r="F450" s="174"/>
      <c r="G450" s="174"/>
      <c r="H450" s="174"/>
      <c r="I450" s="174"/>
      <c r="J450" s="195"/>
    </row>
    <row r="451" spans="1:10" x14ac:dyDescent="0.2">
      <c r="A451" s="175" t="s">
        <v>663</v>
      </c>
      <c r="B451" s="176">
        <v>183.3</v>
      </c>
      <c r="C451" s="176">
        <v>191.3</v>
      </c>
      <c r="D451" s="176">
        <v>347.4</v>
      </c>
      <c r="E451" s="176">
        <v>181.3</v>
      </c>
      <c r="F451" s="176">
        <v>559.70000000000005</v>
      </c>
      <c r="G451" s="176">
        <v>433.2</v>
      </c>
      <c r="H451" s="176">
        <v>111</v>
      </c>
      <c r="I451" s="176">
        <v>292.39999999999998</v>
      </c>
      <c r="J451" s="191"/>
    </row>
    <row r="452" spans="1:10" x14ac:dyDescent="0.2">
      <c r="A452" s="177" t="s">
        <v>662</v>
      </c>
      <c r="B452" s="176">
        <v>183.3</v>
      </c>
      <c r="C452" s="176">
        <v>191.3</v>
      </c>
      <c r="D452" s="176">
        <v>347.4</v>
      </c>
      <c r="E452" s="176">
        <v>181.3</v>
      </c>
      <c r="F452" s="176">
        <v>559.70000000000005</v>
      </c>
      <c r="G452" s="176">
        <v>433.2</v>
      </c>
      <c r="H452" s="176">
        <v>111</v>
      </c>
      <c r="I452" s="176">
        <v>292.39999999999998</v>
      </c>
      <c r="J452" s="191"/>
    </row>
    <row r="453" spans="1:10" x14ac:dyDescent="0.2">
      <c r="A453" s="175" t="s">
        <v>661</v>
      </c>
      <c r="B453" s="176">
        <v>887.7</v>
      </c>
      <c r="C453" s="176">
        <v>1184.8</v>
      </c>
      <c r="D453" s="176">
        <v>1078.9000000000001</v>
      </c>
      <c r="E453" s="176">
        <v>928.9</v>
      </c>
      <c r="F453" s="176">
        <v>892.3</v>
      </c>
      <c r="G453" s="176">
        <v>1017.4</v>
      </c>
      <c r="H453" s="176">
        <v>1061.2</v>
      </c>
      <c r="I453" s="176">
        <v>886.1</v>
      </c>
      <c r="J453" s="191"/>
    </row>
    <row r="454" spans="1:10" x14ac:dyDescent="0.2">
      <c r="A454" s="177" t="s">
        <v>660</v>
      </c>
      <c r="B454" s="176">
        <v>887.7</v>
      </c>
      <c r="C454" s="176">
        <v>1184.8</v>
      </c>
      <c r="D454" s="176">
        <v>1078.9000000000001</v>
      </c>
      <c r="E454" s="176">
        <v>928.9</v>
      </c>
      <c r="F454" s="176">
        <v>892.3</v>
      </c>
      <c r="G454" s="176">
        <v>1017.4</v>
      </c>
      <c r="H454" s="176">
        <v>1061.2</v>
      </c>
      <c r="I454" s="176">
        <v>886.1</v>
      </c>
      <c r="J454" s="191"/>
    </row>
    <row r="455" spans="1:10" x14ac:dyDescent="0.2">
      <c r="A455" s="178" t="s">
        <v>659</v>
      </c>
      <c r="B455" s="176">
        <v>898.2</v>
      </c>
      <c r="C455" s="176">
        <v>1197.0999999999999</v>
      </c>
      <c r="D455" s="176">
        <v>1092.2</v>
      </c>
      <c r="E455" s="176">
        <v>941.9</v>
      </c>
      <c r="F455" s="176">
        <v>905.5</v>
      </c>
      <c r="G455" s="176">
        <v>1030.9000000000001</v>
      </c>
      <c r="H455" s="176">
        <v>1075.5</v>
      </c>
      <c r="I455" s="176">
        <v>900.4</v>
      </c>
      <c r="J455" s="191"/>
    </row>
    <row r="456" spans="1:10" x14ac:dyDescent="0.2">
      <c r="A456" s="178" t="s">
        <v>658</v>
      </c>
      <c r="B456" s="179">
        <v>10.5</v>
      </c>
      <c r="C456" s="179">
        <v>12.3</v>
      </c>
      <c r="D456" s="179">
        <v>13.3</v>
      </c>
      <c r="E456" s="179">
        <v>13</v>
      </c>
      <c r="F456" s="179">
        <v>13.2</v>
      </c>
      <c r="G456" s="179">
        <v>13.5</v>
      </c>
      <c r="H456" s="179">
        <v>14.3</v>
      </c>
      <c r="I456" s="179">
        <v>14.3</v>
      </c>
      <c r="J456" s="192"/>
    </row>
    <row r="457" spans="1:10" x14ac:dyDescent="0.2">
      <c r="A457" s="175" t="s">
        <v>656</v>
      </c>
      <c r="B457" s="176">
        <v>680.5</v>
      </c>
      <c r="C457" s="176">
        <v>687.1</v>
      </c>
      <c r="D457" s="176">
        <v>725.5</v>
      </c>
      <c r="E457" s="176">
        <v>721</v>
      </c>
      <c r="F457" s="176">
        <v>681.8</v>
      </c>
      <c r="G457" s="176">
        <v>647.70000000000005</v>
      </c>
      <c r="H457" s="176">
        <v>650.29999999999995</v>
      </c>
      <c r="I457" s="176">
        <v>647.20000000000005</v>
      </c>
      <c r="J457" s="191"/>
    </row>
    <row r="458" spans="1:10" x14ac:dyDescent="0.2">
      <c r="A458" s="177" t="s">
        <v>655</v>
      </c>
      <c r="B458" s="179">
        <v>36.700000000000003</v>
      </c>
      <c r="C458" s="179">
        <v>47.6</v>
      </c>
      <c r="D458" s="179">
        <v>57.8</v>
      </c>
      <c r="E458" s="179">
        <v>65.7</v>
      </c>
      <c r="F458" s="179">
        <v>69.7</v>
      </c>
      <c r="G458" s="179">
        <v>62.2</v>
      </c>
      <c r="H458" s="179">
        <v>58.8</v>
      </c>
      <c r="I458" s="179">
        <v>58.7</v>
      </c>
      <c r="J458" s="192"/>
    </row>
    <row r="459" spans="1:10" x14ac:dyDescent="0.2">
      <c r="A459" s="177" t="s">
        <v>654</v>
      </c>
      <c r="B459" s="179">
        <v>5.4</v>
      </c>
      <c r="C459" s="179">
        <v>12.3</v>
      </c>
      <c r="D459" s="179">
        <v>10.9</v>
      </c>
      <c r="E459" s="179">
        <v>10.3</v>
      </c>
      <c r="F459" s="179">
        <v>9</v>
      </c>
      <c r="G459" s="179">
        <v>11.1</v>
      </c>
      <c r="H459" s="179">
        <v>8.8000000000000007</v>
      </c>
      <c r="I459" s="179">
        <v>6.8</v>
      </c>
      <c r="J459" s="192"/>
    </row>
    <row r="460" spans="1:10" x14ac:dyDescent="0.2">
      <c r="A460" s="177" t="s">
        <v>653</v>
      </c>
      <c r="B460" s="176">
        <v>557.70000000000005</v>
      </c>
      <c r="C460" s="176">
        <v>545</v>
      </c>
      <c r="D460" s="176">
        <v>574.4</v>
      </c>
      <c r="E460" s="176">
        <v>570.29999999999995</v>
      </c>
      <c r="F460" s="176">
        <v>534.6</v>
      </c>
      <c r="G460" s="176">
        <v>505.9</v>
      </c>
      <c r="H460" s="176">
        <v>514.20000000000005</v>
      </c>
      <c r="I460" s="176">
        <v>512.70000000000005</v>
      </c>
      <c r="J460" s="191"/>
    </row>
    <row r="461" spans="1:10" x14ac:dyDescent="0.2">
      <c r="A461" s="177" t="s">
        <v>652</v>
      </c>
      <c r="B461" s="179">
        <v>80.7</v>
      </c>
      <c r="C461" s="179">
        <v>82.2</v>
      </c>
      <c r="D461" s="179">
        <v>82.4</v>
      </c>
      <c r="E461" s="179">
        <v>74.7</v>
      </c>
      <c r="F461" s="179">
        <v>68.5</v>
      </c>
      <c r="G461" s="179">
        <v>68.5</v>
      </c>
      <c r="H461" s="179">
        <v>68.5</v>
      </c>
      <c r="I461" s="179">
        <v>69</v>
      </c>
      <c r="J461" s="192"/>
    </row>
    <row r="462" spans="1:10" x14ac:dyDescent="0.2">
      <c r="A462" s="175" t="s">
        <v>651</v>
      </c>
      <c r="B462" s="176">
        <v>708.5</v>
      </c>
      <c r="C462" s="179">
        <v>97.3</v>
      </c>
      <c r="D462" s="180"/>
      <c r="E462" s="180"/>
      <c r="F462" s="180"/>
      <c r="G462" s="180">
        <v>0</v>
      </c>
      <c r="H462" s="180"/>
      <c r="I462" s="180"/>
      <c r="J462" s="193"/>
    </row>
    <row r="463" spans="1:10" x14ac:dyDescent="0.2">
      <c r="A463" s="175" t="s">
        <v>650</v>
      </c>
      <c r="B463" s="176">
        <v>107.9</v>
      </c>
      <c r="C463" s="176">
        <v>107.9</v>
      </c>
      <c r="D463" s="179">
        <v>91.7</v>
      </c>
      <c r="E463" s="179">
        <v>94.7</v>
      </c>
      <c r="F463" s="176">
        <v>131.9</v>
      </c>
      <c r="G463" s="176">
        <v>114.6</v>
      </c>
      <c r="H463" s="176">
        <v>154</v>
      </c>
      <c r="I463" s="179">
        <v>81.900000000000006</v>
      </c>
      <c r="J463" s="192"/>
    </row>
    <row r="464" spans="1:10" x14ac:dyDescent="0.2">
      <c r="A464" s="177" t="s">
        <v>649</v>
      </c>
      <c r="B464" s="179">
        <v>6.1</v>
      </c>
      <c r="C464" s="179">
        <v>3.9</v>
      </c>
      <c r="D464" s="179">
        <v>3.6</v>
      </c>
      <c r="E464" s="179">
        <v>11.6</v>
      </c>
      <c r="F464" s="179">
        <v>41.1</v>
      </c>
      <c r="G464" s="179">
        <v>1.1000000000000001</v>
      </c>
      <c r="H464" s="179">
        <v>0.6</v>
      </c>
      <c r="I464" s="179">
        <v>7.7</v>
      </c>
      <c r="J464" s="192"/>
    </row>
    <row r="465" spans="1:10" x14ac:dyDescent="0.2">
      <c r="A465" s="177" t="s">
        <v>648</v>
      </c>
      <c r="B465" s="176">
        <v>101.8</v>
      </c>
      <c r="C465" s="176">
        <v>104</v>
      </c>
      <c r="D465" s="179">
        <v>88.1</v>
      </c>
      <c r="E465" s="179">
        <v>83.1</v>
      </c>
      <c r="F465" s="179">
        <v>90.8</v>
      </c>
      <c r="G465" s="176">
        <v>113.5</v>
      </c>
      <c r="H465" s="176">
        <v>153.4</v>
      </c>
      <c r="I465" s="179">
        <v>74.2</v>
      </c>
      <c r="J465" s="192"/>
    </row>
    <row r="466" spans="1:10" x14ac:dyDescent="0.2">
      <c r="A466" s="181" t="s">
        <v>647</v>
      </c>
      <c r="B466" s="182">
        <v>2567.9</v>
      </c>
      <c r="C466" s="182">
        <v>2268.4</v>
      </c>
      <c r="D466" s="182">
        <v>2243.5</v>
      </c>
      <c r="E466" s="182">
        <v>1925.9</v>
      </c>
      <c r="F466" s="182">
        <v>2265.6999999999998</v>
      </c>
      <c r="G466" s="182">
        <v>2212.9</v>
      </c>
      <c r="H466" s="182">
        <v>1976.5</v>
      </c>
      <c r="I466" s="182">
        <v>1907.6</v>
      </c>
      <c r="J466" s="194"/>
    </row>
    <row r="467" spans="1:10" x14ac:dyDescent="0.2">
      <c r="A467" s="183" t="s">
        <v>646</v>
      </c>
      <c r="B467" s="184"/>
      <c r="C467" s="184"/>
      <c r="D467" s="184"/>
      <c r="E467" s="184"/>
      <c r="F467" s="184"/>
      <c r="G467" s="184"/>
      <c r="H467" s="184"/>
      <c r="I467" s="184"/>
      <c r="J467" s="195"/>
    </row>
    <row r="468" spans="1:10" x14ac:dyDescent="0.2">
      <c r="A468" s="175" t="s">
        <v>645</v>
      </c>
      <c r="B468" s="179">
        <v>33.700000000000003</v>
      </c>
      <c r="C468" s="179">
        <v>33.6</v>
      </c>
      <c r="D468" s="179">
        <v>32.9</v>
      </c>
      <c r="E468" s="179">
        <v>31.3</v>
      </c>
      <c r="F468" s="179">
        <v>31.3</v>
      </c>
      <c r="G468" s="179">
        <v>31.4</v>
      </c>
      <c r="H468" s="179">
        <v>31.4</v>
      </c>
      <c r="I468" s="179">
        <v>31.4</v>
      </c>
      <c r="J468" s="192"/>
    </row>
    <row r="469" spans="1:10" x14ac:dyDescent="0.2">
      <c r="A469" s="177" t="s">
        <v>644</v>
      </c>
      <c r="B469" s="179">
        <v>33.700000000000003</v>
      </c>
      <c r="C469" s="179">
        <v>33.6</v>
      </c>
      <c r="D469" s="179">
        <v>32.9</v>
      </c>
      <c r="E469" s="179">
        <v>31.3</v>
      </c>
      <c r="F469" s="179">
        <v>31.3</v>
      </c>
      <c r="G469" s="179">
        <v>31.4</v>
      </c>
      <c r="H469" s="179">
        <v>31.4</v>
      </c>
      <c r="I469" s="179">
        <v>31.4</v>
      </c>
      <c r="J469" s="192"/>
    </row>
    <row r="470" spans="1:10" x14ac:dyDescent="0.2">
      <c r="A470" s="175" t="s">
        <v>643</v>
      </c>
      <c r="B470" s="176">
        <v>8670.1</v>
      </c>
      <c r="C470" s="176">
        <v>8874.7000000000007</v>
      </c>
      <c r="D470" s="176">
        <v>8882.9</v>
      </c>
      <c r="E470" s="176">
        <v>8947.2999999999993</v>
      </c>
      <c r="F470" s="176">
        <v>8987.9</v>
      </c>
      <c r="G470" s="176">
        <v>6921.8</v>
      </c>
      <c r="H470" s="176">
        <v>6927.6</v>
      </c>
      <c r="I470" s="176">
        <v>6721.7</v>
      </c>
      <c r="J470" s="191"/>
    </row>
    <row r="471" spans="1:10" x14ac:dyDescent="0.2">
      <c r="A471" s="177" t="s">
        <v>642</v>
      </c>
      <c r="B471" s="176">
        <v>8670.1</v>
      </c>
      <c r="C471" s="176">
        <v>8874.7000000000007</v>
      </c>
      <c r="D471" s="176">
        <v>8882.9</v>
      </c>
      <c r="E471" s="176">
        <v>8947.2999999999993</v>
      </c>
      <c r="F471" s="176">
        <v>8987.9</v>
      </c>
      <c r="G471" s="176">
        <v>6921.8</v>
      </c>
      <c r="H471" s="176">
        <v>6927.6</v>
      </c>
      <c r="I471" s="176">
        <v>6721.7</v>
      </c>
      <c r="J471" s="191"/>
    </row>
    <row r="472" spans="1:10" x14ac:dyDescent="0.2">
      <c r="A472" s="178" t="s">
        <v>636</v>
      </c>
      <c r="B472" s="176">
        <v>556.79999999999995</v>
      </c>
      <c r="C472" s="176">
        <v>544.70000000000005</v>
      </c>
      <c r="D472" s="176">
        <v>572.5</v>
      </c>
      <c r="E472" s="176">
        <v>594.4</v>
      </c>
      <c r="F472" s="176">
        <v>581.1</v>
      </c>
      <c r="G472" s="176">
        <v>540.9</v>
      </c>
      <c r="H472" s="176">
        <v>548.6</v>
      </c>
      <c r="I472" s="176">
        <v>551.29999999999995</v>
      </c>
      <c r="J472" s="191"/>
    </row>
    <row r="473" spans="1:10" x14ac:dyDescent="0.2">
      <c r="A473" s="185" t="s">
        <v>635</v>
      </c>
      <c r="B473" s="176">
        <v>521.5</v>
      </c>
      <c r="C473" s="176">
        <v>522</v>
      </c>
      <c r="D473" s="176">
        <v>546.1</v>
      </c>
      <c r="E473" s="176">
        <v>566</v>
      </c>
      <c r="F473" s="176">
        <v>526.4</v>
      </c>
      <c r="G473" s="176">
        <v>508.3</v>
      </c>
      <c r="H473" s="176">
        <v>511.8</v>
      </c>
      <c r="I473" s="176">
        <v>512.4</v>
      </c>
      <c r="J473" s="191"/>
    </row>
    <row r="474" spans="1:10" x14ac:dyDescent="0.2">
      <c r="A474" s="185" t="s">
        <v>634</v>
      </c>
      <c r="B474" s="179">
        <v>35.299999999999997</v>
      </c>
      <c r="C474" s="179">
        <v>22.7</v>
      </c>
      <c r="D474" s="179">
        <v>26.4</v>
      </c>
      <c r="E474" s="179">
        <v>28.4</v>
      </c>
      <c r="F474" s="179">
        <v>54.7</v>
      </c>
      <c r="G474" s="179">
        <v>32.6</v>
      </c>
      <c r="H474" s="179">
        <v>36.799999999999997</v>
      </c>
      <c r="I474" s="179">
        <v>38.9</v>
      </c>
      <c r="J474" s="192"/>
    </row>
    <row r="475" spans="1:10" x14ac:dyDescent="0.2">
      <c r="A475" s="178" t="s">
        <v>633</v>
      </c>
      <c r="B475" s="176">
        <v>8113.3</v>
      </c>
      <c r="C475" s="176">
        <v>8330</v>
      </c>
      <c r="D475" s="176">
        <v>8310.4</v>
      </c>
      <c r="E475" s="176">
        <v>8352.9</v>
      </c>
      <c r="F475" s="176">
        <v>8406.7999999999993</v>
      </c>
      <c r="G475" s="176">
        <v>6380.9</v>
      </c>
      <c r="H475" s="176">
        <v>6379</v>
      </c>
      <c r="I475" s="176">
        <v>6170.4</v>
      </c>
      <c r="J475" s="191"/>
    </row>
    <row r="476" spans="1:10" x14ac:dyDescent="0.2">
      <c r="A476" s="177" t="s">
        <v>632</v>
      </c>
      <c r="B476" s="180">
        <v>15179</v>
      </c>
      <c r="C476" s="180">
        <v>15343</v>
      </c>
      <c r="D476" s="180">
        <v>15285</v>
      </c>
      <c r="E476" s="180">
        <v>15270</v>
      </c>
      <c r="F476" s="180">
        <v>15190</v>
      </c>
      <c r="G476" s="180">
        <v>13025</v>
      </c>
      <c r="H476" s="180">
        <v>12910</v>
      </c>
      <c r="I476" s="180">
        <v>12613</v>
      </c>
      <c r="J476" s="193"/>
    </row>
    <row r="477" spans="1:10" x14ac:dyDescent="0.2">
      <c r="A477" s="178" t="s">
        <v>631</v>
      </c>
      <c r="B477" s="180">
        <v>15179</v>
      </c>
      <c r="C477" s="180">
        <v>15343</v>
      </c>
      <c r="D477" s="180">
        <v>15285</v>
      </c>
      <c r="E477" s="180">
        <v>15270</v>
      </c>
      <c r="F477" s="180">
        <v>15190</v>
      </c>
      <c r="G477" s="180">
        <v>13025</v>
      </c>
      <c r="H477" s="180">
        <v>12910</v>
      </c>
      <c r="I477" s="180">
        <v>12613</v>
      </c>
      <c r="J477" s="193"/>
    </row>
    <row r="478" spans="1:10" x14ac:dyDescent="0.2">
      <c r="A478" s="185" t="s">
        <v>625</v>
      </c>
      <c r="B478" s="176">
        <v>709.5</v>
      </c>
      <c r="C478" s="176">
        <v>723.9</v>
      </c>
      <c r="D478" s="176">
        <v>752.6</v>
      </c>
      <c r="E478" s="176">
        <v>764.1</v>
      </c>
      <c r="F478" s="176">
        <v>727.9</v>
      </c>
      <c r="G478" s="176">
        <v>707.2</v>
      </c>
      <c r="H478" s="176">
        <v>705.9</v>
      </c>
      <c r="I478" s="176">
        <v>702.2</v>
      </c>
      <c r="J478" s="191"/>
    </row>
    <row r="479" spans="1:10" x14ac:dyDescent="0.2">
      <c r="A479" s="186" t="s">
        <v>624</v>
      </c>
      <c r="B479" s="176">
        <v>674.2</v>
      </c>
      <c r="C479" s="176">
        <v>679.6</v>
      </c>
      <c r="D479" s="176">
        <v>700.4</v>
      </c>
      <c r="E479" s="176">
        <v>711.9</v>
      </c>
      <c r="F479" s="176">
        <v>673.2</v>
      </c>
      <c r="G479" s="176">
        <v>651.4</v>
      </c>
      <c r="H479" s="176">
        <v>646.9</v>
      </c>
      <c r="I479" s="176">
        <v>641.79999999999995</v>
      </c>
      <c r="J479" s="191"/>
    </row>
    <row r="480" spans="1:10" x14ac:dyDescent="0.2">
      <c r="A480" s="186" t="s">
        <v>623</v>
      </c>
      <c r="B480" s="179">
        <v>35.299999999999997</v>
      </c>
      <c r="C480" s="179">
        <v>44.3</v>
      </c>
      <c r="D480" s="179">
        <v>52.2</v>
      </c>
      <c r="E480" s="179">
        <v>52.2</v>
      </c>
      <c r="F480" s="179">
        <v>54.7</v>
      </c>
      <c r="G480" s="179">
        <v>55.8</v>
      </c>
      <c r="H480" s="179">
        <v>59</v>
      </c>
      <c r="I480" s="179">
        <v>60.4</v>
      </c>
      <c r="J480" s="192"/>
    </row>
    <row r="481" spans="1:10" x14ac:dyDescent="0.2">
      <c r="A481" s="185" t="s">
        <v>622</v>
      </c>
      <c r="B481" s="180">
        <v>14469</v>
      </c>
      <c r="C481" s="180">
        <v>14619</v>
      </c>
      <c r="D481" s="180">
        <v>14532</v>
      </c>
      <c r="E481" s="180">
        <v>14506</v>
      </c>
      <c r="F481" s="180">
        <v>14462</v>
      </c>
      <c r="G481" s="180">
        <v>12318</v>
      </c>
      <c r="H481" s="180">
        <v>12204</v>
      </c>
      <c r="I481" s="180">
        <v>11910</v>
      </c>
      <c r="J481" s="193"/>
    </row>
    <row r="482" spans="1:10" x14ac:dyDescent="0.2">
      <c r="A482" s="177" t="s">
        <v>621</v>
      </c>
      <c r="B482" s="176">
        <v>6508.8</v>
      </c>
      <c r="C482" s="176">
        <v>6468.1</v>
      </c>
      <c r="D482" s="176">
        <v>6402.1</v>
      </c>
      <c r="E482" s="176">
        <v>6322.6</v>
      </c>
      <c r="F482" s="176">
        <v>6202.1</v>
      </c>
      <c r="G482" s="176">
        <v>6103.3</v>
      </c>
      <c r="H482" s="176">
        <v>5982.3</v>
      </c>
      <c r="I482" s="176">
        <v>5890.9</v>
      </c>
      <c r="J482" s="191"/>
    </row>
    <row r="483" spans="1:10" x14ac:dyDescent="0.2">
      <c r="A483" s="178" t="s">
        <v>620</v>
      </c>
      <c r="B483" s="176">
        <v>6508.8</v>
      </c>
      <c r="C483" s="176">
        <v>6468.1</v>
      </c>
      <c r="D483" s="176">
        <v>6402.1</v>
      </c>
      <c r="E483" s="176">
        <v>6322.6</v>
      </c>
      <c r="F483" s="176">
        <v>6202.1</v>
      </c>
      <c r="G483" s="176">
        <v>6103.3</v>
      </c>
      <c r="H483" s="176">
        <v>5982.3</v>
      </c>
      <c r="I483" s="176">
        <v>5890.9</v>
      </c>
      <c r="J483" s="191"/>
    </row>
    <row r="484" spans="1:10" x14ac:dyDescent="0.2">
      <c r="A484" s="185" t="s">
        <v>619</v>
      </c>
      <c r="B484" s="176">
        <v>152.69999999999999</v>
      </c>
      <c r="C484" s="176">
        <v>179.2</v>
      </c>
      <c r="D484" s="176">
        <v>180.1</v>
      </c>
      <c r="E484" s="176">
        <v>169.7</v>
      </c>
      <c r="F484" s="176">
        <v>146.80000000000001</v>
      </c>
      <c r="G484" s="176">
        <v>166.3</v>
      </c>
      <c r="H484" s="176">
        <v>157.30000000000001</v>
      </c>
      <c r="I484" s="176">
        <v>150.9</v>
      </c>
      <c r="J484" s="191"/>
    </row>
    <row r="485" spans="1:10" x14ac:dyDescent="0.2">
      <c r="A485" s="186" t="s">
        <v>618</v>
      </c>
      <c r="B485" s="176">
        <v>152.69999999999999</v>
      </c>
      <c r="C485" s="176">
        <v>157.6</v>
      </c>
      <c r="D485" s="176">
        <v>154.30000000000001</v>
      </c>
      <c r="E485" s="176">
        <v>145.9</v>
      </c>
      <c r="F485" s="176">
        <v>146.80000000000001</v>
      </c>
      <c r="G485" s="176">
        <v>143.1</v>
      </c>
      <c r="H485" s="176">
        <v>135.1</v>
      </c>
      <c r="I485" s="176">
        <v>129.4</v>
      </c>
      <c r="J485" s="191"/>
    </row>
    <row r="486" spans="1:10" x14ac:dyDescent="0.2">
      <c r="A486" s="186" t="s">
        <v>881</v>
      </c>
      <c r="B486" s="180"/>
      <c r="C486" s="179">
        <v>21.6</v>
      </c>
      <c r="D486" s="179">
        <v>25.8</v>
      </c>
      <c r="E486" s="179">
        <v>23.8</v>
      </c>
      <c r="F486" s="180"/>
      <c r="G486" s="179">
        <v>23.2</v>
      </c>
      <c r="H486" s="179">
        <v>22.2</v>
      </c>
      <c r="I486" s="179">
        <v>21.5</v>
      </c>
      <c r="J486" s="193"/>
    </row>
    <row r="487" spans="1:10" x14ac:dyDescent="0.2">
      <c r="A487" s="185" t="s">
        <v>617</v>
      </c>
      <c r="B487" s="176">
        <v>6356.1</v>
      </c>
      <c r="C487" s="176">
        <v>6288.9</v>
      </c>
      <c r="D487" s="176">
        <v>6222</v>
      </c>
      <c r="E487" s="176">
        <v>6152.9</v>
      </c>
      <c r="F487" s="176">
        <v>6055.3</v>
      </c>
      <c r="G487" s="176">
        <v>5937</v>
      </c>
      <c r="H487" s="176">
        <v>5825</v>
      </c>
      <c r="I487" s="176">
        <v>5740</v>
      </c>
      <c r="J487" s="191"/>
    </row>
    <row r="488" spans="1:10" x14ac:dyDescent="0.2">
      <c r="A488" s="175" t="s">
        <v>616</v>
      </c>
      <c r="B488" s="176">
        <v>158.80000000000001</v>
      </c>
      <c r="C488" s="176">
        <v>166.3</v>
      </c>
      <c r="D488" s="176">
        <v>152</v>
      </c>
      <c r="E488" s="176">
        <v>146.30000000000001</v>
      </c>
      <c r="F488" s="176">
        <v>317.10000000000002</v>
      </c>
      <c r="G488" s="176">
        <v>287.5</v>
      </c>
      <c r="H488" s="176">
        <v>281.60000000000002</v>
      </c>
      <c r="I488" s="176">
        <v>272.7</v>
      </c>
      <c r="J488" s="191"/>
    </row>
    <row r="489" spans="1:10" x14ac:dyDescent="0.2">
      <c r="A489" s="177" t="s">
        <v>615</v>
      </c>
      <c r="B489" s="176">
        <v>158.80000000000001</v>
      </c>
      <c r="C489" s="176">
        <v>166.3</v>
      </c>
      <c r="D489" s="176">
        <v>152</v>
      </c>
      <c r="E489" s="176">
        <v>146.30000000000001</v>
      </c>
      <c r="F489" s="176">
        <v>317.10000000000002</v>
      </c>
      <c r="G489" s="176">
        <v>287.5</v>
      </c>
      <c r="H489" s="176">
        <v>281.60000000000002</v>
      </c>
      <c r="I489" s="176">
        <v>272.7</v>
      </c>
      <c r="J489" s="191"/>
    </row>
    <row r="490" spans="1:10" x14ac:dyDescent="0.2">
      <c r="A490" s="175" t="s">
        <v>614</v>
      </c>
      <c r="B490" s="176">
        <v>5269.9</v>
      </c>
      <c r="C490" s="176">
        <v>5635.5</v>
      </c>
      <c r="D490" s="176">
        <v>5663.4</v>
      </c>
      <c r="E490" s="176">
        <v>5661.3</v>
      </c>
      <c r="F490" s="176">
        <v>5502.8</v>
      </c>
      <c r="G490" s="176">
        <v>4898.3</v>
      </c>
      <c r="H490" s="176">
        <v>4999.3</v>
      </c>
      <c r="I490" s="176">
        <v>4977.5</v>
      </c>
      <c r="J490" s="191"/>
    </row>
    <row r="491" spans="1:10" x14ac:dyDescent="0.2">
      <c r="A491" s="177" t="s">
        <v>613</v>
      </c>
      <c r="B491" s="176">
        <v>3780.9</v>
      </c>
      <c r="C491" s="176">
        <v>3839.5</v>
      </c>
      <c r="D491" s="176">
        <v>3831.8</v>
      </c>
      <c r="E491" s="176">
        <v>3815</v>
      </c>
      <c r="F491" s="176">
        <v>3788.1</v>
      </c>
      <c r="G491" s="176">
        <v>3450</v>
      </c>
      <c r="H491" s="176">
        <v>3536.6</v>
      </c>
      <c r="I491" s="176">
        <v>3531.7</v>
      </c>
      <c r="J491" s="191"/>
    </row>
    <row r="492" spans="1:10" x14ac:dyDescent="0.2">
      <c r="A492" s="177" t="s">
        <v>612</v>
      </c>
      <c r="B492" s="176">
        <v>1489</v>
      </c>
      <c r="C492" s="176">
        <v>1796</v>
      </c>
      <c r="D492" s="176">
        <v>1831.6</v>
      </c>
      <c r="E492" s="176">
        <v>1846.3</v>
      </c>
      <c r="F492" s="176">
        <v>1714.7</v>
      </c>
      <c r="G492" s="176">
        <v>1448.3</v>
      </c>
      <c r="H492" s="176">
        <v>1462.7</v>
      </c>
      <c r="I492" s="176">
        <v>1445.8</v>
      </c>
      <c r="J492" s="191"/>
    </row>
    <row r="493" spans="1:10" x14ac:dyDescent="0.2">
      <c r="A493" s="181" t="s">
        <v>609</v>
      </c>
      <c r="B493" s="187">
        <v>14133</v>
      </c>
      <c r="C493" s="187">
        <v>14710</v>
      </c>
      <c r="D493" s="187">
        <v>14731</v>
      </c>
      <c r="E493" s="187">
        <v>14786</v>
      </c>
      <c r="F493" s="187">
        <v>14839</v>
      </c>
      <c r="G493" s="187">
        <v>12139</v>
      </c>
      <c r="H493" s="187">
        <v>12240</v>
      </c>
      <c r="I493" s="187">
        <v>12003</v>
      </c>
      <c r="J493" s="196"/>
    </row>
    <row r="494" spans="1:10" x14ac:dyDescent="0.2">
      <c r="A494" s="183" t="s">
        <v>67</v>
      </c>
      <c r="B494" s="184"/>
      <c r="C494" s="184"/>
      <c r="D494" s="184"/>
      <c r="E494" s="184"/>
      <c r="F494" s="184"/>
      <c r="G494" s="184"/>
      <c r="H494" s="184"/>
      <c r="I494" s="184"/>
      <c r="J494" s="195"/>
    </row>
    <row r="495" spans="1:10" x14ac:dyDescent="0.2">
      <c r="A495" s="181" t="s">
        <v>67</v>
      </c>
      <c r="B495" s="187">
        <v>16700</v>
      </c>
      <c r="C495" s="187">
        <v>16979</v>
      </c>
      <c r="D495" s="187">
        <v>16975</v>
      </c>
      <c r="E495" s="187">
        <v>16712</v>
      </c>
      <c r="F495" s="187">
        <v>17105</v>
      </c>
      <c r="G495" s="187">
        <v>14352</v>
      </c>
      <c r="H495" s="187">
        <v>14216</v>
      </c>
      <c r="I495" s="187">
        <v>13911</v>
      </c>
      <c r="J495" s="196"/>
    </row>
    <row r="496" spans="1:10" x14ac:dyDescent="0.2">
      <c r="A496" s="183" t="s">
        <v>73</v>
      </c>
      <c r="B496" s="184"/>
      <c r="C496" s="184"/>
      <c r="D496" s="184"/>
      <c r="E496" s="184"/>
      <c r="F496" s="184"/>
      <c r="G496" s="184"/>
      <c r="H496" s="184"/>
      <c r="I496" s="184"/>
      <c r="J496" s="195"/>
    </row>
    <row r="497" spans="1:10" x14ac:dyDescent="0.2">
      <c r="A497" s="175" t="s">
        <v>608</v>
      </c>
      <c r="B497" s="176">
        <v>569.20000000000005</v>
      </c>
      <c r="C497" s="176">
        <v>422.6</v>
      </c>
      <c r="D497" s="176">
        <v>383.5</v>
      </c>
      <c r="E497" s="176">
        <v>354.7</v>
      </c>
      <c r="F497" s="176">
        <v>531</v>
      </c>
      <c r="G497" s="176">
        <v>352.6</v>
      </c>
      <c r="H497" s="176">
        <v>326.60000000000002</v>
      </c>
      <c r="I497" s="176">
        <v>320.89999999999998</v>
      </c>
      <c r="J497" s="191"/>
    </row>
    <row r="498" spans="1:10" x14ac:dyDescent="0.2">
      <c r="A498" s="177" t="s">
        <v>607</v>
      </c>
      <c r="B498" s="176">
        <v>438.5</v>
      </c>
      <c r="C498" s="176">
        <v>422.6</v>
      </c>
      <c r="D498" s="176">
        <v>383.5</v>
      </c>
      <c r="E498" s="176">
        <v>354.7</v>
      </c>
      <c r="F498" s="176">
        <v>407</v>
      </c>
      <c r="G498" s="176">
        <v>352.6</v>
      </c>
      <c r="H498" s="176">
        <v>326.60000000000002</v>
      </c>
      <c r="I498" s="176">
        <v>320.89999999999998</v>
      </c>
      <c r="J498" s="191"/>
    </row>
    <row r="499" spans="1:10" x14ac:dyDescent="0.2">
      <c r="A499" s="177" t="s">
        <v>606</v>
      </c>
      <c r="B499" s="176">
        <v>130.69999999999999</v>
      </c>
      <c r="C499" s="180"/>
      <c r="D499" s="180"/>
      <c r="E499" s="180"/>
      <c r="F499" s="176">
        <v>124</v>
      </c>
      <c r="G499" s="180"/>
      <c r="H499" s="180"/>
      <c r="I499" s="180"/>
      <c r="J499" s="191"/>
    </row>
    <row r="500" spans="1:10" x14ac:dyDescent="0.2">
      <c r="A500" s="175" t="s">
        <v>605</v>
      </c>
      <c r="B500" s="179">
        <v>6.2</v>
      </c>
      <c r="C500" s="179">
        <v>8.6</v>
      </c>
      <c r="D500" s="176">
        <v>559.70000000000005</v>
      </c>
      <c r="E500" s="179">
        <v>11.2</v>
      </c>
      <c r="F500" s="176">
        <v>411.2</v>
      </c>
      <c r="G500" s="179">
        <v>11.9</v>
      </c>
      <c r="H500" s="176">
        <v>107.2</v>
      </c>
      <c r="I500" s="179">
        <v>12.2</v>
      </c>
      <c r="J500" s="192"/>
    </row>
    <row r="501" spans="1:10" x14ac:dyDescent="0.2">
      <c r="A501" s="177" t="s">
        <v>604</v>
      </c>
      <c r="B501" s="180"/>
      <c r="C501" s="180"/>
      <c r="D501" s="176">
        <v>550</v>
      </c>
      <c r="E501" s="180"/>
      <c r="F501" s="180"/>
      <c r="G501" s="180"/>
      <c r="H501" s="179">
        <v>95</v>
      </c>
      <c r="I501" s="180"/>
      <c r="J501" s="193"/>
    </row>
    <row r="502" spans="1:10" x14ac:dyDescent="0.2">
      <c r="A502" s="177" t="s">
        <v>603</v>
      </c>
      <c r="B502" s="179">
        <v>6.2</v>
      </c>
      <c r="C502" s="179">
        <v>8.6</v>
      </c>
      <c r="D502" s="179">
        <v>9.6999999999999993</v>
      </c>
      <c r="E502" s="179">
        <v>11.2</v>
      </c>
      <c r="F502" s="176">
        <v>411.2</v>
      </c>
      <c r="G502" s="179">
        <v>11.9</v>
      </c>
      <c r="H502" s="179">
        <v>12.2</v>
      </c>
      <c r="I502" s="179">
        <v>12.2</v>
      </c>
      <c r="J502" s="192"/>
    </row>
    <row r="503" spans="1:10" x14ac:dyDescent="0.2">
      <c r="A503" s="178" t="s">
        <v>602</v>
      </c>
      <c r="B503" s="179">
        <v>0.4</v>
      </c>
      <c r="C503" s="179">
        <v>0.4</v>
      </c>
      <c r="D503" s="179">
        <v>0.5</v>
      </c>
      <c r="E503" s="179">
        <v>0.5</v>
      </c>
      <c r="F503" s="176">
        <v>400.5</v>
      </c>
      <c r="G503" s="179">
        <v>0.5</v>
      </c>
      <c r="H503" s="179">
        <v>0.5</v>
      </c>
      <c r="I503" s="179">
        <v>0.5</v>
      </c>
      <c r="J503" s="192"/>
    </row>
    <row r="504" spans="1:10" x14ac:dyDescent="0.2">
      <c r="A504" s="178" t="s">
        <v>601</v>
      </c>
      <c r="B504" s="179">
        <v>5.8</v>
      </c>
      <c r="C504" s="179">
        <v>8.1999999999999993</v>
      </c>
      <c r="D504" s="179">
        <v>9.1999999999999993</v>
      </c>
      <c r="E504" s="179">
        <v>10.7</v>
      </c>
      <c r="F504" s="179">
        <v>10.7</v>
      </c>
      <c r="G504" s="179">
        <v>11.4</v>
      </c>
      <c r="H504" s="179">
        <v>11.7</v>
      </c>
      <c r="I504" s="179">
        <v>11.7</v>
      </c>
      <c r="J504" s="192"/>
    </row>
    <row r="505" spans="1:10" x14ac:dyDescent="0.2">
      <c r="A505" s="175" t="s">
        <v>600</v>
      </c>
      <c r="B505" s="179">
        <v>29.3</v>
      </c>
      <c r="C505" s="179">
        <v>37.6</v>
      </c>
      <c r="D505" s="180"/>
      <c r="E505" s="180"/>
      <c r="F505" s="180"/>
      <c r="G505" s="180"/>
      <c r="H505" s="180"/>
      <c r="I505" s="180"/>
      <c r="J505" s="193"/>
    </row>
    <row r="506" spans="1:10" x14ac:dyDescent="0.2">
      <c r="A506" s="175" t="s">
        <v>599</v>
      </c>
      <c r="B506" s="179">
        <v>44.5</v>
      </c>
      <c r="C506" s="179">
        <v>49.4</v>
      </c>
      <c r="D506" s="179">
        <v>51</v>
      </c>
      <c r="E506" s="179">
        <v>51.2</v>
      </c>
      <c r="F506" s="179">
        <v>49.3</v>
      </c>
      <c r="G506" s="179">
        <v>48.7</v>
      </c>
      <c r="H506" s="179">
        <v>47.9</v>
      </c>
      <c r="I506" s="179">
        <v>47.3</v>
      </c>
      <c r="J506" s="192"/>
    </row>
    <row r="507" spans="1:10" x14ac:dyDescent="0.2">
      <c r="A507" s="175" t="s">
        <v>598</v>
      </c>
      <c r="B507" s="176">
        <v>306.89999999999998</v>
      </c>
      <c r="C507" s="176">
        <v>498.6</v>
      </c>
      <c r="D507" s="176">
        <v>347.7</v>
      </c>
      <c r="E507" s="176">
        <v>379.8</v>
      </c>
      <c r="F507" s="176">
        <v>247.6</v>
      </c>
      <c r="G507" s="176">
        <v>360.9</v>
      </c>
      <c r="H507" s="176">
        <v>315.10000000000002</v>
      </c>
      <c r="I507" s="176">
        <v>315.8</v>
      </c>
      <c r="J507" s="191"/>
    </row>
    <row r="508" spans="1:10" x14ac:dyDescent="0.2">
      <c r="A508" s="177" t="s">
        <v>597</v>
      </c>
      <c r="B508" s="176">
        <v>306.89999999999998</v>
      </c>
      <c r="C508" s="176">
        <v>498.6</v>
      </c>
      <c r="D508" s="176">
        <v>347.7</v>
      </c>
      <c r="E508" s="176">
        <v>379.8</v>
      </c>
      <c r="F508" s="176">
        <v>247.6</v>
      </c>
      <c r="G508" s="176">
        <v>360.9</v>
      </c>
      <c r="H508" s="176">
        <v>315.10000000000002</v>
      </c>
      <c r="I508" s="176">
        <v>315.8</v>
      </c>
      <c r="J508" s="191"/>
    </row>
    <row r="509" spans="1:10" x14ac:dyDescent="0.2">
      <c r="A509" s="181" t="s">
        <v>596</v>
      </c>
      <c r="B509" s="182">
        <v>956.1</v>
      </c>
      <c r="C509" s="182">
        <v>1016.8</v>
      </c>
      <c r="D509" s="182">
        <v>1341.9</v>
      </c>
      <c r="E509" s="182">
        <v>796.9</v>
      </c>
      <c r="F509" s="182">
        <v>1239.0999999999999</v>
      </c>
      <c r="G509" s="182">
        <v>774.1</v>
      </c>
      <c r="H509" s="182">
        <v>796.8</v>
      </c>
      <c r="I509" s="182">
        <v>696.2</v>
      </c>
      <c r="J509" s="194"/>
    </row>
    <row r="510" spans="1:10" x14ac:dyDescent="0.2">
      <c r="A510" s="183" t="s">
        <v>595</v>
      </c>
      <c r="B510" s="184"/>
      <c r="C510" s="184"/>
      <c r="D510" s="184"/>
      <c r="E510" s="184"/>
      <c r="F510" s="184"/>
      <c r="G510" s="184"/>
      <c r="H510" s="184"/>
      <c r="I510" s="184"/>
      <c r="J510" s="195"/>
    </row>
    <row r="511" spans="1:10" x14ac:dyDescent="0.2">
      <c r="A511" s="175" t="s">
        <v>594</v>
      </c>
      <c r="B511" s="176">
        <v>4366.7</v>
      </c>
      <c r="C511" s="176">
        <v>4365.7</v>
      </c>
      <c r="D511" s="176">
        <v>4364.8999999999996</v>
      </c>
      <c r="E511" s="176">
        <v>4914.8</v>
      </c>
      <c r="F511" s="176">
        <v>4916.6000000000004</v>
      </c>
      <c r="G511" s="176">
        <v>3341</v>
      </c>
      <c r="H511" s="176">
        <v>3345.3</v>
      </c>
      <c r="I511" s="176">
        <v>3345.3</v>
      </c>
      <c r="J511" s="191"/>
    </row>
    <row r="512" spans="1:10" x14ac:dyDescent="0.2">
      <c r="A512" s="177" t="s">
        <v>593</v>
      </c>
      <c r="B512" s="176">
        <v>4361.7</v>
      </c>
      <c r="C512" s="176">
        <v>4360.3999999999996</v>
      </c>
      <c r="D512" s="176">
        <v>4359.2</v>
      </c>
      <c r="E512" s="176">
        <v>4907.8999999999996</v>
      </c>
      <c r="F512" s="176">
        <v>4906.8999999999996</v>
      </c>
      <c r="G512" s="176">
        <v>3329.2</v>
      </c>
      <c r="H512" s="176">
        <v>3331.7</v>
      </c>
      <c r="I512" s="176">
        <v>3330.7</v>
      </c>
      <c r="J512" s="191"/>
    </row>
    <row r="513" spans="1:10" x14ac:dyDescent="0.2">
      <c r="A513" s="178" t="s">
        <v>592</v>
      </c>
      <c r="B513" s="176">
        <v>4361.7</v>
      </c>
      <c r="C513" s="176">
        <v>4360.3999999999996</v>
      </c>
      <c r="D513" s="176">
        <v>4359.2</v>
      </c>
      <c r="E513" s="176">
        <v>4907.8999999999996</v>
      </c>
      <c r="F513" s="176">
        <v>4906.8999999999996</v>
      </c>
      <c r="G513" s="176">
        <v>3329.2</v>
      </c>
      <c r="H513" s="176">
        <v>3331.7</v>
      </c>
      <c r="I513" s="176">
        <v>3330.7</v>
      </c>
      <c r="J513" s="191"/>
    </row>
    <row r="514" spans="1:10" x14ac:dyDescent="0.2">
      <c r="A514" s="177" t="s">
        <v>591</v>
      </c>
      <c r="B514" s="179">
        <v>5</v>
      </c>
      <c r="C514" s="179">
        <v>5.3</v>
      </c>
      <c r="D514" s="179">
        <v>5.7</v>
      </c>
      <c r="E514" s="179">
        <v>6.9</v>
      </c>
      <c r="F514" s="179">
        <v>9.6999999999999993</v>
      </c>
      <c r="G514" s="179">
        <v>11.8</v>
      </c>
      <c r="H514" s="179">
        <v>13.6</v>
      </c>
      <c r="I514" s="179">
        <v>14.6</v>
      </c>
      <c r="J514" s="192"/>
    </row>
    <row r="515" spans="1:10" x14ac:dyDescent="0.2">
      <c r="A515" s="175" t="s">
        <v>590</v>
      </c>
      <c r="B515" s="176">
        <v>1358.3</v>
      </c>
      <c r="C515" s="176">
        <v>1391.9</v>
      </c>
      <c r="D515" s="176">
        <v>1323.6</v>
      </c>
      <c r="E515" s="176">
        <v>1331.4</v>
      </c>
      <c r="F515" s="176">
        <v>1336.5</v>
      </c>
      <c r="G515" s="176">
        <v>1000.3</v>
      </c>
      <c r="H515" s="176">
        <v>1011.5</v>
      </c>
      <c r="I515" s="176">
        <v>1027.3</v>
      </c>
      <c r="J515" s="191"/>
    </row>
    <row r="516" spans="1:10" x14ac:dyDescent="0.2">
      <c r="A516" s="177" t="s">
        <v>589</v>
      </c>
      <c r="B516" s="176">
        <v>1358.3</v>
      </c>
      <c r="C516" s="176">
        <v>1391.9</v>
      </c>
      <c r="D516" s="176">
        <v>1323.6</v>
      </c>
      <c r="E516" s="176">
        <v>1331.4</v>
      </c>
      <c r="F516" s="176">
        <v>1336.5</v>
      </c>
      <c r="G516" s="176">
        <v>1000.3</v>
      </c>
      <c r="H516" s="176">
        <v>1011.5</v>
      </c>
      <c r="I516" s="176">
        <v>1027.3</v>
      </c>
      <c r="J516" s="191"/>
    </row>
    <row r="517" spans="1:10" x14ac:dyDescent="0.2">
      <c r="A517" s="175" t="s">
        <v>588</v>
      </c>
      <c r="B517" s="176">
        <v>522.6</v>
      </c>
      <c r="C517" s="176">
        <v>506.2</v>
      </c>
      <c r="D517" s="176">
        <v>536.1</v>
      </c>
      <c r="E517" s="176">
        <v>556.1</v>
      </c>
      <c r="F517" s="176">
        <v>521.4</v>
      </c>
      <c r="G517" s="176">
        <v>503.5</v>
      </c>
      <c r="H517" s="176">
        <v>507.5</v>
      </c>
      <c r="I517" s="176">
        <v>508.2</v>
      </c>
      <c r="J517" s="191"/>
    </row>
    <row r="518" spans="1:10" x14ac:dyDescent="0.2">
      <c r="A518" s="175" t="s">
        <v>587</v>
      </c>
      <c r="B518" s="176">
        <v>947.8</v>
      </c>
      <c r="C518" s="176">
        <v>940.8</v>
      </c>
      <c r="D518" s="176">
        <v>978.5</v>
      </c>
      <c r="E518" s="176">
        <v>954.4</v>
      </c>
      <c r="F518" s="176">
        <v>948.7</v>
      </c>
      <c r="G518" s="176">
        <v>839.9</v>
      </c>
      <c r="H518" s="176">
        <v>824.9</v>
      </c>
      <c r="I518" s="176">
        <v>817.3</v>
      </c>
      <c r="J518" s="191"/>
    </row>
    <row r="519" spans="1:10" x14ac:dyDescent="0.2">
      <c r="A519" s="177" t="s">
        <v>586</v>
      </c>
      <c r="B519" s="176">
        <v>520.70000000000005</v>
      </c>
      <c r="C519" s="180"/>
      <c r="D519" s="180"/>
      <c r="E519" s="180"/>
      <c r="F519" s="176">
        <v>502.6</v>
      </c>
      <c r="G519" s="180"/>
      <c r="H519" s="180"/>
      <c r="I519" s="180"/>
      <c r="J519" s="191"/>
    </row>
    <row r="520" spans="1:10" x14ac:dyDescent="0.2">
      <c r="A520" s="178" t="s">
        <v>585</v>
      </c>
      <c r="B520" s="179">
        <v>64.2</v>
      </c>
      <c r="C520" s="180"/>
      <c r="D520" s="180"/>
      <c r="E520" s="180"/>
      <c r="F520" s="179">
        <v>75.2</v>
      </c>
      <c r="G520" s="180"/>
      <c r="H520" s="180"/>
      <c r="I520" s="180"/>
      <c r="J520" s="192"/>
    </row>
    <row r="521" spans="1:10" x14ac:dyDescent="0.2">
      <c r="A521" s="178" t="s">
        <v>584</v>
      </c>
      <c r="B521" s="176">
        <v>456.5</v>
      </c>
      <c r="C521" s="180"/>
      <c r="D521" s="180"/>
      <c r="E521" s="180"/>
      <c r="F521" s="176">
        <v>427.4</v>
      </c>
      <c r="G521" s="180"/>
      <c r="H521" s="180"/>
      <c r="I521" s="180"/>
      <c r="J521" s="191"/>
    </row>
    <row r="522" spans="1:10" x14ac:dyDescent="0.2">
      <c r="A522" s="177" t="s">
        <v>583</v>
      </c>
      <c r="B522" s="176">
        <v>130.6</v>
      </c>
      <c r="C522" s="176">
        <v>132.30000000000001</v>
      </c>
      <c r="D522" s="176">
        <v>134.30000000000001</v>
      </c>
      <c r="E522" s="176">
        <v>136.19999999999999</v>
      </c>
      <c r="F522" s="176">
        <v>137.80000000000001</v>
      </c>
      <c r="G522" s="176">
        <v>139.4</v>
      </c>
      <c r="H522" s="176">
        <v>141.4</v>
      </c>
      <c r="I522" s="176">
        <v>143.6</v>
      </c>
      <c r="J522" s="191"/>
    </row>
    <row r="523" spans="1:10" x14ac:dyDescent="0.2">
      <c r="A523" s="177" t="s">
        <v>582</v>
      </c>
      <c r="B523" s="176">
        <v>296.5</v>
      </c>
      <c r="C523" s="176">
        <v>808.5</v>
      </c>
      <c r="D523" s="176">
        <v>844.2</v>
      </c>
      <c r="E523" s="176">
        <v>818.2</v>
      </c>
      <c r="F523" s="176">
        <v>308.3</v>
      </c>
      <c r="G523" s="176">
        <v>700.5</v>
      </c>
      <c r="H523" s="176">
        <v>683.5</v>
      </c>
      <c r="I523" s="176">
        <v>673.7</v>
      </c>
      <c r="J523" s="191"/>
    </row>
    <row r="524" spans="1:10" x14ac:dyDescent="0.2">
      <c r="A524" s="175" t="s">
        <v>581</v>
      </c>
      <c r="B524" s="176">
        <v>7195.4</v>
      </c>
      <c r="C524" s="176">
        <v>7204.6</v>
      </c>
      <c r="D524" s="176">
        <v>7203.1</v>
      </c>
      <c r="E524" s="176">
        <v>7756.7</v>
      </c>
      <c r="F524" s="176">
        <v>7723.2</v>
      </c>
      <c r="G524" s="176">
        <v>5684.7</v>
      </c>
      <c r="H524" s="176">
        <v>5689.2</v>
      </c>
      <c r="I524" s="176">
        <v>5698.1</v>
      </c>
      <c r="J524" s="191"/>
    </row>
    <row r="525" spans="1:10" x14ac:dyDescent="0.2">
      <c r="A525" s="183" t="s">
        <v>68</v>
      </c>
      <c r="B525" s="184"/>
      <c r="C525" s="184"/>
      <c r="D525" s="184"/>
      <c r="E525" s="184"/>
      <c r="F525" s="184"/>
      <c r="G525" s="184"/>
      <c r="H525" s="184"/>
      <c r="I525" s="184"/>
      <c r="J525" s="195"/>
    </row>
    <row r="526" spans="1:10" x14ac:dyDescent="0.2">
      <c r="A526" s="181" t="s">
        <v>68</v>
      </c>
      <c r="B526" s="182">
        <v>8151.5</v>
      </c>
      <c r="C526" s="182">
        <v>8221.4</v>
      </c>
      <c r="D526" s="182">
        <v>8545</v>
      </c>
      <c r="E526" s="182">
        <v>8553.6</v>
      </c>
      <c r="F526" s="182">
        <v>8962.2999999999993</v>
      </c>
      <c r="G526" s="182">
        <v>6458.8</v>
      </c>
      <c r="H526" s="182">
        <v>6486</v>
      </c>
      <c r="I526" s="182">
        <v>6394.3</v>
      </c>
      <c r="J526" s="194"/>
    </row>
    <row r="527" spans="1:10" x14ac:dyDescent="0.2">
      <c r="A527" s="183" t="s">
        <v>580</v>
      </c>
      <c r="B527" s="184"/>
      <c r="C527" s="184"/>
      <c r="D527" s="184"/>
      <c r="E527" s="184"/>
      <c r="F527" s="184"/>
      <c r="G527" s="184"/>
      <c r="H527" s="184"/>
      <c r="I527" s="184"/>
      <c r="J527" s="195"/>
    </row>
    <row r="528" spans="1:10" x14ac:dyDescent="0.2">
      <c r="A528" s="175" t="s">
        <v>579</v>
      </c>
      <c r="B528" s="176">
        <v>8525.1</v>
      </c>
      <c r="C528" s="176">
        <v>8734.2000000000007</v>
      </c>
      <c r="D528" s="176">
        <v>8406.9</v>
      </c>
      <c r="E528" s="176">
        <v>8134.1</v>
      </c>
      <c r="F528" s="176">
        <v>8118.6</v>
      </c>
      <c r="G528" s="176">
        <v>7869</v>
      </c>
      <c r="H528" s="176">
        <v>7705.3</v>
      </c>
      <c r="I528" s="176">
        <v>7491.9</v>
      </c>
      <c r="J528" s="191"/>
    </row>
    <row r="529" spans="1:10" x14ac:dyDescent="0.2">
      <c r="A529" s="177" t="s">
        <v>578</v>
      </c>
      <c r="B529" s="176">
        <v>8525.1</v>
      </c>
      <c r="C529" s="176">
        <v>8734.2000000000007</v>
      </c>
      <c r="D529" s="176">
        <v>8406.9</v>
      </c>
      <c r="E529" s="176">
        <v>8134.1</v>
      </c>
      <c r="F529" s="176">
        <v>8118.6</v>
      </c>
      <c r="G529" s="176">
        <v>7869</v>
      </c>
      <c r="H529" s="176">
        <v>7705.3</v>
      </c>
      <c r="I529" s="176">
        <v>7491.9</v>
      </c>
      <c r="J529" s="191"/>
    </row>
    <row r="530" spans="1:10" x14ac:dyDescent="0.2">
      <c r="A530" s="178" t="s">
        <v>577</v>
      </c>
      <c r="B530" s="176">
        <v>3060.6</v>
      </c>
      <c r="C530" s="176">
        <v>3052.2</v>
      </c>
      <c r="D530" s="176">
        <v>3036.5</v>
      </c>
      <c r="E530" s="176">
        <v>3021.3</v>
      </c>
      <c r="F530" s="176">
        <v>3032.2</v>
      </c>
      <c r="G530" s="176">
        <v>3027.1</v>
      </c>
      <c r="H530" s="176">
        <v>3012</v>
      </c>
      <c r="I530" s="176">
        <v>2997.3</v>
      </c>
      <c r="J530" s="191"/>
    </row>
    <row r="531" spans="1:10" x14ac:dyDescent="0.2">
      <c r="A531" s="185" t="s">
        <v>576</v>
      </c>
      <c r="B531" s="176">
        <v>130.6</v>
      </c>
      <c r="C531" s="176">
        <v>132</v>
      </c>
      <c r="D531" s="176">
        <v>132</v>
      </c>
      <c r="E531" s="176">
        <v>132.1</v>
      </c>
      <c r="F531" s="176">
        <v>132.1</v>
      </c>
      <c r="G531" s="176">
        <v>132.1</v>
      </c>
      <c r="H531" s="176">
        <v>132.1</v>
      </c>
      <c r="I531" s="176">
        <v>132.30000000000001</v>
      </c>
      <c r="J531" s="191"/>
    </row>
    <row r="532" spans="1:10" x14ac:dyDescent="0.2">
      <c r="A532" s="185" t="s">
        <v>575</v>
      </c>
      <c r="B532" s="176">
        <v>2930</v>
      </c>
      <c r="C532" s="176">
        <v>2920.2</v>
      </c>
      <c r="D532" s="176">
        <v>2904.5</v>
      </c>
      <c r="E532" s="176">
        <v>2889.2</v>
      </c>
      <c r="F532" s="176">
        <v>2900.1</v>
      </c>
      <c r="G532" s="176">
        <v>2895</v>
      </c>
      <c r="H532" s="176">
        <v>2879.9</v>
      </c>
      <c r="I532" s="176">
        <v>2865</v>
      </c>
      <c r="J532" s="191"/>
    </row>
    <row r="533" spans="1:10" x14ac:dyDescent="0.2">
      <c r="A533" s="178" t="s">
        <v>574</v>
      </c>
      <c r="B533" s="176">
        <v>5464.5</v>
      </c>
      <c r="C533" s="176">
        <v>5682</v>
      </c>
      <c r="D533" s="176">
        <v>5370.4</v>
      </c>
      <c r="E533" s="176">
        <v>5112.8</v>
      </c>
      <c r="F533" s="176">
        <v>5086.3999999999996</v>
      </c>
      <c r="G533" s="176">
        <v>4841.8999999999996</v>
      </c>
      <c r="H533" s="176">
        <v>4693.3</v>
      </c>
      <c r="I533" s="176">
        <v>4494.6000000000004</v>
      </c>
      <c r="J533" s="191"/>
    </row>
    <row r="534" spans="1:10" x14ac:dyDescent="0.2">
      <c r="A534" s="185" t="s">
        <v>573</v>
      </c>
      <c r="B534" s="176">
        <v>5590.1</v>
      </c>
      <c r="C534" s="176">
        <v>5805.1</v>
      </c>
      <c r="D534" s="176">
        <v>5494.9</v>
      </c>
      <c r="E534" s="176">
        <v>5238.8</v>
      </c>
      <c r="F534" s="176">
        <v>5213.8</v>
      </c>
      <c r="G534" s="176">
        <v>4980.7</v>
      </c>
      <c r="H534" s="176">
        <v>4833.8999999999996</v>
      </c>
      <c r="I534" s="176">
        <v>4636.7</v>
      </c>
      <c r="J534" s="191"/>
    </row>
    <row r="535" spans="1:10" x14ac:dyDescent="0.2">
      <c r="A535" s="185" t="s">
        <v>572</v>
      </c>
      <c r="B535" s="188">
        <v>-125.6</v>
      </c>
      <c r="C535" s="188">
        <v>-123.1</v>
      </c>
      <c r="D535" s="188">
        <v>-124.5</v>
      </c>
      <c r="E535" s="188">
        <v>-126</v>
      </c>
      <c r="F535" s="188">
        <v>-127.4</v>
      </c>
      <c r="G535" s="188">
        <v>-138.80000000000001</v>
      </c>
      <c r="H535" s="188">
        <v>-140.6</v>
      </c>
      <c r="I535" s="188">
        <v>-142.1</v>
      </c>
      <c r="J535" s="197"/>
    </row>
    <row r="536" spans="1:10" x14ac:dyDescent="0.2">
      <c r="A536" s="186" t="s">
        <v>571</v>
      </c>
      <c r="B536" s="189">
        <v>-16</v>
      </c>
      <c r="C536" s="189">
        <v>-16.399999999999999</v>
      </c>
      <c r="D536" s="189">
        <v>-16.8</v>
      </c>
      <c r="E536" s="189">
        <v>-17.3</v>
      </c>
      <c r="F536" s="189">
        <v>-17.7</v>
      </c>
      <c r="G536" s="189">
        <v>-18.2</v>
      </c>
      <c r="H536" s="189">
        <v>-18.600000000000001</v>
      </c>
      <c r="I536" s="189">
        <v>-19</v>
      </c>
      <c r="J536" s="198"/>
    </row>
    <row r="537" spans="1:10" x14ac:dyDescent="0.2">
      <c r="A537" s="186" t="s">
        <v>570</v>
      </c>
      <c r="B537" s="188">
        <v>-109.6</v>
      </c>
      <c r="C537" s="188">
        <v>-106.7</v>
      </c>
      <c r="D537" s="188">
        <v>-107.7</v>
      </c>
      <c r="E537" s="188">
        <v>-108.7</v>
      </c>
      <c r="F537" s="188">
        <v>-109.7</v>
      </c>
      <c r="G537" s="188">
        <v>-120.6</v>
      </c>
      <c r="H537" s="188">
        <v>-122</v>
      </c>
      <c r="I537" s="188">
        <v>-123.1</v>
      </c>
      <c r="J537" s="197"/>
    </row>
    <row r="538" spans="1:10" x14ac:dyDescent="0.2">
      <c r="A538" s="177" t="s">
        <v>569</v>
      </c>
      <c r="B538" s="176">
        <v>8525.1</v>
      </c>
      <c r="C538" s="176">
        <v>8734.2000000000007</v>
      </c>
      <c r="D538" s="176">
        <v>8406.9</v>
      </c>
      <c r="E538" s="176">
        <v>8134.1</v>
      </c>
      <c r="F538" s="176">
        <v>8118.6</v>
      </c>
      <c r="G538" s="176">
        <v>7869</v>
      </c>
      <c r="H538" s="176">
        <v>7705.3</v>
      </c>
      <c r="I538" s="176">
        <v>7491.9</v>
      </c>
      <c r="J538" s="191"/>
    </row>
    <row r="539" spans="1:10" x14ac:dyDescent="0.2">
      <c r="A539" s="175" t="s">
        <v>568</v>
      </c>
      <c r="B539" s="179">
        <v>23.8</v>
      </c>
      <c r="C539" s="179">
        <v>22.9</v>
      </c>
      <c r="D539" s="179">
        <v>22.8</v>
      </c>
      <c r="E539" s="179">
        <v>24.4</v>
      </c>
      <c r="F539" s="179">
        <v>23.9</v>
      </c>
      <c r="G539" s="179">
        <v>24.1</v>
      </c>
      <c r="H539" s="179">
        <v>25.1</v>
      </c>
      <c r="I539" s="179">
        <v>24.7</v>
      </c>
      <c r="J539" s="192"/>
    </row>
    <row r="540" spans="1:10" x14ac:dyDescent="0.2">
      <c r="A540" s="183" t="s">
        <v>567</v>
      </c>
      <c r="B540" s="184"/>
      <c r="C540" s="184"/>
      <c r="D540" s="184"/>
      <c r="E540" s="184"/>
      <c r="F540" s="184"/>
      <c r="G540" s="184"/>
      <c r="H540" s="184"/>
      <c r="I540" s="184"/>
      <c r="J540" s="195"/>
    </row>
    <row r="541" spans="1:10" x14ac:dyDescent="0.2">
      <c r="A541" s="181" t="s">
        <v>566</v>
      </c>
      <c r="B541" s="182">
        <v>8548.9</v>
      </c>
      <c r="C541" s="182">
        <v>8757.1</v>
      </c>
      <c r="D541" s="182">
        <v>8429.7000000000007</v>
      </c>
      <c r="E541" s="182">
        <v>8158.5</v>
      </c>
      <c r="F541" s="182">
        <v>8142.5</v>
      </c>
      <c r="G541" s="182">
        <v>7893.1</v>
      </c>
      <c r="H541" s="182">
        <v>7730.4</v>
      </c>
      <c r="I541" s="182">
        <v>7516.6</v>
      </c>
      <c r="J541" s="194"/>
    </row>
    <row r="542" spans="1:10" x14ac:dyDescent="0.2">
      <c r="A542" s="183" t="s">
        <v>565</v>
      </c>
      <c r="B542" s="184"/>
      <c r="C542" s="184"/>
      <c r="D542" s="184"/>
      <c r="E542" s="184"/>
      <c r="F542" s="184"/>
      <c r="G542" s="184"/>
      <c r="H542" s="184"/>
      <c r="I542" s="184"/>
      <c r="J542" s="195"/>
    </row>
    <row r="543" spans="1:10" x14ac:dyDescent="0.2">
      <c r="A543" s="181" t="s">
        <v>564</v>
      </c>
      <c r="B543" s="187">
        <v>16700</v>
      </c>
      <c r="C543" s="187">
        <v>16979</v>
      </c>
      <c r="D543" s="187">
        <v>16975</v>
      </c>
      <c r="E543" s="187">
        <v>16712</v>
      </c>
      <c r="F543" s="187">
        <v>17105</v>
      </c>
      <c r="G543" s="187">
        <v>14352</v>
      </c>
      <c r="H543" s="187">
        <v>14216</v>
      </c>
      <c r="I543" s="187">
        <v>13911</v>
      </c>
      <c r="J543" s="196"/>
    </row>
    <row r="544" spans="1:10" x14ac:dyDescent="0.2">
      <c r="A544" s="183" t="s">
        <v>563</v>
      </c>
      <c r="B544" s="184"/>
      <c r="C544" s="184"/>
      <c r="D544" s="184"/>
      <c r="E544" s="184"/>
      <c r="F544" s="184"/>
      <c r="G544" s="184"/>
      <c r="H544" s="184"/>
      <c r="I544" s="184"/>
      <c r="J544" s="195"/>
    </row>
    <row r="545" spans="1:10" x14ac:dyDescent="0.2">
      <c r="A545" s="175" t="s">
        <v>562</v>
      </c>
      <c r="B545" s="176">
        <v>130.6</v>
      </c>
      <c r="C545" s="176">
        <v>132</v>
      </c>
      <c r="D545" s="176">
        <v>132</v>
      </c>
      <c r="E545" s="176">
        <v>132.1</v>
      </c>
      <c r="F545" s="176">
        <v>132.1</v>
      </c>
      <c r="G545" s="176">
        <v>132.1</v>
      </c>
      <c r="H545" s="176">
        <v>132.1</v>
      </c>
      <c r="I545" s="176">
        <v>132.30000000000001</v>
      </c>
      <c r="J545" s="191"/>
    </row>
    <row r="546" spans="1:10" x14ac:dyDescent="0.2">
      <c r="A546" s="177" t="s">
        <v>561</v>
      </c>
      <c r="B546" s="176">
        <v>130.6</v>
      </c>
      <c r="C546" s="176">
        <v>132</v>
      </c>
      <c r="D546" s="176">
        <v>132</v>
      </c>
      <c r="E546" s="176">
        <v>132.1</v>
      </c>
      <c r="F546" s="176">
        <v>132.1</v>
      </c>
      <c r="G546" s="176">
        <v>132.1</v>
      </c>
      <c r="H546" s="176">
        <v>132.1</v>
      </c>
      <c r="I546" s="176">
        <v>132.30000000000001</v>
      </c>
      <c r="J546" s="191"/>
    </row>
    <row r="547" spans="1:10" x14ac:dyDescent="0.2">
      <c r="A547" s="177" t="s">
        <v>560</v>
      </c>
      <c r="B547" s="180">
        <v>0</v>
      </c>
      <c r="C547" s="180">
        <v>0</v>
      </c>
      <c r="D547" s="180">
        <v>0</v>
      </c>
      <c r="E547" s="180">
        <v>0</v>
      </c>
      <c r="F547" s="180">
        <v>0</v>
      </c>
      <c r="G547" s="180">
        <v>0</v>
      </c>
      <c r="H547" s="180">
        <v>0</v>
      </c>
      <c r="I547" s="180">
        <v>0</v>
      </c>
      <c r="J547" s="193"/>
    </row>
    <row r="548" spans="1:10" x14ac:dyDescent="0.2">
      <c r="A548" s="175" t="s">
        <v>559</v>
      </c>
      <c r="B548" s="176">
        <v>480</v>
      </c>
      <c r="C548" s="176">
        <v>480</v>
      </c>
      <c r="D548" s="176">
        <v>480</v>
      </c>
      <c r="E548" s="176">
        <v>480</v>
      </c>
      <c r="F548" s="176">
        <v>480</v>
      </c>
      <c r="G548" s="176">
        <v>480</v>
      </c>
      <c r="H548" s="176">
        <v>480</v>
      </c>
      <c r="I548" s="176">
        <v>480</v>
      </c>
      <c r="J548" s="191"/>
    </row>
    <row r="549" spans="1:10" x14ac:dyDescent="0.2">
      <c r="A549" s="175" t="s">
        <v>558</v>
      </c>
      <c r="B549" s="176">
        <v>130.6</v>
      </c>
      <c r="C549" s="176">
        <v>132</v>
      </c>
      <c r="D549" s="176">
        <v>132</v>
      </c>
      <c r="E549" s="176">
        <v>132.1</v>
      </c>
      <c r="F549" s="176">
        <v>132.1</v>
      </c>
      <c r="G549" s="176">
        <v>132.1</v>
      </c>
      <c r="H549" s="176">
        <v>132.1</v>
      </c>
      <c r="I549" s="176">
        <v>132.30000000000001</v>
      </c>
      <c r="J549" s="191"/>
    </row>
    <row r="550" spans="1:10" x14ac:dyDescent="0.2">
      <c r="A550" s="177" t="s">
        <v>557</v>
      </c>
      <c r="B550" s="176">
        <v>130.6</v>
      </c>
      <c r="C550" s="176">
        <v>132</v>
      </c>
      <c r="D550" s="176">
        <v>132</v>
      </c>
      <c r="E550" s="176">
        <v>132.1</v>
      </c>
      <c r="F550" s="176">
        <v>132.1</v>
      </c>
      <c r="G550" s="176">
        <v>132.1</v>
      </c>
      <c r="H550" s="176">
        <v>132.1</v>
      </c>
      <c r="I550" s="176">
        <v>132.30000000000001</v>
      </c>
      <c r="J550" s="191"/>
    </row>
    <row r="551" spans="1:10" x14ac:dyDescent="0.2">
      <c r="A551" s="177" t="s">
        <v>556</v>
      </c>
      <c r="B551" s="180">
        <v>0</v>
      </c>
      <c r="C551" s="180">
        <v>0</v>
      </c>
      <c r="D551" s="180">
        <v>0</v>
      </c>
      <c r="E551" s="180">
        <v>0</v>
      </c>
      <c r="F551" s="180">
        <v>0</v>
      </c>
      <c r="G551" s="180">
        <v>0</v>
      </c>
      <c r="H551" s="180">
        <v>0</v>
      </c>
      <c r="I551" s="180">
        <v>0</v>
      </c>
      <c r="J551" s="193"/>
    </row>
    <row r="552" spans="1:10" x14ac:dyDescent="0.2">
      <c r="A552" s="183" t="s">
        <v>555</v>
      </c>
      <c r="B552" s="184"/>
      <c r="C552" s="184"/>
      <c r="D552" s="184"/>
      <c r="E552" s="184"/>
      <c r="F552" s="184"/>
      <c r="G552" s="184"/>
      <c r="H552" s="184"/>
      <c r="I552" s="184"/>
      <c r="J552" s="195"/>
    </row>
    <row r="553" spans="1:10" x14ac:dyDescent="0.2">
      <c r="A553" s="175" t="s">
        <v>554</v>
      </c>
      <c r="B553" s="179">
        <v>1</v>
      </c>
      <c r="C553" s="179">
        <v>1</v>
      </c>
      <c r="D553" s="179">
        <v>1</v>
      </c>
      <c r="E553" s="179">
        <v>1</v>
      </c>
      <c r="F553" s="179">
        <v>1</v>
      </c>
      <c r="G553" s="179">
        <v>1</v>
      </c>
      <c r="H553" s="179">
        <v>1</v>
      </c>
      <c r="I553" s="179">
        <v>1</v>
      </c>
      <c r="J553" s="192"/>
    </row>
    <row r="554" spans="1:10" x14ac:dyDescent="0.2">
      <c r="A554" s="183" t="s">
        <v>553</v>
      </c>
      <c r="B554" s="184"/>
      <c r="C554" s="184"/>
      <c r="D554" s="184"/>
      <c r="E554" s="184"/>
      <c r="F554" s="184"/>
      <c r="G554" s="184"/>
      <c r="H554" s="184"/>
      <c r="I554" s="184"/>
      <c r="J554" s="195"/>
    </row>
    <row r="555" spans="1:10" x14ac:dyDescent="0.2">
      <c r="A555" s="175" t="s">
        <v>552</v>
      </c>
      <c r="B555" s="180"/>
      <c r="C555" s="176">
        <v>544.70000000000005</v>
      </c>
      <c r="D555" s="176">
        <v>572.5</v>
      </c>
      <c r="E555" s="176">
        <v>594.4</v>
      </c>
      <c r="F555" s="180"/>
      <c r="G555" s="176">
        <v>540.9</v>
      </c>
      <c r="H555" s="176">
        <v>548.6</v>
      </c>
      <c r="I555" s="176">
        <v>551.29999999999995</v>
      </c>
      <c r="J555" s="193"/>
    </row>
    <row r="556" spans="1:10" x14ac:dyDescent="0.2">
      <c r="A556" s="177" t="s">
        <v>551</v>
      </c>
      <c r="B556" s="176">
        <v>521.5</v>
      </c>
      <c r="C556" s="176">
        <v>522</v>
      </c>
      <c r="D556" s="176">
        <v>546.1</v>
      </c>
      <c r="E556" s="176">
        <v>566</v>
      </c>
      <c r="F556" s="176">
        <v>526.4</v>
      </c>
      <c r="G556" s="176">
        <v>508.3</v>
      </c>
      <c r="H556" s="176">
        <v>511.8</v>
      </c>
      <c r="I556" s="176">
        <v>512.4</v>
      </c>
      <c r="J556" s="191"/>
    </row>
    <row r="557" spans="1:10" x14ac:dyDescent="0.2">
      <c r="A557" s="177" t="s">
        <v>747</v>
      </c>
      <c r="B557" s="180"/>
      <c r="C557" s="179">
        <v>22.7</v>
      </c>
      <c r="D557" s="179">
        <v>26.4</v>
      </c>
      <c r="E557" s="179">
        <v>28.4</v>
      </c>
      <c r="F557" s="180"/>
      <c r="G557" s="179">
        <v>32.6</v>
      </c>
      <c r="H557" s="179">
        <v>36.799999999999997</v>
      </c>
      <c r="I557" s="179">
        <v>38.9</v>
      </c>
      <c r="J557" s="193"/>
    </row>
    <row r="558" spans="1:10" x14ac:dyDescent="0.2">
      <c r="A558" s="177" t="s">
        <v>550</v>
      </c>
      <c r="B558" s="176">
        <v>709.5</v>
      </c>
      <c r="C558" s="176">
        <v>723.9</v>
      </c>
      <c r="D558" s="176">
        <v>752.6</v>
      </c>
      <c r="E558" s="176">
        <v>764.1</v>
      </c>
      <c r="F558" s="176">
        <v>727.9</v>
      </c>
      <c r="G558" s="176">
        <v>707.2</v>
      </c>
      <c r="H558" s="176">
        <v>705.9</v>
      </c>
      <c r="I558" s="176">
        <v>702.2</v>
      </c>
      <c r="J558" s="191"/>
    </row>
    <row r="559" spans="1:10" x14ac:dyDescent="0.2">
      <c r="A559" s="178" t="s">
        <v>549</v>
      </c>
      <c r="B559" s="176">
        <v>674.2</v>
      </c>
      <c r="C559" s="176">
        <v>679.6</v>
      </c>
      <c r="D559" s="176">
        <v>700.4</v>
      </c>
      <c r="E559" s="176">
        <v>711.9</v>
      </c>
      <c r="F559" s="176">
        <v>673.2</v>
      </c>
      <c r="G559" s="176">
        <v>651.4</v>
      </c>
      <c r="H559" s="176">
        <v>646.9</v>
      </c>
      <c r="I559" s="176">
        <v>641.79999999999995</v>
      </c>
      <c r="J559" s="191"/>
    </row>
    <row r="560" spans="1:10" x14ac:dyDescent="0.2">
      <c r="A560" s="178" t="s">
        <v>548</v>
      </c>
      <c r="B560" s="179">
        <v>35.299999999999997</v>
      </c>
      <c r="C560" s="179">
        <v>44.3</v>
      </c>
      <c r="D560" s="179">
        <v>52.2</v>
      </c>
      <c r="E560" s="179">
        <v>52.2</v>
      </c>
      <c r="F560" s="179">
        <v>54.7</v>
      </c>
      <c r="G560" s="179">
        <v>55.8</v>
      </c>
      <c r="H560" s="179">
        <v>59</v>
      </c>
      <c r="I560" s="179">
        <v>60.4</v>
      </c>
      <c r="J560" s="192"/>
    </row>
    <row r="561" spans="1:10" x14ac:dyDescent="0.2">
      <c r="A561" s="177" t="s">
        <v>882</v>
      </c>
      <c r="B561" s="180"/>
      <c r="C561" s="176">
        <v>179.2</v>
      </c>
      <c r="D561" s="176">
        <v>180.1</v>
      </c>
      <c r="E561" s="176">
        <v>169.7</v>
      </c>
      <c r="F561" s="180"/>
      <c r="G561" s="176">
        <v>166.3</v>
      </c>
      <c r="H561" s="176">
        <v>157.30000000000001</v>
      </c>
      <c r="I561" s="176">
        <v>150.9</v>
      </c>
      <c r="J561" s="193"/>
    </row>
    <row r="562" spans="1:10" x14ac:dyDescent="0.2">
      <c r="A562" s="178" t="s">
        <v>883</v>
      </c>
      <c r="B562" s="176">
        <v>152.69999999999999</v>
      </c>
      <c r="C562" s="176">
        <v>157.6</v>
      </c>
      <c r="D562" s="176">
        <v>154.30000000000001</v>
      </c>
      <c r="E562" s="176">
        <v>145.9</v>
      </c>
      <c r="F562" s="176">
        <v>146.80000000000001</v>
      </c>
      <c r="G562" s="176">
        <v>143.1</v>
      </c>
      <c r="H562" s="176">
        <v>135.1</v>
      </c>
      <c r="I562" s="176">
        <v>129.4</v>
      </c>
      <c r="J562" s="191"/>
    </row>
    <row r="563" spans="1:10" x14ac:dyDescent="0.2">
      <c r="A563" s="178" t="s">
        <v>884</v>
      </c>
      <c r="B563" s="180"/>
      <c r="C563" s="179">
        <v>21.6</v>
      </c>
      <c r="D563" s="179">
        <v>25.8</v>
      </c>
      <c r="E563" s="179">
        <v>23.8</v>
      </c>
      <c r="F563" s="180"/>
      <c r="G563" s="179">
        <v>23.2</v>
      </c>
      <c r="H563" s="179">
        <v>22.2</v>
      </c>
      <c r="I563" s="179">
        <v>21.5</v>
      </c>
      <c r="J563" s="193"/>
    </row>
    <row r="564" spans="1:10" x14ac:dyDescent="0.2">
      <c r="A564" s="175" t="s">
        <v>547</v>
      </c>
      <c r="B564" s="180"/>
      <c r="C564" s="176">
        <v>8330</v>
      </c>
      <c r="D564" s="176">
        <v>8310.4</v>
      </c>
      <c r="E564" s="176">
        <v>8352.9</v>
      </c>
      <c r="F564" s="180"/>
      <c r="G564" s="176">
        <v>6380.9</v>
      </c>
      <c r="H564" s="176">
        <v>6379</v>
      </c>
      <c r="I564" s="176">
        <v>6170.4</v>
      </c>
      <c r="J564" s="193"/>
    </row>
    <row r="565" spans="1:10" x14ac:dyDescent="0.2">
      <c r="A565" s="177" t="s">
        <v>546</v>
      </c>
      <c r="B565" s="180">
        <v>14469</v>
      </c>
      <c r="C565" s="180">
        <v>14619</v>
      </c>
      <c r="D565" s="180">
        <v>14532</v>
      </c>
      <c r="E565" s="180">
        <v>14506</v>
      </c>
      <c r="F565" s="180">
        <v>14462</v>
      </c>
      <c r="G565" s="180">
        <v>12318</v>
      </c>
      <c r="H565" s="180">
        <v>12204</v>
      </c>
      <c r="I565" s="180">
        <v>11910</v>
      </c>
      <c r="J565" s="193"/>
    </row>
    <row r="566" spans="1:10" x14ac:dyDescent="0.2">
      <c r="A566" s="177" t="s">
        <v>885</v>
      </c>
      <c r="B566" s="180"/>
      <c r="C566" s="176">
        <v>6288.9</v>
      </c>
      <c r="D566" s="176">
        <v>6222</v>
      </c>
      <c r="E566" s="176">
        <v>6152.9</v>
      </c>
      <c r="F566" s="180"/>
      <c r="G566" s="176">
        <v>5937</v>
      </c>
      <c r="H566" s="176">
        <v>5825</v>
      </c>
      <c r="I566" s="176">
        <v>5740</v>
      </c>
      <c r="J566" s="193"/>
    </row>
    <row r="567" spans="1:10" x14ac:dyDescent="0.2">
      <c r="A567" s="183" t="s">
        <v>545</v>
      </c>
      <c r="B567" s="184"/>
      <c r="C567" s="184"/>
      <c r="D567" s="184"/>
      <c r="E567" s="184"/>
      <c r="F567" s="184"/>
      <c r="G567" s="184"/>
      <c r="H567" s="184"/>
      <c r="I567" s="184"/>
      <c r="J567" s="195"/>
    </row>
    <row r="568" spans="1:10" x14ac:dyDescent="0.2">
      <c r="A568" s="175" t="s">
        <v>544</v>
      </c>
      <c r="B568" s="176">
        <v>567.1</v>
      </c>
      <c r="C568" s="176">
        <v>555.6</v>
      </c>
      <c r="D568" s="176">
        <v>587.1</v>
      </c>
      <c r="E568" s="176">
        <v>607.29999999999995</v>
      </c>
      <c r="F568" s="176">
        <v>570.70000000000005</v>
      </c>
      <c r="G568" s="176">
        <v>552.20000000000005</v>
      </c>
      <c r="H568" s="176">
        <v>555.4</v>
      </c>
      <c r="I568" s="176">
        <v>555.5</v>
      </c>
      <c r="J568" s="191"/>
    </row>
    <row r="569" spans="1:10" x14ac:dyDescent="0.2">
      <c r="A569" s="177" t="s">
        <v>543</v>
      </c>
      <c r="B569" s="179">
        <v>44.5</v>
      </c>
      <c r="C569" s="179">
        <v>49.4</v>
      </c>
      <c r="D569" s="179">
        <v>51</v>
      </c>
      <c r="E569" s="179">
        <v>51.2</v>
      </c>
      <c r="F569" s="179">
        <v>49.3</v>
      </c>
      <c r="G569" s="179">
        <v>48.7</v>
      </c>
      <c r="H569" s="179">
        <v>47.9</v>
      </c>
      <c r="I569" s="179">
        <v>47.3</v>
      </c>
      <c r="J569" s="192"/>
    </row>
    <row r="570" spans="1:10" x14ac:dyDescent="0.2">
      <c r="A570" s="177" t="s">
        <v>542</v>
      </c>
      <c r="B570" s="176">
        <v>522.6</v>
      </c>
      <c r="C570" s="176">
        <v>506.2</v>
      </c>
      <c r="D570" s="176">
        <v>536.1</v>
      </c>
      <c r="E570" s="176">
        <v>556.1</v>
      </c>
      <c r="F570" s="176">
        <v>521.4</v>
      </c>
      <c r="G570" s="176">
        <v>503.5</v>
      </c>
      <c r="H570" s="176">
        <v>507.5</v>
      </c>
      <c r="I570" s="176">
        <v>508.2</v>
      </c>
      <c r="J570" s="191"/>
    </row>
    <row r="571" spans="1:10" x14ac:dyDescent="0.2">
      <c r="A571" s="175" t="s">
        <v>541</v>
      </c>
      <c r="B571" s="176">
        <v>577.9</v>
      </c>
      <c r="C571" s="176">
        <v>569.1</v>
      </c>
      <c r="D571" s="176">
        <v>602</v>
      </c>
      <c r="E571" s="176">
        <v>624.9</v>
      </c>
      <c r="F571" s="176">
        <v>591.1</v>
      </c>
      <c r="G571" s="176">
        <v>575.4</v>
      </c>
      <c r="H571" s="176">
        <v>580.70000000000005</v>
      </c>
      <c r="I571" s="176">
        <v>581.79999999999995</v>
      </c>
      <c r="J571" s="191"/>
    </row>
    <row r="572" spans="1:10" x14ac:dyDescent="0.2">
      <c r="A572" s="175" t="s">
        <v>540</v>
      </c>
      <c r="B572" s="176">
        <v>4940</v>
      </c>
      <c r="C572" s="176">
        <v>4929.8999999999996</v>
      </c>
      <c r="D572" s="176">
        <v>5511.7</v>
      </c>
      <c r="E572" s="176">
        <v>5533.3</v>
      </c>
      <c r="F572" s="176">
        <v>5898.5</v>
      </c>
      <c r="G572" s="176">
        <v>3905.1</v>
      </c>
      <c r="H572" s="176">
        <v>4007.9</v>
      </c>
      <c r="I572" s="176">
        <v>3913</v>
      </c>
      <c r="J572" s="191"/>
    </row>
    <row r="573" spans="1:10" x14ac:dyDescent="0.2">
      <c r="A573" s="183" t="s">
        <v>539</v>
      </c>
      <c r="B573" s="184"/>
      <c r="C573" s="184"/>
      <c r="D573" s="184"/>
      <c r="E573" s="184"/>
      <c r="F573" s="184"/>
      <c r="G573" s="184"/>
      <c r="H573" s="184"/>
      <c r="I573" s="184"/>
      <c r="J573" s="195"/>
    </row>
    <row r="574" spans="1:10" x14ac:dyDescent="0.2">
      <c r="A574" s="175" t="s">
        <v>538</v>
      </c>
      <c r="B574" s="179">
        <v>33.700000000000003</v>
      </c>
      <c r="C574" s="179">
        <v>33.6</v>
      </c>
      <c r="D574" s="179">
        <v>32.9</v>
      </c>
      <c r="E574" s="179">
        <v>31.3</v>
      </c>
      <c r="F574" s="179">
        <v>31.3</v>
      </c>
      <c r="G574" s="179">
        <v>31.4</v>
      </c>
      <c r="H574" s="179">
        <v>31.4</v>
      </c>
      <c r="I574" s="179">
        <v>31.4</v>
      </c>
      <c r="J574" s="192"/>
    </row>
    <row r="575" spans="1:10" x14ac:dyDescent="0.2">
      <c r="A575" s="175" t="s">
        <v>537</v>
      </c>
      <c r="B575" s="176">
        <v>887.7</v>
      </c>
      <c r="C575" s="176">
        <v>1184.8</v>
      </c>
      <c r="D575" s="176">
        <v>1078.9000000000001</v>
      </c>
      <c r="E575" s="176">
        <v>928.9</v>
      </c>
      <c r="F575" s="176">
        <v>892.3</v>
      </c>
      <c r="G575" s="176">
        <v>1017.4</v>
      </c>
      <c r="H575" s="176">
        <v>1061.2</v>
      </c>
      <c r="I575" s="176">
        <v>886.1</v>
      </c>
      <c r="J575" s="191"/>
    </row>
    <row r="576" spans="1:10" x14ac:dyDescent="0.2">
      <c r="A576" s="177" t="s">
        <v>536</v>
      </c>
      <c r="B576" s="176">
        <v>898.2</v>
      </c>
      <c r="C576" s="176">
        <v>1197.0999999999999</v>
      </c>
      <c r="D576" s="176">
        <v>1092.2</v>
      </c>
      <c r="E576" s="176">
        <v>941.9</v>
      </c>
      <c r="F576" s="176">
        <v>905.5</v>
      </c>
      <c r="G576" s="176">
        <v>1030.9000000000001</v>
      </c>
      <c r="H576" s="176">
        <v>1075.5</v>
      </c>
      <c r="I576" s="176">
        <v>900.4</v>
      </c>
      <c r="J576" s="191"/>
    </row>
    <row r="577" spans="1:10" x14ac:dyDescent="0.2">
      <c r="A577" s="175" t="s">
        <v>535</v>
      </c>
      <c r="B577" s="176">
        <v>708.5</v>
      </c>
      <c r="C577" s="179">
        <v>97.3</v>
      </c>
      <c r="D577" s="180"/>
      <c r="E577" s="180"/>
      <c r="F577" s="180"/>
      <c r="G577" s="180">
        <v>0</v>
      </c>
      <c r="H577" s="180"/>
      <c r="I577" s="180"/>
      <c r="J577" s="193"/>
    </row>
    <row r="578" spans="1:10" x14ac:dyDescent="0.2">
      <c r="A578" s="175" t="s">
        <v>534</v>
      </c>
      <c r="B578" s="176">
        <v>266.7</v>
      </c>
      <c r="C578" s="176">
        <v>274.2</v>
      </c>
      <c r="D578" s="176">
        <v>243.7</v>
      </c>
      <c r="E578" s="176">
        <v>241</v>
      </c>
      <c r="F578" s="176">
        <v>449</v>
      </c>
      <c r="G578" s="176">
        <v>402.1</v>
      </c>
      <c r="H578" s="176">
        <v>435.6</v>
      </c>
      <c r="I578" s="176">
        <v>354.6</v>
      </c>
      <c r="J578" s="191"/>
    </row>
    <row r="579" spans="1:10" x14ac:dyDescent="0.2">
      <c r="A579" s="175" t="s">
        <v>533</v>
      </c>
      <c r="B579" s="176">
        <v>569.20000000000005</v>
      </c>
      <c r="C579" s="176">
        <v>422.6</v>
      </c>
      <c r="D579" s="176">
        <v>383.5</v>
      </c>
      <c r="E579" s="176">
        <v>354.7</v>
      </c>
      <c r="F579" s="176">
        <v>531</v>
      </c>
      <c r="G579" s="176">
        <v>352.6</v>
      </c>
      <c r="H579" s="176">
        <v>326.60000000000002</v>
      </c>
      <c r="I579" s="176">
        <v>320.89999999999998</v>
      </c>
      <c r="J579" s="191"/>
    </row>
    <row r="580" spans="1:10" x14ac:dyDescent="0.2">
      <c r="A580" s="177" t="s">
        <v>532</v>
      </c>
      <c r="B580" s="176">
        <v>438.5</v>
      </c>
      <c r="C580" s="176">
        <v>422.6</v>
      </c>
      <c r="D580" s="176">
        <v>383.5</v>
      </c>
      <c r="E580" s="176">
        <v>354.7</v>
      </c>
      <c r="F580" s="176">
        <v>407</v>
      </c>
      <c r="G580" s="176">
        <v>352.6</v>
      </c>
      <c r="H580" s="176">
        <v>326.60000000000002</v>
      </c>
      <c r="I580" s="176">
        <v>320.89999999999998</v>
      </c>
      <c r="J580" s="191"/>
    </row>
    <row r="581" spans="1:10" x14ac:dyDescent="0.2">
      <c r="A581" s="177" t="s">
        <v>531</v>
      </c>
      <c r="B581" s="176">
        <v>130.69999999999999</v>
      </c>
      <c r="C581" s="180"/>
      <c r="D581" s="180"/>
      <c r="E581" s="180"/>
      <c r="F581" s="176">
        <v>124</v>
      </c>
      <c r="G581" s="180"/>
      <c r="H581" s="180"/>
      <c r="I581" s="180"/>
      <c r="J581" s="191"/>
    </row>
    <row r="582" spans="1:10" x14ac:dyDescent="0.2">
      <c r="A582" s="175" t="s">
        <v>530</v>
      </c>
      <c r="B582" s="179">
        <v>29.3</v>
      </c>
      <c r="C582" s="179">
        <v>37.6</v>
      </c>
      <c r="D582" s="180"/>
      <c r="E582" s="180"/>
      <c r="F582" s="180"/>
      <c r="G582" s="180"/>
      <c r="H582" s="180"/>
      <c r="I582" s="180"/>
      <c r="J582" s="193"/>
    </row>
    <row r="583" spans="1:10" x14ac:dyDescent="0.2">
      <c r="A583" s="183" t="s">
        <v>529</v>
      </c>
      <c r="B583" s="184"/>
      <c r="C583" s="184"/>
      <c r="D583" s="184"/>
      <c r="E583" s="184"/>
      <c r="F583" s="184"/>
      <c r="G583" s="184"/>
      <c r="H583" s="184"/>
      <c r="I583" s="184"/>
      <c r="J583" s="195"/>
    </row>
    <row r="584" spans="1:10" x14ac:dyDescent="0.2">
      <c r="A584" s="175" t="s">
        <v>528</v>
      </c>
      <c r="B584" s="176">
        <v>4189.6000000000004</v>
      </c>
      <c r="C584" s="176">
        <v>4183</v>
      </c>
      <c r="D584" s="176">
        <v>4577.2</v>
      </c>
      <c r="E584" s="176">
        <v>4744.7</v>
      </c>
      <c r="F584" s="176">
        <v>4768.1000000000004</v>
      </c>
      <c r="G584" s="176">
        <v>2919.7</v>
      </c>
      <c r="H584" s="176">
        <v>3341.5</v>
      </c>
      <c r="I584" s="176">
        <v>3065.1</v>
      </c>
      <c r="J584" s="191"/>
    </row>
    <row r="585" spans="1:10" x14ac:dyDescent="0.2">
      <c r="A585" s="175" t="s">
        <v>527</v>
      </c>
      <c r="B585" s="176">
        <v>4372.8999999999996</v>
      </c>
      <c r="C585" s="176">
        <v>4374.3</v>
      </c>
      <c r="D585" s="176">
        <v>4924.6000000000004</v>
      </c>
      <c r="E585" s="176">
        <v>4926</v>
      </c>
      <c r="F585" s="176">
        <v>5327.8</v>
      </c>
      <c r="G585" s="176">
        <v>3352.9</v>
      </c>
      <c r="H585" s="176">
        <v>3452.5</v>
      </c>
      <c r="I585" s="176">
        <v>3357.5</v>
      </c>
      <c r="J585" s="191"/>
    </row>
    <row r="586" spans="1:10" x14ac:dyDescent="0.2">
      <c r="A586" s="175" t="s">
        <v>526</v>
      </c>
      <c r="B586" s="179">
        <v>23.1</v>
      </c>
      <c r="C586" s="179">
        <v>23.3</v>
      </c>
      <c r="D586" s="179">
        <v>24.7</v>
      </c>
      <c r="E586" s="179">
        <v>23.9</v>
      </c>
      <c r="F586" s="179">
        <v>95.2</v>
      </c>
      <c r="G586" s="179">
        <v>95.2</v>
      </c>
      <c r="H586" s="179">
        <v>95.2</v>
      </c>
      <c r="I586" s="179">
        <v>89.2</v>
      </c>
      <c r="J586" s="192"/>
    </row>
    <row r="587" spans="1:10" x14ac:dyDescent="0.2">
      <c r="A587" s="175" t="s">
        <v>525</v>
      </c>
      <c r="B587" s="176">
        <v>1576.9</v>
      </c>
      <c r="C587" s="176">
        <v>1576.7</v>
      </c>
      <c r="D587" s="176">
        <v>1575.3</v>
      </c>
      <c r="E587" s="176">
        <v>1576.1</v>
      </c>
      <c r="F587" s="176">
        <v>1504.8</v>
      </c>
      <c r="G587" s="176">
        <v>1504.8</v>
      </c>
      <c r="H587" s="176">
        <v>1504.8</v>
      </c>
      <c r="I587" s="176">
        <v>1510.8</v>
      </c>
      <c r="J587" s="191"/>
    </row>
    <row r="588" spans="1:10" x14ac:dyDescent="0.2">
      <c r="A588" s="175" t="s">
        <v>524</v>
      </c>
      <c r="B588" s="176">
        <v>1600</v>
      </c>
      <c r="C588" s="176">
        <v>1600</v>
      </c>
      <c r="D588" s="176">
        <v>1600</v>
      </c>
      <c r="E588" s="176">
        <v>1600</v>
      </c>
      <c r="F588" s="176">
        <v>1600</v>
      </c>
      <c r="G588" s="176">
        <v>1600</v>
      </c>
      <c r="H588" s="176">
        <v>1600</v>
      </c>
      <c r="I588" s="176">
        <v>1600</v>
      </c>
      <c r="J588" s="191"/>
    </row>
    <row r="589" spans="1:10" x14ac:dyDescent="0.2">
      <c r="A589" s="183" t="s">
        <v>504</v>
      </c>
      <c r="B589" s="184"/>
      <c r="C589" s="184"/>
      <c r="D589" s="184"/>
      <c r="E589" s="184"/>
      <c r="F589" s="184"/>
      <c r="G589" s="184"/>
      <c r="H589" s="184"/>
      <c r="I589" s="184"/>
      <c r="J589" s="195"/>
    </row>
    <row r="590" spans="1:10" x14ac:dyDescent="0.2">
      <c r="A590" s="175" t="s">
        <v>503</v>
      </c>
      <c r="B590" s="179">
        <v>18.899999999999999</v>
      </c>
      <c r="C590" s="179">
        <v>18.899999999999999</v>
      </c>
      <c r="D590" s="179">
        <v>18.8</v>
      </c>
      <c r="E590" s="179">
        <v>18.7</v>
      </c>
      <c r="F590" s="179">
        <v>18.899999999999999</v>
      </c>
      <c r="G590" s="179">
        <v>19.100000000000001</v>
      </c>
      <c r="H590" s="179">
        <v>19.2</v>
      </c>
      <c r="I590" s="179">
        <v>19.399999999999999</v>
      </c>
      <c r="J590" s="192"/>
    </row>
    <row r="591" spans="1:10" x14ac:dyDescent="0.2">
      <c r="A591" s="175" t="s">
        <v>502</v>
      </c>
      <c r="B591" s="179">
        <v>2.4</v>
      </c>
      <c r="C591" s="179">
        <v>2.1</v>
      </c>
      <c r="D591" s="179">
        <v>2</v>
      </c>
      <c r="E591" s="179">
        <v>2.1</v>
      </c>
      <c r="F591" s="179">
        <v>2.2000000000000002</v>
      </c>
      <c r="G591" s="179">
        <v>2.2999999999999998</v>
      </c>
      <c r="H591" s="179">
        <v>2.4</v>
      </c>
      <c r="I591" s="179">
        <v>2.5</v>
      </c>
      <c r="J591" s="192"/>
    </row>
    <row r="592" spans="1:10" x14ac:dyDescent="0.2">
      <c r="A592" s="175" t="s">
        <v>501</v>
      </c>
      <c r="B592" s="190">
        <v>0</v>
      </c>
      <c r="C592" s="190">
        <v>0</v>
      </c>
      <c r="D592" s="190">
        <v>0</v>
      </c>
      <c r="E592" s="190">
        <v>0</v>
      </c>
      <c r="F592" s="190">
        <v>0</v>
      </c>
      <c r="G592" s="190">
        <v>0</v>
      </c>
      <c r="H592" s="190">
        <v>0</v>
      </c>
      <c r="I592" s="190">
        <v>0</v>
      </c>
      <c r="J592" s="199"/>
    </row>
    <row r="593" spans="1:10" x14ac:dyDescent="0.2">
      <c r="A593" s="175" t="s">
        <v>500</v>
      </c>
      <c r="B593" s="190">
        <v>0</v>
      </c>
      <c r="C593" s="190">
        <v>0</v>
      </c>
      <c r="D593" s="190">
        <v>0</v>
      </c>
      <c r="E593" s="190">
        <v>0</v>
      </c>
      <c r="F593" s="190">
        <v>0</v>
      </c>
      <c r="G593" s="190">
        <v>0</v>
      </c>
      <c r="H593" s="190">
        <v>0</v>
      </c>
      <c r="I593" s="190">
        <v>0</v>
      </c>
      <c r="J593" s="199"/>
    </row>
    <row r="594" spans="1:10" x14ac:dyDescent="0.2">
      <c r="A594" s="183" t="s">
        <v>456</v>
      </c>
      <c r="B594" s="184"/>
      <c r="C594" s="184"/>
      <c r="D594" s="184"/>
      <c r="E594" s="184"/>
      <c r="F594" s="184"/>
      <c r="G594" s="184"/>
      <c r="H594" s="184"/>
      <c r="I594" s="184"/>
      <c r="J594" s="195"/>
    </row>
    <row r="595" spans="1:10" x14ac:dyDescent="0.2">
      <c r="A595" s="175" t="s">
        <v>499</v>
      </c>
      <c r="B595" s="179">
        <v>23.8</v>
      </c>
      <c r="C595" s="179">
        <v>22.9</v>
      </c>
      <c r="D595" s="179">
        <v>22.8</v>
      </c>
      <c r="E595" s="179">
        <v>24.4</v>
      </c>
      <c r="F595" s="179">
        <v>23.9</v>
      </c>
      <c r="G595" s="179">
        <v>24.1</v>
      </c>
      <c r="H595" s="179">
        <v>25.1</v>
      </c>
      <c r="I595" s="179">
        <v>24.7</v>
      </c>
      <c r="J595" s="192"/>
    </row>
    <row r="596" spans="1:10" x14ac:dyDescent="0.2">
      <c r="A596" s="175" t="s">
        <v>498</v>
      </c>
      <c r="B596" s="176">
        <v>1428.5</v>
      </c>
      <c r="C596" s="176">
        <v>1060.3</v>
      </c>
      <c r="D596" s="176">
        <v>554.20000000000005</v>
      </c>
      <c r="E596" s="176">
        <v>947.7</v>
      </c>
      <c r="F596" s="176">
        <v>466.9</v>
      </c>
      <c r="G596" s="176">
        <v>1005.6</v>
      </c>
      <c r="H596" s="176">
        <v>1068.7</v>
      </c>
      <c r="I596" s="176">
        <v>919</v>
      </c>
      <c r="J596" s="191"/>
    </row>
    <row r="597" spans="1:10" x14ac:dyDescent="0.2">
      <c r="A597" s="175" t="s">
        <v>497</v>
      </c>
      <c r="B597" s="180">
        <v>12736</v>
      </c>
      <c r="C597" s="180">
        <v>12948</v>
      </c>
      <c r="D597" s="180">
        <v>12796</v>
      </c>
      <c r="E597" s="180">
        <v>12716</v>
      </c>
      <c r="F597" s="180">
        <v>12757</v>
      </c>
      <c r="G597" s="180">
        <v>10469</v>
      </c>
      <c r="H597" s="180">
        <v>10569</v>
      </c>
      <c r="I597" s="180">
        <v>10087</v>
      </c>
      <c r="J597" s="193"/>
    </row>
    <row r="598" spans="1:10" x14ac:dyDescent="0.2">
      <c r="A598" s="175" t="s">
        <v>496</v>
      </c>
      <c r="B598" s="176">
        <v>183.3</v>
      </c>
      <c r="C598" s="176">
        <v>191.3</v>
      </c>
      <c r="D598" s="176">
        <v>347.4</v>
      </c>
      <c r="E598" s="176">
        <v>181.3</v>
      </c>
      <c r="F598" s="176">
        <v>559.70000000000005</v>
      </c>
      <c r="G598" s="176">
        <v>433.2</v>
      </c>
      <c r="H598" s="176">
        <v>111</v>
      </c>
      <c r="I598" s="176">
        <v>292.39999999999998</v>
      </c>
      <c r="J598" s="191"/>
    </row>
    <row r="599" spans="1:10" x14ac:dyDescent="0.2">
      <c r="A599" s="175" t="s">
        <v>495</v>
      </c>
      <c r="B599" s="176">
        <v>183.3</v>
      </c>
      <c r="C599" s="176">
        <v>191.3</v>
      </c>
      <c r="D599" s="176">
        <v>347.4</v>
      </c>
      <c r="E599" s="176">
        <v>181.3</v>
      </c>
      <c r="F599" s="176">
        <v>559.70000000000005</v>
      </c>
      <c r="G599" s="176">
        <v>433.2</v>
      </c>
      <c r="H599" s="176">
        <v>111</v>
      </c>
      <c r="I599" s="176">
        <v>292.39999999999998</v>
      </c>
      <c r="J599" s="191"/>
    </row>
    <row r="600" spans="1:10" x14ac:dyDescent="0.2">
      <c r="A600" s="175" t="s">
        <v>494</v>
      </c>
      <c r="B600" s="176">
        <v>4396.7</v>
      </c>
      <c r="C600" s="176">
        <v>4397.2</v>
      </c>
      <c r="D600" s="176">
        <v>4947.3999999999996</v>
      </c>
      <c r="E600" s="176">
        <v>4950.3999999999996</v>
      </c>
      <c r="F600" s="176">
        <v>5351.7</v>
      </c>
      <c r="G600" s="176">
        <v>3377</v>
      </c>
      <c r="H600" s="176">
        <v>3477.6</v>
      </c>
      <c r="I600" s="176">
        <v>3382.2</v>
      </c>
      <c r="J600" s="191"/>
    </row>
    <row r="601" spans="1:10" x14ac:dyDescent="0.2">
      <c r="A601" s="175" t="s">
        <v>493</v>
      </c>
      <c r="B601" s="179">
        <v>33.700000000000003</v>
      </c>
      <c r="C601" s="179">
        <v>33.6</v>
      </c>
      <c r="D601" s="179">
        <v>32.9</v>
      </c>
      <c r="E601" s="179">
        <v>31.3</v>
      </c>
      <c r="F601" s="179">
        <v>31.3</v>
      </c>
      <c r="G601" s="179">
        <v>31.4</v>
      </c>
      <c r="H601" s="179">
        <v>31.4</v>
      </c>
      <c r="I601" s="179">
        <v>31.4</v>
      </c>
      <c r="J601" s="192"/>
    </row>
    <row r="602" spans="1:10" x14ac:dyDescent="0.2">
      <c r="A602" s="175" t="s">
        <v>492</v>
      </c>
      <c r="B602" s="180">
        <v>12739</v>
      </c>
      <c r="C602" s="180">
        <v>12940</v>
      </c>
      <c r="D602" s="180">
        <v>13007</v>
      </c>
      <c r="E602" s="180">
        <v>12903</v>
      </c>
      <c r="F602" s="180">
        <v>12911</v>
      </c>
      <c r="G602" s="180">
        <v>10813</v>
      </c>
      <c r="H602" s="180">
        <v>11072</v>
      </c>
      <c r="I602" s="180">
        <v>10582</v>
      </c>
      <c r="J602" s="193"/>
    </row>
    <row r="603" spans="1:10" x14ac:dyDescent="0.2">
      <c r="A603" s="175" t="s">
        <v>491</v>
      </c>
      <c r="B603" s="180">
        <v>12739</v>
      </c>
      <c r="C603" s="180">
        <v>12940</v>
      </c>
      <c r="D603" s="180">
        <v>13007</v>
      </c>
      <c r="E603" s="180">
        <v>12903</v>
      </c>
      <c r="F603" s="180">
        <v>12911</v>
      </c>
      <c r="G603" s="180">
        <v>10813</v>
      </c>
      <c r="H603" s="180">
        <v>11072</v>
      </c>
      <c r="I603" s="180">
        <v>10582</v>
      </c>
      <c r="J603" s="193"/>
    </row>
    <row r="604" spans="1:10" x14ac:dyDescent="0.2">
      <c r="A604" s="175" t="s">
        <v>490</v>
      </c>
      <c r="B604" s="176">
        <v>1879</v>
      </c>
      <c r="C604" s="176">
        <v>1391.9</v>
      </c>
      <c r="D604" s="176">
        <v>1323.6</v>
      </c>
      <c r="E604" s="176">
        <v>1331.4</v>
      </c>
      <c r="F604" s="176">
        <v>1839.1</v>
      </c>
      <c r="G604" s="176">
        <v>1000.3</v>
      </c>
      <c r="H604" s="176">
        <v>1011.5</v>
      </c>
      <c r="I604" s="176">
        <v>1027.3</v>
      </c>
      <c r="J604" s="191"/>
    </row>
    <row r="605" spans="1:10" x14ac:dyDescent="0.2">
      <c r="A605" s="175" t="s">
        <v>489</v>
      </c>
      <c r="B605" s="176">
        <v>8525.1</v>
      </c>
      <c r="C605" s="176">
        <v>8734.2000000000007</v>
      </c>
      <c r="D605" s="176">
        <v>8406.9</v>
      </c>
      <c r="E605" s="176">
        <v>8134.1</v>
      </c>
      <c r="F605" s="176">
        <v>8118.6</v>
      </c>
      <c r="G605" s="176">
        <v>7869</v>
      </c>
      <c r="H605" s="176">
        <v>7705.3</v>
      </c>
      <c r="I605" s="176">
        <v>7491.9</v>
      </c>
      <c r="J605" s="191"/>
    </row>
    <row r="606" spans="1:10" x14ac:dyDescent="0.2">
      <c r="A606" s="175" t="s">
        <v>488</v>
      </c>
      <c r="B606" s="176">
        <v>3279</v>
      </c>
      <c r="C606" s="176">
        <v>3121.6</v>
      </c>
      <c r="D606" s="176">
        <v>2766.3</v>
      </c>
      <c r="E606" s="176">
        <v>2497.1999999999998</v>
      </c>
      <c r="F606" s="176">
        <v>2639.7</v>
      </c>
      <c r="G606" s="176">
        <v>2994.8</v>
      </c>
      <c r="H606" s="176">
        <v>2731.1</v>
      </c>
      <c r="I606" s="176">
        <v>2539.1</v>
      </c>
      <c r="J606" s="191"/>
    </row>
    <row r="607" spans="1:10" x14ac:dyDescent="0.2">
      <c r="A607" s="175" t="s">
        <v>487</v>
      </c>
      <c r="B607" s="176">
        <v>3255.2</v>
      </c>
      <c r="C607" s="176">
        <v>3098.7</v>
      </c>
      <c r="D607" s="176">
        <v>2743.5</v>
      </c>
      <c r="E607" s="176">
        <v>2472.8000000000002</v>
      </c>
      <c r="F607" s="176">
        <v>2615.8000000000002</v>
      </c>
      <c r="G607" s="176">
        <v>2970.7</v>
      </c>
      <c r="H607" s="176">
        <v>2706</v>
      </c>
      <c r="I607" s="176">
        <v>2514.4</v>
      </c>
      <c r="J607" s="191"/>
    </row>
    <row r="608" spans="1:10" x14ac:dyDescent="0.2">
      <c r="A608" s="175" t="s">
        <v>486</v>
      </c>
      <c r="B608" s="180">
        <v>12898</v>
      </c>
      <c r="C608" s="180">
        <v>13109</v>
      </c>
      <c r="D608" s="180">
        <v>13332</v>
      </c>
      <c r="E608" s="180">
        <v>13060</v>
      </c>
      <c r="F608" s="180">
        <v>13446</v>
      </c>
      <c r="G608" s="180">
        <v>11222</v>
      </c>
      <c r="H608" s="180">
        <v>11158</v>
      </c>
      <c r="I608" s="180">
        <v>10849</v>
      </c>
      <c r="J608" s="193"/>
    </row>
    <row r="609" spans="1:10" x14ac:dyDescent="0.2">
      <c r="A609" s="175" t="s">
        <v>485</v>
      </c>
      <c r="B609" s="180">
        <v>12922</v>
      </c>
      <c r="C609" s="180">
        <v>13131</v>
      </c>
      <c r="D609" s="180">
        <v>13354</v>
      </c>
      <c r="E609" s="180">
        <v>13085</v>
      </c>
      <c r="F609" s="180">
        <v>13470</v>
      </c>
      <c r="G609" s="180">
        <v>11246</v>
      </c>
      <c r="H609" s="180">
        <v>11183</v>
      </c>
      <c r="I609" s="180">
        <v>10874</v>
      </c>
      <c r="J609" s="193"/>
    </row>
    <row r="610" spans="1:10" x14ac:dyDescent="0.2">
      <c r="A610" s="175" t="s">
        <v>484</v>
      </c>
      <c r="B610" s="180">
        <v>15744</v>
      </c>
      <c r="C610" s="180">
        <v>15962</v>
      </c>
      <c r="D610" s="180">
        <v>15633</v>
      </c>
      <c r="E610" s="180">
        <v>15915</v>
      </c>
      <c r="F610" s="180">
        <v>15866</v>
      </c>
      <c r="G610" s="180">
        <v>13578</v>
      </c>
      <c r="H610" s="180">
        <v>13420</v>
      </c>
      <c r="I610" s="180">
        <v>13215</v>
      </c>
      <c r="J610" s="193"/>
    </row>
    <row r="611" spans="1:10" x14ac:dyDescent="0.2">
      <c r="A611" s="175" t="s">
        <v>483</v>
      </c>
      <c r="B611" s="180">
        <v>10352</v>
      </c>
      <c r="C611" s="180">
        <v>10871</v>
      </c>
      <c r="D611" s="180">
        <v>10899</v>
      </c>
      <c r="E611" s="180">
        <v>10971</v>
      </c>
      <c r="F611" s="180">
        <v>11051</v>
      </c>
      <c r="G611" s="176">
        <v>8689</v>
      </c>
      <c r="H611" s="176">
        <v>8703.2999999999993</v>
      </c>
      <c r="I611" s="176">
        <v>8471.6</v>
      </c>
      <c r="J611" s="191"/>
    </row>
    <row r="612" spans="1:10" x14ac:dyDescent="0.2">
      <c r="A612" s="175" t="s">
        <v>482</v>
      </c>
      <c r="B612" s="176">
        <v>130.6</v>
      </c>
      <c r="C612" s="176">
        <v>132.30000000000001</v>
      </c>
      <c r="D612" s="176">
        <v>134.30000000000001</v>
      </c>
      <c r="E612" s="176">
        <v>136.19999999999999</v>
      </c>
      <c r="F612" s="176">
        <v>137.80000000000001</v>
      </c>
      <c r="G612" s="176">
        <v>139.4</v>
      </c>
      <c r="H612" s="176">
        <v>141.4</v>
      </c>
      <c r="I612" s="176">
        <v>143.6</v>
      </c>
      <c r="J612" s="191"/>
    </row>
    <row r="613" spans="1:10" x14ac:dyDescent="0.2">
      <c r="A613" s="175" t="s">
        <v>481</v>
      </c>
      <c r="B613" s="176">
        <v>1611.8</v>
      </c>
      <c r="C613" s="176">
        <v>1251.5999999999999</v>
      </c>
      <c r="D613" s="176">
        <v>901.6</v>
      </c>
      <c r="E613" s="176">
        <v>1129</v>
      </c>
      <c r="F613" s="176">
        <v>1026.5999999999999</v>
      </c>
      <c r="G613" s="176">
        <v>1438.8</v>
      </c>
      <c r="H613" s="176">
        <v>1179.7</v>
      </c>
      <c r="I613" s="176">
        <v>1211.4000000000001</v>
      </c>
      <c r="J613" s="191"/>
    </row>
    <row r="614" spans="1:10" x14ac:dyDescent="0.2">
      <c r="A614" s="175" t="s">
        <v>480</v>
      </c>
      <c r="B614" s="176">
        <v>1428.5</v>
      </c>
      <c r="C614" s="176">
        <v>1060.3</v>
      </c>
      <c r="D614" s="176">
        <v>554.20000000000005</v>
      </c>
      <c r="E614" s="176">
        <v>947.7</v>
      </c>
      <c r="F614" s="176">
        <v>466.9</v>
      </c>
      <c r="G614" s="176">
        <v>1005.6</v>
      </c>
      <c r="H614" s="176">
        <v>1068.7</v>
      </c>
      <c r="I614" s="176">
        <v>919</v>
      </c>
      <c r="J614" s="191"/>
    </row>
    <row r="615" spans="1:10" x14ac:dyDescent="0.2">
      <c r="A615" s="175" t="s">
        <v>479</v>
      </c>
      <c r="B615" s="176">
        <v>1810.8</v>
      </c>
      <c r="C615" s="176">
        <v>1642.3</v>
      </c>
      <c r="D615" s="176">
        <v>1157.5999999999999</v>
      </c>
      <c r="E615" s="176">
        <v>1414.1</v>
      </c>
      <c r="F615" s="176">
        <v>1142.3</v>
      </c>
      <c r="G615" s="176">
        <v>1685.1</v>
      </c>
      <c r="H615" s="176">
        <v>1340.8</v>
      </c>
      <c r="I615" s="176">
        <v>1445.3</v>
      </c>
      <c r="J615" s="191"/>
    </row>
    <row r="616" spans="1:10" x14ac:dyDescent="0.2">
      <c r="A616" s="175" t="s">
        <v>478</v>
      </c>
      <c r="B616" s="176">
        <v>8525.1</v>
      </c>
      <c r="C616" s="176">
        <v>8734.2000000000007</v>
      </c>
      <c r="D616" s="176">
        <v>8406.9</v>
      </c>
      <c r="E616" s="176">
        <v>8134.1</v>
      </c>
      <c r="F616" s="176">
        <v>8118.6</v>
      </c>
      <c r="G616" s="176">
        <v>7869</v>
      </c>
      <c r="H616" s="176">
        <v>7705.3</v>
      </c>
      <c r="I616" s="176">
        <v>7491.9</v>
      </c>
      <c r="J616" s="191"/>
    </row>
    <row r="617" spans="1:10" x14ac:dyDescent="0.2">
      <c r="A617" s="183" t="s">
        <v>474</v>
      </c>
      <c r="B617" s="184"/>
      <c r="C617" s="184"/>
      <c r="D617" s="184"/>
      <c r="E617" s="184"/>
      <c r="F617" s="184"/>
      <c r="G617" s="184"/>
      <c r="H617" s="184"/>
      <c r="I617" s="184"/>
      <c r="J617" s="195"/>
    </row>
    <row r="618" spans="1:10" x14ac:dyDescent="0.2">
      <c r="A618" s="175" t="s">
        <v>473</v>
      </c>
      <c r="B618" s="176">
        <v>567.1</v>
      </c>
      <c r="C618" s="180"/>
      <c r="D618" s="180"/>
      <c r="E618" s="180"/>
      <c r="F618" s="176">
        <v>570.70000000000005</v>
      </c>
      <c r="G618" s="180"/>
      <c r="H618" s="180"/>
      <c r="I618" s="180"/>
      <c r="J618" s="191"/>
    </row>
    <row r="619" spans="1:10" x14ac:dyDescent="0.2">
      <c r="A619" s="177" t="s">
        <v>472</v>
      </c>
      <c r="B619" s="179">
        <v>70.400000000000006</v>
      </c>
      <c r="C619" s="180"/>
      <c r="D619" s="180"/>
      <c r="E619" s="180"/>
      <c r="F619" s="179">
        <v>73.8</v>
      </c>
      <c r="G619" s="180"/>
      <c r="H619" s="180"/>
      <c r="I619" s="180"/>
      <c r="J619" s="192"/>
    </row>
    <row r="620" spans="1:10" x14ac:dyDescent="0.2">
      <c r="A620" s="177" t="s">
        <v>471</v>
      </c>
      <c r="B620" s="179">
        <v>65.599999999999994</v>
      </c>
      <c r="C620" s="180"/>
      <c r="D620" s="180"/>
      <c r="E620" s="180"/>
      <c r="F620" s="179">
        <v>66.7</v>
      </c>
      <c r="G620" s="180"/>
      <c r="H620" s="180"/>
      <c r="I620" s="180"/>
      <c r="J620" s="192"/>
    </row>
    <row r="621" spans="1:10" x14ac:dyDescent="0.2">
      <c r="A621" s="177" t="s">
        <v>470</v>
      </c>
      <c r="B621" s="179">
        <v>58.8</v>
      </c>
      <c r="C621" s="180"/>
      <c r="D621" s="180"/>
      <c r="E621" s="180"/>
      <c r="F621" s="179">
        <v>62.2</v>
      </c>
      <c r="G621" s="180"/>
      <c r="H621" s="180"/>
      <c r="I621" s="180"/>
      <c r="J621" s="192"/>
    </row>
    <row r="622" spans="1:10" x14ac:dyDescent="0.2">
      <c r="A622" s="177" t="s">
        <v>469</v>
      </c>
      <c r="B622" s="179">
        <v>54.6</v>
      </c>
      <c r="C622" s="180"/>
      <c r="D622" s="180"/>
      <c r="E622" s="180"/>
      <c r="F622" s="179">
        <v>55.2</v>
      </c>
      <c r="G622" s="180"/>
      <c r="H622" s="180"/>
      <c r="I622" s="180"/>
      <c r="J622" s="192"/>
    </row>
    <row r="623" spans="1:10" x14ac:dyDescent="0.2">
      <c r="A623" s="177" t="s">
        <v>468</v>
      </c>
      <c r="B623" s="179">
        <v>51.6</v>
      </c>
      <c r="C623" s="180"/>
      <c r="D623" s="180"/>
      <c r="E623" s="180"/>
      <c r="F623" s="179">
        <v>50.8</v>
      </c>
      <c r="G623" s="180"/>
      <c r="H623" s="180"/>
      <c r="I623" s="180"/>
      <c r="J623" s="192"/>
    </row>
    <row r="624" spans="1:10" x14ac:dyDescent="0.2">
      <c r="A624" s="177" t="s">
        <v>467</v>
      </c>
      <c r="B624" s="176">
        <v>638.29999999999995</v>
      </c>
      <c r="C624" s="180"/>
      <c r="D624" s="180"/>
      <c r="E624" s="180"/>
      <c r="F624" s="176">
        <v>608.70000000000005</v>
      </c>
      <c r="G624" s="180"/>
      <c r="H624" s="180"/>
      <c r="I624" s="180"/>
      <c r="J624" s="191"/>
    </row>
    <row r="625" spans="1:10" x14ac:dyDescent="0.2">
      <c r="A625" s="177" t="s">
        <v>466</v>
      </c>
      <c r="B625" s="176">
        <v>372.2</v>
      </c>
      <c r="C625" s="180"/>
      <c r="D625" s="180"/>
      <c r="E625" s="180"/>
      <c r="F625" s="176">
        <v>346.7</v>
      </c>
      <c r="G625" s="180"/>
      <c r="H625" s="180"/>
      <c r="I625" s="180"/>
      <c r="J625" s="191"/>
    </row>
    <row r="626" spans="1:10" x14ac:dyDescent="0.2">
      <c r="A626" s="175" t="s">
        <v>465</v>
      </c>
      <c r="B626" s="176">
        <v>124.4</v>
      </c>
      <c r="C626" s="180"/>
      <c r="D626" s="180"/>
      <c r="E626" s="180"/>
      <c r="F626" s="176">
        <v>128.9</v>
      </c>
      <c r="G626" s="180"/>
      <c r="H626" s="180"/>
      <c r="I626" s="180"/>
      <c r="J626" s="191"/>
    </row>
    <row r="627" spans="1:10" x14ac:dyDescent="0.2">
      <c r="A627" s="175" t="s">
        <v>464</v>
      </c>
      <c r="B627" s="176">
        <v>106.2</v>
      </c>
      <c r="C627" s="180"/>
      <c r="D627" s="180"/>
      <c r="E627" s="180"/>
      <c r="F627" s="176">
        <v>106</v>
      </c>
      <c r="G627" s="180"/>
      <c r="H627" s="180"/>
      <c r="I627" s="180"/>
      <c r="J627" s="191"/>
    </row>
    <row r="628" spans="1:10" x14ac:dyDescent="0.2">
      <c r="A628" s="175" t="s">
        <v>463</v>
      </c>
      <c r="B628" s="176">
        <v>638.29999999999995</v>
      </c>
      <c r="C628" s="180"/>
      <c r="D628" s="180"/>
      <c r="E628" s="180"/>
      <c r="F628" s="176">
        <v>608.70000000000005</v>
      </c>
      <c r="G628" s="180"/>
      <c r="H628" s="180"/>
      <c r="I628" s="180"/>
      <c r="J628" s="191"/>
    </row>
    <row r="629" spans="1:10" x14ac:dyDescent="0.2">
      <c r="A629" s="75" t="s">
        <v>311</v>
      </c>
      <c r="B629" s="77" t="s">
        <v>312</v>
      </c>
      <c r="C629" s="77" t="s">
        <v>876</v>
      </c>
      <c r="D629" s="77" t="s">
        <v>877</v>
      </c>
      <c r="E629" s="77" t="s">
        <v>832</v>
      </c>
      <c r="F629" s="77" t="s">
        <v>313</v>
      </c>
      <c r="G629" s="77" t="s">
        <v>878</v>
      </c>
      <c r="H629" s="77" t="s">
        <v>879</v>
      </c>
      <c r="I629" s="77" t="s">
        <v>880</v>
      </c>
    </row>
    <row r="630" spans="1:10" x14ac:dyDescent="0.2">
      <c r="A630" s="78" t="s">
        <v>317</v>
      </c>
      <c r="B630" s="79"/>
      <c r="C630" s="79"/>
      <c r="D630" s="79"/>
      <c r="E630" s="79"/>
      <c r="F630" s="79"/>
      <c r="G630" s="79"/>
      <c r="H630" s="79"/>
      <c r="I630" s="79"/>
    </row>
    <row r="631" spans="1:10" x14ac:dyDescent="0.2">
      <c r="A631" s="80" t="s">
        <v>318</v>
      </c>
      <c r="B631" s="81">
        <v>1912.6</v>
      </c>
      <c r="C631" s="81">
        <v>2291.5</v>
      </c>
      <c r="D631" s="81">
        <v>2102.4</v>
      </c>
      <c r="E631" s="81">
        <v>1634.6</v>
      </c>
      <c r="F631" s="81">
        <v>1853.7</v>
      </c>
      <c r="G631" s="81">
        <v>2003.9</v>
      </c>
      <c r="H631" s="81">
        <v>2014.4</v>
      </c>
      <c r="I631" s="81">
        <v>1545.7</v>
      </c>
    </row>
    <row r="632" spans="1:10" x14ac:dyDescent="0.2">
      <c r="A632" s="82" t="s">
        <v>319</v>
      </c>
      <c r="B632" s="81">
        <v>1912.6</v>
      </c>
      <c r="C632" s="81">
        <v>2291.5</v>
      </c>
      <c r="D632" s="81">
        <v>2102.4</v>
      </c>
      <c r="E632" s="81">
        <v>1634.6</v>
      </c>
      <c r="F632" s="81">
        <v>1853.7</v>
      </c>
      <c r="G632" s="81">
        <v>2003.9</v>
      </c>
      <c r="H632" s="81">
        <v>2014.4</v>
      </c>
      <c r="I632" s="81">
        <v>1545.7</v>
      </c>
    </row>
    <row r="633" spans="1:10" x14ac:dyDescent="0.2">
      <c r="A633" s="83" t="s">
        <v>320</v>
      </c>
      <c r="B633" s="84">
        <v>1912.6</v>
      </c>
      <c r="C633" s="84">
        <v>2291.5</v>
      </c>
      <c r="D633" s="84">
        <v>2102.4</v>
      </c>
      <c r="E633" s="84">
        <v>1634.6</v>
      </c>
      <c r="F633" s="84">
        <v>1853.7</v>
      </c>
      <c r="G633" s="84">
        <v>2003.9</v>
      </c>
      <c r="H633" s="84">
        <v>2014.4</v>
      </c>
      <c r="I633" s="84">
        <v>1545.7</v>
      </c>
    </row>
    <row r="634" spans="1:10" x14ac:dyDescent="0.2">
      <c r="A634" s="78" t="s">
        <v>321</v>
      </c>
      <c r="B634" s="79"/>
      <c r="C634" s="79"/>
      <c r="D634" s="79"/>
      <c r="E634" s="79"/>
      <c r="F634" s="79"/>
      <c r="G634" s="79"/>
      <c r="H634" s="79"/>
      <c r="I634" s="79"/>
    </row>
    <row r="635" spans="1:10" x14ac:dyDescent="0.2">
      <c r="A635" s="80" t="s">
        <v>322</v>
      </c>
      <c r="B635" s="81">
        <v>1425.7</v>
      </c>
      <c r="C635" s="81">
        <v>1594.3</v>
      </c>
      <c r="D635" s="81">
        <v>1477.2</v>
      </c>
      <c r="E635" s="81">
        <v>1269.3</v>
      </c>
      <c r="F635" s="81">
        <v>1316.5</v>
      </c>
      <c r="G635" s="81">
        <v>1438.7</v>
      </c>
      <c r="H635" s="81">
        <v>1422.2</v>
      </c>
      <c r="I635" s="81">
        <v>1240.8</v>
      </c>
    </row>
    <row r="636" spans="1:10" x14ac:dyDescent="0.2">
      <c r="A636" s="82" t="s">
        <v>323</v>
      </c>
      <c r="B636" s="81">
        <v>1425.7</v>
      </c>
      <c r="C636" s="81">
        <v>1594.3</v>
      </c>
      <c r="D636" s="81">
        <v>1477.2</v>
      </c>
      <c r="E636" s="81">
        <v>1269.3</v>
      </c>
      <c r="F636" s="81">
        <v>1316.5</v>
      </c>
      <c r="G636" s="81">
        <v>1438.7</v>
      </c>
      <c r="H636" s="81">
        <v>1422.2</v>
      </c>
      <c r="I636" s="81">
        <v>1240.8</v>
      </c>
    </row>
    <row r="637" spans="1:10" x14ac:dyDescent="0.2">
      <c r="A637" s="83" t="s">
        <v>324</v>
      </c>
      <c r="B637" s="84">
        <v>486.9</v>
      </c>
      <c r="C637" s="84">
        <v>697.2</v>
      </c>
      <c r="D637" s="84">
        <v>625.20000000000005</v>
      </c>
      <c r="E637" s="84">
        <v>365.3</v>
      </c>
      <c r="F637" s="84">
        <v>537.20000000000005</v>
      </c>
      <c r="G637" s="84">
        <v>565.20000000000005</v>
      </c>
      <c r="H637" s="84">
        <v>592.20000000000005</v>
      </c>
      <c r="I637" s="84">
        <v>304.89999999999998</v>
      </c>
    </row>
    <row r="638" spans="1:10" x14ac:dyDescent="0.2">
      <c r="A638" s="80" t="s">
        <v>325</v>
      </c>
      <c r="B638" s="81">
        <v>136.1</v>
      </c>
      <c r="C638" s="81">
        <v>145.30000000000001</v>
      </c>
      <c r="D638" s="81">
        <v>144.5</v>
      </c>
      <c r="E638" s="81">
        <v>138.30000000000001</v>
      </c>
      <c r="F638" s="81">
        <v>138.1</v>
      </c>
      <c r="G638" s="81">
        <v>129.1</v>
      </c>
      <c r="H638" s="81">
        <v>134.1</v>
      </c>
      <c r="I638" s="81">
        <v>129.69999999999999</v>
      </c>
    </row>
    <row r="639" spans="1:10" x14ac:dyDescent="0.2">
      <c r="A639" s="80" t="s">
        <v>326</v>
      </c>
      <c r="B639" s="85">
        <v>57.8</v>
      </c>
      <c r="C639" s="85">
        <v>9.1999999999999993</v>
      </c>
      <c r="D639" s="85">
        <v>10.3</v>
      </c>
      <c r="E639" s="85">
        <v>6.8</v>
      </c>
      <c r="F639" s="85">
        <v>51.3</v>
      </c>
      <c r="G639" s="85">
        <v>11.8</v>
      </c>
      <c r="H639" s="85">
        <v>6.5</v>
      </c>
      <c r="I639" s="85">
        <v>2.8</v>
      </c>
    </row>
    <row r="640" spans="1:10" x14ac:dyDescent="0.2">
      <c r="A640" s="82" t="s">
        <v>327</v>
      </c>
      <c r="B640" s="85">
        <v>15.1</v>
      </c>
      <c r="C640" s="85">
        <v>9.3000000000000007</v>
      </c>
      <c r="D640" s="85">
        <v>10.9</v>
      </c>
      <c r="E640" s="85">
        <v>8</v>
      </c>
      <c r="F640" s="85">
        <v>45.8</v>
      </c>
      <c r="G640" s="85">
        <v>12.6</v>
      </c>
      <c r="H640" s="85">
        <v>8.3000000000000007</v>
      </c>
      <c r="I640" s="85">
        <v>2.9</v>
      </c>
    </row>
    <row r="641" spans="1:9" x14ac:dyDescent="0.2">
      <c r="A641" s="82" t="s">
        <v>328</v>
      </c>
      <c r="B641" s="86">
        <v>-0.3</v>
      </c>
      <c r="C641" s="85">
        <v>0.1</v>
      </c>
      <c r="D641" s="85">
        <v>0.6</v>
      </c>
      <c r="E641" s="85">
        <v>1.2</v>
      </c>
      <c r="F641" s="85">
        <v>31.2</v>
      </c>
      <c r="G641" s="85">
        <v>0.8</v>
      </c>
      <c r="H641" s="85">
        <v>1.8</v>
      </c>
      <c r="I641" s="85">
        <v>0.1</v>
      </c>
    </row>
    <row r="642" spans="1:9" x14ac:dyDescent="0.2">
      <c r="A642" s="82" t="s">
        <v>329</v>
      </c>
      <c r="B642" s="86">
        <v>-42.4</v>
      </c>
      <c r="C642" s="87"/>
      <c r="D642" s="87">
        <v>0</v>
      </c>
      <c r="E642" s="87">
        <v>0</v>
      </c>
      <c r="F642" s="86">
        <v>-36.700000000000003</v>
      </c>
      <c r="G642" s="87">
        <v>0</v>
      </c>
      <c r="H642" s="87">
        <v>0</v>
      </c>
      <c r="I642" s="87">
        <v>0</v>
      </c>
    </row>
    <row r="643" spans="1:9" x14ac:dyDescent="0.2">
      <c r="A643" s="80" t="s">
        <v>330</v>
      </c>
      <c r="B643" s="81">
        <v>1619.6</v>
      </c>
      <c r="C643" s="81">
        <v>1748.8</v>
      </c>
      <c r="D643" s="81">
        <v>1632</v>
      </c>
      <c r="E643" s="81">
        <v>1414.4</v>
      </c>
      <c r="F643" s="81">
        <v>1505.9</v>
      </c>
      <c r="G643" s="81">
        <v>1579.6</v>
      </c>
      <c r="H643" s="81">
        <v>1562.8</v>
      </c>
      <c r="I643" s="81">
        <v>1373.3</v>
      </c>
    </row>
    <row r="644" spans="1:9" x14ac:dyDescent="0.2">
      <c r="A644" s="78" t="s">
        <v>331</v>
      </c>
      <c r="B644" s="79"/>
      <c r="C644" s="79"/>
      <c r="D644" s="79"/>
      <c r="E644" s="79"/>
      <c r="F644" s="79"/>
      <c r="G644" s="79"/>
      <c r="H644" s="79"/>
      <c r="I644" s="79"/>
    </row>
    <row r="645" spans="1:9" x14ac:dyDescent="0.2">
      <c r="A645" s="83" t="s">
        <v>332</v>
      </c>
      <c r="B645" s="84">
        <v>293</v>
      </c>
      <c r="C645" s="84">
        <v>542.70000000000005</v>
      </c>
      <c r="D645" s="84">
        <v>470.4</v>
      </c>
      <c r="E645" s="84">
        <v>220.2</v>
      </c>
      <c r="F645" s="84">
        <v>347.8</v>
      </c>
      <c r="G645" s="84">
        <v>424.3</v>
      </c>
      <c r="H645" s="84">
        <v>451.6</v>
      </c>
      <c r="I645" s="84">
        <v>172.4</v>
      </c>
    </row>
    <row r="646" spans="1:9" x14ac:dyDescent="0.2">
      <c r="A646" s="78" t="s">
        <v>333</v>
      </c>
      <c r="B646" s="79"/>
      <c r="C646" s="79"/>
      <c r="D646" s="79"/>
      <c r="E646" s="79"/>
      <c r="F646" s="79"/>
      <c r="G646" s="79"/>
      <c r="H646" s="79"/>
      <c r="I646" s="79"/>
    </row>
    <row r="647" spans="1:9" x14ac:dyDescent="0.2">
      <c r="A647" s="80" t="s">
        <v>334</v>
      </c>
      <c r="B647" s="86">
        <v>-52.1</v>
      </c>
      <c r="C647" s="86">
        <v>-55.3</v>
      </c>
      <c r="D647" s="86">
        <v>-59.2</v>
      </c>
      <c r="E647" s="86">
        <v>-59.7</v>
      </c>
      <c r="F647" s="86">
        <v>-52.6</v>
      </c>
      <c r="G647" s="86">
        <v>-38.4</v>
      </c>
      <c r="H647" s="86">
        <v>-40.200000000000003</v>
      </c>
      <c r="I647" s="86">
        <v>-39.1</v>
      </c>
    </row>
    <row r="648" spans="1:9" x14ac:dyDescent="0.2">
      <c r="A648" s="82" t="s">
        <v>335</v>
      </c>
      <c r="B648" s="85">
        <v>52.1</v>
      </c>
      <c r="C648" s="85">
        <v>55.3</v>
      </c>
      <c r="D648" s="85">
        <v>59.2</v>
      </c>
      <c r="E648" s="85">
        <v>59.7</v>
      </c>
      <c r="F648" s="85">
        <v>52.6</v>
      </c>
      <c r="G648" s="85">
        <v>38.4</v>
      </c>
      <c r="H648" s="85">
        <v>40.200000000000003</v>
      </c>
      <c r="I648" s="85">
        <v>39.1</v>
      </c>
    </row>
    <row r="649" spans="1:9" x14ac:dyDescent="0.2">
      <c r="A649" s="89" t="s">
        <v>336</v>
      </c>
      <c r="B649" s="85">
        <v>13.4</v>
      </c>
      <c r="C649" s="87"/>
      <c r="D649" s="87"/>
      <c r="E649" s="87"/>
      <c r="F649" s="85">
        <v>20.9</v>
      </c>
      <c r="G649" s="87"/>
      <c r="H649" s="87"/>
      <c r="I649" s="87"/>
    </row>
    <row r="650" spans="1:9" x14ac:dyDescent="0.2">
      <c r="A650" s="89" t="s">
        <v>337</v>
      </c>
      <c r="B650" s="85">
        <v>65.5</v>
      </c>
      <c r="C650" s="85">
        <v>55.3</v>
      </c>
      <c r="D650" s="85">
        <v>59.2</v>
      </c>
      <c r="E650" s="85">
        <v>59.7</v>
      </c>
      <c r="F650" s="85">
        <v>73.5</v>
      </c>
      <c r="G650" s="85">
        <v>38.4</v>
      </c>
      <c r="H650" s="85">
        <v>40.200000000000003</v>
      </c>
      <c r="I650" s="85">
        <v>39.1</v>
      </c>
    </row>
    <row r="651" spans="1:9" x14ac:dyDescent="0.2">
      <c r="A651" s="80" t="s">
        <v>340</v>
      </c>
      <c r="B651" s="85">
        <v>85.6</v>
      </c>
      <c r="C651" s="85">
        <v>0.6</v>
      </c>
      <c r="D651" s="85">
        <v>1.2</v>
      </c>
      <c r="E651" s="85">
        <v>7.4</v>
      </c>
      <c r="F651" s="85">
        <v>84.4</v>
      </c>
      <c r="G651" s="85">
        <v>0.2</v>
      </c>
      <c r="H651" s="85">
        <v>3.8</v>
      </c>
      <c r="I651" s="85">
        <v>0.6</v>
      </c>
    </row>
    <row r="652" spans="1:9" x14ac:dyDescent="0.2">
      <c r="A652" s="80" t="s">
        <v>341</v>
      </c>
      <c r="B652" s="86">
        <v>-3.6</v>
      </c>
      <c r="C652" s="85">
        <v>0.7</v>
      </c>
      <c r="D652" s="85">
        <v>2.4</v>
      </c>
      <c r="E652" s="86">
        <v>-2.6</v>
      </c>
      <c r="F652" s="86">
        <v>-9.4</v>
      </c>
      <c r="G652" s="86">
        <v>-3.8</v>
      </c>
      <c r="H652" s="86">
        <v>-8.6999999999999993</v>
      </c>
      <c r="I652" s="86">
        <v>-0.3</v>
      </c>
    </row>
    <row r="653" spans="1:9" x14ac:dyDescent="0.2">
      <c r="A653" s="80" t="s">
        <v>342</v>
      </c>
      <c r="B653" s="81">
        <v>322.89999999999998</v>
      </c>
      <c r="C653" s="81">
        <v>488.7</v>
      </c>
      <c r="D653" s="81">
        <v>414.8</v>
      </c>
      <c r="E653" s="81">
        <v>165.3</v>
      </c>
      <c r="F653" s="81">
        <v>370.2</v>
      </c>
      <c r="G653" s="81">
        <v>382.3</v>
      </c>
      <c r="H653" s="81">
        <v>406.5</v>
      </c>
      <c r="I653" s="81">
        <v>133.6</v>
      </c>
    </row>
    <row r="654" spans="1:9" x14ac:dyDescent="0.2">
      <c r="A654" s="78" t="s">
        <v>343</v>
      </c>
      <c r="B654" s="79"/>
      <c r="C654" s="79"/>
      <c r="D654" s="79"/>
      <c r="E654" s="79"/>
      <c r="F654" s="79"/>
      <c r="G654" s="79"/>
      <c r="H654" s="79"/>
      <c r="I654" s="79"/>
    </row>
    <row r="655" spans="1:9" x14ac:dyDescent="0.2">
      <c r="A655" s="80" t="s">
        <v>344</v>
      </c>
      <c r="B655" s="85">
        <v>0.3</v>
      </c>
      <c r="C655" s="86">
        <v>-0.1</v>
      </c>
      <c r="D655" s="86">
        <v>-0.6</v>
      </c>
      <c r="E655" s="86">
        <v>-1.2</v>
      </c>
      <c r="F655" s="86">
        <v>-31.2</v>
      </c>
      <c r="G655" s="86">
        <v>-87.4</v>
      </c>
      <c r="H655" s="86">
        <v>-1.8</v>
      </c>
      <c r="I655" s="86">
        <v>-0.1</v>
      </c>
    </row>
    <row r="656" spans="1:9" x14ac:dyDescent="0.2">
      <c r="A656" s="82" t="s">
        <v>345</v>
      </c>
      <c r="B656" s="87">
        <v>0</v>
      </c>
      <c r="C656" s="87">
        <v>0</v>
      </c>
      <c r="D656" s="87"/>
      <c r="E656" s="87"/>
      <c r="F656" s="87">
        <v>0</v>
      </c>
      <c r="G656" s="85">
        <v>86.6</v>
      </c>
      <c r="H656" s="87"/>
      <c r="I656" s="87"/>
    </row>
    <row r="657" spans="1:9" x14ac:dyDescent="0.2">
      <c r="A657" s="89" t="s">
        <v>346</v>
      </c>
      <c r="B657" s="87">
        <v>0</v>
      </c>
      <c r="C657" s="87">
        <v>0</v>
      </c>
      <c r="D657" s="87"/>
      <c r="E657" s="87"/>
      <c r="F657" s="87">
        <v>0</v>
      </c>
      <c r="G657" s="85">
        <v>86.6</v>
      </c>
      <c r="H657" s="87"/>
      <c r="I657" s="87"/>
    </row>
    <row r="658" spans="1:9" x14ac:dyDescent="0.2">
      <c r="A658" s="82" t="s">
        <v>348</v>
      </c>
      <c r="B658" s="85">
        <v>0.3</v>
      </c>
      <c r="C658" s="86">
        <v>-0.1</v>
      </c>
      <c r="D658" s="86">
        <v>-0.6</v>
      </c>
      <c r="E658" s="86">
        <v>-1.2</v>
      </c>
      <c r="F658" s="86">
        <v>-31.2</v>
      </c>
      <c r="G658" s="86">
        <v>-0.8</v>
      </c>
      <c r="H658" s="86">
        <v>-1.8</v>
      </c>
      <c r="I658" s="86">
        <v>-0.1</v>
      </c>
    </row>
    <row r="659" spans="1:9" x14ac:dyDescent="0.2">
      <c r="A659" s="78" t="s">
        <v>352</v>
      </c>
      <c r="B659" s="79"/>
      <c r="C659" s="79"/>
      <c r="D659" s="79"/>
      <c r="E659" s="79"/>
      <c r="F659" s="79"/>
      <c r="G659" s="79"/>
      <c r="H659" s="79"/>
      <c r="I659" s="79"/>
    </row>
    <row r="660" spans="1:9" x14ac:dyDescent="0.2">
      <c r="A660" s="83" t="s">
        <v>353</v>
      </c>
      <c r="B660" s="84">
        <v>323.2</v>
      </c>
      <c r="C660" s="84">
        <v>488.6</v>
      </c>
      <c r="D660" s="84">
        <v>414.2</v>
      </c>
      <c r="E660" s="84">
        <v>164.1</v>
      </c>
      <c r="F660" s="84">
        <v>339</v>
      </c>
      <c r="G660" s="84">
        <v>294.89999999999998</v>
      </c>
      <c r="H660" s="84">
        <v>404.7</v>
      </c>
      <c r="I660" s="84">
        <v>133.5</v>
      </c>
    </row>
    <row r="661" spans="1:9" x14ac:dyDescent="0.2">
      <c r="A661" s="78" t="s">
        <v>354</v>
      </c>
      <c r="B661" s="79"/>
      <c r="C661" s="79"/>
      <c r="D661" s="79"/>
      <c r="E661" s="79"/>
      <c r="F661" s="79"/>
      <c r="G661" s="79"/>
      <c r="H661" s="79"/>
      <c r="I661" s="79"/>
    </row>
    <row r="662" spans="1:9" x14ac:dyDescent="0.2">
      <c r="A662" s="80" t="s">
        <v>355</v>
      </c>
      <c r="B662" s="85">
        <v>70.099999999999994</v>
      </c>
      <c r="C662" s="81">
        <v>112.4</v>
      </c>
      <c r="D662" s="85">
        <v>91.3</v>
      </c>
      <c r="E662" s="85">
        <v>33.799999999999997</v>
      </c>
      <c r="F662" s="85">
        <v>42.9</v>
      </c>
      <c r="G662" s="85">
        <v>85.2</v>
      </c>
      <c r="H662" s="85">
        <v>94.4</v>
      </c>
      <c r="I662" s="85">
        <v>28.9</v>
      </c>
    </row>
    <row r="663" spans="1:9" x14ac:dyDescent="0.2">
      <c r="A663" s="82" t="s">
        <v>886</v>
      </c>
      <c r="B663" s="85">
        <v>70.099999999999994</v>
      </c>
      <c r="C663" s="81">
        <v>112.4</v>
      </c>
      <c r="D663" s="85">
        <v>91.3</v>
      </c>
      <c r="E663" s="85">
        <v>33.799999999999997</v>
      </c>
      <c r="F663" s="85">
        <v>42.9</v>
      </c>
      <c r="G663" s="85">
        <v>85.2</v>
      </c>
      <c r="H663" s="85">
        <v>94.4</v>
      </c>
      <c r="I663" s="85">
        <v>28.9</v>
      </c>
    </row>
    <row r="664" spans="1:9" x14ac:dyDescent="0.2">
      <c r="A664" s="78" t="s">
        <v>362</v>
      </c>
      <c r="B664" s="79"/>
      <c r="C664" s="79"/>
      <c r="D664" s="79"/>
      <c r="E664" s="79"/>
      <c r="F664" s="79"/>
      <c r="G664" s="79"/>
      <c r="H664" s="79"/>
      <c r="I664" s="79"/>
    </row>
    <row r="665" spans="1:9" x14ac:dyDescent="0.2">
      <c r="A665" s="80" t="s">
        <v>363</v>
      </c>
      <c r="B665" s="81">
        <v>253.1</v>
      </c>
      <c r="C665" s="81">
        <v>376.2</v>
      </c>
      <c r="D665" s="81">
        <v>322.89999999999998</v>
      </c>
      <c r="E665" s="81">
        <v>130.30000000000001</v>
      </c>
      <c r="F665" s="81">
        <v>296.10000000000002</v>
      </c>
      <c r="G665" s="81">
        <v>209.7</v>
      </c>
      <c r="H665" s="81">
        <v>310.3</v>
      </c>
      <c r="I665" s="81">
        <v>104.6</v>
      </c>
    </row>
    <row r="666" spans="1:9" x14ac:dyDescent="0.2">
      <c r="A666" s="78" t="s">
        <v>364</v>
      </c>
      <c r="B666" s="79"/>
      <c r="C666" s="79"/>
      <c r="D666" s="79"/>
      <c r="E666" s="79"/>
      <c r="F666" s="79"/>
      <c r="G666" s="79"/>
      <c r="H666" s="79"/>
      <c r="I666" s="79"/>
    </row>
    <row r="667" spans="1:9" x14ac:dyDescent="0.2">
      <c r="A667" s="83" t="s">
        <v>365</v>
      </c>
      <c r="B667" s="84">
        <v>253.1</v>
      </c>
      <c r="C667" s="84">
        <v>376.2</v>
      </c>
      <c r="D667" s="84">
        <v>322.89999999999998</v>
      </c>
      <c r="E667" s="84">
        <v>130.30000000000001</v>
      </c>
      <c r="F667" s="84">
        <v>296.10000000000002</v>
      </c>
      <c r="G667" s="84">
        <v>209.7</v>
      </c>
      <c r="H667" s="84">
        <v>310.3</v>
      </c>
      <c r="I667" s="84">
        <v>104.6</v>
      </c>
    </row>
    <row r="668" spans="1:9" x14ac:dyDescent="0.2">
      <c r="A668" s="80" t="s">
        <v>366</v>
      </c>
      <c r="B668" s="86">
        <v>-0.3</v>
      </c>
      <c r="C668" s="86">
        <v>-1.2</v>
      </c>
      <c r="D668" s="86">
        <v>-2.1</v>
      </c>
      <c r="E668" s="86">
        <v>-0.9</v>
      </c>
      <c r="F668" s="86">
        <v>-2.6</v>
      </c>
      <c r="G668" s="86">
        <v>-1.3</v>
      </c>
      <c r="H668" s="86">
        <v>-2</v>
      </c>
      <c r="I668" s="86">
        <v>-1.7</v>
      </c>
    </row>
    <row r="669" spans="1:9" x14ac:dyDescent="0.2">
      <c r="A669" s="82" t="s">
        <v>367</v>
      </c>
      <c r="B669" s="86">
        <v>-0.3</v>
      </c>
      <c r="C669" s="86">
        <v>-1.2</v>
      </c>
      <c r="D669" s="86">
        <v>-2.1</v>
      </c>
      <c r="E669" s="86">
        <v>-0.9</v>
      </c>
      <c r="F669" s="86">
        <v>-2.6</v>
      </c>
      <c r="G669" s="86">
        <v>-1.3</v>
      </c>
      <c r="H669" s="86">
        <v>-2</v>
      </c>
      <c r="I669" s="86">
        <v>-1.7</v>
      </c>
    </row>
    <row r="670" spans="1:9" x14ac:dyDescent="0.2">
      <c r="A670" s="89" t="s">
        <v>368</v>
      </c>
      <c r="B670" s="86">
        <v>-0.4</v>
      </c>
      <c r="C670" s="86">
        <v>-1.6</v>
      </c>
      <c r="D670" s="86">
        <v>-2.8</v>
      </c>
      <c r="E670" s="86">
        <v>-1.3</v>
      </c>
      <c r="F670" s="86">
        <v>-3.4</v>
      </c>
      <c r="G670" s="86">
        <v>-1.8</v>
      </c>
      <c r="H670" s="86">
        <v>-2.7</v>
      </c>
      <c r="I670" s="86">
        <v>-2.2999999999999998</v>
      </c>
    </row>
    <row r="671" spans="1:9" x14ac:dyDescent="0.2">
      <c r="A671" s="90" t="s">
        <v>369</v>
      </c>
      <c r="B671" s="86">
        <v>-0.4</v>
      </c>
      <c r="C671" s="86">
        <v>-1.6</v>
      </c>
      <c r="D671" s="86">
        <v>-2.8</v>
      </c>
      <c r="E671" s="86">
        <v>-1.3</v>
      </c>
      <c r="F671" s="86">
        <v>-3.4</v>
      </c>
      <c r="G671" s="86">
        <v>-1.8</v>
      </c>
      <c r="H671" s="86">
        <v>-2.7</v>
      </c>
      <c r="I671" s="86">
        <v>-2.2999999999999998</v>
      </c>
    </row>
    <row r="672" spans="1:9" x14ac:dyDescent="0.2">
      <c r="A672" s="89" t="s">
        <v>370</v>
      </c>
      <c r="B672" s="85">
        <v>0.1</v>
      </c>
      <c r="C672" s="85">
        <v>0.4</v>
      </c>
      <c r="D672" s="85">
        <v>0.7</v>
      </c>
      <c r="E672" s="85">
        <v>0.4</v>
      </c>
      <c r="F672" s="85">
        <v>0.8</v>
      </c>
      <c r="G672" s="85">
        <v>0.5</v>
      </c>
      <c r="H672" s="85">
        <v>0.7</v>
      </c>
      <c r="I672" s="85">
        <v>0.6</v>
      </c>
    </row>
    <row r="673" spans="1:9" x14ac:dyDescent="0.2">
      <c r="A673" s="80" t="s">
        <v>371</v>
      </c>
      <c r="B673" s="81">
        <v>252.8</v>
      </c>
      <c r="C673" s="81">
        <v>375</v>
      </c>
      <c r="D673" s="81">
        <v>320.8</v>
      </c>
      <c r="E673" s="81">
        <v>129.4</v>
      </c>
      <c r="F673" s="81">
        <v>293.5</v>
      </c>
      <c r="G673" s="81">
        <v>208.4</v>
      </c>
      <c r="H673" s="81">
        <v>308.3</v>
      </c>
      <c r="I673" s="81">
        <v>102.9</v>
      </c>
    </row>
    <row r="674" spans="1:9" x14ac:dyDescent="0.2">
      <c r="A674" s="80" t="s">
        <v>372</v>
      </c>
      <c r="B674" s="85">
        <v>0.8</v>
      </c>
      <c r="C674" s="85">
        <v>0.1</v>
      </c>
      <c r="D674" s="86">
        <v>-0.1</v>
      </c>
      <c r="E674" s="85">
        <v>0.5</v>
      </c>
      <c r="F674" s="86">
        <v>-0.2</v>
      </c>
      <c r="G674" s="85">
        <v>0.8</v>
      </c>
      <c r="H674" s="85">
        <v>0.3</v>
      </c>
      <c r="I674" s="85">
        <v>0.2</v>
      </c>
    </row>
    <row r="675" spans="1:9" x14ac:dyDescent="0.2">
      <c r="A675" s="80" t="s">
        <v>373</v>
      </c>
      <c r="B675" s="81">
        <v>252</v>
      </c>
      <c r="C675" s="81">
        <v>374.9</v>
      </c>
      <c r="D675" s="81">
        <v>320.89999999999998</v>
      </c>
      <c r="E675" s="81">
        <v>128.9</v>
      </c>
      <c r="F675" s="81">
        <v>293.7</v>
      </c>
      <c r="G675" s="81">
        <v>207.6</v>
      </c>
      <c r="H675" s="81">
        <v>308</v>
      </c>
      <c r="I675" s="81">
        <v>102.7</v>
      </c>
    </row>
    <row r="676" spans="1:9" x14ac:dyDescent="0.2">
      <c r="A676" s="78" t="s">
        <v>66</v>
      </c>
      <c r="B676" s="79"/>
      <c r="C676" s="79"/>
      <c r="D676" s="79"/>
      <c r="E676" s="79"/>
      <c r="F676" s="79"/>
      <c r="G676" s="79"/>
      <c r="H676" s="79"/>
      <c r="I676" s="79"/>
    </row>
    <row r="677" spans="1:9" x14ac:dyDescent="0.2">
      <c r="A677" s="83" t="s">
        <v>374</v>
      </c>
      <c r="B677" s="84">
        <v>252</v>
      </c>
      <c r="C677" s="84">
        <v>374.9</v>
      </c>
      <c r="D677" s="84">
        <v>320.89999999999998</v>
      </c>
      <c r="E677" s="84">
        <v>128.9</v>
      </c>
      <c r="F677" s="84">
        <v>293.7</v>
      </c>
      <c r="G677" s="84">
        <v>207.6</v>
      </c>
      <c r="H677" s="84">
        <v>308</v>
      </c>
      <c r="I677" s="84">
        <v>102.7</v>
      </c>
    </row>
    <row r="678" spans="1:9" x14ac:dyDescent="0.2">
      <c r="A678" s="78" t="s">
        <v>375</v>
      </c>
      <c r="B678" s="79"/>
      <c r="C678" s="79"/>
      <c r="D678" s="79"/>
      <c r="E678" s="79"/>
      <c r="F678" s="79"/>
      <c r="G678" s="79"/>
      <c r="H678" s="79"/>
      <c r="I678" s="79"/>
    </row>
    <row r="679" spans="1:9" x14ac:dyDescent="0.2">
      <c r="A679" s="80" t="s">
        <v>376</v>
      </c>
      <c r="B679" s="81">
        <v>257.89999999999998</v>
      </c>
      <c r="C679" s="81">
        <v>374.9</v>
      </c>
      <c r="D679" s="81">
        <v>320.89999999999998</v>
      </c>
      <c r="E679" s="81">
        <v>128.9</v>
      </c>
      <c r="F679" s="81">
        <v>293.7</v>
      </c>
      <c r="G679" s="81">
        <v>207.6</v>
      </c>
      <c r="H679" s="81">
        <v>308</v>
      </c>
      <c r="I679" s="81">
        <v>102.7</v>
      </c>
    </row>
    <row r="680" spans="1:9" x14ac:dyDescent="0.2">
      <c r="A680" s="80" t="s">
        <v>377</v>
      </c>
      <c r="B680" s="85">
        <v>0.4</v>
      </c>
      <c r="C680" s="85">
        <v>0.4</v>
      </c>
      <c r="D680" s="85">
        <v>0.4</v>
      </c>
      <c r="E680" s="85">
        <v>0.4</v>
      </c>
      <c r="F680" s="85">
        <v>0.5</v>
      </c>
      <c r="G680" s="85">
        <v>0.4</v>
      </c>
      <c r="H680" s="85">
        <v>0.4</v>
      </c>
      <c r="I680" s="85">
        <v>0.4</v>
      </c>
    </row>
    <row r="681" spans="1:9" x14ac:dyDescent="0.2">
      <c r="A681" s="80" t="s">
        <v>378</v>
      </c>
      <c r="B681" s="86">
        <v>-2.9</v>
      </c>
      <c r="C681" s="85">
        <v>1.1000000000000001</v>
      </c>
      <c r="D681" s="85">
        <v>1.1000000000000001</v>
      </c>
      <c r="E681" s="85">
        <v>1</v>
      </c>
      <c r="F681" s="85">
        <v>10.9</v>
      </c>
      <c r="G681" s="85">
        <v>1.4</v>
      </c>
      <c r="H681" s="85">
        <v>1.2</v>
      </c>
      <c r="I681" s="85">
        <v>1.3</v>
      </c>
    </row>
    <row r="682" spans="1:9" x14ac:dyDescent="0.2">
      <c r="A682" s="80" t="s">
        <v>379</v>
      </c>
      <c r="B682" s="86">
        <v>-2.5</v>
      </c>
      <c r="C682" s="85">
        <v>1.5</v>
      </c>
      <c r="D682" s="85">
        <v>1.5</v>
      </c>
      <c r="E682" s="85">
        <v>1.4</v>
      </c>
      <c r="F682" s="85">
        <v>11.4</v>
      </c>
      <c r="G682" s="85">
        <v>1.8</v>
      </c>
      <c r="H682" s="85">
        <v>1.6</v>
      </c>
      <c r="I682" s="85">
        <v>1.7</v>
      </c>
    </row>
    <row r="683" spans="1:9" x14ac:dyDescent="0.2">
      <c r="A683" s="83" t="s">
        <v>380</v>
      </c>
      <c r="B683" s="84">
        <v>1329.4</v>
      </c>
      <c r="C683" s="84">
        <v>376.4</v>
      </c>
      <c r="D683" s="84">
        <v>322.3</v>
      </c>
      <c r="E683" s="84">
        <v>130.80000000000001</v>
      </c>
      <c r="F683" s="84">
        <v>305.10000000000002</v>
      </c>
      <c r="G683" s="84">
        <v>209.4</v>
      </c>
      <c r="H683" s="84">
        <v>309.60000000000002</v>
      </c>
      <c r="I683" s="84">
        <v>104.4</v>
      </c>
    </row>
    <row r="684" spans="1:9" x14ac:dyDescent="0.2">
      <c r="A684" s="80" t="s">
        <v>381</v>
      </c>
      <c r="B684" s="86">
        <v>-0.8</v>
      </c>
      <c r="C684" s="86">
        <v>-0.1</v>
      </c>
      <c r="D684" s="85">
        <v>0.1</v>
      </c>
      <c r="E684" s="86">
        <v>-0.5</v>
      </c>
      <c r="F684" s="85">
        <v>0.2</v>
      </c>
      <c r="G684" s="86">
        <v>-0.8</v>
      </c>
      <c r="H684" s="86">
        <v>-0.3</v>
      </c>
      <c r="I684" s="86">
        <v>-0.2</v>
      </c>
    </row>
    <row r="685" spans="1:9" x14ac:dyDescent="0.2">
      <c r="A685" s="80" t="s">
        <v>382</v>
      </c>
      <c r="B685" s="81">
        <v>250.3</v>
      </c>
      <c r="C685" s="81">
        <v>376.5</v>
      </c>
      <c r="D685" s="81">
        <v>322.39999999999998</v>
      </c>
      <c r="E685" s="81">
        <v>130.30000000000001</v>
      </c>
      <c r="F685" s="81">
        <v>304.89999999999998</v>
      </c>
      <c r="G685" s="81">
        <v>210.2</v>
      </c>
      <c r="H685" s="81">
        <v>309.89999999999998</v>
      </c>
      <c r="I685" s="81">
        <v>104.6</v>
      </c>
    </row>
    <row r="686" spans="1:9" x14ac:dyDescent="0.2">
      <c r="A686" s="78" t="s">
        <v>383</v>
      </c>
      <c r="B686" s="79"/>
      <c r="C686" s="79"/>
      <c r="D686" s="79"/>
      <c r="E686" s="79"/>
      <c r="F686" s="79"/>
      <c r="G686" s="79"/>
      <c r="H686" s="79"/>
      <c r="I686" s="79"/>
    </row>
    <row r="687" spans="1:9" x14ac:dyDescent="0.2">
      <c r="A687" s="80" t="s">
        <v>384</v>
      </c>
      <c r="B687" s="81">
        <v>252</v>
      </c>
      <c r="C687" s="81">
        <v>374.9</v>
      </c>
      <c r="D687" s="81">
        <v>320.89999999999998</v>
      </c>
      <c r="E687" s="81">
        <v>128.9</v>
      </c>
      <c r="F687" s="81">
        <v>293.7</v>
      </c>
      <c r="G687" s="81">
        <v>207.6</v>
      </c>
      <c r="H687" s="81">
        <v>308</v>
      </c>
      <c r="I687" s="81">
        <v>102.7</v>
      </c>
    </row>
    <row r="688" spans="1:9" x14ac:dyDescent="0.2">
      <c r="A688" s="82" t="s">
        <v>385</v>
      </c>
      <c r="B688" s="81">
        <v>252.3</v>
      </c>
      <c r="C688" s="81">
        <v>376.1</v>
      </c>
      <c r="D688" s="81">
        <v>323</v>
      </c>
      <c r="E688" s="81">
        <v>129.80000000000001</v>
      </c>
      <c r="F688" s="81">
        <v>296.3</v>
      </c>
      <c r="G688" s="81">
        <v>208.9</v>
      </c>
      <c r="H688" s="81">
        <v>310</v>
      </c>
      <c r="I688" s="81">
        <v>104.4</v>
      </c>
    </row>
    <row r="689" spans="1:9" x14ac:dyDescent="0.2">
      <c r="A689" s="82" t="s">
        <v>386</v>
      </c>
      <c r="B689" s="81">
        <v>131.4</v>
      </c>
      <c r="C689" s="81">
        <v>132.1</v>
      </c>
      <c r="D689" s="81">
        <v>132.19999999999999</v>
      </c>
      <c r="E689" s="81">
        <v>132.4</v>
      </c>
      <c r="F689" s="81">
        <v>132.30000000000001</v>
      </c>
      <c r="G689" s="81">
        <v>132.19999999999999</v>
      </c>
      <c r="H689" s="81">
        <v>132.4</v>
      </c>
      <c r="I689" s="81">
        <v>132.4</v>
      </c>
    </row>
    <row r="690" spans="1:9" x14ac:dyDescent="0.2">
      <c r="A690" s="89" t="s">
        <v>387</v>
      </c>
      <c r="B690" s="85">
        <v>1.92</v>
      </c>
      <c r="C690" s="85">
        <v>2.84</v>
      </c>
      <c r="D690" s="85">
        <v>2.4300000000000002</v>
      </c>
      <c r="E690" s="85">
        <v>0.97</v>
      </c>
      <c r="F690" s="85">
        <v>2.2200000000000002</v>
      </c>
      <c r="G690" s="85">
        <v>1.57</v>
      </c>
      <c r="H690" s="85">
        <v>2.33</v>
      </c>
      <c r="I690" s="85">
        <v>0.78</v>
      </c>
    </row>
    <row r="691" spans="1:9" x14ac:dyDescent="0.2">
      <c r="A691" s="89" t="s">
        <v>388</v>
      </c>
      <c r="B691" s="85">
        <v>1.92</v>
      </c>
      <c r="C691" s="85">
        <v>2.85</v>
      </c>
      <c r="D691" s="85">
        <v>2.44</v>
      </c>
      <c r="E691" s="85">
        <v>0.98</v>
      </c>
      <c r="F691" s="85">
        <v>2.2400000000000002</v>
      </c>
      <c r="G691" s="85">
        <v>1.58</v>
      </c>
      <c r="H691" s="85">
        <v>2.34</v>
      </c>
      <c r="I691" s="85">
        <v>0.79</v>
      </c>
    </row>
    <row r="692" spans="1:9" x14ac:dyDescent="0.2">
      <c r="A692" s="89" t="s">
        <v>389</v>
      </c>
      <c r="B692" s="85">
        <v>1.92</v>
      </c>
      <c r="C692" s="85">
        <v>2.85</v>
      </c>
      <c r="D692" s="85">
        <v>2.4500000000000002</v>
      </c>
      <c r="E692" s="85">
        <v>0.99</v>
      </c>
      <c r="F692" s="85">
        <v>2.48</v>
      </c>
      <c r="G692" s="85">
        <v>2.2400000000000002</v>
      </c>
      <c r="H692" s="85">
        <v>2.35</v>
      </c>
      <c r="I692" s="85">
        <v>0.79</v>
      </c>
    </row>
    <row r="693" spans="1:9" x14ac:dyDescent="0.2">
      <c r="A693" s="80" t="s">
        <v>390</v>
      </c>
      <c r="B693" s="81">
        <v>252</v>
      </c>
      <c r="C693" s="81">
        <v>374.9</v>
      </c>
      <c r="D693" s="81">
        <v>320.89999999999998</v>
      </c>
      <c r="E693" s="81">
        <v>128.9</v>
      </c>
      <c r="F693" s="81">
        <v>293.7</v>
      </c>
      <c r="G693" s="81">
        <v>207.6</v>
      </c>
      <c r="H693" s="81">
        <v>308</v>
      </c>
      <c r="I693" s="81">
        <v>102.7</v>
      </c>
    </row>
    <row r="694" spans="1:9" x14ac:dyDescent="0.2">
      <c r="A694" s="80" t="s">
        <v>391</v>
      </c>
      <c r="B694" s="85">
        <v>1</v>
      </c>
      <c r="C694" s="85">
        <v>1</v>
      </c>
      <c r="D694" s="85">
        <v>1</v>
      </c>
      <c r="E694" s="85">
        <v>1</v>
      </c>
      <c r="F694" s="85">
        <v>1</v>
      </c>
      <c r="G694" s="85">
        <v>1</v>
      </c>
      <c r="H694" s="85">
        <v>1</v>
      </c>
      <c r="I694" s="85">
        <v>1</v>
      </c>
    </row>
    <row r="695" spans="1:9" x14ac:dyDescent="0.2">
      <c r="A695" s="82" t="s">
        <v>392</v>
      </c>
      <c r="B695" s="81">
        <v>131.4</v>
      </c>
      <c r="C695" s="81">
        <v>132.1</v>
      </c>
      <c r="D695" s="81">
        <v>132.19999999999999</v>
      </c>
      <c r="E695" s="81">
        <v>132.4</v>
      </c>
      <c r="F695" s="81">
        <v>132.30000000000001</v>
      </c>
      <c r="G695" s="81">
        <v>132.19999999999999</v>
      </c>
      <c r="H695" s="81">
        <v>132.4</v>
      </c>
      <c r="I695" s="81">
        <v>132.4</v>
      </c>
    </row>
    <row r="696" spans="1:9" x14ac:dyDescent="0.2">
      <c r="A696" s="89" t="s">
        <v>393</v>
      </c>
      <c r="B696" s="85">
        <v>1.92</v>
      </c>
      <c r="C696" s="85">
        <v>2.84</v>
      </c>
      <c r="D696" s="85">
        <v>2.4300000000000002</v>
      </c>
      <c r="E696" s="85">
        <v>0.97</v>
      </c>
      <c r="F696" s="85">
        <v>2.2200000000000002</v>
      </c>
      <c r="G696" s="85">
        <v>1.57</v>
      </c>
      <c r="H696" s="85">
        <v>2.33</v>
      </c>
      <c r="I696" s="85">
        <v>0.78</v>
      </c>
    </row>
    <row r="697" spans="1:9" x14ac:dyDescent="0.2">
      <c r="A697" s="89" t="s">
        <v>394</v>
      </c>
      <c r="B697" s="85">
        <v>1.92</v>
      </c>
      <c r="C697" s="85">
        <v>2.85</v>
      </c>
      <c r="D697" s="85">
        <v>2.44</v>
      </c>
      <c r="E697" s="85">
        <v>0.98</v>
      </c>
      <c r="F697" s="85">
        <v>2.2400000000000002</v>
      </c>
      <c r="G697" s="85">
        <v>1.58</v>
      </c>
      <c r="H697" s="85">
        <v>2.34</v>
      </c>
      <c r="I697" s="85">
        <v>0.79</v>
      </c>
    </row>
    <row r="698" spans="1:9" x14ac:dyDescent="0.2">
      <c r="A698" s="89" t="s">
        <v>395</v>
      </c>
      <c r="B698" s="85">
        <v>1.92</v>
      </c>
      <c r="C698" s="85">
        <v>2.85</v>
      </c>
      <c r="D698" s="85">
        <v>2.4500000000000002</v>
      </c>
      <c r="E698" s="85">
        <v>0.99</v>
      </c>
      <c r="F698" s="85">
        <v>2.48</v>
      </c>
      <c r="G698" s="85">
        <v>2.2400000000000002</v>
      </c>
      <c r="H698" s="85">
        <v>2.35</v>
      </c>
      <c r="I698" s="85">
        <v>0.79</v>
      </c>
    </row>
    <row r="699" spans="1:9" x14ac:dyDescent="0.2">
      <c r="A699" s="80" t="s">
        <v>396</v>
      </c>
      <c r="B699" s="93">
        <v>0</v>
      </c>
      <c r="C699" s="86">
        <v>-0.01</v>
      </c>
      <c r="D699" s="86">
        <v>-0.02</v>
      </c>
      <c r="E699" s="86">
        <v>-0.01</v>
      </c>
      <c r="F699" s="86">
        <v>-0.02</v>
      </c>
      <c r="G699" s="86">
        <v>-0.01</v>
      </c>
      <c r="H699" s="86">
        <v>-0.02</v>
      </c>
      <c r="I699" s="86">
        <v>-0.01</v>
      </c>
    </row>
    <row r="700" spans="1:9" x14ac:dyDescent="0.2">
      <c r="A700" s="80" t="s">
        <v>397</v>
      </c>
      <c r="B700" s="85">
        <v>1.9</v>
      </c>
      <c r="C700" s="85">
        <v>2.85</v>
      </c>
      <c r="D700" s="85">
        <v>2.44</v>
      </c>
      <c r="E700" s="85">
        <v>0.98</v>
      </c>
      <c r="F700" s="85">
        <v>2.2999999999999998</v>
      </c>
      <c r="G700" s="85">
        <v>1.59</v>
      </c>
      <c r="H700" s="85">
        <v>2.34</v>
      </c>
      <c r="I700" s="85">
        <v>0.79</v>
      </c>
    </row>
    <row r="701" spans="1:9" x14ac:dyDescent="0.2">
      <c r="A701" s="78" t="s">
        <v>398</v>
      </c>
      <c r="B701" s="79"/>
      <c r="C701" s="79"/>
      <c r="D701" s="79"/>
      <c r="E701" s="79"/>
      <c r="F701" s="79"/>
      <c r="G701" s="79"/>
      <c r="H701" s="79"/>
      <c r="I701" s="79"/>
    </row>
    <row r="702" spans="1:9" x14ac:dyDescent="0.2">
      <c r="A702" s="80" t="s">
        <v>399</v>
      </c>
      <c r="B702" s="81">
        <v>252</v>
      </c>
      <c r="C702" s="81">
        <v>374.9</v>
      </c>
      <c r="D702" s="81">
        <v>320.89999999999998</v>
      </c>
      <c r="E702" s="81">
        <v>128.9</v>
      </c>
      <c r="F702" s="81">
        <v>293.7</v>
      </c>
      <c r="G702" s="81">
        <v>207.6</v>
      </c>
      <c r="H702" s="81">
        <v>308</v>
      </c>
      <c r="I702" s="81">
        <v>102.7</v>
      </c>
    </row>
    <row r="703" spans="1:9" x14ac:dyDescent="0.2">
      <c r="A703" s="82" t="s">
        <v>400</v>
      </c>
      <c r="B703" s="81">
        <v>252.3</v>
      </c>
      <c r="C703" s="81">
        <v>376.1</v>
      </c>
      <c r="D703" s="81">
        <v>323</v>
      </c>
      <c r="E703" s="81">
        <v>129.80000000000001</v>
      </c>
      <c r="F703" s="81">
        <v>296.3</v>
      </c>
      <c r="G703" s="81">
        <v>208.9</v>
      </c>
      <c r="H703" s="81">
        <v>310</v>
      </c>
      <c r="I703" s="81">
        <v>104.4</v>
      </c>
    </row>
    <row r="704" spans="1:9" x14ac:dyDescent="0.2">
      <c r="A704" s="82" t="s">
        <v>401</v>
      </c>
      <c r="B704" s="81">
        <v>132.1</v>
      </c>
      <c r="C704" s="81">
        <v>132.9</v>
      </c>
      <c r="D704" s="81">
        <v>132.9</v>
      </c>
      <c r="E704" s="81">
        <v>133</v>
      </c>
      <c r="F704" s="81">
        <v>133.1</v>
      </c>
      <c r="G704" s="81">
        <v>133</v>
      </c>
      <c r="H704" s="81">
        <v>133.1</v>
      </c>
      <c r="I704" s="81">
        <v>133.1</v>
      </c>
    </row>
    <row r="705" spans="1:9" x14ac:dyDescent="0.2">
      <c r="A705" s="89" t="s">
        <v>402</v>
      </c>
      <c r="B705" s="85">
        <v>1.91</v>
      </c>
      <c r="C705" s="85">
        <v>2.82</v>
      </c>
      <c r="D705" s="85">
        <v>2.41</v>
      </c>
      <c r="E705" s="85">
        <v>0.97</v>
      </c>
      <c r="F705" s="85">
        <v>2.21</v>
      </c>
      <c r="G705" s="85">
        <v>1.56</v>
      </c>
      <c r="H705" s="85">
        <v>2.31</v>
      </c>
      <c r="I705" s="85">
        <v>0.77</v>
      </c>
    </row>
    <row r="706" spans="1:9" x14ac:dyDescent="0.2">
      <c r="A706" s="89" t="s">
        <v>403</v>
      </c>
      <c r="B706" s="85">
        <v>1.91</v>
      </c>
      <c r="C706" s="85">
        <v>2.83</v>
      </c>
      <c r="D706" s="85">
        <v>2.4300000000000002</v>
      </c>
      <c r="E706" s="85">
        <v>0.98</v>
      </c>
      <c r="F706" s="85">
        <v>2.23</v>
      </c>
      <c r="G706" s="85">
        <v>1.57</v>
      </c>
      <c r="H706" s="85">
        <v>2.33</v>
      </c>
      <c r="I706" s="85">
        <v>0.78</v>
      </c>
    </row>
    <row r="707" spans="1:9" x14ac:dyDescent="0.2">
      <c r="A707" s="89" t="s">
        <v>404</v>
      </c>
      <c r="B707" s="85">
        <v>1.91</v>
      </c>
      <c r="C707" s="85">
        <v>2.83</v>
      </c>
      <c r="D707" s="85">
        <v>2.4300000000000002</v>
      </c>
      <c r="E707" s="85">
        <v>0.98</v>
      </c>
      <c r="F707" s="85">
        <v>2.46</v>
      </c>
      <c r="G707" s="85">
        <v>2.23</v>
      </c>
      <c r="H707" s="85">
        <v>2.34</v>
      </c>
      <c r="I707" s="85">
        <v>0.79</v>
      </c>
    </row>
    <row r="708" spans="1:9" x14ac:dyDescent="0.2">
      <c r="A708" s="80" t="s">
        <v>405</v>
      </c>
      <c r="B708" s="81">
        <v>252</v>
      </c>
      <c r="C708" s="81">
        <v>374.9</v>
      </c>
      <c r="D708" s="81">
        <v>320.89999999999998</v>
      </c>
      <c r="E708" s="81">
        <v>128.9</v>
      </c>
      <c r="F708" s="81">
        <v>293.7</v>
      </c>
      <c r="G708" s="81">
        <v>207.6</v>
      </c>
      <c r="H708" s="81">
        <v>308</v>
      </c>
      <c r="I708" s="81">
        <v>102.7</v>
      </c>
    </row>
    <row r="709" spans="1:9" x14ac:dyDescent="0.2">
      <c r="A709" s="80" t="s">
        <v>406</v>
      </c>
      <c r="B709" s="85">
        <v>1</v>
      </c>
      <c r="C709" s="85">
        <v>1</v>
      </c>
      <c r="D709" s="85">
        <v>1</v>
      </c>
      <c r="E709" s="85">
        <v>1</v>
      </c>
      <c r="F709" s="85">
        <v>1</v>
      </c>
      <c r="G709" s="85">
        <v>1</v>
      </c>
      <c r="H709" s="85">
        <v>1</v>
      </c>
      <c r="I709" s="85">
        <v>1</v>
      </c>
    </row>
    <row r="710" spans="1:9" x14ac:dyDescent="0.2">
      <c r="A710" s="82" t="s">
        <v>407</v>
      </c>
      <c r="B710" s="81">
        <v>132.1</v>
      </c>
      <c r="C710" s="81">
        <v>132.9</v>
      </c>
      <c r="D710" s="81">
        <v>132.9</v>
      </c>
      <c r="E710" s="81">
        <v>133</v>
      </c>
      <c r="F710" s="81">
        <v>133.1</v>
      </c>
      <c r="G710" s="81">
        <v>133</v>
      </c>
      <c r="H710" s="81">
        <v>133.1</v>
      </c>
      <c r="I710" s="81">
        <v>133.1</v>
      </c>
    </row>
    <row r="711" spans="1:9" x14ac:dyDescent="0.2">
      <c r="A711" s="89" t="s">
        <v>408</v>
      </c>
      <c r="B711" s="85">
        <v>1.91</v>
      </c>
      <c r="C711" s="85">
        <v>2.82</v>
      </c>
      <c r="D711" s="85">
        <v>2.41</v>
      </c>
      <c r="E711" s="85">
        <v>0.97</v>
      </c>
      <c r="F711" s="85">
        <v>2.21</v>
      </c>
      <c r="G711" s="85">
        <v>1.56</v>
      </c>
      <c r="H711" s="85">
        <v>2.31</v>
      </c>
      <c r="I711" s="85">
        <v>0.77</v>
      </c>
    </row>
    <row r="712" spans="1:9" x14ac:dyDescent="0.2">
      <c r="A712" s="89" t="s">
        <v>409</v>
      </c>
      <c r="B712" s="85">
        <v>1.91</v>
      </c>
      <c r="C712" s="85">
        <v>2.83</v>
      </c>
      <c r="D712" s="85">
        <v>2.4300000000000002</v>
      </c>
      <c r="E712" s="85">
        <v>0.98</v>
      </c>
      <c r="F712" s="85">
        <v>2.23</v>
      </c>
      <c r="G712" s="85">
        <v>1.57</v>
      </c>
      <c r="H712" s="85">
        <v>2.33</v>
      </c>
      <c r="I712" s="85">
        <v>0.78</v>
      </c>
    </row>
    <row r="713" spans="1:9" x14ac:dyDescent="0.2">
      <c r="A713" s="89" t="s">
        <v>410</v>
      </c>
      <c r="B713" s="85">
        <v>1.91</v>
      </c>
      <c r="C713" s="85">
        <v>2.83</v>
      </c>
      <c r="D713" s="85">
        <v>2.4300000000000002</v>
      </c>
      <c r="E713" s="85">
        <v>0.98</v>
      </c>
      <c r="F713" s="85">
        <v>2.46</v>
      </c>
      <c r="G713" s="85">
        <v>2.23</v>
      </c>
      <c r="H713" s="85">
        <v>2.34</v>
      </c>
      <c r="I713" s="85">
        <v>0.79</v>
      </c>
    </row>
    <row r="714" spans="1:9" x14ac:dyDescent="0.2">
      <c r="A714" s="80" t="s">
        <v>411</v>
      </c>
      <c r="B714" s="93">
        <v>0</v>
      </c>
      <c r="C714" s="86">
        <v>-0.01</v>
      </c>
      <c r="D714" s="86">
        <v>-0.02</v>
      </c>
      <c r="E714" s="86">
        <v>-0.01</v>
      </c>
      <c r="F714" s="86">
        <v>-0.02</v>
      </c>
      <c r="G714" s="86">
        <v>-0.01</v>
      </c>
      <c r="H714" s="86">
        <v>-0.02</v>
      </c>
      <c r="I714" s="86">
        <v>-0.01</v>
      </c>
    </row>
    <row r="715" spans="1:9" x14ac:dyDescent="0.2">
      <c r="A715" s="80" t="s">
        <v>412</v>
      </c>
      <c r="B715" s="85">
        <v>1.89</v>
      </c>
      <c r="C715" s="85">
        <v>2.83</v>
      </c>
      <c r="D715" s="85">
        <v>2.4300000000000002</v>
      </c>
      <c r="E715" s="85">
        <v>0.98</v>
      </c>
      <c r="F715" s="85">
        <v>2.29</v>
      </c>
      <c r="G715" s="85">
        <v>1.58</v>
      </c>
      <c r="H715" s="85">
        <v>2.33</v>
      </c>
      <c r="I715" s="85">
        <v>0.79</v>
      </c>
    </row>
    <row r="716" spans="1:9" x14ac:dyDescent="0.2">
      <c r="A716" s="78" t="s">
        <v>413</v>
      </c>
      <c r="B716" s="79"/>
      <c r="C716" s="79"/>
      <c r="D716" s="79"/>
      <c r="E716" s="79"/>
      <c r="F716" s="79"/>
      <c r="G716" s="79"/>
      <c r="H716" s="79"/>
      <c r="I716" s="79"/>
    </row>
    <row r="717" spans="1:9" x14ac:dyDescent="0.2">
      <c r="A717" s="80" t="s">
        <v>414</v>
      </c>
      <c r="B717" s="87">
        <v>0</v>
      </c>
      <c r="C717" s="85">
        <v>0.49</v>
      </c>
      <c r="D717" s="85">
        <v>0.98</v>
      </c>
      <c r="E717" s="85">
        <v>0.49</v>
      </c>
      <c r="F717" s="87">
        <v>0</v>
      </c>
      <c r="G717" s="85">
        <v>0.46</v>
      </c>
      <c r="H717" s="85">
        <v>0.92</v>
      </c>
      <c r="I717" s="85">
        <v>0.46</v>
      </c>
    </row>
    <row r="718" spans="1:9" x14ac:dyDescent="0.2">
      <c r="A718" s="80" t="s">
        <v>415</v>
      </c>
      <c r="B718" s="87">
        <v>0</v>
      </c>
      <c r="C718" s="85">
        <v>0.49</v>
      </c>
      <c r="D718" s="85">
        <v>0.98</v>
      </c>
      <c r="E718" s="85">
        <v>0.49</v>
      </c>
      <c r="F718" s="87">
        <v>0</v>
      </c>
      <c r="G718" s="85">
        <v>0.46</v>
      </c>
      <c r="H718" s="85">
        <v>0.92</v>
      </c>
      <c r="I718" s="85">
        <v>0.46</v>
      </c>
    </row>
    <row r="719" spans="1:9" x14ac:dyDescent="0.2">
      <c r="A719" s="78" t="s">
        <v>416</v>
      </c>
      <c r="B719" s="79"/>
      <c r="C719" s="79"/>
      <c r="D719" s="79"/>
      <c r="E719" s="79"/>
      <c r="F719" s="79"/>
      <c r="G719" s="79"/>
      <c r="H719" s="79"/>
      <c r="I719" s="79"/>
    </row>
    <row r="720" spans="1:9" x14ac:dyDescent="0.2">
      <c r="A720" s="80" t="s">
        <v>417</v>
      </c>
      <c r="B720" s="81">
        <v>293</v>
      </c>
      <c r="C720" s="81">
        <v>542.70000000000005</v>
      </c>
      <c r="D720" s="81">
        <v>470.4</v>
      </c>
      <c r="E720" s="81">
        <v>220.2</v>
      </c>
      <c r="F720" s="81">
        <v>347.8</v>
      </c>
      <c r="G720" s="81">
        <v>424.3</v>
      </c>
      <c r="H720" s="81">
        <v>451.6</v>
      </c>
      <c r="I720" s="81">
        <v>172.4</v>
      </c>
    </row>
    <row r="721" spans="1:9" x14ac:dyDescent="0.2">
      <c r="A721" s="80" t="s">
        <v>418</v>
      </c>
      <c r="B721" s="81">
        <v>478.3</v>
      </c>
      <c r="C721" s="81">
        <v>734.1</v>
      </c>
      <c r="D721" s="81">
        <v>655.9</v>
      </c>
      <c r="E721" s="81">
        <v>406.6</v>
      </c>
      <c r="F721" s="81">
        <v>511.6</v>
      </c>
      <c r="G721" s="81">
        <v>585</v>
      </c>
      <c r="H721" s="81">
        <v>608.4</v>
      </c>
      <c r="I721" s="81">
        <v>323.3</v>
      </c>
    </row>
    <row r="722" spans="1:9" x14ac:dyDescent="0.2">
      <c r="A722" s="80" t="s">
        <v>419</v>
      </c>
      <c r="B722" s="81">
        <v>499.4</v>
      </c>
      <c r="C722" s="81">
        <v>754.4</v>
      </c>
      <c r="D722" s="81">
        <v>676.1</v>
      </c>
      <c r="E722" s="81">
        <v>427</v>
      </c>
      <c r="F722" s="81">
        <v>530.6</v>
      </c>
      <c r="G722" s="81">
        <v>604</v>
      </c>
      <c r="H722" s="81">
        <v>627.29999999999995</v>
      </c>
      <c r="I722" s="81">
        <v>342.1</v>
      </c>
    </row>
    <row r="723" spans="1:9" x14ac:dyDescent="0.2">
      <c r="A723" s="78" t="s">
        <v>420</v>
      </c>
      <c r="B723" s="79"/>
      <c r="C723" s="79"/>
      <c r="D723" s="79"/>
      <c r="E723" s="79"/>
      <c r="F723" s="79"/>
      <c r="G723" s="79"/>
      <c r="H723" s="79"/>
      <c r="I723" s="79"/>
    </row>
    <row r="724" spans="1:9" x14ac:dyDescent="0.2">
      <c r="A724" s="80" t="s">
        <v>421</v>
      </c>
      <c r="B724" s="81">
        <v>185.3</v>
      </c>
      <c r="C724" s="81">
        <v>191.4</v>
      </c>
      <c r="D724" s="81">
        <v>185.5</v>
      </c>
      <c r="E724" s="81">
        <v>186.4</v>
      </c>
      <c r="F724" s="81">
        <v>163.80000000000001</v>
      </c>
      <c r="G724" s="81">
        <v>160.69999999999999</v>
      </c>
      <c r="H724" s="81">
        <v>156.80000000000001</v>
      </c>
      <c r="I724" s="81">
        <v>150.9</v>
      </c>
    </row>
    <row r="725" spans="1:9" x14ac:dyDescent="0.2">
      <c r="A725" s="78" t="s">
        <v>426</v>
      </c>
      <c r="B725" s="79"/>
      <c r="C725" s="79"/>
      <c r="D725" s="79"/>
      <c r="E725" s="79"/>
      <c r="F725" s="79"/>
      <c r="G725" s="79"/>
      <c r="H725" s="79"/>
      <c r="I725" s="79"/>
    </row>
    <row r="726" spans="1:9" x14ac:dyDescent="0.2">
      <c r="A726" s="80" t="s">
        <v>427</v>
      </c>
      <c r="B726" s="81">
        <v>185.3</v>
      </c>
      <c r="C726" s="81">
        <v>191.4</v>
      </c>
      <c r="D726" s="81">
        <v>185.5</v>
      </c>
      <c r="E726" s="81">
        <v>186.4</v>
      </c>
      <c r="F726" s="81">
        <v>163.80000000000001</v>
      </c>
      <c r="G726" s="81">
        <v>160.69999999999999</v>
      </c>
      <c r="H726" s="81">
        <v>156.80000000000001</v>
      </c>
      <c r="I726" s="81">
        <v>150.9</v>
      </c>
    </row>
    <row r="727" spans="1:9" x14ac:dyDescent="0.2">
      <c r="A727" s="78" t="s">
        <v>430</v>
      </c>
      <c r="B727" s="79"/>
      <c r="C727" s="79"/>
      <c r="D727" s="79"/>
      <c r="E727" s="79"/>
      <c r="F727" s="79"/>
      <c r="G727" s="79"/>
      <c r="H727" s="79"/>
      <c r="I727" s="79"/>
    </row>
    <row r="728" spans="1:9" x14ac:dyDescent="0.2">
      <c r="A728" s="80" t="s">
        <v>431</v>
      </c>
      <c r="B728" s="87"/>
      <c r="C728" s="87"/>
      <c r="D728" s="87"/>
      <c r="E728" s="87"/>
      <c r="F728" s="87"/>
      <c r="G728" s="87"/>
      <c r="H728" s="87"/>
      <c r="I728" s="87"/>
    </row>
    <row r="729" spans="1:9" x14ac:dyDescent="0.2">
      <c r="A729" s="82" t="s">
        <v>432</v>
      </c>
      <c r="B729" s="85">
        <v>8.14</v>
      </c>
      <c r="C729" s="85">
        <v>13.35</v>
      </c>
      <c r="D729" s="85">
        <v>15.09</v>
      </c>
      <c r="E729" s="85">
        <v>10.98</v>
      </c>
      <c r="F729" s="85">
        <v>8.4499999999999993</v>
      </c>
      <c r="G729" s="85">
        <v>12.17</v>
      </c>
      <c r="H729" s="85">
        <v>12.17</v>
      </c>
      <c r="I729" s="85">
        <v>7.19</v>
      </c>
    </row>
    <row r="730" spans="1:9" x14ac:dyDescent="0.2">
      <c r="A730" s="89" t="s">
        <v>433</v>
      </c>
      <c r="B730" s="85">
        <v>10.3</v>
      </c>
      <c r="C730" s="85">
        <v>16.899999999999999</v>
      </c>
      <c r="D730" s="85">
        <v>19.100000000000001</v>
      </c>
      <c r="E730" s="85">
        <v>13.9</v>
      </c>
      <c r="F730" s="85">
        <v>10.7</v>
      </c>
      <c r="G730" s="85">
        <v>15.4</v>
      </c>
      <c r="H730" s="85">
        <v>15.4</v>
      </c>
      <c r="I730" s="85">
        <v>9.1</v>
      </c>
    </row>
    <row r="731" spans="1:9" x14ac:dyDescent="0.2">
      <c r="A731" s="89" t="s">
        <v>434</v>
      </c>
      <c r="B731" s="85">
        <v>2.16</v>
      </c>
      <c r="C731" s="85">
        <v>3.55</v>
      </c>
      <c r="D731" s="85">
        <v>4.01</v>
      </c>
      <c r="E731" s="85">
        <v>2.92</v>
      </c>
      <c r="F731" s="85">
        <v>2.25</v>
      </c>
      <c r="G731" s="85">
        <v>3.23</v>
      </c>
      <c r="H731" s="85">
        <v>3.23</v>
      </c>
      <c r="I731" s="85">
        <v>1.91</v>
      </c>
    </row>
    <row r="732" spans="1:9" x14ac:dyDescent="0.2">
      <c r="A732" s="78" t="s">
        <v>439</v>
      </c>
      <c r="B732" s="79"/>
      <c r="C732" s="79"/>
      <c r="D732" s="79"/>
      <c r="E732" s="79"/>
      <c r="F732" s="79"/>
      <c r="G732" s="79"/>
      <c r="H732" s="79"/>
      <c r="I732" s="79"/>
    </row>
    <row r="733" spans="1:9" x14ac:dyDescent="0.2">
      <c r="A733" s="80" t="s">
        <v>440</v>
      </c>
      <c r="B733" s="81">
        <v>518</v>
      </c>
      <c r="C733" s="81">
        <v>735.2</v>
      </c>
      <c r="D733" s="81">
        <v>659.5</v>
      </c>
      <c r="E733" s="81">
        <v>410.9</v>
      </c>
      <c r="F733" s="81">
        <v>550.1</v>
      </c>
      <c r="G733" s="81">
        <v>580.6</v>
      </c>
      <c r="H733" s="81">
        <v>603.1</v>
      </c>
      <c r="I733" s="81">
        <v>323.5</v>
      </c>
    </row>
    <row r="734" spans="1:9" x14ac:dyDescent="0.2">
      <c r="A734" s="80" t="s">
        <v>441</v>
      </c>
      <c r="B734" s="85">
        <v>1.71</v>
      </c>
      <c r="C734" s="85">
        <v>2.84</v>
      </c>
      <c r="D734" s="85">
        <v>2.4500000000000002</v>
      </c>
      <c r="E734" s="85">
        <v>1</v>
      </c>
      <c r="F734" s="85">
        <v>2.16</v>
      </c>
      <c r="G734" s="85">
        <v>2.2200000000000002</v>
      </c>
      <c r="H734" s="85">
        <v>2.35</v>
      </c>
      <c r="I734" s="85">
        <v>0.8</v>
      </c>
    </row>
    <row r="735" spans="1:9" x14ac:dyDescent="0.2">
      <c r="A735" s="78" t="s">
        <v>442</v>
      </c>
      <c r="B735" s="79"/>
      <c r="C735" s="79"/>
      <c r="D735" s="79"/>
      <c r="E735" s="79"/>
      <c r="F735" s="79"/>
      <c r="G735" s="79"/>
      <c r="H735" s="79"/>
      <c r="I735" s="79"/>
    </row>
    <row r="736" spans="1:9" x14ac:dyDescent="0.2">
      <c r="A736" s="80" t="s">
        <v>443</v>
      </c>
      <c r="B736" s="81">
        <v>252.8</v>
      </c>
      <c r="C736" s="81">
        <v>376.3</v>
      </c>
      <c r="D736" s="81">
        <v>323.5</v>
      </c>
      <c r="E736" s="81">
        <v>131.5</v>
      </c>
      <c r="F736" s="81">
        <v>327.3</v>
      </c>
      <c r="G736" s="81">
        <v>297.10000000000002</v>
      </c>
      <c r="H736" s="81">
        <v>312.10000000000002</v>
      </c>
      <c r="I736" s="81">
        <v>104.7</v>
      </c>
    </row>
    <row r="737" spans="1:9" x14ac:dyDescent="0.2">
      <c r="A737" s="80" t="s">
        <v>444</v>
      </c>
      <c r="B737" s="81">
        <v>252.8</v>
      </c>
      <c r="C737" s="81">
        <v>376.3</v>
      </c>
      <c r="D737" s="81">
        <v>323.5</v>
      </c>
      <c r="E737" s="81">
        <v>131.5</v>
      </c>
      <c r="F737" s="81">
        <v>327.3</v>
      </c>
      <c r="G737" s="81">
        <v>297.10000000000002</v>
      </c>
      <c r="H737" s="81">
        <v>312.10000000000002</v>
      </c>
      <c r="I737" s="81">
        <v>104.7</v>
      </c>
    </row>
    <row r="738" spans="1:9" x14ac:dyDescent="0.2">
      <c r="A738" s="80" t="s">
        <v>445</v>
      </c>
      <c r="B738" s="81">
        <v>252</v>
      </c>
      <c r="C738" s="81">
        <v>376.2</v>
      </c>
      <c r="D738" s="81">
        <v>323.60000000000002</v>
      </c>
      <c r="E738" s="81">
        <v>131</v>
      </c>
      <c r="F738" s="81">
        <v>327.5</v>
      </c>
      <c r="G738" s="81">
        <v>296.3</v>
      </c>
      <c r="H738" s="81">
        <v>311.8</v>
      </c>
      <c r="I738" s="81">
        <v>104.5</v>
      </c>
    </row>
    <row r="739" spans="1:9" x14ac:dyDescent="0.2">
      <c r="A739" s="80" t="s">
        <v>446</v>
      </c>
      <c r="B739" s="81">
        <v>375</v>
      </c>
      <c r="C739" s="81">
        <v>544</v>
      </c>
      <c r="D739" s="81">
        <v>474</v>
      </c>
      <c r="E739" s="81">
        <v>225</v>
      </c>
      <c r="F739" s="81">
        <v>422.8</v>
      </c>
      <c r="G739" s="81">
        <v>420.7</v>
      </c>
      <c r="H739" s="81">
        <v>446.7</v>
      </c>
      <c r="I739" s="81">
        <v>172.7</v>
      </c>
    </row>
    <row r="740" spans="1:9" x14ac:dyDescent="0.2">
      <c r="A740" s="80" t="s">
        <v>447</v>
      </c>
      <c r="B740" s="81">
        <v>560.29999999999995</v>
      </c>
      <c r="C740" s="81">
        <v>735.4</v>
      </c>
      <c r="D740" s="81">
        <v>659.5</v>
      </c>
      <c r="E740" s="81">
        <v>411.4</v>
      </c>
      <c r="F740" s="81">
        <v>586.6</v>
      </c>
      <c r="G740" s="81">
        <v>581.4</v>
      </c>
      <c r="H740" s="81">
        <v>603.5</v>
      </c>
      <c r="I740" s="81">
        <v>323.60000000000002</v>
      </c>
    </row>
    <row r="741" spans="1:9" x14ac:dyDescent="0.2">
      <c r="A741" s="78" t="s">
        <v>448</v>
      </c>
      <c r="B741" s="79"/>
      <c r="C741" s="79"/>
      <c r="D741" s="79"/>
      <c r="E741" s="79"/>
      <c r="F741" s="79"/>
      <c r="G741" s="79"/>
      <c r="H741" s="79"/>
      <c r="I741" s="79"/>
    </row>
    <row r="742" spans="1:9" x14ac:dyDescent="0.2">
      <c r="A742" s="80" t="s">
        <v>449</v>
      </c>
      <c r="B742" s="85">
        <v>37.9</v>
      </c>
      <c r="C742" s="85">
        <v>40</v>
      </c>
      <c r="D742" s="85">
        <v>38.200000000000003</v>
      </c>
      <c r="E742" s="85">
        <v>33.299999999999997</v>
      </c>
      <c r="F742" s="85">
        <v>38.200000000000003</v>
      </c>
      <c r="G742" s="85">
        <v>38.5</v>
      </c>
      <c r="H742" s="85">
        <v>36.700000000000003</v>
      </c>
      <c r="I742" s="85">
        <v>37.1</v>
      </c>
    </row>
    <row r="743" spans="1:9" x14ac:dyDescent="0.2">
      <c r="A743" s="82" t="s">
        <v>450</v>
      </c>
      <c r="B743" s="85">
        <v>21.1</v>
      </c>
      <c r="C743" s="85">
        <v>20.3</v>
      </c>
      <c r="D743" s="85">
        <v>20.2</v>
      </c>
      <c r="E743" s="85">
        <v>20.399999999999999</v>
      </c>
      <c r="F743" s="85">
        <v>19</v>
      </c>
      <c r="G743" s="85">
        <v>19</v>
      </c>
      <c r="H743" s="85">
        <v>18.899999999999999</v>
      </c>
      <c r="I743" s="85">
        <v>18.8</v>
      </c>
    </row>
    <row r="744" spans="1:9" x14ac:dyDescent="0.2">
      <c r="A744" s="82" t="s">
        <v>451</v>
      </c>
      <c r="B744" s="85">
        <v>1.8</v>
      </c>
      <c r="C744" s="85">
        <v>2</v>
      </c>
      <c r="D744" s="85">
        <v>2.1</v>
      </c>
      <c r="E744" s="85">
        <v>2.1</v>
      </c>
      <c r="F744" s="85">
        <v>2.2999999999999998</v>
      </c>
      <c r="G744" s="85">
        <v>2.2999999999999998</v>
      </c>
      <c r="H744" s="85">
        <v>2.4</v>
      </c>
      <c r="I744" s="85">
        <v>2.5</v>
      </c>
    </row>
    <row r="745" spans="1:9" x14ac:dyDescent="0.2">
      <c r="A745" s="82" t="s">
        <v>452</v>
      </c>
      <c r="B745" s="85">
        <v>4.8</v>
      </c>
      <c r="C745" s="85">
        <v>5.8</v>
      </c>
      <c r="D745" s="85">
        <v>4.5999999999999996</v>
      </c>
      <c r="E745" s="85">
        <v>4</v>
      </c>
      <c r="F745" s="85">
        <v>5.5</v>
      </c>
      <c r="G745" s="85">
        <v>5.5</v>
      </c>
      <c r="H745" s="85">
        <v>4.4000000000000004</v>
      </c>
      <c r="I745" s="85">
        <v>5.3</v>
      </c>
    </row>
    <row r="746" spans="1:9" x14ac:dyDescent="0.2">
      <c r="A746" s="82" t="s">
        <v>453</v>
      </c>
      <c r="B746" s="85">
        <v>0.1</v>
      </c>
      <c r="C746" s="85">
        <v>0.1</v>
      </c>
      <c r="D746" s="85">
        <v>0.1</v>
      </c>
      <c r="E746" s="85">
        <v>0.2</v>
      </c>
      <c r="F746" s="85">
        <v>0.2</v>
      </c>
      <c r="G746" s="85">
        <v>0.2</v>
      </c>
      <c r="H746" s="85">
        <v>0.2</v>
      </c>
      <c r="I746" s="85">
        <v>0.2</v>
      </c>
    </row>
    <row r="747" spans="1:9" x14ac:dyDescent="0.2">
      <c r="A747" s="82" t="s">
        <v>454</v>
      </c>
      <c r="B747" s="85">
        <v>10.8</v>
      </c>
      <c r="C747" s="85">
        <v>12.6</v>
      </c>
      <c r="D747" s="85">
        <v>12</v>
      </c>
      <c r="E747" s="85">
        <v>12.1</v>
      </c>
      <c r="F747" s="85">
        <v>12</v>
      </c>
      <c r="G747" s="85">
        <v>12.2</v>
      </c>
      <c r="H747" s="85">
        <v>11.6</v>
      </c>
      <c r="I747" s="85">
        <v>11.1</v>
      </c>
    </row>
    <row r="748" spans="1:9" x14ac:dyDescent="0.2">
      <c r="A748" s="82" t="s">
        <v>455</v>
      </c>
      <c r="B748" s="85">
        <v>0.7</v>
      </c>
      <c r="C748" s="85">
        <v>0.8</v>
      </c>
      <c r="D748" s="85">
        <v>0.8</v>
      </c>
      <c r="E748" s="85">
        <v>5.5</v>
      </c>
      <c r="F748" s="85">
        <v>0.8</v>
      </c>
      <c r="G748" s="85">
        <v>0.7</v>
      </c>
      <c r="H748" s="85">
        <v>0.8</v>
      </c>
      <c r="I748" s="85">
        <v>0.8</v>
      </c>
    </row>
    <row r="749" spans="1:9" x14ac:dyDescent="0.2">
      <c r="A749" s="78" t="s">
        <v>456</v>
      </c>
      <c r="B749" s="79"/>
      <c r="C749" s="79"/>
      <c r="D749" s="79"/>
      <c r="E749" s="79"/>
      <c r="F749" s="79"/>
      <c r="G749" s="79"/>
      <c r="H749" s="79"/>
      <c r="I749" s="79"/>
    </row>
    <row r="750" spans="1:9" x14ac:dyDescent="0.2">
      <c r="A750" s="80" t="s">
        <v>457</v>
      </c>
      <c r="B750" s="85">
        <v>21.1</v>
      </c>
      <c r="C750" s="85">
        <v>20.3</v>
      </c>
      <c r="D750" s="85">
        <v>20.2</v>
      </c>
      <c r="E750" s="85">
        <v>20.399999999999999</v>
      </c>
      <c r="F750" s="85">
        <v>19</v>
      </c>
      <c r="G750" s="85">
        <v>19</v>
      </c>
      <c r="H750" s="85">
        <v>18.899999999999999</v>
      </c>
      <c r="I750" s="85">
        <v>18.8</v>
      </c>
    </row>
    <row r="751" spans="1:9" x14ac:dyDescent="0.2">
      <c r="A751" s="80" t="s">
        <v>458</v>
      </c>
      <c r="B751" s="81">
        <v>1425.7</v>
      </c>
      <c r="C751" s="81">
        <v>1594.3</v>
      </c>
      <c r="D751" s="81">
        <v>1477.2</v>
      </c>
      <c r="E751" s="81">
        <v>1269.3</v>
      </c>
      <c r="F751" s="81">
        <v>1316.5</v>
      </c>
      <c r="G751" s="81">
        <v>1438.7</v>
      </c>
      <c r="H751" s="81">
        <v>1422.2</v>
      </c>
      <c r="I751" s="81">
        <v>1240.8</v>
      </c>
    </row>
    <row r="752" spans="1:9" x14ac:dyDescent="0.2">
      <c r="A752" s="80" t="s">
        <v>459</v>
      </c>
      <c r="B752" s="81">
        <v>1425.7</v>
      </c>
      <c r="C752" s="81">
        <v>1594.3</v>
      </c>
      <c r="D752" s="81">
        <v>1477.2</v>
      </c>
      <c r="E752" s="81">
        <v>1269.3</v>
      </c>
      <c r="F752" s="81">
        <v>1316.5</v>
      </c>
      <c r="G752" s="81">
        <v>1438.7</v>
      </c>
      <c r="H752" s="81">
        <v>1422.2</v>
      </c>
      <c r="I752" s="81">
        <v>1240.8</v>
      </c>
    </row>
    <row r="753" spans="1:9" x14ac:dyDescent="0.2">
      <c r="A753" s="80" t="s">
        <v>75</v>
      </c>
      <c r="B753" s="85">
        <v>65.5</v>
      </c>
      <c r="C753" s="85">
        <v>55.3</v>
      </c>
      <c r="D753" s="85">
        <v>59.2</v>
      </c>
      <c r="E753" s="85">
        <v>59.7</v>
      </c>
      <c r="F753" s="85">
        <v>73.5</v>
      </c>
      <c r="G753" s="85">
        <v>38.4</v>
      </c>
      <c r="H753" s="85">
        <v>40.200000000000003</v>
      </c>
      <c r="I753" s="85">
        <v>39.1</v>
      </c>
    </row>
    <row r="754" spans="1:9" x14ac:dyDescent="0.2">
      <c r="A754" s="80" t="s">
        <v>321</v>
      </c>
      <c r="B754" s="81">
        <v>1619.6</v>
      </c>
      <c r="C754" s="81">
        <v>1748.8</v>
      </c>
      <c r="D754" s="81">
        <v>1632</v>
      </c>
      <c r="E754" s="81">
        <v>1414.4</v>
      </c>
      <c r="F754" s="81">
        <v>1505.9</v>
      </c>
      <c r="G754" s="81">
        <v>1579.6</v>
      </c>
      <c r="H754" s="81">
        <v>1562.8</v>
      </c>
      <c r="I754" s="81">
        <v>1373.3</v>
      </c>
    </row>
    <row r="755" spans="1:9" x14ac:dyDescent="0.2">
      <c r="A755" s="80" t="s">
        <v>460</v>
      </c>
      <c r="B755" s="81">
        <v>136.1</v>
      </c>
      <c r="C755" s="81">
        <v>145.30000000000001</v>
      </c>
      <c r="D755" s="81">
        <v>144.5</v>
      </c>
      <c r="E755" s="81">
        <v>138.30000000000001</v>
      </c>
      <c r="F755" s="81">
        <v>138.1</v>
      </c>
      <c r="G755" s="81">
        <v>129.1</v>
      </c>
      <c r="H755" s="81">
        <v>134.1</v>
      </c>
      <c r="I755" s="81">
        <v>129.69999999999999</v>
      </c>
    </row>
    <row r="756" spans="1:9" x14ac:dyDescent="0.2">
      <c r="A756" s="75" t="s">
        <v>665</v>
      </c>
      <c r="B756" s="76"/>
      <c r="C756" s="76"/>
      <c r="D756" s="76"/>
      <c r="E756" s="76"/>
      <c r="F756" s="76"/>
      <c r="G756" s="76"/>
      <c r="H756" s="76"/>
      <c r="I756" s="76"/>
    </row>
    <row r="757" spans="1:9" x14ac:dyDescent="0.2">
      <c r="A757" s="75" t="s">
        <v>311</v>
      </c>
      <c r="B757" s="77" t="s">
        <v>312</v>
      </c>
      <c r="C757" s="77" t="s">
        <v>876</v>
      </c>
      <c r="D757" s="77" t="s">
        <v>877</v>
      </c>
      <c r="E757" s="77" t="s">
        <v>832</v>
      </c>
      <c r="F757" s="77" t="s">
        <v>313</v>
      </c>
      <c r="G757" s="77" t="s">
        <v>878</v>
      </c>
      <c r="H757" s="77" t="s">
        <v>879</v>
      </c>
      <c r="I757" s="77" t="s">
        <v>880</v>
      </c>
    </row>
    <row r="758" spans="1:9" x14ac:dyDescent="0.2">
      <c r="A758" s="78" t="s">
        <v>666</v>
      </c>
      <c r="B758" s="79"/>
      <c r="C758" s="79"/>
      <c r="D758" s="79"/>
      <c r="E758" s="79"/>
      <c r="F758" s="79"/>
      <c r="G758" s="79"/>
      <c r="H758" s="79"/>
      <c r="I758" s="79"/>
    </row>
    <row r="759" spans="1:9" x14ac:dyDescent="0.2">
      <c r="A759" s="80" t="s">
        <v>667</v>
      </c>
      <c r="B759" s="81">
        <v>252.8</v>
      </c>
      <c r="C759" s="81">
        <v>375.1</v>
      </c>
      <c r="D759" s="81">
        <v>320.8</v>
      </c>
      <c r="E759" s="81">
        <v>129.4</v>
      </c>
      <c r="F759" s="81">
        <v>293.5</v>
      </c>
      <c r="G759" s="81">
        <v>208.4</v>
      </c>
      <c r="H759" s="81">
        <v>308.3</v>
      </c>
      <c r="I759" s="81">
        <v>102.9</v>
      </c>
    </row>
    <row r="760" spans="1:9" x14ac:dyDescent="0.2">
      <c r="A760" s="80" t="s">
        <v>668</v>
      </c>
      <c r="B760" s="81">
        <v>138.19999999999999</v>
      </c>
      <c r="C760" s="81">
        <v>278.5</v>
      </c>
      <c r="D760" s="81">
        <v>204.8</v>
      </c>
      <c r="E760" s="81">
        <v>203.4</v>
      </c>
      <c r="F760" s="81">
        <v>161.69999999999999</v>
      </c>
      <c r="G760" s="81">
        <v>259.89999999999998</v>
      </c>
      <c r="H760" s="81">
        <v>163.1</v>
      </c>
      <c r="I760" s="81">
        <v>168.5</v>
      </c>
    </row>
    <row r="761" spans="1:9" x14ac:dyDescent="0.2">
      <c r="A761" s="82" t="s">
        <v>669</v>
      </c>
      <c r="B761" s="85">
        <v>13.3</v>
      </c>
      <c r="C761" s="85">
        <v>3</v>
      </c>
      <c r="D761" s="85">
        <v>11</v>
      </c>
      <c r="E761" s="85">
        <v>12.3</v>
      </c>
      <c r="F761" s="85">
        <v>11.2</v>
      </c>
      <c r="G761" s="85">
        <v>9.1999999999999993</v>
      </c>
      <c r="H761" s="85">
        <v>11.1</v>
      </c>
      <c r="I761" s="85">
        <v>11.2</v>
      </c>
    </row>
    <row r="762" spans="1:9" x14ac:dyDescent="0.2">
      <c r="A762" s="82" t="s">
        <v>670</v>
      </c>
      <c r="B762" s="81">
        <v>185.3</v>
      </c>
      <c r="C762" s="81">
        <v>191.4</v>
      </c>
      <c r="D762" s="81">
        <v>185.4</v>
      </c>
      <c r="E762" s="81">
        <v>186.4</v>
      </c>
      <c r="F762" s="81">
        <v>163.80000000000001</v>
      </c>
      <c r="G762" s="81">
        <v>247.3</v>
      </c>
      <c r="H762" s="81">
        <v>156.80000000000001</v>
      </c>
      <c r="I762" s="81">
        <v>150.9</v>
      </c>
    </row>
    <row r="763" spans="1:9" x14ac:dyDescent="0.2">
      <c r="A763" s="89" t="s">
        <v>671</v>
      </c>
      <c r="B763" s="81">
        <v>185.3</v>
      </c>
      <c r="C763" s="81">
        <v>191.4</v>
      </c>
      <c r="D763" s="81">
        <v>185.4</v>
      </c>
      <c r="E763" s="81">
        <v>186.4</v>
      </c>
      <c r="F763" s="81">
        <v>163.80000000000001</v>
      </c>
      <c r="G763" s="81">
        <v>160.69999999999999</v>
      </c>
      <c r="H763" s="81">
        <v>156.80000000000001</v>
      </c>
      <c r="I763" s="81">
        <v>150.9</v>
      </c>
    </row>
    <row r="764" spans="1:9" x14ac:dyDescent="0.2">
      <c r="A764" s="89" t="s">
        <v>672</v>
      </c>
      <c r="B764" s="87">
        <v>0</v>
      </c>
      <c r="C764" s="87"/>
      <c r="D764" s="87"/>
      <c r="E764" s="87"/>
      <c r="F764" s="87">
        <v>0</v>
      </c>
      <c r="G764" s="85">
        <v>86.6</v>
      </c>
      <c r="H764" s="87"/>
      <c r="I764" s="87"/>
    </row>
    <row r="765" spans="1:9" x14ac:dyDescent="0.2">
      <c r="A765" s="82" t="s">
        <v>673</v>
      </c>
      <c r="B765" s="86">
        <v>-30.4</v>
      </c>
      <c r="C765" s="85">
        <v>67.8</v>
      </c>
      <c r="D765" s="86">
        <v>-9.5</v>
      </c>
      <c r="E765" s="86">
        <v>-1.8</v>
      </c>
      <c r="F765" s="85">
        <v>20.9</v>
      </c>
      <c r="G765" s="86">
        <v>-11.8</v>
      </c>
      <c r="H765" s="86">
        <v>-16.399999999999999</v>
      </c>
      <c r="I765" s="86">
        <v>-2.1</v>
      </c>
    </row>
    <row r="766" spans="1:9" x14ac:dyDescent="0.2">
      <c r="A766" s="82" t="s">
        <v>674</v>
      </c>
      <c r="B766" s="86">
        <v>-43.2</v>
      </c>
      <c r="C766" s="86">
        <v>-0.6</v>
      </c>
      <c r="D766" s="86">
        <v>-1.2</v>
      </c>
      <c r="E766" s="86">
        <v>-7.4</v>
      </c>
      <c r="F766" s="86">
        <v>-47.7</v>
      </c>
      <c r="G766" s="86">
        <v>-0.2</v>
      </c>
      <c r="H766" s="86">
        <v>-3.8</v>
      </c>
      <c r="I766" s="86">
        <v>-0.6</v>
      </c>
    </row>
    <row r="767" spans="1:9" x14ac:dyDescent="0.2">
      <c r="A767" s="82" t="s">
        <v>675</v>
      </c>
      <c r="B767" s="85">
        <v>13.2</v>
      </c>
      <c r="C767" s="85">
        <v>16.899999999999999</v>
      </c>
      <c r="D767" s="85">
        <v>19.100000000000001</v>
      </c>
      <c r="E767" s="85">
        <v>13.9</v>
      </c>
      <c r="F767" s="85">
        <v>13.5</v>
      </c>
      <c r="G767" s="85">
        <v>15.4</v>
      </c>
      <c r="H767" s="85">
        <v>15.4</v>
      </c>
      <c r="I767" s="85">
        <v>9.1</v>
      </c>
    </row>
    <row r="768" spans="1:9" x14ac:dyDescent="0.2">
      <c r="A768" s="80" t="s">
        <v>676</v>
      </c>
      <c r="B768" s="81">
        <v>391</v>
      </c>
      <c r="C768" s="81">
        <v>653.6</v>
      </c>
      <c r="D768" s="81">
        <v>525.6</v>
      </c>
      <c r="E768" s="81">
        <v>332.8</v>
      </c>
      <c r="F768" s="81">
        <v>455.2</v>
      </c>
      <c r="G768" s="81">
        <v>468.3</v>
      </c>
      <c r="H768" s="81">
        <v>471.4</v>
      </c>
      <c r="I768" s="81">
        <v>271.39999999999998</v>
      </c>
    </row>
    <row r="769" spans="1:9" x14ac:dyDescent="0.2">
      <c r="A769" s="80" t="s">
        <v>677</v>
      </c>
      <c r="B769" s="81">
        <v>152</v>
      </c>
      <c r="C769" s="85">
        <v>23.2</v>
      </c>
      <c r="D769" s="88">
        <v>-183.9</v>
      </c>
      <c r="E769" s="86">
        <v>-81.3</v>
      </c>
      <c r="F769" s="86">
        <v>-15.1</v>
      </c>
      <c r="G769" s="81">
        <v>126.7</v>
      </c>
      <c r="H769" s="88">
        <v>-270.3</v>
      </c>
      <c r="I769" s="86">
        <v>-98</v>
      </c>
    </row>
    <row r="770" spans="1:9" x14ac:dyDescent="0.2">
      <c r="A770" s="82" t="s">
        <v>684</v>
      </c>
      <c r="B770" s="86">
        <v>-5.6</v>
      </c>
      <c r="C770" s="85">
        <v>6.5</v>
      </c>
      <c r="D770" s="85">
        <v>3.9</v>
      </c>
      <c r="E770" s="85">
        <v>3.9</v>
      </c>
      <c r="F770" s="85">
        <v>15.8</v>
      </c>
      <c r="G770" s="86">
        <v>-2.6</v>
      </c>
      <c r="H770" s="85">
        <v>3.3</v>
      </c>
      <c r="I770" s="85">
        <v>4.2</v>
      </c>
    </row>
    <row r="771" spans="1:9" x14ac:dyDescent="0.2">
      <c r="A771" s="82" t="s">
        <v>755</v>
      </c>
      <c r="B771" s="81">
        <v>157.6</v>
      </c>
      <c r="C771" s="85">
        <v>16.7</v>
      </c>
      <c r="D771" s="88">
        <v>-187.8</v>
      </c>
      <c r="E771" s="86">
        <v>-85.2</v>
      </c>
      <c r="F771" s="86">
        <v>-30.9</v>
      </c>
      <c r="G771" s="81">
        <v>129.30000000000001</v>
      </c>
      <c r="H771" s="88">
        <v>-273.60000000000002</v>
      </c>
      <c r="I771" s="88">
        <v>-102.2</v>
      </c>
    </row>
    <row r="772" spans="1:9" x14ac:dyDescent="0.2">
      <c r="A772" s="83" t="s">
        <v>685</v>
      </c>
      <c r="B772" s="84">
        <v>543</v>
      </c>
      <c r="C772" s="84">
        <v>676.8</v>
      </c>
      <c r="D772" s="84">
        <v>341.7</v>
      </c>
      <c r="E772" s="84">
        <v>251.5</v>
      </c>
      <c r="F772" s="84">
        <v>440.1</v>
      </c>
      <c r="G772" s="84">
        <v>595</v>
      </c>
      <c r="H772" s="84">
        <v>201.1</v>
      </c>
      <c r="I772" s="84">
        <v>173.4</v>
      </c>
    </row>
    <row r="773" spans="1:9" x14ac:dyDescent="0.2">
      <c r="A773" s="78" t="s">
        <v>686</v>
      </c>
      <c r="B773" s="79"/>
      <c r="C773" s="79"/>
      <c r="D773" s="79"/>
      <c r="E773" s="79"/>
      <c r="F773" s="79"/>
      <c r="G773" s="79"/>
      <c r="H773" s="79"/>
      <c r="I773" s="79"/>
    </row>
    <row r="774" spans="1:9" x14ac:dyDescent="0.2">
      <c r="A774" s="80" t="s">
        <v>687</v>
      </c>
      <c r="B774" s="81">
        <v>183.7</v>
      </c>
      <c r="C774" s="81">
        <v>218.2</v>
      </c>
      <c r="D774" s="81">
        <v>101.4</v>
      </c>
      <c r="E774" s="81">
        <v>150.30000000000001</v>
      </c>
      <c r="F774" s="81">
        <v>113.4</v>
      </c>
      <c r="G774" s="85">
        <v>94.8</v>
      </c>
      <c r="H774" s="81">
        <v>189.2</v>
      </c>
      <c r="I774" s="81">
        <v>151.4</v>
      </c>
    </row>
    <row r="775" spans="1:9" x14ac:dyDescent="0.2">
      <c r="A775" s="82" t="s">
        <v>688</v>
      </c>
      <c r="B775" s="81">
        <v>183.7</v>
      </c>
      <c r="C775" s="81">
        <v>218.2</v>
      </c>
      <c r="D775" s="81">
        <v>101.4</v>
      </c>
      <c r="E775" s="81">
        <v>150.30000000000001</v>
      </c>
      <c r="F775" s="81">
        <v>113.4</v>
      </c>
      <c r="G775" s="85">
        <v>94.8</v>
      </c>
      <c r="H775" s="81">
        <v>189.2</v>
      </c>
      <c r="I775" s="81">
        <v>151.4</v>
      </c>
    </row>
    <row r="776" spans="1:9" x14ac:dyDescent="0.2">
      <c r="A776" s="89" t="s">
        <v>689</v>
      </c>
      <c r="B776" s="81">
        <v>184.8</v>
      </c>
      <c r="C776" s="81">
        <v>222</v>
      </c>
      <c r="D776" s="81">
        <v>102.9</v>
      </c>
      <c r="E776" s="81">
        <v>168</v>
      </c>
      <c r="F776" s="81">
        <v>162.5</v>
      </c>
      <c r="G776" s="85">
        <v>96.8</v>
      </c>
      <c r="H776" s="81">
        <v>191.4</v>
      </c>
      <c r="I776" s="81">
        <v>152.80000000000001</v>
      </c>
    </row>
    <row r="777" spans="1:9" x14ac:dyDescent="0.2">
      <c r="A777" s="89" t="s">
        <v>690</v>
      </c>
      <c r="B777" s="85">
        <v>1.1000000000000001</v>
      </c>
      <c r="C777" s="85">
        <v>3.8</v>
      </c>
      <c r="D777" s="85">
        <v>1.5</v>
      </c>
      <c r="E777" s="85">
        <v>17.7</v>
      </c>
      <c r="F777" s="85">
        <v>49.1</v>
      </c>
      <c r="G777" s="85">
        <v>2</v>
      </c>
      <c r="H777" s="85">
        <v>2.2000000000000002</v>
      </c>
      <c r="I777" s="85">
        <v>1.4</v>
      </c>
    </row>
    <row r="778" spans="1:9" x14ac:dyDescent="0.2">
      <c r="A778" s="82" t="s">
        <v>691</v>
      </c>
      <c r="B778" s="81">
        <v>184.8</v>
      </c>
      <c r="C778" s="81">
        <v>222</v>
      </c>
      <c r="D778" s="81">
        <v>102.9</v>
      </c>
      <c r="E778" s="81">
        <v>168</v>
      </c>
      <c r="F778" s="81">
        <v>162.5</v>
      </c>
      <c r="G778" s="85">
        <v>96.8</v>
      </c>
      <c r="H778" s="81">
        <v>191.4</v>
      </c>
      <c r="I778" s="81">
        <v>152.80000000000001</v>
      </c>
    </row>
    <row r="779" spans="1:9" x14ac:dyDescent="0.2">
      <c r="A779" s="80" t="s">
        <v>692</v>
      </c>
      <c r="B779" s="81">
        <v>103.4</v>
      </c>
      <c r="C779" s="86">
        <v>-3.3</v>
      </c>
      <c r="D779" s="86">
        <v>-9.9</v>
      </c>
      <c r="E779" s="85">
        <v>23.7</v>
      </c>
      <c r="F779" s="88">
        <v>-2059.8000000000002</v>
      </c>
      <c r="G779" s="86">
        <v>-13</v>
      </c>
      <c r="H779" s="88">
        <v>-180.9</v>
      </c>
      <c r="I779" s="86">
        <v>-12.3</v>
      </c>
    </row>
    <row r="780" spans="1:9" x14ac:dyDescent="0.2">
      <c r="A780" s="82" t="s">
        <v>693</v>
      </c>
      <c r="B780" s="85">
        <v>5</v>
      </c>
      <c r="C780" s="85">
        <v>3.3</v>
      </c>
      <c r="D780" s="85">
        <v>9.9</v>
      </c>
      <c r="E780" s="87"/>
      <c r="F780" s="81">
        <v>2059.8000000000002</v>
      </c>
      <c r="G780" s="85">
        <v>13</v>
      </c>
      <c r="H780" s="81">
        <v>181.1</v>
      </c>
      <c r="I780" s="85">
        <v>12.3</v>
      </c>
    </row>
    <row r="781" spans="1:9" x14ac:dyDescent="0.2">
      <c r="A781" s="82" t="s">
        <v>694</v>
      </c>
      <c r="B781" s="81">
        <v>108.4</v>
      </c>
      <c r="C781" s="87"/>
      <c r="D781" s="87"/>
      <c r="E781" s="85">
        <v>23.7</v>
      </c>
      <c r="F781" s="87">
        <v>0</v>
      </c>
      <c r="G781" s="87">
        <v>0</v>
      </c>
      <c r="H781" s="85">
        <v>0.2</v>
      </c>
      <c r="I781" s="87">
        <v>0</v>
      </c>
    </row>
    <row r="782" spans="1:9" x14ac:dyDescent="0.2">
      <c r="A782" s="80" t="s">
        <v>695</v>
      </c>
      <c r="B782" s="85">
        <v>2</v>
      </c>
      <c r="C782" s="85">
        <v>7.5</v>
      </c>
      <c r="D782" s="85">
        <v>0.9</v>
      </c>
      <c r="E782" s="85">
        <v>0.1</v>
      </c>
      <c r="F782" s="85">
        <v>0.1</v>
      </c>
      <c r="G782" s="86">
        <v>-0.2</v>
      </c>
      <c r="H782" s="85">
        <v>0.1</v>
      </c>
      <c r="I782" s="86">
        <v>-0.1</v>
      </c>
    </row>
    <row r="783" spans="1:9" x14ac:dyDescent="0.2">
      <c r="A783" s="83" t="s">
        <v>696</v>
      </c>
      <c r="B783" s="92">
        <v>-78.3</v>
      </c>
      <c r="C783" s="91">
        <v>-214</v>
      </c>
      <c r="D783" s="91">
        <v>-110.4</v>
      </c>
      <c r="E783" s="91">
        <v>-126.5</v>
      </c>
      <c r="F783" s="91">
        <v>-2173.1</v>
      </c>
      <c r="G783" s="91">
        <v>-108</v>
      </c>
      <c r="H783" s="91">
        <v>-370</v>
      </c>
      <c r="I783" s="91">
        <v>-163.80000000000001</v>
      </c>
    </row>
    <row r="784" spans="1:9" x14ac:dyDescent="0.2">
      <c r="A784" s="78" t="s">
        <v>697</v>
      </c>
      <c r="B784" s="79"/>
      <c r="C784" s="79"/>
      <c r="D784" s="79"/>
      <c r="E784" s="79"/>
      <c r="F784" s="79"/>
      <c r="G784" s="79"/>
      <c r="H784" s="79"/>
      <c r="I784" s="79"/>
    </row>
    <row r="785" spans="1:9" x14ac:dyDescent="0.2">
      <c r="A785" s="80" t="s">
        <v>698</v>
      </c>
      <c r="B785" s="85">
        <v>64.400000000000006</v>
      </c>
      <c r="C785" s="85">
        <v>64.7</v>
      </c>
      <c r="D785" s="85">
        <v>64.7</v>
      </c>
      <c r="E785" s="85">
        <v>66</v>
      </c>
      <c r="F785" s="85">
        <v>60.8</v>
      </c>
      <c r="G785" s="85">
        <v>60.8</v>
      </c>
      <c r="H785" s="85">
        <v>60.8</v>
      </c>
      <c r="I785" s="85">
        <v>62</v>
      </c>
    </row>
    <row r="786" spans="1:9" x14ac:dyDescent="0.2">
      <c r="A786" s="82" t="s">
        <v>699</v>
      </c>
      <c r="B786" s="85">
        <v>64.400000000000006</v>
      </c>
      <c r="C786" s="85">
        <v>64.7</v>
      </c>
      <c r="D786" s="85">
        <v>64.7</v>
      </c>
      <c r="E786" s="85">
        <v>66</v>
      </c>
      <c r="F786" s="85">
        <v>60.8</v>
      </c>
      <c r="G786" s="85">
        <v>60.8</v>
      </c>
      <c r="H786" s="85">
        <v>60.8</v>
      </c>
      <c r="I786" s="85">
        <v>62</v>
      </c>
    </row>
    <row r="787" spans="1:9" x14ac:dyDescent="0.2">
      <c r="A787" s="80" t="s">
        <v>700</v>
      </c>
      <c r="B787" s="88">
        <v>-400.3</v>
      </c>
      <c r="C787" s="87">
        <v>0</v>
      </c>
      <c r="D787" s="87">
        <v>0</v>
      </c>
      <c r="E787" s="86">
        <v>-38.1</v>
      </c>
      <c r="F787" s="87">
        <v>0</v>
      </c>
      <c r="G787" s="87">
        <v>0</v>
      </c>
      <c r="H787" s="86">
        <v>-50</v>
      </c>
      <c r="I787" s="86">
        <v>-18.8</v>
      </c>
    </row>
    <row r="788" spans="1:9" x14ac:dyDescent="0.2">
      <c r="A788" s="82" t="s">
        <v>701</v>
      </c>
      <c r="B788" s="88">
        <v>-400.3</v>
      </c>
      <c r="C788" s="87">
        <v>0</v>
      </c>
      <c r="D788" s="87">
        <v>0</v>
      </c>
      <c r="E788" s="86">
        <v>-38.1</v>
      </c>
      <c r="F788" s="87">
        <v>0</v>
      </c>
      <c r="G788" s="87">
        <v>0</v>
      </c>
      <c r="H788" s="86">
        <v>-50</v>
      </c>
      <c r="I788" s="86">
        <v>-18.8</v>
      </c>
    </row>
    <row r="789" spans="1:9" x14ac:dyDescent="0.2">
      <c r="A789" s="89" t="s">
        <v>702</v>
      </c>
      <c r="B789" s="88">
        <v>-400.3</v>
      </c>
      <c r="C789" s="87">
        <v>0</v>
      </c>
      <c r="D789" s="87">
        <v>0</v>
      </c>
      <c r="E789" s="86">
        <v>-38.1</v>
      </c>
      <c r="F789" s="87">
        <v>0</v>
      </c>
      <c r="G789" s="87">
        <v>0</v>
      </c>
      <c r="H789" s="86">
        <v>-50</v>
      </c>
      <c r="I789" s="86">
        <v>-18.8</v>
      </c>
    </row>
    <row r="790" spans="1:9" x14ac:dyDescent="0.2">
      <c r="A790" s="90" t="s">
        <v>703</v>
      </c>
      <c r="B790" s="81">
        <v>400.3</v>
      </c>
      <c r="C790" s="87">
        <v>0</v>
      </c>
      <c r="D790" s="87">
        <v>0</v>
      </c>
      <c r="E790" s="85">
        <v>38.1</v>
      </c>
      <c r="F790" s="87">
        <v>0</v>
      </c>
      <c r="G790" s="87">
        <v>0</v>
      </c>
      <c r="H790" s="85">
        <v>50</v>
      </c>
      <c r="I790" s="85">
        <v>18.8</v>
      </c>
    </row>
    <row r="791" spans="1:9" x14ac:dyDescent="0.2">
      <c r="A791" s="80" t="s">
        <v>704</v>
      </c>
      <c r="B791" s="86">
        <v>-2.4</v>
      </c>
      <c r="C791" s="88">
        <v>-552.79999999999995</v>
      </c>
      <c r="D791" s="86">
        <v>-2.9</v>
      </c>
      <c r="E791" s="88">
        <v>-403.3</v>
      </c>
      <c r="F791" s="81">
        <v>1996.9</v>
      </c>
      <c r="G791" s="86">
        <v>-98</v>
      </c>
      <c r="H791" s="85">
        <v>91.6</v>
      </c>
      <c r="I791" s="88">
        <v>-554</v>
      </c>
    </row>
    <row r="792" spans="1:9" x14ac:dyDescent="0.2">
      <c r="A792" s="82" t="s">
        <v>705</v>
      </c>
      <c r="B792" s="87">
        <v>0</v>
      </c>
      <c r="C792" s="88">
        <v>-550</v>
      </c>
      <c r="D792" s="87"/>
      <c r="E792" s="87"/>
      <c r="F792" s="86">
        <v>-0.1</v>
      </c>
      <c r="G792" s="86">
        <v>-94.9</v>
      </c>
      <c r="H792" s="85">
        <v>95</v>
      </c>
      <c r="I792" s="87">
        <v>0</v>
      </c>
    </row>
    <row r="793" spans="1:9" x14ac:dyDescent="0.2">
      <c r="A793" s="89" t="s">
        <v>706</v>
      </c>
      <c r="B793" s="87">
        <v>0</v>
      </c>
      <c r="C793" s="87">
        <v>0</v>
      </c>
      <c r="D793" s="87"/>
      <c r="E793" s="87"/>
      <c r="F793" s="87"/>
      <c r="G793" s="87"/>
      <c r="H793" s="81">
        <v>103</v>
      </c>
      <c r="I793" s="87">
        <v>0</v>
      </c>
    </row>
    <row r="794" spans="1:9" x14ac:dyDescent="0.2">
      <c r="A794" s="89" t="s">
        <v>707</v>
      </c>
      <c r="B794" s="87">
        <v>0</v>
      </c>
      <c r="C794" s="81">
        <v>550</v>
      </c>
      <c r="D794" s="87"/>
      <c r="E794" s="87"/>
      <c r="F794" s="85">
        <v>0.1</v>
      </c>
      <c r="G794" s="85">
        <v>94.9</v>
      </c>
      <c r="H794" s="85">
        <v>8</v>
      </c>
      <c r="I794" s="87">
        <v>0</v>
      </c>
    </row>
    <row r="795" spans="1:9" x14ac:dyDescent="0.2">
      <c r="A795" s="82" t="s">
        <v>708</v>
      </c>
      <c r="B795" s="86">
        <v>-2.4</v>
      </c>
      <c r="C795" s="86">
        <v>-2.8</v>
      </c>
      <c r="D795" s="86">
        <v>-2.9</v>
      </c>
      <c r="E795" s="88">
        <v>-403.3</v>
      </c>
      <c r="F795" s="81">
        <v>1997</v>
      </c>
      <c r="G795" s="86">
        <v>-3.1</v>
      </c>
      <c r="H795" s="86">
        <v>-3.4</v>
      </c>
      <c r="I795" s="88">
        <v>-554</v>
      </c>
    </row>
    <row r="796" spans="1:9" x14ac:dyDescent="0.2">
      <c r="A796" s="89" t="s">
        <v>709</v>
      </c>
      <c r="B796" s="86">
        <v>-2.4</v>
      </c>
      <c r="C796" s="86">
        <v>-2.7</v>
      </c>
      <c r="D796" s="86">
        <v>-2.9</v>
      </c>
      <c r="E796" s="86">
        <v>-2.9</v>
      </c>
      <c r="F796" s="86">
        <v>-3</v>
      </c>
      <c r="G796" s="86">
        <v>-3</v>
      </c>
      <c r="H796" s="86">
        <v>-3.4</v>
      </c>
      <c r="I796" s="86">
        <v>-3.6</v>
      </c>
    </row>
    <row r="797" spans="1:9" x14ac:dyDescent="0.2">
      <c r="A797" s="89" t="s">
        <v>710</v>
      </c>
      <c r="B797" s="87"/>
      <c r="C797" s="87"/>
      <c r="D797" s="87"/>
      <c r="E797" s="87"/>
      <c r="F797" s="81">
        <v>2000</v>
      </c>
      <c r="G797" s="87">
        <v>0</v>
      </c>
      <c r="H797" s="87">
        <v>0</v>
      </c>
      <c r="I797" s="87">
        <v>0</v>
      </c>
    </row>
    <row r="798" spans="1:9" x14ac:dyDescent="0.2">
      <c r="A798" s="89" t="s">
        <v>711</v>
      </c>
      <c r="B798" s="85">
        <v>2.4</v>
      </c>
      <c r="C798" s="85">
        <v>2.8</v>
      </c>
      <c r="D798" s="85">
        <v>2.9</v>
      </c>
      <c r="E798" s="81">
        <v>403.3</v>
      </c>
      <c r="F798" s="85">
        <v>3</v>
      </c>
      <c r="G798" s="85">
        <v>3.1</v>
      </c>
      <c r="H798" s="85">
        <v>3.4</v>
      </c>
      <c r="I798" s="81">
        <v>554</v>
      </c>
    </row>
    <row r="799" spans="1:9" x14ac:dyDescent="0.2">
      <c r="A799" s="90" t="s">
        <v>712</v>
      </c>
      <c r="B799" s="85">
        <v>2.4</v>
      </c>
      <c r="C799" s="85">
        <v>2.7</v>
      </c>
      <c r="D799" s="85">
        <v>2.9</v>
      </c>
      <c r="E799" s="85">
        <v>2.9</v>
      </c>
      <c r="F799" s="85">
        <v>3</v>
      </c>
      <c r="G799" s="85">
        <v>3</v>
      </c>
      <c r="H799" s="85">
        <v>3.4</v>
      </c>
      <c r="I799" s="85">
        <v>3.6</v>
      </c>
    </row>
    <row r="800" spans="1:9" x14ac:dyDescent="0.2">
      <c r="A800" s="80" t="s">
        <v>713</v>
      </c>
      <c r="B800" s="86">
        <v>-3.4</v>
      </c>
      <c r="C800" s="86">
        <v>-1.1000000000000001</v>
      </c>
      <c r="D800" s="86">
        <v>-5.6</v>
      </c>
      <c r="E800" s="86">
        <v>-25.5</v>
      </c>
      <c r="F800" s="86">
        <v>-36.6</v>
      </c>
      <c r="G800" s="86">
        <v>-5.5</v>
      </c>
      <c r="H800" s="86">
        <v>-0.4</v>
      </c>
      <c r="I800" s="86">
        <v>-23.9</v>
      </c>
    </row>
    <row r="801" spans="1:9" x14ac:dyDescent="0.2">
      <c r="A801" s="82" t="s">
        <v>714</v>
      </c>
      <c r="B801" s="85">
        <v>3.5</v>
      </c>
      <c r="C801" s="85">
        <v>1.2</v>
      </c>
      <c r="D801" s="85">
        <v>3.9</v>
      </c>
      <c r="E801" s="85">
        <v>25.4</v>
      </c>
      <c r="F801" s="85">
        <v>8.5</v>
      </c>
      <c r="G801" s="85">
        <v>0.2</v>
      </c>
      <c r="H801" s="85">
        <v>0.5</v>
      </c>
      <c r="I801" s="85">
        <v>23.8</v>
      </c>
    </row>
    <row r="802" spans="1:9" x14ac:dyDescent="0.2">
      <c r="A802" s="83" t="s">
        <v>715</v>
      </c>
      <c r="B802" s="91">
        <v>-470.5</v>
      </c>
      <c r="C802" s="91">
        <v>-618.6</v>
      </c>
      <c r="D802" s="92">
        <v>-73.2</v>
      </c>
      <c r="E802" s="91">
        <v>-532.9</v>
      </c>
      <c r="F802" s="84">
        <v>1899.5</v>
      </c>
      <c r="G802" s="91">
        <v>-164.3</v>
      </c>
      <c r="H802" s="92">
        <v>-19.600000000000001</v>
      </c>
      <c r="I802" s="91">
        <v>-658.7</v>
      </c>
    </row>
    <row r="803" spans="1:9" x14ac:dyDescent="0.2">
      <c r="A803" s="78" t="s">
        <v>716</v>
      </c>
      <c r="B803" s="79"/>
      <c r="C803" s="79"/>
      <c r="D803" s="79"/>
      <c r="E803" s="79"/>
      <c r="F803" s="79"/>
      <c r="G803" s="79"/>
      <c r="H803" s="79"/>
      <c r="I803" s="79"/>
    </row>
    <row r="804" spans="1:9" x14ac:dyDescent="0.2">
      <c r="A804" s="83" t="s">
        <v>717</v>
      </c>
      <c r="B804" s="92">
        <v>-5.8</v>
      </c>
      <c r="C804" s="91">
        <v>-155.80000000000001</v>
      </c>
      <c r="D804" s="84">
        <v>158.1</v>
      </c>
      <c r="E804" s="91">
        <v>-407.9</v>
      </c>
      <c r="F804" s="84">
        <v>166.5</v>
      </c>
      <c r="G804" s="84">
        <v>322.7</v>
      </c>
      <c r="H804" s="91">
        <v>-188.5</v>
      </c>
      <c r="I804" s="91">
        <v>-649.1</v>
      </c>
    </row>
    <row r="805" spans="1:9" x14ac:dyDescent="0.2">
      <c r="A805" s="82" t="s">
        <v>718</v>
      </c>
      <c r="B805" s="86">
        <v>-5.8</v>
      </c>
      <c r="C805" s="88">
        <v>-155.80000000000001</v>
      </c>
      <c r="D805" s="81">
        <v>158.1</v>
      </c>
      <c r="E805" s="88">
        <v>-407.9</v>
      </c>
      <c r="F805" s="81">
        <v>166.5</v>
      </c>
      <c r="G805" s="81">
        <v>322.7</v>
      </c>
      <c r="H805" s="88">
        <v>-188.5</v>
      </c>
      <c r="I805" s="88">
        <v>-649.1</v>
      </c>
    </row>
    <row r="806" spans="1:9" x14ac:dyDescent="0.2">
      <c r="A806" s="80" t="s">
        <v>719</v>
      </c>
      <c r="B806" s="81">
        <v>195.2</v>
      </c>
      <c r="C806" s="81">
        <v>351</v>
      </c>
      <c r="D806" s="81">
        <v>192.9</v>
      </c>
      <c r="E806" s="81">
        <v>600.79999999999995</v>
      </c>
      <c r="F806" s="81">
        <v>434.3</v>
      </c>
      <c r="G806" s="81">
        <v>111.6</v>
      </c>
      <c r="H806" s="81">
        <v>300.10000000000002</v>
      </c>
      <c r="I806" s="81">
        <v>949.2</v>
      </c>
    </row>
    <row r="807" spans="1:9" x14ac:dyDescent="0.2">
      <c r="A807" s="80" t="s">
        <v>720</v>
      </c>
      <c r="B807" s="81">
        <v>189.4</v>
      </c>
      <c r="C807" s="81">
        <v>195.2</v>
      </c>
      <c r="D807" s="81">
        <v>351</v>
      </c>
      <c r="E807" s="81">
        <v>192.9</v>
      </c>
      <c r="F807" s="81">
        <v>600.79999999999995</v>
      </c>
      <c r="G807" s="81">
        <v>434.3</v>
      </c>
      <c r="H807" s="81">
        <v>111.6</v>
      </c>
      <c r="I807" s="81">
        <v>300.10000000000002</v>
      </c>
    </row>
    <row r="808" spans="1:9" x14ac:dyDescent="0.2">
      <c r="A808" s="78" t="s">
        <v>721</v>
      </c>
      <c r="B808" s="79"/>
      <c r="C808" s="79"/>
      <c r="D808" s="79"/>
      <c r="E808" s="79"/>
      <c r="F808" s="79"/>
      <c r="G808" s="79"/>
      <c r="H808" s="79"/>
      <c r="I808" s="79"/>
    </row>
    <row r="809" spans="1:9" x14ac:dyDescent="0.2">
      <c r="A809" s="80" t="s">
        <v>722</v>
      </c>
      <c r="B809" s="81">
        <v>106.2</v>
      </c>
      <c r="C809" s="85">
        <v>71.5</v>
      </c>
      <c r="D809" s="81">
        <v>111.3</v>
      </c>
      <c r="E809" s="85">
        <v>1.7</v>
      </c>
      <c r="F809" s="85">
        <v>3.1</v>
      </c>
      <c r="G809" s="85">
        <v>50</v>
      </c>
      <c r="H809" s="81">
        <v>224.1</v>
      </c>
      <c r="I809" s="85">
        <v>2.6</v>
      </c>
    </row>
    <row r="810" spans="1:9" x14ac:dyDescent="0.2">
      <c r="A810" s="80" t="s">
        <v>723</v>
      </c>
      <c r="B810" s="85">
        <v>96.5</v>
      </c>
      <c r="C810" s="85">
        <v>15.9</v>
      </c>
      <c r="D810" s="81">
        <v>106.8</v>
      </c>
      <c r="E810" s="85">
        <v>27.9</v>
      </c>
      <c r="F810" s="85">
        <v>63.1</v>
      </c>
      <c r="G810" s="85">
        <v>20.5</v>
      </c>
      <c r="H810" s="85">
        <v>60.5</v>
      </c>
      <c r="I810" s="85">
        <v>38.799999999999997</v>
      </c>
    </row>
    <row r="811" spans="1:9" x14ac:dyDescent="0.2">
      <c r="A811" s="80" t="s">
        <v>724</v>
      </c>
      <c r="B811" s="81">
        <v>391</v>
      </c>
      <c r="C811" s="81">
        <v>653.6</v>
      </c>
      <c r="D811" s="81">
        <v>525.6</v>
      </c>
      <c r="E811" s="81">
        <v>332.8</v>
      </c>
      <c r="F811" s="81">
        <v>455.2</v>
      </c>
      <c r="G811" s="81">
        <v>468.3</v>
      </c>
      <c r="H811" s="81">
        <v>471.4</v>
      </c>
      <c r="I811" s="81">
        <v>271.39999999999998</v>
      </c>
    </row>
    <row r="812" spans="1:9" x14ac:dyDescent="0.2">
      <c r="A812" s="80" t="s">
        <v>725</v>
      </c>
      <c r="B812" s="81">
        <v>464.7</v>
      </c>
      <c r="C812" s="85">
        <v>64.7</v>
      </c>
      <c r="D812" s="85">
        <v>64.7</v>
      </c>
      <c r="E812" s="81">
        <v>104.1</v>
      </c>
      <c r="F812" s="85">
        <v>60.8</v>
      </c>
      <c r="G812" s="85">
        <v>60.8</v>
      </c>
      <c r="H812" s="81">
        <v>110.8</v>
      </c>
      <c r="I812" s="85">
        <v>80.8</v>
      </c>
    </row>
    <row r="813" spans="1:9" x14ac:dyDescent="0.2">
      <c r="A813" s="80" t="s">
        <v>726</v>
      </c>
      <c r="B813" s="81">
        <v>400.3</v>
      </c>
      <c r="C813" s="87">
        <v>0</v>
      </c>
      <c r="D813" s="87">
        <v>0</v>
      </c>
      <c r="E813" s="85">
        <v>38.1</v>
      </c>
      <c r="F813" s="87">
        <v>0</v>
      </c>
      <c r="G813" s="87">
        <v>0</v>
      </c>
      <c r="H813" s="85">
        <v>50</v>
      </c>
      <c r="I813" s="85">
        <v>18.8</v>
      </c>
    </row>
    <row r="814" spans="1:9" x14ac:dyDescent="0.2">
      <c r="A814" s="80" t="s">
        <v>727</v>
      </c>
      <c r="B814" s="81">
        <v>185.3</v>
      </c>
      <c r="C814" s="81">
        <v>191.4</v>
      </c>
      <c r="D814" s="81">
        <v>185.4</v>
      </c>
      <c r="E814" s="81">
        <v>186.4</v>
      </c>
      <c r="F814" s="81">
        <v>163.80000000000001</v>
      </c>
      <c r="G814" s="81">
        <v>160.69999999999999</v>
      </c>
      <c r="H814" s="81">
        <v>156.80000000000001</v>
      </c>
      <c r="I814" s="81">
        <v>150.9</v>
      </c>
    </row>
    <row r="815" spans="1:9" x14ac:dyDescent="0.2">
      <c r="A815" s="80" t="s">
        <v>728</v>
      </c>
      <c r="B815" s="81">
        <v>356.9</v>
      </c>
      <c r="C815" s="86">
        <v>-94.2</v>
      </c>
      <c r="D815" s="81">
        <v>237.4</v>
      </c>
      <c r="E815" s="88">
        <v>-302.10000000000002</v>
      </c>
      <c r="F815" s="81">
        <v>2323.6</v>
      </c>
      <c r="G815" s="81">
        <v>402.2</v>
      </c>
      <c r="H815" s="81">
        <v>103.5</v>
      </c>
      <c r="I815" s="88">
        <v>-532</v>
      </c>
    </row>
    <row r="816" spans="1:9" x14ac:dyDescent="0.2">
      <c r="A816" s="80" t="s">
        <v>729</v>
      </c>
      <c r="B816" s="81">
        <v>293.8</v>
      </c>
      <c r="C816" s="81">
        <v>390.1</v>
      </c>
      <c r="D816" s="81">
        <v>174.1</v>
      </c>
      <c r="E816" s="85">
        <v>17.5</v>
      </c>
      <c r="F816" s="81">
        <v>216.8</v>
      </c>
      <c r="G816" s="81">
        <v>437.4</v>
      </c>
      <c r="H816" s="86">
        <v>-51.1</v>
      </c>
      <c r="I816" s="86">
        <v>-41.4</v>
      </c>
    </row>
    <row r="817" spans="1:9" x14ac:dyDescent="0.2">
      <c r="A817" s="80" t="s">
        <v>77</v>
      </c>
      <c r="B817" s="81">
        <v>358.2</v>
      </c>
      <c r="C817" s="81">
        <v>454.8</v>
      </c>
      <c r="D817" s="81">
        <v>238.8</v>
      </c>
      <c r="E817" s="85">
        <v>83.5</v>
      </c>
      <c r="F817" s="81">
        <v>277.60000000000002</v>
      </c>
      <c r="G817" s="81">
        <v>498.2</v>
      </c>
      <c r="H817" s="85">
        <v>9.6999999999999993</v>
      </c>
      <c r="I817" s="85">
        <v>20.6</v>
      </c>
    </row>
    <row r="818" spans="1:9" x14ac:dyDescent="0.2">
      <c r="A818" s="80" t="s">
        <v>730</v>
      </c>
      <c r="B818" s="85">
        <v>64.400000000000006</v>
      </c>
      <c r="C818" s="85">
        <v>64.7</v>
      </c>
      <c r="D818" s="85">
        <v>64.7</v>
      </c>
      <c r="E818" s="85">
        <v>66</v>
      </c>
      <c r="F818" s="85">
        <v>60.8</v>
      </c>
      <c r="G818" s="85">
        <v>60.8</v>
      </c>
      <c r="H818" s="85">
        <v>60.8</v>
      </c>
      <c r="I818" s="85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Share Price Analysis</vt:lpstr>
      <vt:lpstr>Financial Analysis</vt:lpstr>
      <vt:lpstr>Credit Analysis</vt:lpstr>
      <vt:lpstr>ESG Analysis</vt:lpstr>
      <vt:lpstr>Industry &amp; Macro Analysis</vt:lpstr>
      <vt:lpstr>Multiple Valuation</vt:lpstr>
      <vt:lpstr>Dividend Discount Model</vt:lpstr>
      <vt:lpstr>DCF Analysis</vt:lpstr>
      <vt:lpstr>Sheet9_Financial Data</vt:lpstr>
    </vt:vector>
  </TitlesOfParts>
  <Company>Vulcan Materials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VMC Equity Research Model</dc:title>
  <dc:creator/>
  <cp:lastModifiedBy>Thanh Pham</cp:lastModifiedBy>
  <dcterms:created xsi:type="dcterms:W3CDTF">2026-03-10T09:29:04Z</dcterms:created>
  <dcterms:modified xsi:type="dcterms:W3CDTF">2026-03-11T10:32:29Z</dcterms:modified>
</cp:coreProperties>
</file>