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SG Analysis" sheetId="1" state="visible" r:id="rId1"/>
  </sheets>
  <definedNames>
    <definedName name="_xlnm.Print_Area" localSheetId="0">'ESG Analysis'!$A$1:$N$82</definedName>
  </definedNames>
  <calcPr calcId="124519" calcMode="auto" fullCalcOnLoad="1" forceFullCalc="1"/>
</workbook>
</file>

<file path=xl/styles.xml><?xml version="1.0" encoding="utf-8"?>
<styleSheet xmlns="http://schemas.openxmlformats.org/spreadsheetml/2006/main">
  <numFmts count="3">
    <numFmt numFmtId="164" formatCode="0.0"/>
    <numFmt numFmtId="165" formatCode="0.0%"/>
    <numFmt numFmtId="166" formatCode="$0.0"/>
  </numFmts>
  <fonts count="9">
    <font>
      <name val="Calibri"/>
      <family val="2"/>
      <color theme="1"/>
      <sz val="11"/>
      <scheme val="minor"/>
    </font>
    <font>
      <name val="Calibri"/>
      <b val="1"/>
      <color rgb="001F3864"/>
      <sz val="16"/>
    </font>
    <font>
      <name val="Calibri"/>
      <i val="1"/>
      <color rgb="00666666"/>
      <sz val="9"/>
    </font>
    <font>
      <name val="Calibri"/>
      <b val="1"/>
      <color rgb="00FFFFFF"/>
      <sz val="11"/>
    </font>
    <font>
      <name val="Calibri"/>
      <color rgb="00000000"/>
      <sz val="10"/>
    </font>
    <font>
      <name val="Calibri"/>
      <b val="1"/>
      <color rgb="00000000"/>
      <sz val="10"/>
    </font>
    <font>
      <name val="Calibri"/>
      <b val="1"/>
      <color rgb="000000FF"/>
      <sz val="10"/>
    </font>
    <font>
      <name val="Calibri"/>
      <b val="1"/>
      <color rgb="001F1F1F"/>
      <sz val="11"/>
    </font>
    <font>
      <name val="Calibri"/>
      <color rgb="00008000"/>
      <sz val="10"/>
    </font>
  </fonts>
  <fills count="6">
    <fill>
      <patternFill/>
    </fill>
    <fill>
      <patternFill patternType="gray125"/>
    </fill>
    <fill>
      <patternFill patternType="solid">
        <fgColor rgb="001F3864"/>
      </patternFill>
    </fill>
    <fill>
      <patternFill patternType="solid">
        <fgColor rgb="00F4F7FB"/>
      </patternFill>
    </fill>
    <fill>
      <patternFill patternType="solid">
        <fgColor rgb="00D6E4F0"/>
      </patternFill>
    </fill>
    <fill>
      <patternFill patternType="solid">
        <fgColor rgb="00EEF3F8"/>
      </patternFill>
    </fill>
  </fills>
  <borders count="11">
    <border>
      <left/>
      <right/>
      <top/>
      <bottom/>
      <diagonal/>
    </border>
    <border>
      <left style="thin">
        <color rgb="00B8C6D9"/>
      </left>
      <right style="thin">
        <color rgb="00B8C6D9"/>
      </right>
      <top style="thin">
        <color rgb="00B8C6D9"/>
      </top>
      <bottom style="thin">
        <color rgb="00B8C6D9"/>
      </bottom>
    </border>
    <border>
      <left/>
      <right/>
      <top style="thin">
        <color rgb="00B8C6D9"/>
      </top>
      <bottom/>
      <diagonal/>
    </border>
    <border>
      <left/>
      <right style="thin">
        <color rgb="00B8C6D9"/>
      </right>
      <top style="thin">
        <color rgb="00B8C6D9"/>
      </top>
      <bottom/>
      <diagonal/>
    </border>
    <border>
      <left/>
      <right/>
      <top style="thin">
        <color rgb="00B8C6D9"/>
      </top>
      <bottom style="thin">
        <color rgb="00B8C6D9"/>
      </bottom>
      <diagonal/>
    </border>
    <border>
      <left/>
      <right style="thin">
        <color rgb="00B8C6D9"/>
      </right>
      <top style="thin">
        <color rgb="00B8C6D9"/>
      </top>
      <bottom style="thin">
        <color rgb="00B8C6D9"/>
      </bottom>
      <diagonal/>
    </border>
    <border>
      <left style="thin">
        <color rgb="00B8C6D9"/>
      </left>
      <right/>
      <top/>
      <bottom/>
      <diagonal/>
    </border>
    <border>
      <left/>
      <right style="thin">
        <color rgb="00B8C6D9"/>
      </right>
      <top/>
      <bottom/>
      <diagonal/>
    </border>
    <border>
      <left style="thin">
        <color rgb="00B8C6D9"/>
      </left>
      <right/>
      <top/>
      <bottom style="thin">
        <color rgb="00B8C6D9"/>
      </bottom>
      <diagonal/>
    </border>
    <border>
      <left/>
      <right/>
      <top/>
      <bottom style="thin">
        <color rgb="00B8C6D9"/>
      </bottom>
      <diagonal/>
    </border>
    <border>
      <left/>
      <right style="thin">
        <color rgb="00B8C6D9"/>
      </right>
      <top/>
      <bottom style="thin">
        <color rgb="00B8C6D9"/>
      </bottom>
      <diagonal/>
    </border>
  </borders>
  <cellStyleXfs count="1">
    <xf numFmtId="0" fontId="0" fillId="0" borderId="0"/>
  </cellStyleXfs>
  <cellXfs count="26">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1" applyAlignment="1" pivotButton="0" quotePrefix="0" xfId="0">
      <alignment horizontal="left" vertical="center" wrapText="1"/>
    </xf>
    <xf numFmtId="0" fontId="5" fillId="4" borderId="1" applyAlignment="1" pivotButton="0" quotePrefix="0" xfId="0">
      <alignment horizontal="left" vertical="center" wrapText="1"/>
    </xf>
    <xf numFmtId="0" fontId="4" fillId="3" borderId="1" applyAlignment="1" pivotButton="0" quotePrefix="0" xfId="0">
      <alignment horizontal="left" vertical="center" wrapText="1"/>
    </xf>
    <xf numFmtId="0" fontId="4" fillId="3" borderId="1" applyAlignment="1" pivotButton="0" quotePrefix="0" xfId="0">
      <alignment horizontal="center" vertical="center" wrapText="1"/>
    </xf>
    <xf numFmtId="164" fontId="4" fillId="3" borderId="1" applyAlignment="1" pivotButton="0" quotePrefix="0" xfId="0">
      <alignment horizontal="center" vertical="center" wrapText="1"/>
    </xf>
    <xf numFmtId="165" fontId="6" fillId="3" borderId="1" applyAlignment="1" pivotButton="0" quotePrefix="0" xfId="0">
      <alignment horizontal="center" vertical="center" wrapText="1"/>
    </xf>
    <xf numFmtId="0" fontId="0" fillId="0" borderId="4" pivotButton="0" quotePrefix="0" xfId="0"/>
    <xf numFmtId="0" fontId="0" fillId="0" borderId="5" pivotButton="0" quotePrefix="0" xfId="0"/>
    <xf numFmtId="1" fontId="4" fillId="3" borderId="1" applyAlignment="1" pivotButton="0" quotePrefix="0" xfId="0">
      <alignment horizontal="center" vertical="center" wrapText="1"/>
    </xf>
    <xf numFmtId="0" fontId="0" fillId="0" borderId="2" pivotButton="0" quotePrefix="0" xfId="0"/>
    <xf numFmtId="0" fontId="0" fillId="0" borderId="3" pivotButton="0" quotePrefix="0" xfId="0"/>
    <xf numFmtId="0" fontId="0" fillId="0" borderId="8" pivotButton="0" quotePrefix="0" xfId="0"/>
    <xf numFmtId="0" fontId="0" fillId="0" borderId="9" pivotButton="0" quotePrefix="0" xfId="0"/>
    <xf numFmtId="0" fontId="0" fillId="0" borderId="10" pivotButton="0" quotePrefix="0" xfId="0"/>
    <xf numFmtId="0" fontId="2" fillId="5" borderId="1" applyAlignment="1" pivotButton="0" quotePrefix="0" xfId="0">
      <alignment horizontal="left" vertical="center" wrapText="1"/>
    </xf>
    <xf numFmtId="0" fontId="7" fillId="4" borderId="1" applyAlignment="1" pivotButton="0" quotePrefix="0" xfId="0">
      <alignment horizontal="center" vertical="center" wrapText="1"/>
    </xf>
    <xf numFmtId="0" fontId="5" fillId="3" borderId="1" applyAlignment="1" pivotButton="0" quotePrefix="0" xfId="0">
      <alignment horizontal="left" vertical="center" wrapText="1"/>
    </xf>
    <xf numFmtId="165" fontId="4" fillId="3" borderId="1" applyAlignment="1" pivotButton="0" quotePrefix="0" xfId="0">
      <alignment horizontal="center" vertical="center" wrapText="1"/>
    </xf>
    <xf numFmtId="0" fontId="4" fillId="5" borderId="1" applyAlignment="1" pivotButton="0" quotePrefix="0" xfId="0">
      <alignment horizontal="left" vertical="center" wrapText="1"/>
    </xf>
    <xf numFmtId="164" fontId="8" fillId="3" borderId="1" applyAlignment="1" pivotButton="0" quotePrefix="0" xfId="0">
      <alignment horizontal="center" vertical="center" wrapText="1"/>
    </xf>
    <xf numFmtId="166" fontId="4" fillId="3" borderId="1" applyAlignment="1" pivotButton="0" quotePrefix="0" xfId="0">
      <alignment horizontal="center" vertical="center" wrapText="1"/>
    </xf>
    <xf numFmtId="0" fontId="4" fillId="0" borderId="0" applyAlignment="1" pivotButton="0" quotePrefix="0" xfId="0">
      <alignment horizontal="left" vertical="center" wrapText="1"/>
    </xf>
    <xf numFmtId="0" fontId="4" fillId="0" borderId="0" applyAlignment="1" pivotButton="0" quotePrefix="0" xfId="0">
      <alignment horizontal="center" vertical="center" wrapText="1"/>
    </xf>
  </cellXfs>
  <cellStyles count="1">
    <cellStyle name="Normal" xfId="0" builtinId="0" hidden="0"/>
  </cellStyles>
  <dxfs count="3">
    <dxf>
      <fill>
        <patternFill patternType="solid">
          <fgColor rgb="00C6EFCE"/>
        </patternFill>
      </fill>
    </dxf>
    <dxf>
      <fill>
        <patternFill patternType="solid">
          <fgColor rgb="00FFEB9C"/>
        </patternFill>
      </fill>
    </dxf>
    <dxf>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G82"/>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12" customWidth="1" min="9" max="9"/>
    <col width="22" customWidth="1" min="10" max="10"/>
    <col width="28" customWidth="1" min="11" max="11"/>
    <col width="28" customWidth="1" min="12" max="12"/>
    <col width="28" customWidth="1" min="13" max="13"/>
    <col width="28"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 hidden="1" width="13" customWidth="1" min="49" max="49"/>
    <col hidden="1" width="13" customWidth="1" min="50" max="50"/>
    <col hidden="1" width="13" customWidth="1" min="51" max="51"/>
    <col hidden="1" width="13" customWidth="1" min="52" max="52"/>
    <col hidden="1" width="13" customWidth="1" min="53" max="53"/>
    <col hidden="1" width="13" customWidth="1" min="54" max="54"/>
    <col hidden="1" width="13" customWidth="1" min="55" max="55"/>
    <col hidden="1" width="13" customWidth="1" min="56" max="56"/>
    <col hidden="1" width="13" customWidth="1" min="57" max="57"/>
    <col hidden="1" width="13" customWidth="1" min="58" max="58"/>
    <col hidden="1" width="13" customWidth="1" min="59" max="59"/>
  </cols>
  <sheetData>
    <row r="1">
      <c r="A1" s="1" t="inlineStr">
        <is>
          <t>Sheet 4: ESG Analysis | Vulcan Materials Company (VMC)</t>
        </is>
      </c>
    </row>
    <row r="2">
      <c r="A2" s="2" t="inlineStr">
        <is>
          <t>Framework built for construction materials / aggregates. Scores, ranks, and commentary are formula-driven; raw ESG inputs and sources are stored in hidden audit columns on this sheet. The live base model was not available in this directory, so the output is a standalone Sheet 4 workbook.</t>
        </is>
      </c>
    </row>
    <row r="3"/>
    <row r="4">
      <c r="A4" s="3" t="inlineStr">
        <is>
          <t>A. ESG Dashboard Summary</t>
        </is>
      </c>
    </row>
    <row r="5">
      <c r="A5" s="4" t="inlineStr">
        <is>
          <t>Company</t>
        </is>
      </c>
      <c r="B5" s="5" t="inlineStr">
        <is>
          <t>Vulcan Materials Company</t>
        </is>
      </c>
      <c r="C5" s="6" t="inlineStr">
        <is>
          <t>VMC</t>
        </is>
      </c>
      <c r="D5" s="5" t="n"/>
      <c r="E5" s="5" t="n"/>
      <c r="F5" s="4" t="inlineStr">
        <is>
          <t>Environmental score</t>
        </is>
      </c>
      <c r="G5" s="7">
        <f>E46</f>
        <v/>
      </c>
      <c r="H5" s="5" t="n"/>
      <c r="I5" s="5" t="n"/>
      <c r="J5" s="4" t="inlineStr">
        <is>
          <t>Environmental weight</t>
        </is>
      </c>
      <c r="K5" s="8" t="n">
        <v>0.35</v>
      </c>
      <c r="L5" s="5" t="n"/>
      <c r="M5" s="5" t="n"/>
      <c r="N5" s="5" t="n"/>
    </row>
    <row r="6">
      <c r="A6" s="4" t="inlineStr">
        <is>
          <t>Sector / Industry</t>
        </is>
      </c>
      <c r="B6" s="5" t="inlineStr">
        <is>
          <t>Construction Materials / Aggregates</t>
        </is>
      </c>
      <c r="C6" s="9" t="n"/>
      <c r="D6" s="9" t="n"/>
      <c r="E6" s="10" t="n"/>
      <c r="F6" s="4" t="inlineStr">
        <is>
          <t>Social score</t>
        </is>
      </c>
      <c r="G6" s="7">
        <f>F46</f>
        <v/>
      </c>
      <c r="H6" s="5" t="n"/>
      <c r="I6" s="5" t="n"/>
      <c r="J6" s="4" t="inlineStr">
        <is>
          <t>Social weight</t>
        </is>
      </c>
      <c r="K6" s="8" t="n">
        <v>0.3</v>
      </c>
      <c r="L6" s="5" t="n"/>
      <c r="M6" s="5" t="n"/>
      <c r="N6" s="5" t="n"/>
    </row>
    <row r="7">
      <c r="A7" s="4" t="inlineStr">
        <is>
          <t>Latest ESG reporting year</t>
        </is>
      </c>
      <c r="B7" s="11">
        <f>Q70</f>
        <v/>
      </c>
      <c r="C7" s="5" t="n"/>
      <c r="D7" s="5" t="n"/>
      <c r="E7" s="5" t="n"/>
      <c r="F7" s="4" t="inlineStr">
        <is>
          <t>Governance score</t>
        </is>
      </c>
      <c r="G7" s="7">
        <f>G46</f>
        <v/>
      </c>
      <c r="H7" s="5" t="n"/>
      <c r="I7" s="5" t="n"/>
      <c r="J7" s="4" t="inlineStr">
        <is>
          <t>Governance weight</t>
        </is>
      </c>
      <c r="K7" s="8" t="n">
        <v>0.35</v>
      </c>
      <c r="L7" s="5" t="n"/>
      <c r="M7" s="5" t="n"/>
      <c r="N7" s="5" t="n"/>
    </row>
    <row r="8">
      <c r="A8" s="4" t="inlineStr">
        <is>
          <t>Most material ESG issues</t>
        </is>
      </c>
      <c r="B8" s="5">
        <f>IF(H46&gt;=75,"Carbon intensity / decarbonization, safety culture, and governance discipline remain the three most material ESG drivers.","Carbon regulation, quarry permitting / social license, and safety execution remain the key ESG watch items.")</f>
        <v/>
      </c>
      <c r="C8" s="12" t="n"/>
      <c r="D8" s="12" t="n"/>
      <c r="E8" s="13" t="n"/>
      <c r="F8" s="4" t="inlineStr">
        <is>
          <t>Internal ESG score</t>
        </is>
      </c>
      <c r="G8" s="7">
        <f>H46</f>
        <v/>
      </c>
      <c r="H8" s="5" t="n"/>
      <c r="I8" s="5" t="n"/>
      <c r="J8" s="4" t="inlineStr">
        <is>
          <t>Valuation relevance</t>
        </is>
      </c>
      <c r="K8" s="6">
        <f>IF(OR(E46&lt;65,F46&lt;65,G46&lt;65),"High","Medium")</f>
        <v/>
      </c>
      <c r="L8" s="5" t="n"/>
      <c r="M8" s="5" t="n"/>
      <c r="N8" s="5" t="n"/>
    </row>
    <row r="9">
      <c r="A9" s="5" t="n"/>
      <c r="B9" s="14" t="n"/>
      <c r="C9" s="15" t="n"/>
      <c r="D9" s="15" t="n"/>
      <c r="E9" s="16" t="n"/>
      <c r="F9" s="4" t="inlineStr">
        <is>
          <t>Peer rank / percentile</t>
        </is>
      </c>
      <c r="G9" s="5">
        <f>"Rank #"&amp;N46&amp;" / "&amp;ROWS($A$46:$A$51)&amp;" | "&amp;TEXT(1-PERCENTRANK.INC($H$46:$H$51,H46),"0%")&amp;" percentile"</f>
        <v/>
      </c>
      <c r="H9" s="5" t="n"/>
      <c r="I9" s="5" t="n"/>
      <c r="J9" s="4" t="inlineStr">
        <is>
          <t>Method note</t>
        </is>
      </c>
      <c r="K9" s="17" t="inlineStr">
        <is>
          <t>Scoring uses public company disclosures first, then public market metadata where board data are incomplete. Missing values remain NM rather than estimated.</t>
        </is>
      </c>
      <c r="L9" s="12" t="n"/>
      <c r="M9" s="12" t="n"/>
      <c r="N9" s="13" t="n"/>
    </row>
    <row r="10">
      <c r="A10" s="5" t="n"/>
      <c r="B10" s="5" t="n"/>
      <c r="C10" s="5" t="n"/>
      <c r="D10" s="5" t="n"/>
      <c r="E10" s="5" t="n"/>
      <c r="F10" s="4" t="inlineStr">
        <is>
          <t>Overall ESG assessment</t>
        </is>
      </c>
      <c r="G10" s="6">
        <f>IF(H46&gt;=75,"Positive",IF(H46&gt;=55,"Neutral","Negative"))</f>
        <v/>
      </c>
      <c r="H10" s="5" t="n"/>
      <c r="I10" s="5" t="n"/>
      <c r="J10" s="5" t="n"/>
      <c r="K10" s="14" t="n"/>
      <c r="L10" s="15" t="n"/>
      <c r="M10" s="15" t="n"/>
      <c r="N10" s="16" t="n"/>
    </row>
    <row r="11"/>
    <row r="12"/>
    <row r="13">
      <c r="A13" s="3" t="inlineStr">
        <is>
          <t>B. Environmental Analysis</t>
        </is>
      </c>
    </row>
    <row r="14">
      <c r="A14" s="18" t="inlineStr">
        <is>
          <t>Metric</t>
        </is>
      </c>
      <c r="B14" s="18" t="inlineStr">
        <is>
          <t>2023</t>
        </is>
      </c>
      <c r="C14" s="18" t="inlineStr">
        <is>
          <t>2024</t>
        </is>
      </c>
      <c r="D14" s="18" t="inlineStr">
        <is>
          <t>YoY</t>
        </is>
      </c>
      <c r="E14" s="18" t="inlineStr">
        <is>
          <t>Score Link</t>
        </is>
      </c>
      <c r="F14" s="18" t="inlineStr">
        <is>
          <t>Source / Note</t>
        </is>
      </c>
    </row>
    <row r="15">
      <c r="A15" s="19" t="inlineStr">
        <is>
          <t>Scope 1+2 emissions index (2023 = 100)</t>
        </is>
      </c>
      <c r="B15" s="7">
        <f>Q23</f>
        <v/>
      </c>
      <c r="C15" s="7">
        <f>R23</f>
        <v/>
      </c>
      <c r="D15" s="20">
        <f>IF(OR(B15="",C15=""),"",C15/B15-1)</f>
        <v/>
      </c>
      <c r="E15" s="5" t="inlineStr">
        <is>
          <t>Linked to E score via emissions trend</t>
        </is>
      </c>
      <c r="F15" s="17" t="inlineStr">
        <is>
          <t>Indexed from company-disclosed 3.6% YoY reduction.</t>
        </is>
      </c>
      <c r="H15" s="21">
        <f>IF(E46&gt;=75,"Environmental disclosure is constructive: FY2024 renewable electricity reached 13%, renewable diesel rose to 4.5% of total energy, and the company disclosed a 3.6% YoY decline in gross Scope 1+2 emissions. The main valuation risk remains carbon / energy cost pass-through and quarry permitting rather than near-term controversy.","Environmental positioning remains mixed: VMC disclosed improvement actions and recycling metrics, but the latest public data set is still less granular than best-in-class global materials peers on multi-year carbon intensity.")</f>
        <v/>
      </c>
    </row>
    <row r="16">
      <c r="A16" s="19" t="inlineStr">
        <is>
          <t>Total energy use index (2023 = 100)</t>
        </is>
      </c>
      <c r="B16" s="7">
        <f>Q24</f>
        <v/>
      </c>
      <c r="C16" s="7">
        <f>R24</f>
        <v/>
      </c>
      <c r="D16" s="20">
        <f>IF(OR(B16="",C16=""),"",C16/B16-1)</f>
        <v/>
      </c>
      <c r="E16" s="5" t="inlineStr">
        <is>
          <t>Cost / transition exposure</t>
        </is>
      </c>
      <c r="F16" s="17" t="inlineStr">
        <is>
          <t>Indexed from company-disclosed 3.0% YoY increase.</t>
        </is>
      </c>
    </row>
    <row r="17">
      <c r="A17" s="19" t="inlineStr">
        <is>
          <t>Renewable electricity usage (%)</t>
        </is>
      </c>
      <c r="B17" s="7">
        <f>Q25</f>
        <v/>
      </c>
      <c r="C17" s="7">
        <f>R25</f>
        <v/>
      </c>
      <c r="D17" s="20">
        <f>IF(OR(B17="",C17=""),"",C17-B17)</f>
        <v/>
      </c>
      <c r="E17" s="5" t="inlineStr">
        <is>
          <t>Transition execution</t>
        </is>
      </c>
      <c r="F17" s="17" t="inlineStr">
        <is>
          <t>13% in FY2024; 25% target by 2030.</t>
        </is>
      </c>
    </row>
    <row r="18">
      <c r="A18" s="19" t="inlineStr">
        <is>
          <t>Renewable diesel share of total energy (%)</t>
        </is>
      </c>
      <c r="B18" s="7">
        <f>Q26</f>
        <v/>
      </c>
      <c r="C18" s="7">
        <f>R26</f>
        <v/>
      </c>
      <c r="D18" s="20">
        <f>IF(OR(B18="",C18=""),"",C18-B18)</f>
        <v/>
      </c>
      <c r="E18" s="5" t="inlineStr">
        <is>
          <t>Fuel mix improvement</t>
        </is>
      </c>
      <c r="F18" s="17" t="inlineStr">
        <is>
          <t>4.5% of total energy; California diesel 100% renewable.</t>
        </is>
      </c>
    </row>
    <row r="19">
      <c r="A19" s="19" t="inlineStr">
        <is>
          <t>Universal waste diverted (%)</t>
        </is>
      </c>
      <c r="B19" s="7">
        <f>Q27</f>
        <v/>
      </c>
      <c r="C19" s="7">
        <f>R27</f>
        <v/>
      </c>
      <c r="D19" s="20">
        <f>IF(OR(B19="",C19=""),"",C19-B19)</f>
        <v/>
      </c>
      <c r="E19" s="5" t="inlineStr">
        <is>
          <t>Resource efficiency</t>
        </is>
      </c>
      <c r="F19" s="17" t="inlineStr">
        <is>
          <t>2024 only.</t>
        </is>
      </c>
    </row>
    <row r="20">
      <c r="A20" s="19" t="inlineStr">
        <is>
          <t>Vehicle / equipment waste diverted (%)</t>
        </is>
      </c>
      <c r="B20" s="7">
        <f>Q28</f>
        <v/>
      </c>
      <c r="C20" s="7">
        <f>R28</f>
        <v/>
      </c>
      <c r="D20" s="20">
        <f>IF(OR(B20="",C20=""),"",C20-B20)</f>
        <v/>
      </c>
      <c r="E20" s="5" t="inlineStr">
        <is>
          <t>Resource efficiency</t>
        </is>
      </c>
      <c r="F20" s="17" t="inlineStr">
        <is>
          <t>2024 only.</t>
        </is>
      </c>
    </row>
    <row r="21">
      <c r="A21" s="19" t="inlineStr">
        <is>
          <t>Recycled asphalt + concrete (m tons)</t>
        </is>
      </c>
      <c r="B21" s="7">
        <f>Q29</f>
        <v/>
      </c>
      <c r="C21" s="7">
        <f>R29</f>
        <v/>
      </c>
      <c r="D21" s="20">
        <f>IF(OR(B21="",C21=""),"",C21-B21)</f>
        <v/>
      </c>
      <c r="E21" s="5" t="inlineStr">
        <is>
          <t>Circularity</t>
        </is>
      </c>
      <c r="F21" s="17" t="inlineStr">
        <is>
          <t>2.1m asphalt + 1.7m concrete recycled.</t>
        </is>
      </c>
      <c r="P21" s="18" t="inlineStr">
        <is>
          <t>VMC raw ESG support metrics</t>
        </is>
      </c>
      <c r="Q21" s="18" t="inlineStr">
        <is>
          <t>2023</t>
        </is>
      </c>
      <c r="R21" s="18" t="inlineStr">
        <is>
          <t>2024</t>
        </is>
      </c>
      <c r="S21" s="18" t="inlineStr">
        <is>
          <t>Source note</t>
        </is>
      </c>
    </row>
    <row r="22">
      <c r="A22" s="19" t="inlineStr">
        <is>
          <t>Recycled material per $m revenue</t>
        </is>
      </c>
      <c r="B22" s="7">
        <f>Q30</f>
        <v/>
      </c>
      <c r="C22" s="7">
        <f>R30</f>
        <v/>
      </c>
      <c r="D22" s="20">
        <f>IF(OR(B22="",C22=""),"",C22/B22-1)</f>
        <v/>
      </c>
      <c r="E22" s="5" t="inlineStr">
        <is>
          <t>Cross-links to Financial Data</t>
        </is>
      </c>
      <c r="F22" s="17" t="inlineStr">
        <is>
          <t>FY2024 revenue linked from Financial Data sheet.</t>
        </is>
      </c>
      <c r="P22" s="5" t="inlineStr">
        <is>
          <t>Metric</t>
        </is>
      </c>
      <c r="Q22" s="6" t="inlineStr"/>
      <c r="R22" s="6" t="inlineStr"/>
      <c r="S22" s="17" t="inlineStr">
        <is>
          <t>Source note</t>
        </is>
      </c>
    </row>
    <row r="23">
      <c r="P23" s="5" t="inlineStr">
        <is>
          <t>Scope 1+2 emissions index</t>
        </is>
      </c>
      <c r="Q23" s="7" t="n">
        <v>100</v>
      </c>
      <c r="R23" s="7" t="n">
        <v>96.40000000000001</v>
      </c>
      <c r="S23" s="17" t="inlineStr">
        <is>
          <t>Indexed from disclosed 3.6% YoY decline.</t>
        </is>
      </c>
    </row>
    <row r="24">
      <c r="A24" s="3" t="inlineStr">
        <is>
          <t>C. Social Analysis</t>
        </is>
      </c>
      <c r="P24" s="5" t="inlineStr">
        <is>
          <t>Total energy use index</t>
        </is>
      </c>
      <c r="Q24" s="7" t="n">
        <v>100</v>
      </c>
      <c r="R24" s="7" t="n">
        <v>103</v>
      </c>
      <c r="S24" s="17" t="inlineStr">
        <is>
          <t>Indexed from disclosed 3.0% YoY increase.</t>
        </is>
      </c>
    </row>
    <row r="25">
      <c r="A25" s="18" t="inlineStr">
        <is>
          <t>Metric</t>
        </is>
      </c>
      <c r="B25" s="18" t="inlineStr">
        <is>
          <t>2022</t>
        </is>
      </c>
      <c r="C25" s="18" t="inlineStr">
        <is>
          <t>2024</t>
        </is>
      </c>
      <c r="D25" s="18" t="inlineStr">
        <is>
          <t>Change</t>
        </is>
      </c>
      <c r="E25" s="18" t="inlineStr">
        <is>
          <t>Score Link</t>
        </is>
      </c>
      <c r="F25" s="18" t="inlineStr">
        <is>
          <t>Source / Note</t>
        </is>
      </c>
      <c r="P25" s="5" t="inlineStr">
        <is>
          <t>Renewable electricity %</t>
        </is>
      </c>
      <c r="Q25" s="6" t="inlineStr"/>
      <c r="R25" s="7" t="n">
        <v>13</v>
      </c>
      <c r="S25" s="17" t="inlineStr">
        <is>
          <t>2024 Sustainability Report.</t>
        </is>
      </c>
    </row>
    <row r="26">
      <c r="A26" s="19" t="inlineStr">
        <is>
          <t>Employee turnover (%)</t>
        </is>
      </c>
      <c r="B26" s="7">
        <f>Q32</f>
        <v/>
      </c>
      <c r="C26" s="7">
        <f>R32</f>
        <v/>
      </c>
      <c r="D26" s="7">
        <f>IF(OR(B26="",C26=""),"",C26-B26)</f>
        <v/>
      </c>
      <c r="E26" s="5" t="inlineStr">
        <is>
          <t>Human capital stability</t>
        </is>
      </c>
      <c r="F26" s="17" t="inlineStr">
        <is>
          <t>Turnover improved to 20% from a 25% high in 2022.</t>
        </is>
      </c>
      <c r="H26" s="21">
        <f>IF(F46&gt;=75,"Social execution is a relative strength for VMC. Turnover improved to 20% from the 2022 peak, training hours remained high, and 91.7% of facilities recorded zero lost-time injuries. For a quarry-heavy operator, safety performance and labor retention directly influence uptime, legal risk, and operating discipline.","Social performance is adequate but still central to the thesis. In this industry, any slippage on safety or labor retention can translate quickly into site disruption, higher insurance / legal cost, and weaker execution.")</f>
        <v/>
      </c>
      <c r="P26" s="5" t="inlineStr">
        <is>
          <t>Renewable diesel % of total energy</t>
        </is>
      </c>
      <c r="Q26" s="6" t="inlineStr"/>
      <c r="R26" s="7" t="n">
        <v>4.5</v>
      </c>
      <c r="S26" s="17" t="inlineStr">
        <is>
          <t>2024 Sustainability Report.</t>
        </is>
      </c>
    </row>
    <row r="27">
      <c r="A27" s="19" t="inlineStr">
        <is>
          <t>Facilities with zero lost-time injuries (%)</t>
        </is>
      </c>
      <c r="B27" s="7">
        <f>Q33</f>
        <v/>
      </c>
      <c r="C27" s="7">
        <f>R33</f>
        <v/>
      </c>
      <c r="D27" s="7">
        <f>IF(OR(B27="",C27=""),"",C27-B27)</f>
        <v/>
      </c>
      <c r="E27" s="5" t="inlineStr">
        <is>
          <t>Safety culture</t>
        </is>
      </c>
      <c r="F27" s="17" t="inlineStr">
        <is>
          <t>91.7% of facilities recorded zero lost-time injuries in FY2024.</t>
        </is>
      </c>
      <c r="P27" s="5" t="inlineStr">
        <is>
          <t>Universal waste diverted %</t>
        </is>
      </c>
      <c r="Q27" s="6" t="inlineStr"/>
      <c r="R27" s="7" t="n">
        <v>100</v>
      </c>
      <c r="S27" s="17" t="inlineStr">
        <is>
          <t>2024 Sustainability Report.</t>
        </is>
      </c>
    </row>
    <row r="28">
      <c r="A28" s="19" t="inlineStr">
        <is>
          <t>Training hours (MSHA-specific)</t>
        </is>
      </c>
      <c r="B28" s="7">
        <f>Q34</f>
        <v/>
      </c>
      <c r="C28" s="7">
        <f>R34</f>
        <v/>
      </c>
      <c r="D28" s="7">
        <f>IF(OR(B28="",C28=""),"",C28-B28)</f>
        <v/>
      </c>
      <c r="E28" s="5" t="inlineStr">
        <is>
          <t>Safety / capability building</t>
        </is>
      </c>
      <c r="F28" s="17" t="inlineStr">
        <is>
          <t>More than 87,000 training hours in FY2024.</t>
        </is>
      </c>
      <c r="P28" s="5" t="inlineStr">
        <is>
          <t>Vehicle / equipment waste diverted %</t>
        </is>
      </c>
      <c r="Q28" s="6" t="inlineStr"/>
      <c r="R28" s="7" t="n">
        <v>96</v>
      </c>
      <c r="S28" s="17" t="inlineStr">
        <is>
          <t>2024 Sustainability Report.</t>
        </is>
      </c>
    </row>
    <row r="29">
      <c r="A29" s="19" t="inlineStr">
        <is>
          <t>Health screening participation (%)</t>
        </is>
      </c>
      <c r="B29" s="7">
        <f>Q35</f>
        <v/>
      </c>
      <c r="C29" s="7">
        <f>R35</f>
        <v/>
      </c>
      <c r="D29" s="7">
        <f>IF(OR(B29="",C29=""),"",C29-B29)</f>
        <v/>
      </c>
      <c r="E29" s="5" t="inlineStr">
        <is>
          <t>Employee well-being</t>
        </is>
      </c>
      <c r="F29" s="17" t="inlineStr">
        <is>
          <t>84% of eligible employees participated.</t>
        </is>
      </c>
      <c r="P29" s="5" t="inlineStr">
        <is>
          <t>Recycled asphalt + concrete (m tons)</t>
        </is>
      </c>
      <c r="Q29" s="6" t="inlineStr"/>
      <c r="R29" s="7" t="n">
        <v>3.8</v>
      </c>
      <c r="S29" s="17" t="inlineStr">
        <is>
          <t>2024 Sustainability Report.</t>
        </is>
      </c>
    </row>
    <row r="30">
      <c r="A30" s="19" t="inlineStr">
        <is>
          <t>Community giving ($m)</t>
        </is>
      </c>
      <c r="B30" s="7">
        <f>Q36</f>
        <v/>
      </c>
      <c r="C30" s="7">
        <f>R36</f>
        <v/>
      </c>
      <c r="D30" s="7">
        <f>IF(OR(B30="",C30=""),"",C30-B30)</f>
        <v/>
      </c>
      <c r="E30" s="5" t="inlineStr">
        <is>
          <t>Stakeholder engagement</t>
        </is>
      </c>
      <c r="F30" s="17" t="inlineStr">
        <is>
          <t>More than $10m donated in FY2024.</t>
        </is>
      </c>
      <c r="P30" s="5" t="inlineStr">
        <is>
          <t>Recycled material / $m revenue</t>
        </is>
      </c>
      <c r="Q30" s="6" t="inlineStr"/>
      <c r="R30" s="22">
        <f>R29*1000000/7417.7</f>
        <v/>
      </c>
      <c r="S30" s="17" t="inlineStr">
        <is>
          <t>Uses FY2024 revenue from the 2024 sustainability report ($7,417.7m).</t>
        </is>
      </c>
    </row>
    <row r="31">
      <c r="A31" s="19" t="inlineStr">
        <is>
          <t>Headcount</t>
        </is>
      </c>
      <c r="B31" s="7">
        <f>Q37</f>
        <v/>
      </c>
      <c r="C31" s="7">
        <f>R37</f>
        <v/>
      </c>
      <c r="D31" s="7">
        <f>IF(OR(B31="",C31=""),"",C31-B31)</f>
        <v/>
      </c>
      <c r="E31" s="5" t="inlineStr">
        <is>
          <t>Operating footprint</t>
        </is>
      </c>
      <c r="F31" s="17" t="inlineStr">
        <is>
          <t>11,971 employees reported in the 2024 sustainability report.</t>
        </is>
      </c>
    </row>
    <row r="32">
      <c r="A32" s="19" t="inlineStr">
        <is>
          <t>Training hours per employee</t>
        </is>
      </c>
      <c r="B32" s="7">
        <f>Q38</f>
        <v/>
      </c>
      <c r="C32" s="7">
        <f>R38</f>
        <v/>
      </c>
      <c r="D32" s="7">
        <f>IF(OR(B32="",C32=""),"",C32/B32-1)</f>
        <v/>
      </c>
      <c r="E32" s="5" t="inlineStr">
        <is>
          <t>Depth of training investment</t>
        </is>
      </c>
      <c r="F32" s="17" t="inlineStr">
        <is>
          <t>Uses FY2024 headcount and FY2024 training hours.</t>
        </is>
      </c>
      <c r="P32" s="5" t="inlineStr">
        <is>
          <t>Employee turnover %</t>
        </is>
      </c>
      <c r="Q32" s="7" t="n">
        <v>25</v>
      </c>
      <c r="R32" s="7" t="n">
        <v>20</v>
      </c>
      <c r="S32" s="17" t="inlineStr">
        <is>
          <t>2024 Sustainability Report vs. 2022 peak.</t>
        </is>
      </c>
    </row>
    <row r="33">
      <c r="P33" s="5" t="inlineStr">
        <is>
          <t>Facilities with zero LTI %</t>
        </is>
      </c>
      <c r="Q33" s="6" t="inlineStr"/>
      <c r="R33" s="7" t="n">
        <v>91.7</v>
      </c>
      <c r="S33" s="17" t="inlineStr">
        <is>
          <t>2024 Sustainability Report.</t>
        </is>
      </c>
    </row>
    <row r="34">
      <c r="A34" s="3" t="inlineStr">
        <is>
          <t>D. Governance Analysis</t>
        </is>
      </c>
      <c r="P34" s="5" t="inlineStr">
        <is>
          <t>Training hours</t>
        </is>
      </c>
      <c r="Q34" s="6" t="inlineStr"/>
      <c r="R34" s="7" t="n">
        <v>87000</v>
      </c>
      <c r="S34" s="17" t="inlineStr">
        <is>
          <t>2024 Sustainability Report.</t>
        </is>
      </c>
    </row>
    <row r="35">
      <c r="A35" s="18" t="inlineStr">
        <is>
          <t>Indicator</t>
        </is>
      </c>
      <c r="B35" s="18" t="inlineStr">
        <is>
          <t>Value</t>
        </is>
      </c>
      <c r="C35" s="18" t="inlineStr">
        <is>
          <t>Benchmark Logic</t>
        </is>
      </c>
      <c r="D35" s="18" t="inlineStr">
        <is>
          <t>Score</t>
        </is>
      </c>
      <c r="E35" s="18" t="inlineStr">
        <is>
          <t>Assessment</t>
        </is>
      </c>
      <c r="F35" s="18" t="inlineStr">
        <is>
          <t>Source / Note</t>
        </is>
      </c>
      <c r="P35" s="5" t="inlineStr">
        <is>
          <t>Health screening participation %</t>
        </is>
      </c>
      <c r="Q35" s="6" t="inlineStr"/>
      <c r="R35" s="7" t="n">
        <v>84</v>
      </c>
      <c r="S35" s="17" t="inlineStr">
        <is>
          <t>2024 Sustainability Report.</t>
        </is>
      </c>
    </row>
    <row r="36">
      <c r="A36" s="19" t="inlineStr">
        <is>
          <t>Board size</t>
        </is>
      </c>
      <c r="B36" s="7">
        <f>R40</f>
        <v/>
      </c>
      <c r="C36" s="5" t="inlineStr">
        <is>
          <t>Scale / refreshment monitored qualitatively</t>
        </is>
      </c>
      <c r="D36" s="7">
        <f>IF(B36&gt;=10,80,60)</f>
        <v/>
      </c>
      <c r="E36" s="5" t="inlineStr">
        <is>
          <t>Appropriate size for a complex aggregates platform</t>
        </is>
      </c>
      <c r="F36" s="17" t="inlineStr">
        <is>
          <t>Current board size uses 2025 proxy roster.</t>
        </is>
      </c>
      <c r="H36" s="21">
        <f>IF(G46&gt;=75,"Governance is broadly supportive of the investment case. Independence and board diversity screen well, and shareholder support on pay remains strong. The main structural caveat is the combined Chair / CEO role, partly mitigated by a lead independent director.","Governance does not appear broken, but the market may still apply a modest governance discount versus peers with cleaner Chair / CEO separation and deeper board refreshment.")</f>
        <v/>
      </c>
      <c r="P36" s="5" t="inlineStr">
        <is>
          <t>Community giving ($m)</t>
        </is>
      </c>
      <c r="Q36" s="6" t="inlineStr"/>
      <c r="R36" s="7" t="n">
        <v>10</v>
      </c>
      <c r="S36" s="17" t="inlineStr">
        <is>
          <t>2024 Sustainability Report.</t>
        </is>
      </c>
    </row>
    <row r="37">
      <c r="A37" s="19" t="inlineStr">
        <is>
          <t>Board independence (%)</t>
        </is>
      </c>
      <c r="B37" s="20">
        <f>R41/100</f>
        <v/>
      </c>
      <c r="C37" s="5" t="inlineStr">
        <is>
          <t>&gt;=90% = 100, &gt;=80% = 80</t>
        </is>
      </c>
      <c r="D37" s="7">
        <f>IF(B37&gt;=90%,100,IF(B37&gt;=80%,80,60))</f>
        <v/>
      </c>
      <c r="E37" s="5" t="inlineStr">
        <is>
          <t>Strong independent oversight</t>
        </is>
      </c>
      <c r="F37" s="17" t="inlineStr">
        <is>
          <t>VMC proxy and board roster imply ~91.7% independence.</t>
        </is>
      </c>
      <c r="P37" s="5" t="inlineStr">
        <is>
          <t>Headcount</t>
        </is>
      </c>
      <c r="Q37" s="6" t="inlineStr"/>
      <c r="R37" s="7" t="n">
        <v>11971</v>
      </c>
      <c r="S37" s="17" t="inlineStr">
        <is>
          <t>2024 Sustainability Report.</t>
        </is>
      </c>
    </row>
    <row r="38">
      <c r="A38" s="19" t="inlineStr">
        <is>
          <t>Board diversity (%)</t>
        </is>
      </c>
      <c r="B38" s="20">
        <f>R42/100</f>
        <v/>
      </c>
      <c r="C38" s="5" t="inlineStr">
        <is>
          <t>&gt;=40% = 100, &gt;=30% = 80</t>
        </is>
      </c>
      <c r="D38" s="7">
        <f>IF(B38&gt;=40%,100,IF(B38&gt;=30%,80,60))</f>
        <v/>
      </c>
      <c r="E38" s="5" t="inlineStr">
        <is>
          <t>Above many U.S. heavy-materials peers</t>
        </is>
      </c>
      <c r="F38" s="17" t="inlineStr">
        <is>
          <t>42% diverse board disclosed.</t>
        </is>
      </c>
      <c r="P38" s="5" t="inlineStr">
        <is>
          <t>Training hours / employee</t>
        </is>
      </c>
      <c r="Q38" s="6" t="inlineStr"/>
      <c r="R38" s="22">
        <f>R34/R37</f>
        <v/>
      </c>
      <c r="S38" s="17" t="inlineStr">
        <is>
          <t>Derived in-sheet.</t>
        </is>
      </c>
    </row>
    <row r="39">
      <c r="A39" s="19" t="inlineStr">
        <is>
          <t>CEO / Chair split</t>
        </is>
      </c>
      <c r="B39" s="7">
        <f>IF(R43=1,"Split","Combined")</f>
        <v/>
      </c>
      <c r="C39" s="5" t="inlineStr">
        <is>
          <t>Split = 100; combined with lead independent = 60</t>
        </is>
      </c>
      <c r="D39" s="7">
        <f>IF(R43=1,100,IF(R44=1,60,20))</f>
        <v/>
      </c>
      <c r="E39" s="5" t="inlineStr">
        <is>
          <t>Combined Chair / CEO partly offset by lead independent director</t>
        </is>
      </c>
      <c r="F39" s="17" t="inlineStr">
        <is>
          <t>Chairman and CEO roles are combined.</t>
        </is>
      </c>
    </row>
    <row r="40">
      <c r="A40" s="19" t="inlineStr">
        <is>
          <t>Lead independent director</t>
        </is>
      </c>
      <c r="B40" s="7">
        <f>IF(R44=1,"Yes","No")</f>
        <v/>
      </c>
      <c r="C40" s="5" t="inlineStr">
        <is>
          <t>Supports shareholder oversight</t>
        </is>
      </c>
      <c r="D40" s="7">
        <f>IF(R44=1,100,40)</f>
        <v/>
      </c>
      <c r="E40" s="5" t="inlineStr">
        <is>
          <t>Positive mitigant to combined Chair / CEO structure</t>
        </is>
      </c>
      <c r="F40" s="17" t="inlineStr">
        <is>
          <t>Lead independent director disclosed.</t>
        </is>
      </c>
      <c r="P40" s="5" t="inlineStr">
        <is>
          <t>Board size</t>
        </is>
      </c>
      <c r="Q40" s="6" t="inlineStr"/>
      <c r="R40" s="7" t="n">
        <v>12</v>
      </c>
      <c r="S40" s="17" t="inlineStr">
        <is>
          <t>2025 proxy roster.</t>
        </is>
      </c>
    </row>
    <row r="41">
      <c r="A41" s="19" t="inlineStr">
        <is>
          <t>Say-on-pay support (%)</t>
        </is>
      </c>
      <c r="B41" s="20">
        <f>R45/100</f>
        <v/>
      </c>
      <c r="C41" s="5" t="inlineStr">
        <is>
          <t>&gt;=95% = 100, &gt;=90% = 80</t>
        </is>
      </c>
      <c r="D41" s="7">
        <f>IF(B41&gt;=95%,100,IF(B41&gt;=90%,80,60))</f>
        <v/>
      </c>
      <c r="E41" s="5" t="inlineStr">
        <is>
          <t>Shareholder support remains strong</t>
        </is>
      </c>
      <c r="F41" s="17" t="inlineStr">
        <is>
          <t>2025 proxy voting support.</t>
        </is>
      </c>
      <c r="P41" s="5" t="inlineStr">
        <is>
          <t>Board independence %</t>
        </is>
      </c>
      <c r="Q41" s="6" t="inlineStr"/>
      <c r="R41" s="7" t="n">
        <v>91.7</v>
      </c>
      <c r="S41" s="17" t="inlineStr">
        <is>
          <t>Proxy-based estimate from current board composition.</t>
        </is>
      </c>
    </row>
    <row r="42">
      <c r="A42" s="19" t="inlineStr">
        <is>
          <t>Yahoo governance risk</t>
        </is>
      </c>
      <c r="B42" s="7">
        <f>R46</f>
        <v/>
      </c>
      <c r="C42" s="5" t="inlineStr">
        <is>
          <t>Lower is better</t>
        </is>
      </c>
      <c r="D42" s="7">
        <f>IF(B42&lt;=2,100,IF(B42&lt;=5,80,IF(B42&lt;=8,60,40)))</f>
        <v/>
      </c>
      <c r="E42" s="5" t="inlineStr">
        <is>
          <t>Useful cross-peer governance risk reference only</t>
        </is>
      </c>
      <c r="F42" s="17" t="inlineStr">
        <is>
          <t>Public Yahoo Finance governance-risk metadata.</t>
        </is>
      </c>
      <c r="P42" s="5" t="inlineStr">
        <is>
          <t>Board diversity %</t>
        </is>
      </c>
      <c r="Q42" s="6" t="inlineStr"/>
      <c r="R42" s="7" t="n">
        <v>42</v>
      </c>
      <c r="S42" s="17" t="inlineStr">
        <is>
          <t>2024 sustainability report.</t>
        </is>
      </c>
    </row>
    <row r="43">
      <c r="P43" s="5" t="inlineStr">
        <is>
          <t>CEO / Chair split flag</t>
        </is>
      </c>
      <c r="Q43" s="6" t="inlineStr"/>
      <c r="R43" s="7" t="n">
        <v>0</v>
      </c>
      <c r="S43" s="17" t="inlineStr">
        <is>
          <t>Combined Chair / CEO.</t>
        </is>
      </c>
    </row>
    <row r="44">
      <c r="A44" s="3" t="inlineStr">
        <is>
          <t>E. Peer Comparison</t>
        </is>
      </c>
      <c r="P44" s="5" t="inlineStr">
        <is>
          <t>Lead independent director flag</t>
        </is>
      </c>
      <c r="Q44" s="6" t="inlineStr"/>
      <c r="R44" s="7" t="n">
        <v>1</v>
      </c>
      <c r="S44" s="17" t="inlineStr">
        <is>
          <t>Proxy disclosure.</t>
        </is>
      </c>
    </row>
    <row r="45">
      <c r="A45" s="18" t="inlineStr">
        <is>
          <t>Ticker</t>
        </is>
      </c>
      <c r="B45" s="18" t="inlineStr">
        <is>
          <t>Company</t>
        </is>
      </c>
      <c r="C45" s="18" t="inlineStr">
        <is>
          <t>Sub-sector</t>
        </is>
      </c>
      <c r="D45" s="18" t="inlineStr">
        <is>
          <t>Mkt Cap ($bn)</t>
        </is>
      </c>
      <c r="E45" s="18" t="inlineStr">
        <is>
          <t>E</t>
        </is>
      </c>
      <c r="F45" s="18" t="inlineStr">
        <is>
          <t>S</t>
        </is>
      </c>
      <c r="G45" s="18" t="inlineStr">
        <is>
          <t>G</t>
        </is>
      </c>
      <c r="H45" s="18" t="inlineStr">
        <is>
          <t>Overall</t>
        </is>
      </c>
      <c r="I45" s="18" t="inlineStr">
        <is>
          <t>Coverage</t>
        </is>
      </c>
      <c r="J45" s="18" t="inlineStr">
        <is>
          <t>Climate</t>
        </is>
      </c>
      <c r="K45" s="18" t="inlineStr">
        <is>
          <t>Safety KPI</t>
        </is>
      </c>
      <c r="L45" s="18" t="inlineStr">
        <is>
          <t>Board ind.</t>
        </is>
      </c>
      <c r="M45" s="18" t="inlineStr">
        <is>
          <t>Diverse board</t>
        </is>
      </c>
      <c r="N45" s="18" t="inlineStr">
        <is>
          <t>Rank</t>
        </is>
      </c>
      <c r="P45" s="5" t="inlineStr">
        <is>
          <t>Say-on-pay support %</t>
        </is>
      </c>
      <c r="Q45" s="6" t="inlineStr"/>
      <c r="R45" s="7" t="n">
        <v>97</v>
      </c>
      <c r="S45" s="17" t="inlineStr">
        <is>
          <t>2025 proxy.</t>
        </is>
      </c>
    </row>
    <row r="46">
      <c r="A46" s="6">
        <f>O70</f>
        <v/>
      </c>
      <c r="B46" s="5">
        <f>P70</f>
        <v/>
      </c>
      <c r="C46" s="5">
        <f>R70</f>
        <v/>
      </c>
      <c r="D46" s="23">
        <f>IF(S70="","NM",S70/1000000000)</f>
        <v/>
      </c>
      <c r="E46" s="7">
        <f>AU70</f>
        <v/>
      </c>
      <c r="F46" s="7">
        <f>AZ70</f>
        <v/>
      </c>
      <c r="G46" s="7">
        <f>BE70</f>
        <v/>
      </c>
      <c r="H46" s="7">
        <f>BF70</f>
        <v/>
      </c>
      <c r="I46" s="7">
        <f>BG70</f>
        <v/>
      </c>
      <c r="J46" s="6">
        <f>IF(V70="","NM",V70)</f>
        <v/>
      </c>
      <c r="K46" s="5">
        <f>IF(AB70&lt;&gt;"",TEXT(AB70/100,"0.0% zero-LTI"),IF(Z70&lt;&gt;"",TEXT(Z70,"0.000")&amp;" "&amp;AA70,"NM"))</f>
        <v/>
      </c>
      <c r="L46" s="6">
        <f>IF(AF70="","NM",TEXT(AF70/100,"0.0%"))</f>
        <v/>
      </c>
      <c r="M46" s="6">
        <f>IF(AG70="","NM",TEXT(AG70/100,"0.0%"))</f>
        <v/>
      </c>
      <c r="N46" s="11">
        <f>RANK.EQ(H46,$H$46:$H$51,0)</f>
        <v/>
      </c>
      <c r="P46" s="5" t="inlineStr">
        <is>
          <t>Yahoo governance risk</t>
        </is>
      </c>
      <c r="Q46" s="6" t="inlineStr"/>
      <c r="R46" s="7" t="n">
        <v>6</v>
      </c>
      <c r="S46" s="17" t="inlineStr">
        <is>
          <t>Public Yahoo metadata.</t>
        </is>
      </c>
    </row>
    <row r="47">
      <c r="A47" s="6">
        <f>O71</f>
        <v/>
      </c>
      <c r="B47" s="5">
        <f>P71</f>
        <v/>
      </c>
      <c r="C47" s="5">
        <f>R71</f>
        <v/>
      </c>
      <c r="D47" s="23">
        <f>IF(S71="","NM",S71/1000000000)</f>
        <v/>
      </c>
      <c r="E47" s="7">
        <f>AU71</f>
        <v/>
      </c>
      <c r="F47" s="7">
        <f>AZ71</f>
        <v/>
      </c>
      <c r="G47" s="7">
        <f>BE71</f>
        <v/>
      </c>
      <c r="H47" s="7">
        <f>BF71</f>
        <v/>
      </c>
      <c r="I47" s="7">
        <f>BG71</f>
        <v/>
      </c>
      <c r="J47" s="6">
        <f>IF(V71="","NM",V71)</f>
        <v/>
      </c>
      <c r="K47" s="5">
        <f>IF(AB71&lt;&gt;"",TEXT(AB71/100,"0.0% zero-LTI"),IF(Z71&lt;&gt;"",TEXT(Z71,"0.000")&amp;" "&amp;AA71,"NM"))</f>
        <v/>
      </c>
      <c r="L47" s="6">
        <f>IF(AF71="","NM",TEXT(AF71/100,"0.0%"))</f>
        <v/>
      </c>
      <c r="M47" s="6">
        <f>IF(AG71="","NM",TEXT(AG71/100,"0.0%"))</f>
        <v/>
      </c>
      <c r="N47" s="11">
        <f>RANK.EQ(H47,$H$46:$H$51,0)</f>
        <v/>
      </c>
    </row>
    <row r="48">
      <c r="A48" s="6">
        <f>O72</f>
        <v/>
      </c>
      <c r="B48" s="5">
        <f>P72</f>
        <v/>
      </c>
      <c r="C48" s="5">
        <f>R72</f>
        <v/>
      </c>
      <c r="D48" s="23">
        <f>IF(S72="","NM",S72/1000000000)</f>
        <v/>
      </c>
      <c r="E48" s="7">
        <f>AU72</f>
        <v/>
      </c>
      <c r="F48" s="7">
        <f>AZ72</f>
        <v/>
      </c>
      <c r="G48" s="7">
        <f>BE72</f>
        <v/>
      </c>
      <c r="H48" s="7">
        <f>BF72</f>
        <v/>
      </c>
      <c r="I48" s="7">
        <f>BG72</f>
        <v/>
      </c>
      <c r="J48" s="6">
        <f>IF(V72="","NM",V72)</f>
        <v/>
      </c>
      <c r="K48" s="5">
        <f>IF(AB72&lt;&gt;"",TEXT(AB72/100,"0.0% zero-LTI"),IF(Z72&lt;&gt;"",TEXT(Z72,"0.000")&amp;" "&amp;AA72,"NM"))</f>
        <v/>
      </c>
      <c r="L48" s="6">
        <f>IF(AF72="","NM",TEXT(AF72/100,"0.0%"))</f>
        <v/>
      </c>
      <c r="M48" s="6">
        <f>IF(AG72="","NM",TEXT(AG72/100,"0.0%"))</f>
        <v/>
      </c>
      <c r="N48" s="11">
        <f>RANK.EQ(H48,$H$46:$H$51,0)</f>
        <v/>
      </c>
    </row>
    <row r="49">
      <c r="A49" s="6">
        <f>O73</f>
        <v/>
      </c>
      <c r="B49" s="5">
        <f>P73</f>
        <v/>
      </c>
      <c r="C49" s="5">
        <f>R73</f>
        <v/>
      </c>
      <c r="D49" s="23">
        <f>IF(S73="","NM",S73/1000000000)</f>
        <v/>
      </c>
      <c r="E49" s="7">
        <f>AU73</f>
        <v/>
      </c>
      <c r="F49" s="7">
        <f>AZ73</f>
        <v/>
      </c>
      <c r="G49" s="7">
        <f>BE73</f>
        <v/>
      </c>
      <c r="H49" s="7">
        <f>BF73</f>
        <v/>
      </c>
      <c r="I49" s="7">
        <f>BG73</f>
        <v/>
      </c>
      <c r="J49" s="6">
        <f>IF(V73="","NM",V73)</f>
        <v/>
      </c>
      <c r="K49" s="5">
        <f>IF(AB73&lt;&gt;"",TEXT(AB73/100,"0.0% zero-LTI"),IF(Z73&lt;&gt;"",TEXT(Z73,"0.000")&amp;" "&amp;AA73,"NM"))</f>
        <v/>
      </c>
      <c r="L49" s="6">
        <f>IF(AF73="","NM",TEXT(AF73/100,"0.0%"))</f>
        <v/>
      </c>
      <c r="M49" s="6">
        <f>IF(AG73="","NM",TEXT(AG73/100,"0.0%"))</f>
        <v/>
      </c>
      <c r="N49" s="11">
        <f>RANK.EQ(H49,$H$46:$H$51,0)</f>
        <v/>
      </c>
    </row>
    <row r="50">
      <c r="A50" s="6">
        <f>O74</f>
        <v/>
      </c>
      <c r="B50" s="5">
        <f>P74</f>
        <v/>
      </c>
      <c r="C50" s="5">
        <f>R74</f>
        <v/>
      </c>
      <c r="D50" s="23">
        <f>IF(S74="","NM",S74/1000000000)</f>
        <v/>
      </c>
      <c r="E50" s="7">
        <f>AU74</f>
        <v/>
      </c>
      <c r="F50" s="7">
        <f>AZ74</f>
        <v/>
      </c>
      <c r="G50" s="7">
        <f>BE74</f>
        <v/>
      </c>
      <c r="H50" s="7">
        <f>BF74</f>
        <v/>
      </c>
      <c r="I50" s="7">
        <f>BG74</f>
        <v/>
      </c>
      <c r="J50" s="6">
        <f>IF(V74="","NM",V74)</f>
        <v/>
      </c>
      <c r="K50" s="5">
        <f>IF(AB74&lt;&gt;"",TEXT(AB74/100,"0.0% zero-LTI"),IF(Z74&lt;&gt;"",TEXT(Z74,"0.000")&amp;" "&amp;AA74,"NM"))</f>
        <v/>
      </c>
      <c r="L50" s="6">
        <f>IF(AF74="","NM",TEXT(AF74/100,"0.0%"))</f>
        <v/>
      </c>
      <c r="M50" s="6">
        <f>IF(AG74="","NM",TEXT(AG74/100,"0.0%"))</f>
        <v/>
      </c>
      <c r="N50" s="11">
        <f>RANK.EQ(H50,$H$46:$H$51,0)</f>
        <v/>
      </c>
    </row>
    <row r="51">
      <c r="A51" s="6">
        <f>O75</f>
        <v/>
      </c>
      <c r="B51" s="5">
        <f>P75</f>
        <v/>
      </c>
      <c r="C51" s="5">
        <f>R75</f>
        <v/>
      </c>
      <c r="D51" s="23">
        <f>IF(S75="","NM",S75/1000000000)</f>
        <v/>
      </c>
      <c r="E51" s="7">
        <f>AU75</f>
        <v/>
      </c>
      <c r="F51" s="7">
        <f>AZ75</f>
        <v/>
      </c>
      <c r="G51" s="7">
        <f>BE75</f>
        <v/>
      </c>
      <c r="H51" s="7">
        <f>BF75</f>
        <v/>
      </c>
      <c r="I51" s="7">
        <f>BG75</f>
        <v/>
      </c>
      <c r="J51" s="6">
        <f>IF(V75="","NM",V75)</f>
        <v/>
      </c>
      <c r="K51" s="5">
        <f>IF(AB75&lt;&gt;"",TEXT(AB75/100,"0.0% zero-LTI"),IF(Z75&lt;&gt;"",TEXT(Z75,"0.000")&amp;" "&amp;AA75,"NM"))</f>
        <v/>
      </c>
      <c r="L51" s="6">
        <f>IF(AF75="","NM",TEXT(AF75/100,"0.0%"))</f>
        <v/>
      </c>
      <c r="M51" s="6">
        <f>IF(AG75="","NM",TEXT(AG75/100,"0.0%"))</f>
        <v/>
      </c>
      <c r="N51" s="11">
        <f>RANK.EQ(H51,$H$46:$H$51,0)</f>
        <v/>
      </c>
    </row>
    <row r="52"/>
    <row r="53">
      <c r="A53" s="3" t="inlineStr">
        <is>
          <t>F. ESG Materiality &amp; Valuation Impact</t>
        </is>
      </c>
    </row>
    <row r="54">
      <c r="A54" s="18" t="inlineStr">
        <is>
          <t>ESG factor</t>
        </is>
      </c>
      <c r="B54" s="18" t="inlineStr">
        <is>
          <t>Channel of impact</t>
        </is>
      </c>
      <c r="C54" s="18" t="inlineStr">
        <is>
          <t>Financial line</t>
        </is>
      </c>
      <c r="D54" s="18" t="inlineStr">
        <is>
          <t>Direction</t>
        </is>
      </c>
      <c r="E54" s="18" t="inlineStr">
        <is>
          <t>Horizon</t>
        </is>
      </c>
      <c r="F54" s="18" t="inlineStr">
        <is>
          <t>Valuation implication</t>
        </is>
      </c>
    </row>
    <row r="55">
      <c r="A55" s="5" t="inlineStr">
        <is>
          <t>Carbon / diesel / power costs</t>
        </is>
      </c>
      <c r="B55" s="5" t="inlineStr">
        <is>
          <t>Energy inflation and carbon regulation</t>
        </is>
      </c>
      <c r="C55" s="5" t="inlineStr">
        <is>
          <t>COGS, capex, FCF</t>
        </is>
      </c>
      <c r="D55" s="5" t="inlineStr">
        <is>
          <t>Negative if unmanaged</t>
        </is>
      </c>
      <c r="E55" s="5" t="inlineStr">
        <is>
          <t>Medium / long</t>
        </is>
      </c>
      <c r="F55" s="5" t="inlineStr">
        <is>
          <t>Supports a higher execution premium for low-carbon operating discipline; can pressure margin and terminal assumptions.</t>
        </is>
      </c>
    </row>
    <row r="56">
      <c r="A56" s="5" t="inlineStr">
        <is>
          <t>Quarry permitting / social license</t>
        </is>
      </c>
      <c r="B56" s="5" t="inlineStr">
        <is>
          <t>Site approvals and reserve access</t>
        </is>
      </c>
      <c r="C56" s="5" t="inlineStr">
        <is>
          <t>Volume growth, asset life</t>
        </is>
      </c>
      <c r="D56" s="5" t="inlineStr">
        <is>
          <t>Negative if delayed</t>
        </is>
      </c>
      <c r="E56" s="5" t="inlineStr">
        <is>
          <t>Long</t>
        </is>
      </c>
      <c r="F56" s="5" t="inlineStr">
        <is>
          <t>Can affect growth duration, replacement capex, and reserve valuation.</t>
        </is>
      </c>
    </row>
    <row r="57">
      <c r="A57" s="5" t="inlineStr">
        <is>
          <t>Safety performance</t>
        </is>
      </c>
      <c r="B57" s="5" t="inlineStr">
        <is>
          <t>Operational continuity, insurance, litigation</t>
        </is>
      </c>
      <c r="C57" s="5" t="inlineStr">
        <is>
          <t>Operating margin, working capital</t>
        </is>
      </c>
      <c r="D57" s="5" t="inlineStr">
        <is>
          <t>Positive if sustained</t>
        </is>
      </c>
      <c r="E57" s="5" t="inlineStr">
        <is>
          <t>Short / medium</t>
        </is>
      </c>
      <c r="F57" s="5" t="inlineStr">
        <is>
          <t>Best-in-class safety can lower disruption risk and support a tighter multiple range.</t>
        </is>
      </c>
    </row>
    <row r="58">
      <c r="A58" s="5" t="inlineStr">
        <is>
          <t>Governance discipline</t>
        </is>
      </c>
      <c r="B58" s="5" t="inlineStr">
        <is>
          <t>Capital allocation and M&amp;A underwriting</t>
        </is>
      </c>
      <c r="C58" s="5" t="inlineStr">
        <is>
          <t>ROIC, leverage, buybacks</t>
        </is>
      </c>
      <c r="D58" s="5" t="inlineStr">
        <is>
          <t>Positive</t>
        </is>
      </c>
      <c r="E58" s="5" t="inlineStr">
        <is>
          <t>Medium</t>
        </is>
      </c>
      <c r="F58" s="5" t="inlineStr">
        <is>
          <t>Stronger governance can justify a lower risk premium and better confidence in reinvestment assumptions.</t>
        </is>
      </c>
    </row>
    <row r="59">
      <c r="A59" s="5" t="inlineStr">
        <is>
          <t>Low-carbon product mix / recycling</t>
        </is>
      </c>
      <c r="B59" s="5" t="inlineStr">
        <is>
          <t>Customer retention and mix</t>
        </is>
      </c>
      <c r="C59" s="5" t="inlineStr">
        <is>
          <t>Revenue mix, gross margin</t>
        </is>
      </c>
      <c r="D59" s="5" t="inlineStr">
        <is>
          <t>Positive</t>
        </is>
      </c>
      <c r="E59" s="5" t="inlineStr">
        <is>
          <t>Medium / long</t>
        </is>
      </c>
      <c r="F59" s="5" t="inlineStr">
        <is>
          <t>Incremental upside to premium mix, especially if infrastructure customers increasingly value embodied-carbon performance.</t>
        </is>
      </c>
    </row>
    <row r="60"/>
    <row r="61">
      <c r="A61" s="3" t="inlineStr">
        <is>
          <t>G. Key ESG Risks and Opportunities</t>
        </is>
      </c>
    </row>
    <row r="62">
      <c r="A62" s="18" t="inlineStr">
        <is>
          <t>Category</t>
        </is>
      </c>
      <c r="B62" s="18" t="inlineStr">
        <is>
          <t>Type</t>
        </is>
      </c>
      <c r="C62" s="18" t="inlineStr">
        <is>
          <t>Description</t>
        </is>
      </c>
      <c r="D62" s="18" t="inlineStr">
        <is>
          <t>Likelihood</t>
        </is>
      </c>
      <c r="E62" s="18" t="inlineStr">
        <is>
          <t>Financial impact</t>
        </is>
      </c>
      <c r="F62" s="18" t="inlineStr">
        <is>
          <t>Monitoring KPI</t>
        </is>
      </c>
      <c r="G62" s="18" t="inlineStr">
        <is>
          <t>Analyst view</t>
        </is>
      </c>
    </row>
    <row r="63">
      <c r="A63" s="5" t="inlineStr">
        <is>
          <t>E</t>
        </is>
      </c>
      <c r="B63" s="5" t="inlineStr">
        <is>
          <t>Risk</t>
        </is>
      </c>
      <c r="C63" s="5" t="inlineStr">
        <is>
          <t>Carbon / energy cost inflation exceeds pricing recovery</t>
        </is>
      </c>
      <c r="D63" s="5" t="inlineStr">
        <is>
          <t>Medium</t>
        </is>
      </c>
      <c r="E63" s="5" t="inlineStr">
        <is>
          <t>High</t>
        </is>
      </c>
      <c r="F63" s="5" t="inlineStr">
        <is>
          <t>Energy index, fuel mix, emissions trend</t>
        </is>
      </c>
      <c r="G63" s="5" t="inlineStr">
        <is>
          <t>Key margin sensitivity for a diesel- and quarry-intensive business.</t>
        </is>
      </c>
    </row>
    <row r="64">
      <c r="A64" s="5" t="inlineStr">
        <is>
          <t>S</t>
        </is>
      </c>
      <c r="B64" s="5" t="inlineStr">
        <is>
          <t>Risk</t>
        </is>
      </c>
      <c r="C64" s="5" t="inlineStr">
        <is>
          <t>Safety deterioration or major site incident</t>
        </is>
      </c>
      <c r="D64" s="5" t="inlineStr">
        <is>
          <t>Low / medium</t>
        </is>
      </c>
      <c r="E64" s="5" t="inlineStr">
        <is>
          <t>High</t>
        </is>
      </c>
      <c r="F64" s="5" t="inlineStr">
        <is>
          <t>Zero-LTI facilities %, incident rates</t>
        </is>
      </c>
      <c r="G64" s="5" t="inlineStr">
        <is>
          <t>Would carry direct operating and reputational consequences.</t>
        </is>
      </c>
    </row>
    <row r="65">
      <c r="A65" s="5" t="inlineStr">
        <is>
          <t>G</t>
        </is>
      </c>
      <c r="B65" s="5" t="inlineStr">
        <is>
          <t>Risk</t>
        </is>
      </c>
      <c r="C65" s="5" t="inlineStr">
        <is>
          <t>Governance credibility weakened by poor capital allocation</t>
        </is>
      </c>
      <c r="D65" s="5" t="inlineStr">
        <is>
          <t>Medium</t>
        </is>
      </c>
      <c r="E65" s="5" t="inlineStr">
        <is>
          <t>Medium</t>
        </is>
      </c>
      <c r="F65" s="5" t="inlineStr">
        <is>
          <t>ROIC, leverage, M&amp;A returns</t>
        </is>
      </c>
      <c r="G65" s="5" t="inlineStr">
        <is>
          <t>Most relevant if aggregate-cycle M&amp;A accelerates.</t>
        </is>
      </c>
    </row>
    <row r="66">
      <c r="A66" s="5" t="inlineStr">
        <is>
          <t>E</t>
        </is>
      </c>
      <c r="B66" s="5" t="inlineStr">
        <is>
          <t>Opportunity</t>
        </is>
      </c>
      <c r="C66" s="5" t="inlineStr">
        <is>
          <t>Higher recycled / low-carbon mix wins incremental business</t>
        </is>
      </c>
      <c r="D66" s="5" t="inlineStr">
        <is>
          <t>Medium</t>
        </is>
      </c>
      <c r="E66" s="5" t="inlineStr">
        <is>
          <t>Medium</t>
        </is>
      </c>
      <c r="F66" s="5" t="inlineStr">
        <is>
          <t>Recycled tons, low-carbon product adoption</t>
        </is>
      </c>
      <c r="G66" s="5" t="inlineStr">
        <is>
          <t>Can support mix, customer retention, and infrastructure positioning.</t>
        </is>
      </c>
    </row>
    <row r="67">
      <c r="A67" s="5" t="inlineStr">
        <is>
          <t>S</t>
        </is>
      </c>
      <c r="B67" s="5" t="inlineStr">
        <is>
          <t>Opportunity</t>
        </is>
      </c>
      <c r="C67" s="5" t="inlineStr">
        <is>
          <t>Sustained safety leadership improves execution and labor retention</t>
        </is>
      </c>
      <c r="D67" s="5" t="inlineStr">
        <is>
          <t>High</t>
        </is>
      </c>
      <c r="E67" s="5" t="inlineStr">
        <is>
          <t>Medium</t>
        </is>
      </c>
      <c r="F67" s="5" t="inlineStr">
        <is>
          <t>Turnover, training hours, zero-LTI sites</t>
        </is>
      </c>
      <c r="G67" s="5" t="inlineStr">
        <is>
          <t>Operational resilience is a real differentiator in heavy materials.</t>
        </is>
      </c>
    </row>
    <row r="68">
      <c r="A68" s="5" t="inlineStr">
        <is>
          <t>G</t>
        </is>
      </c>
      <c r="B68" s="5" t="inlineStr">
        <is>
          <t>Opportunity</t>
        </is>
      </c>
      <c r="C68" s="5" t="inlineStr">
        <is>
          <t>Disciplined governance supports lower perceived risk premium</t>
        </is>
      </c>
      <c r="D68" s="5" t="inlineStr">
        <is>
          <t>Medium</t>
        </is>
      </c>
      <c r="E68" s="5" t="inlineStr">
        <is>
          <t>Medium</t>
        </is>
      </c>
      <c r="F68" s="5" t="inlineStr">
        <is>
          <t>Board composition, pay alignment, governance risk</t>
        </is>
      </c>
      <c r="G68" s="5" t="inlineStr">
        <is>
          <t>Supports confidence in valuation multiples and capital return policy.</t>
        </is>
      </c>
    </row>
    <row r="69">
      <c r="O69" s="18" t="inlineStr">
        <is>
          <t>Ticker</t>
        </is>
      </c>
      <c r="P69" s="18" t="inlineStr">
        <is>
          <t>Company</t>
        </is>
      </c>
      <c r="Q69" s="18" t="inlineStr">
        <is>
          <t>ESG FY</t>
        </is>
      </c>
      <c r="R69" s="18" t="inlineStr">
        <is>
          <t>Sub-sector</t>
        </is>
      </c>
      <c r="S69" s="18" t="inlineStr">
        <is>
          <t>Market Cap</t>
        </is>
      </c>
      <c r="T69" s="18" t="inlineStr">
        <is>
          <t>Revenue</t>
        </is>
      </c>
      <c r="U69" s="18" t="inlineStr">
        <is>
          <t>Scope Disclosed</t>
        </is>
      </c>
      <c r="V69" s="18" t="inlineStr">
        <is>
          <t>Climate Target</t>
        </is>
      </c>
      <c r="W69" s="18" t="inlineStr">
        <is>
          <t>Renewable %</t>
        </is>
      </c>
      <c r="X69" s="18" t="inlineStr">
        <is>
          <t>Emissions Chg %</t>
        </is>
      </c>
      <c r="Y69" s="18" t="inlineStr">
        <is>
          <t>Emissions Intensity</t>
        </is>
      </c>
      <c r="Z69" s="18" t="inlineStr">
        <is>
          <t>Safety Metric</t>
        </is>
      </c>
      <c r="AA69" s="18" t="inlineStr">
        <is>
          <t>Safety Label</t>
        </is>
      </c>
      <c r="AB69" s="18" t="inlineStr">
        <is>
          <t>Zero LTI %</t>
        </is>
      </c>
      <c r="AC69" s="18" t="inlineStr">
        <is>
          <t>Turnover %</t>
        </is>
      </c>
      <c r="AD69" s="18" t="inlineStr">
        <is>
          <t>Training Hours</t>
        </is>
      </c>
      <c r="AE69" s="18" t="inlineStr">
        <is>
          <t>Workforce Flag</t>
        </is>
      </c>
      <c r="AF69" s="18" t="inlineStr">
        <is>
          <t>Board Independence %</t>
        </is>
      </c>
      <c r="AG69" s="18" t="inlineStr">
        <is>
          <t>Board Diversity %</t>
        </is>
      </c>
      <c r="AH69" s="18" t="inlineStr">
        <is>
          <t>CEO/Chair Split</t>
        </is>
      </c>
      <c r="AI69" s="18" t="inlineStr">
        <is>
          <t>Lead Independent</t>
        </is>
      </c>
      <c r="AJ69" s="18" t="inlineStr">
        <is>
          <t>Gov Risk</t>
        </is>
      </c>
      <c r="AK69" s="18" t="inlineStr">
        <is>
          <t>Ethics Flag</t>
        </is>
      </c>
      <c r="AL69" s="18" t="inlineStr">
        <is>
          <t>Coverage Note</t>
        </is>
      </c>
      <c r="AM69" s="18" t="inlineStr">
        <is>
          <t>Source E</t>
        </is>
      </c>
      <c r="AN69" s="18" t="inlineStr">
        <is>
          <t>Source S</t>
        </is>
      </c>
      <c r="AO69" s="18" t="inlineStr">
        <is>
          <t>Source G</t>
        </is>
      </c>
      <c r="AP69" s="18" t="inlineStr">
        <is>
          <t>Env Perf</t>
        </is>
      </c>
      <c r="AQ69" s="18" t="inlineStr">
        <is>
          <t>E Disclosure</t>
        </is>
      </c>
      <c r="AR69" s="18" t="inlineStr">
        <is>
          <t>E Target</t>
        </is>
      </c>
      <c r="AS69" s="18" t="inlineStr">
        <is>
          <t>E Renewable</t>
        </is>
      </c>
      <c r="AT69" s="18" t="inlineStr">
        <is>
          <t>E Performance</t>
        </is>
      </c>
      <c r="AU69" s="18" t="inlineStr">
        <is>
          <t>E Pillar</t>
        </is>
      </c>
      <c r="AV69" s="18" t="inlineStr">
        <is>
          <t>S Disclosure</t>
        </is>
      </c>
      <c r="AW69" s="18" t="inlineStr">
        <is>
          <t>S Safety</t>
        </is>
      </c>
      <c r="AX69" s="18" t="inlineStr">
        <is>
          <t>S Turnover</t>
        </is>
      </c>
      <c r="AY69" s="18" t="inlineStr">
        <is>
          <t>S Workforce</t>
        </is>
      </c>
      <c r="AZ69" s="18" t="inlineStr">
        <is>
          <t>S Pillar</t>
        </is>
      </c>
      <c r="BA69" s="18" t="inlineStr">
        <is>
          <t>G Structure</t>
        </is>
      </c>
      <c r="BB69" s="18" t="inlineStr">
        <is>
          <t>G Diversity</t>
        </is>
      </c>
      <c r="BC69" s="18" t="inlineStr">
        <is>
          <t>G Risk</t>
        </is>
      </c>
      <c r="BD69" s="18" t="inlineStr">
        <is>
          <t>G Ethics</t>
        </is>
      </c>
      <c r="BE69" s="18" t="inlineStr">
        <is>
          <t>G Pillar</t>
        </is>
      </c>
      <c r="BF69" s="18" t="inlineStr">
        <is>
          <t>Overall</t>
        </is>
      </c>
      <c r="BG69" s="18" t="inlineStr">
        <is>
          <t>Coverage %</t>
        </is>
      </c>
    </row>
    <row r="70">
      <c r="A70" s="3" t="inlineStr">
        <is>
          <t>H. Analyst Commentary / Investment Takeaway</t>
        </is>
      </c>
      <c r="O70" s="24" t="inlineStr">
        <is>
          <t>VMC</t>
        </is>
      </c>
      <c r="P70" s="24" t="inlineStr">
        <is>
          <t>Vulcan Materials Company</t>
        </is>
      </c>
      <c r="Q70" s="24" t="n">
        <v>2024</v>
      </c>
      <c r="R70" s="24" t="inlineStr">
        <is>
          <t>Construction Materials / Aggregates</t>
        </is>
      </c>
      <c r="S70" s="24" t="n">
        <v>35939606528</v>
      </c>
      <c r="T70" s="24" t="n">
        <v>7941100032</v>
      </c>
      <c r="U70" s="24" t="n">
        <v>1</v>
      </c>
      <c r="V70" s="24" t="n">
        <v>2030</v>
      </c>
      <c r="W70" s="24" t="n">
        <v>13</v>
      </c>
      <c r="X70" s="24" t="n">
        <v>-3.6</v>
      </c>
      <c r="Y70" s="24" t="n"/>
      <c r="Z70" s="24" t="n"/>
      <c r="AA70" s="24" t="n"/>
      <c r="AB70" s="24" t="n">
        <v>91.7</v>
      </c>
      <c r="AC70" s="24" t="n">
        <v>20</v>
      </c>
      <c r="AD70" s="24" t="n">
        <v>87000</v>
      </c>
      <c r="AE70" s="24" t="n">
        <v>1</v>
      </c>
      <c r="AF70" s="24" t="n">
        <v>91.7</v>
      </c>
      <c r="AG70" s="24" t="n">
        <v>42</v>
      </c>
      <c r="AH70" s="24" t="n">
        <v>0</v>
      </c>
      <c r="AI70" s="24" t="n">
        <v>1</v>
      </c>
      <c r="AJ70" s="24" t="n">
        <v>6</v>
      </c>
      <c r="AK70" s="24" t="n">
        <v>1</v>
      </c>
      <c r="AL70" s="24" t="inlineStr">
        <is>
          <t>High official disclosure; 2024 sustainability report and 2025 proxy.</t>
        </is>
      </c>
      <c r="AM70" s="24" t="inlineStr">
        <is>
          <t>Vulcan Materials 2024 Sustainability Report (official company report).</t>
        </is>
      </c>
      <c r="AN70" s="24" t="inlineStr">
        <is>
          <t>Vulcan Materials 2024 Sustainability Report (safety, turnover, training, community).</t>
        </is>
      </c>
      <c r="AO70" s="24" t="inlineStr">
        <is>
          <t>Vulcan Materials 2025 Proxy Statement + Yahoo Finance governance risk metadata.</t>
        </is>
      </c>
      <c r="AP70" s="25">
        <f>IF((IF(W70&lt;&gt;"",1,0)+IF(X70&lt;&gt;"",1,0)+IF(Y70&lt;&gt;"",1,0))=0,"",(IF(W70&lt;&gt;"",IF(W70&gt;=25,100,IF(W70&gt;=15,80,IF(W70&gt;=5,60,IF(W70&gt;0,40,20)))),0)+IF(X70&lt;&gt;"",IF(X70&lt;=-20,100,IF(X70&lt;0,80,IF(X70=0,60,IF(X70&lt;=5,40,20)))),0)+IF(Y70&lt;&gt;"",IF(Y70&lt;=25,100,IF(Y70&lt;=45,80,IF(Y70&lt;=70,60,40))),0))/(IF(W70&lt;&gt;"",1,0)+IF(X70&lt;&gt;"",1,0)+IF(Y70&lt;&gt;"",1,0)))</f>
        <v/>
      </c>
      <c r="AQ70" s="25">
        <f>((IF(U70&lt;&gt;"",1,0)+IF(V70&lt;&gt;"",1,0)+IF(W70&lt;&gt;"",1,0)+IF(X70&lt;&gt;"",1,0)+IF(Y70&lt;&gt;"",1,0))/5)*100</f>
        <v/>
      </c>
      <c r="AR70" s="25">
        <f>IF(V70="","",IF(V70&lt;=2030,100,IF(V70&lt;=2050,80,60)))</f>
        <v/>
      </c>
      <c r="AS70" s="25">
        <f>IF(W70="","",IF(W70&gt;=25,100,IF(W70&gt;=15,80,IF(W70&gt;=5,60,IF(W70&gt;0,40,20)))))</f>
        <v/>
      </c>
      <c r="AT70" s="25">
        <f>AP70</f>
        <v/>
      </c>
      <c r="AU70" s="25">
        <f>IF(COUNT(AQ70,AR70,AT70)=0,"",(AQ70+IFERROR(AR70,0)+IFERROR(AT70,0))/(1+IF(AR70="",0,1)+IF(AT70="",0,1)))</f>
        <v/>
      </c>
      <c r="AV70" s="25">
        <f>((IF(Z70&lt;&gt;"",1,0)+IF(AB70&lt;&gt;"",1,0)+IF(AC70&lt;&gt;"",1,0)+IF(AD70&lt;&gt;"",1,0)+IF(AE70&lt;&gt;"",1,0))/5)*100</f>
        <v/>
      </c>
      <c r="AW70" s="25">
        <f>IF(AB70&lt;&gt;"",IF(AB70&gt;=95,100,IF(AB70&gt;=90,80,IF(AB70&gt;=80,60,40))),IF(Z70="","",IF(Z70&lt;=0.2,100,IF(Z70&lt;=0.5,80,IF(Z70&lt;=1.0,60,IF(Z70&lt;=1.5,40,20))))))</f>
        <v/>
      </c>
      <c r="AX70" s="25">
        <f>IF(AC70="","",IF(AC70&lt;=10,100,IF(AC70&lt;=15,80,IF(AC70&lt;=20,60,IF(AC70&lt;=25,40,20)))))</f>
        <v/>
      </c>
      <c r="AY70" s="25">
        <f>IF(COUNT(AD70,AE70)=0,"",(IF(AD70="","",IF(AD70&gt;=50000,100,IF(AD70&gt;=10000,80,60)))+IF(AE70="","",IF(AE70=1,100,40)))/(IF(AD70="",0,1)+IF(AE70="",0,1)))</f>
        <v/>
      </c>
      <c r="AZ70" s="25">
        <f>IF(COUNT(AV70:AY70)=0,"",(AV70+IFERROR(AW70,0)+IFERROR(AX70,0)+IFERROR(AY70,0))/(1+IF(AW70="",0,1)+IF(AX70="",0,1)+IF(AY70="",0,1)))</f>
        <v/>
      </c>
      <c r="BA70" s="25">
        <f>IF(COUNT(AF70,AH70,AI70)=0,"",(IF(AF70="","",IF(AF70&gt;=90,100,IF(AF70&gt;=80,80,IF(AF70&gt;=70,60,40))))+IF(AH70="","",IF(AH70=1,100,IF(AI70=1,60,20))))/(IF(AF70="",0,1)+IF(AH70="",0,1)))</f>
        <v/>
      </c>
      <c r="BB70" s="25">
        <f>IF(AG70="","",IF(AG70&gt;=40,100,IF(AG70&gt;=30,80,IF(AG70&gt;=20,60,IF(AG70&gt;=10,40,20)))))</f>
        <v/>
      </c>
      <c r="BC70" s="25">
        <f>IF(AJ70="","",IF(AJ70&lt;=2,100,IF(AJ70&lt;=5,80,IF(AJ70&lt;=8,60,40))))</f>
        <v/>
      </c>
      <c r="BD70" s="25">
        <f>IF(AK70="","",IF(AK70=1,100,40))</f>
        <v/>
      </c>
      <c r="BE70" s="25">
        <f>IF(COUNT(BA70:BD70)=0,"",(IFERROR(BA70,0)+IFERROR(BB70,0)+IFERROR(BC70,0)+IFERROR(BD70,0))/(IF(BA70="",0,1)+IF(BB70="",0,1)+IF(BC70="",0,1)+IF(BD70="",0,1)))</f>
        <v/>
      </c>
      <c r="BF70" s="25">
        <f>IF(COUNT(AU70,AZ70,BE70)=0,"",((IF(AU70="",0,AU70*$K$5)+IF(AZ70="",0,AZ70*$K$6)+IF(BE70="",0,BE70*$K$7)) / ((IF(AU70="",0,$K$5)+IF(AZ70="",0,$K$6)+IF(BE70="",0,$K$7))))</f>
        <v/>
      </c>
      <c r="BG70" s="25">
        <f>((IF(U70&lt;&gt;"",1,0)+IF(V70&lt;&gt;"",1,0)+IF(W70&lt;&gt;"",1,0)+IF(X70&lt;&gt;"",1,0)+IF(Z70&lt;&gt;"",1,0)+IF(AB70&lt;&gt;"",1,0)+IF(AC70&lt;&gt;"",1,0)+IF(AF70&lt;&gt;"",1,0)+IF(AG70&lt;&gt;"",1,0)+IF(AH70&lt;&gt;"",1,0)+IF(AJ70&lt;&gt;"",1,0))/11)*100</f>
        <v/>
      </c>
    </row>
    <row r="71" ht="28" customHeight="1">
      <c r="A71" s="21">
        <f>IF(H46&gt;=AVERAGE($H$46:$H$51),"VMC ranks above the peer-group average on the internal ESG screen.","VMC ranks below the peer-group average on the internal ESG screen.")&amp;" It currently ranks #"&amp;N46&amp;" out of "&amp;ROWS($A$46:$A$51)&amp;" peers."</f>
        <v/>
      </c>
      <c r="O71" s="24" t="inlineStr">
        <is>
          <t>MLM</t>
        </is>
      </c>
      <c r="P71" s="24" t="inlineStr">
        <is>
          <t>Martin Marietta Materials</t>
        </is>
      </c>
      <c r="Q71" s="24" t="n">
        <v>2024</v>
      </c>
      <c r="R71" s="24" t="inlineStr">
        <is>
          <t>Construction Materials / Aggregates</t>
        </is>
      </c>
      <c r="S71" s="24" t="n">
        <v>36641980416</v>
      </c>
      <c r="T71" s="24" t="n">
        <v>6150000128</v>
      </c>
      <c r="U71" s="24" t="n">
        <v>1</v>
      </c>
      <c r="V71" s="24" t="n">
        <v>2050</v>
      </c>
      <c r="W71" s="24" t="n"/>
      <c r="X71" s="24" t="n"/>
      <c r="Y71" s="24" t="n"/>
      <c r="Z71" s="24" t="n">
        <v>0.129</v>
      </c>
      <c r="AA71" s="24" t="inlineStr">
        <is>
          <t>LTIR</t>
        </is>
      </c>
      <c r="AB71" s="24" t="n">
        <v>99.90000000000001</v>
      </c>
      <c r="AC71" s="24" t="n"/>
      <c r="AD71" s="24" t="n"/>
      <c r="AE71" s="24" t="n">
        <v>1</v>
      </c>
      <c r="AF71" s="24" t="n">
        <v>90</v>
      </c>
      <c r="AG71" s="24" t="n">
        <v>44</v>
      </c>
      <c r="AH71" s="24" t="n">
        <v>0</v>
      </c>
      <c r="AI71" s="24" t="n">
        <v>1</v>
      </c>
      <c r="AJ71" s="24" t="n">
        <v>8</v>
      </c>
      <c r="AK71" s="24" t="n">
        <v>1</v>
      </c>
      <c r="AL71" s="24" t="inlineStr">
        <is>
          <t>High official disclosure; 2024 sustainability report and 2025 proxy search disclosures.</t>
        </is>
      </c>
      <c r="AM71" s="24" t="inlineStr">
        <is>
          <t>Martin Marietta 2024 Sustainability Report (Scope 1 disclosure and net-zero ambition).</t>
        </is>
      </c>
      <c r="AN71" s="24" t="inlineStr">
        <is>
          <t>Martin Marietta 2024 Sustainability Report (LTIR 0.129, TIIR 0.650, 99.9% zero lost-time incidents).</t>
        </is>
      </c>
      <c r="AO71" s="24" t="inlineStr">
        <is>
          <t>Martin Marietta 2025 Proxy Statement search disclosure + Yahoo Finance governance risk metadata.</t>
        </is>
      </c>
      <c r="AP71" s="25">
        <f>IF((IF(W71&lt;&gt;"",1,0)+IF(X71&lt;&gt;"",1,0)+IF(Y71&lt;&gt;"",1,0))=0,"",(IF(W71&lt;&gt;"",IF(W71&gt;=25,100,IF(W71&gt;=15,80,IF(W71&gt;=5,60,IF(W71&gt;0,40,20)))),0)+IF(X71&lt;&gt;"",IF(X71&lt;=-20,100,IF(X71&lt;0,80,IF(X71=0,60,IF(X71&lt;=5,40,20)))),0)+IF(Y71&lt;&gt;"",IF(Y71&lt;=25,100,IF(Y71&lt;=45,80,IF(Y71&lt;=70,60,40))),0))/(IF(W71&lt;&gt;"",1,0)+IF(X71&lt;&gt;"",1,0)+IF(Y71&lt;&gt;"",1,0)))</f>
        <v/>
      </c>
      <c r="AQ71" s="25">
        <f>((IF(U71&lt;&gt;"",1,0)+IF(V71&lt;&gt;"",1,0)+IF(W71&lt;&gt;"",1,0)+IF(X71&lt;&gt;"",1,0)+IF(Y71&lt;&gt;"",1,0))/5)*100</f>
        <v/>
      </c>
      <c r="AR71" s="25">
        <f>IF(V71="","",IF(V71&lt;=2030,100,IF(V71&lt;=2050,80,60)))</f>
        <v/>
      </c>
      <c r="AS71" s="25">
        <f>IF(W71="","",IF(W71&gt;=25,100,IF(W71&gt;=15,80,IF(W71&gt;=5,60,IF(W71&gt;0,40,20)))))</f>
        <v/>
      </c>
      <c r="AT71" s="25">
        <f>AP71</f>
        <v/>
      </c>
      <c r="AU71" s="25">
        <f>IF(COUNT(AQ71,AR71,AT71)=0,"",(AQ71+IFERROR(AR71,0)+IFERROR(AT71,0))/(1+IF(AR71="",0,1)+IF(AT71="",0,1)))</f>
        <v/>
      </c>
      <c r="AV71" s="25">
        <f>((IF(Z71&lt;&gt;"",1,0)+IF(AB71&lt;&gt;"",1,0)+IF(AC71&lt;&gt;"",1,0)+IF(AD71&lt;&gt;"",1,0)+IF(AE71&lt;&gt;"",1,0))/5)*100</f>
        <v/>
      </c>
      <c r="AW71" s="25">
        <f>IF(AB71&lt;&gt;"",IF(AB71&gt;=95,100,IF(AB71&gt;=90,80,IF(AB71&gt;=80,60,40))),IF(Z71="","",IF(Z71&lt;=0.2,100,IF(Z71&lt;=0.5,80,IF(Z71&lt;=1.0,60,IF(Z71&lt;=1.5,40,20))))))</f>
        <v/>
      </c>
      <c r="AX71" s="25">
        <f>IF(AC71="","",IF(AC71&lt;=10,100,IF(AC71&lt;=15,80,IF(AC71&lt;=20,60,IF(AC71&lt;=25,40,20)))))</f>
        <v/>
      </c>
      <c r="AY71" s="25">
        <f>IF(COUNT(AD71,AE71)=0,"",(IF(AD71="","",IF(AD71&gt;=50000,100,IF(AD71&gt;=10000,80,60)))+IF(AE71="","",IF(AE71=1,100,40)))/(IF(AD71="",0,1)+IF(AE71="",0,1)))</f>
        <v/>
      </c>
      <c r="AZ71" s="25">
        <f>IF(COUNT(AV71:AY71)=0,"",(AV71+IFERROR(AW71,0)+IFERROR(AX71,0)+IFERROR(AY71,0))/(1+IF(AW71="",0,1)+IF(AX71="",0,1)+IF(AY71="",0,1)))</f>
        <v/>
      </c>
      <c r="BA71" s="25">
        <f>IF(COUNT(AF71,AH71,AI71)=0,"",(IF(AF71="","",IF(AF71&gt;=90,100,IF(AF71&gt;=80,80,IF(AF71&gt;=70,60,40))))+IF(AH71="","",IF(AH71=1,100,IF(AI71=1,60,20))))/(IF(AF71="",0,1)+IF(AH71="",0,1)))</f>
        <v/>
      </c>
      <c r="BB71" s="25">
        <f>IF(AG71="","",IF(AG71&gt;=40,100,IF(AG71&gt;=30,80,IF(AG71&gt;=20,60,IF(AG71&gt;=10,40,20)))))</f>
        <v/>
      </c>
      <c r="BC71" s="25">
        <f>IF(AJ71="","",IF(AJ71&lt;=2,100,IF(AJ71&lt;=5,80,IF(AJ71&lt;=8,60,40))))</f>
        <v/>
      </c>
      <c r="BD71" s="25">
        <f>IF(AK71="","",IF(AK71=1,100,40))</f>
        <v/>
      </c>
      <c r="BE71" s="25">
        <f>IF(COUNT(BA71:BD71)=0,"",(IFERROR(BA71,0)+IFERROR(BB71,0)+IFERROR(BC71,0)+IFERROR(BD71,0))/(IF(BA71="",0,1)+IF(BB71="",0,1)+IF(BC71="",0,1)+IF(BD71="",0,1)))</f>
        <v/>
      </c>
      <c r="BF71" s="25">
        <f>IF(COUNT(AU71,AZ71,BE71)=0,"",((IF(AU71="",0,AU71*$K$5)+IF(AZ71="",0,AZ71*$K$6)+IF(BE71="",0,BE71*$K$7)) / ((IF(AU71="",0,$K$5)+IF(AZ71="",0,$K$6)+IF(BE71="",0,$K$7))))</f>
        <v/>
      </c>
      <c r="BG71" s="25">
        <f>((IF(U71&lt;&gt;"",1,0)+IF(V71&lt;&gt;"",1,0)+IF(W71&lt;&gt;"",1,0)+IF(X71&lt;&gt;"",1,0)+IF(Z71&lt;&gt;"",1,0)+IF(AB71&lt;&gt;"",1,0)+IF(AC71&lt;&gt;"",1,0)+IF(AF71&lt;&gt;"",1,0)+IF(AG71&lt;&gt;"",1,0)+IF(AH71&lt;&gt;"",1,0)+IF(AJ71&lt;&gt;"",1,0))/11)*100</f>
        <v/>
      </c>
    </row>
    <row r="72" ht="28" customHeight="1">
      <c r="A72" s="21">
        <f>IF(MAX(E46:G46)=E46,"Environmental execution is currently the strongest pillar, helped by disclosed emissions improvement, renewable-electricity progress, and recycling metrics.",IF(MAX(E46:G46)=F46,"Social execution is currently the strongest pillar, supported by safety and turnover improvement.","Governance is currently the strongest pillar, supported by board independence and diversity."))</f>
        <v/>
      </c>
      <c r="O72" s="24" t="inlineStr">
        <is>
          <t>KNF</t>
        </is>
      </c>
      <c r="P72" s="24" t="inlineStr">
        <is>
          <t>Knife River Corporation</t>
        </is>
      </c>
      <c r="Q72" s="24" t="n">
        <v>2024</v>
      </c>
      <c r="R72" s="24" t="inlineStr">
        <is>
          <t>Construction Materials / Aggregates</t>
        </is>
      </c>
      <c r="S72" s="24" t="n">
        <v>4590364160</v>
      </c>
      <c r="T72" s="24" t="n">
        <v>3146011904</v>
      </c>
      <c r="U72" s="24" t="n">
        <v>1</v>
      </c>
      <c r="V72" s="24" t="n"/>
      <c r="W72" s="24" t="n">
        <v>33</v>
      </c>
      <c r="X72" s="24" t="n">
        <v>-28</v>
      </c>
      <c r="Y72" s="24" t="n"/>
      <c r="Z72" s="24" t="n"/>
      <c r="AA72" s="24" t="n"/>
      <c r="AB72" s="24" t="n"/>
      <c r="AC72" s="24" t="n"/>
      <c r="AD72" s="24" t="n"/>
      <c r="AE72" s="24" t="n">
        <v>1</v>
      </c>
      <c r="AF72" s="24" t="n"/>
      <c r="AG72" s="24" t="n"/>
      <c r="AH72" s="24" t="n">
        <v>1</v>
      </c>
      <c r="AI72" s="24" t="n"/>
      <c r="AJ72" s="24" t="n">
        <v>1</v>
      </c>
      <c r="AK72" s="24" t="n">
        <v>1</v>
      </c>
      <c r="AL72" s="24" t="inlineStr">
        <is>
          <t>Mixed disclosure; sustainability report source accessible via search, some fields not machine-accessible.</t>
        </is>
      </c>
      <c r="AM72" s="24" t="inlineStr">
        <is>
          <t>Knife River 2024 Sustainability Report search disclosure (33% renewable diesel; operational GHG emissions down 28% vs. 2022 baseline).</t>
        </is>
      </c>
      <c r="AN72" s="24" t="inlineStr">
        <is>
          <t>Knife River public sustainability materials (team member and workforce disclosure limited in accessible source set).</t>
        </is>
      </c>
      <c r="AO72" s="24" t="inlineStr">
        <is>
          <t>Knife River governance / proxy search disclosure (separate Chair and CEO; independent board excluding CEO) + Yahoo Finance governance risk.</t>
        </is>
      </c>
      <c r="AP72" s="25">
        <f>IF((IF(W72&lt;&gt;"",1,0)+IF(X72&lt;&gt;"",1,0)+IF(Y72&lt;&gt;"",1,0))=0,"",(IF(W72&lt;&gt;"",IF(W72&gt;=25,100,IF(W72&gt;=15,80,IF(W72&gt;=5,60,IF(W72&gt;0,40,20)))),0)+IF(X72&lt;&gt;"",IF(X72&lt;=-20,100,IF(X72&lt;0,80,IF(X72=0,60,IF(X72&lt;=5,40,20)))),0)+IF(Y72&lt;&gt;"",IF(Y72&lt;=25,100,IF(Y72&lt;=45,80,IF(Y72&lt;=70,60,40))),0))/(IF(W72&lt;&gt;"",1,0)+IF(X72&lt;&gt;"",1,0)+IF(Y72&lt;&gt;"",1,0)))</f>
        <v/>
      </c>
      <c r="AQ72" s="25">
        <f>((IF(U72&lt;&gt;"",1,0)+IF(V72&lt;&gt;"",1,0)+IF(W72&lt;&gt;"",1,0)+IF(X72&lt;&gt;"",1,0)+IF(Y72&lt;&gt;"",1,0))/5)*100</f>
        <v/>
      </c>
      <c r="AR72" s="25">
        <f>IF(V72="","",IF(V72&lt;=2030,100,IF(V72&lt;=2050,80,60)))</f>
        <v/>
      </c>
      <c r="AS72" s="25">
        <f>IF(W72="","",IF(W72&gt;=25,100,IF(W72&gt;=15,80,IF(W72&gt;=5,60,IF(W72&gt;0,40,20)))))</f>
        <v/>
      </c>
      <c r="AT72" s="25">
        <f>AP72</f>
        <v/>
      </c>
      <c r="AU72" s="25">
        <f>IF(COUNT(AQ72,AR72,AT72)=0,"",(AQ72+IFERROR(AR72,0)+IFERROR(AT72,0))/(1+IF(AR72="",0,1)+IF(AT72="",0,1)))</f>
        <v/>
      </c>
      <c r="AV72" s="25">
        <f>((IF(Z72&lt;&gt;"",1,0)+IF(AB72&lt;&gt;"",1,0)+IF(AC72&lt;&gt;"",1,0)+IF(AD72&lt;&gt;"",1,0)+IF(AE72&lt;&gt;"",1,0))/5)*100</f>
        <v/>
      </c>
      <c r="AW72" s="25">
        <f>IF(AB72&lt;&gt;"",IF(AB72&gt;=95,100,IF(AB72&gt;=90,80,IF(AB72&gt;=80,60,40))),IF(Z72="","",IF(Z72&lt;=0.2,100,IF(Z72&lt;=0.5,80,IF(Z72&lt;=1.0,60,IF(Z72&lt;=1.5,40,20))))))</f>
        <v/>
      </c>
      <c r="AX72" s="25">
        <f>IF(AC72="","",IF(AC72&lt;=10,100,IF(AC72&lt;=15,80,IF(AC72&lt;=20,60,IF(AC72&lt;=25,40,20)))))</f>
        <v/>
      </c>
      <c r="AY72" s="25">
        <f>IF(COUNT(AD72,AE72)=0,"",(IF(AD72="","",IF(AD72&gt;=50000,100,IF(AD72&gt;=10000,80,60)))+IF(AE72="","",IF(AE72=1,100,40)))/(IF(AD72="",0,1)+IF(AE72="",0,1)))</f>
        <v/>
      </c>
      <c r="AZ72" s="25">
        <f>IF(COUNT(AV72:AY72)=0,"",(AV72+IFERROR(AW72,0)+IFERROR(AX72,0)+IFERROR(AY72,0))/(1+IF(AW72="",0,1)+IF(AX72="",0,1)+IF(AY72="",0,1)))</f>
        <v/>
      </c>
      <c r="BA72" s="25">
        <f>IF(COUNT(AF72,AH72,AI72)=0,"",(IF(AF72="","",IF(AF72&gt;=90,100,IF(AF72&gt;=80,80,IF(AF72&gt;=70,60,40))))+IF(AH72="","",IF(AH72=1,100,IF(AI72=1,60,20))))/(IF(AF72="",0,1)+IF(AH72="",0,1)))</f>
        <v/>
      </c>
      <c r="BB72" s="25">
        <f>IF(AG72="","",IF(AG72&gt;=40,100,IF(AG72&gt;=30,80,IF(AG72&gt;=20,60,IF(AG72&gt;=10,40,20)))))</f>
        <v/>
      </c>
      <c r="BC72" s="25">
        <f>IF(AJ72="","",IF(AJ72&lt;=2,100,IF(AJ72&lt;=5,80,IF(AJ72&lt;=8,60,40))))</f>
        <v/>
      </c>
      <c r="BD72" s="25">
        <f>IF(AK72="","",IF(AK72=1,100,40))</f>
        <v/>
      </c>
      <c r="BE72" s="25">
        <f>IF(COUNT(BA72:BD72)=0,"",(IFERROR(BA72,0)+IFERROR(BB72,0)+IFERROR(BC72,0)+IFERROR(BD72,0))/(IF(BA72="",0,1)+IF(BB72="",0,1)+IF(BC72="",0,1)+IF(BD72="",0,1)))</f>
        <v/>
      </c>
      <c r="BF72" s="25">
        <f>IF(COUNT(AU72,AZ72,BE72)=0,"",((IF(AU72="",0,AU72*$K$5)+IF(AZ72="",0,AZ72*$K$6)+IF(BE72="",0,BE72*$K$7)) / ((IF(AU72="",0,$K$5)+IF(AZ72="",0,$K$6)+IF(BE72="",0,$K$7))))</f>
        <v/>
      </c>
      <c r="BG72" s="25">
        <f>((IF(U72&lt;&gt;"",1,0)+IF(V72&lt;&gt;"",1,0)+IF(W72&lt;&gt;"",1,0)+IF(X72&lt;&gt;"",1,0)+IF(Z72&lt;&gt;"",1,0)+IF(AB72&lt;&gt;"",1,0)+IF(AC72&lt;&gt;"",1,0)+IF(AF72&lt;&gt;"",1,0)+IF(AG72&lt;&gt;"",1,0)+IF(AH72&lt;&gt;"",1,0)+IF(AJ72&lt;&gt;"",1,0))/11)*100</f>
        <v/>
      </c>
    </row>
    <row r="73" ht="28" customHeight="1">
      <c r="A73" s="21">
        <f>IF(MIN(E46:G46)=E46,"The weakest pillar remains environmental transparency versus global materials leaders, which limits confidence in long-range carbon-intensity benchmarking.",IF(MIN(E46:G46)=F46,"The weakest pillar remains social disclosure depth versus best-in-class peers, even though safety indicators are solid.","The weakest pillar remains governance structure because the Chair / CEO roles are combined."))</f>
        <v/>
      </c>
      <c r="O73" s="24" t="inlineStr">
        <is>
          <t>CRH</t>
        </is>
      </c>
      <c r="P73" s="24" t="inlineStr">
        <is>
          <t>CRH plc</t>
        </is>
      </c>
      <c r="Q73" s="24" t="n">
        <v>2023</v>
      </c>
      <c r="R73" s="24" t="inlineStr">
        <is>
          <t>Building Materials</t>
        </is>
      </c>
      <c r="S73" s="24" t="n">
        <v>71169179648</v>
      </c>
      <c r="T73" s="24" t="n">
        <v>37447000064</v>
      </c>
      <c r="U73" s="24" t="n">
        <v>1</v>
      </c>
      <c r="V73" s="24" t="n">
        <v>2050</v>
      </c>
      <c r="W73" s="24" t="n"/>
      <c r="X73" s="24" t="n">
        <v>-8</v>
      </c>
      <c r="Y73" s="24" t="n">
        <v>43.9</v>
      </c>
      <c r="Z73" s="24" t="n">
        <v>1</v>
      </c>
      <c r="AA73" s="24" t="inlineStr">
        <is>
          <t>Frequency per 1m hours</t>
        </is>
      </c>
      <c r="AB73" s="24" t="n">
        <v>95</v>
      </c>
      <c r="AC73" s="24" t="n"/>
      <c r="AD73" s="24" t="n">
        <v>33949</v>
      </c>
      <c r="AE73" s="24" t="n">
        <v>1</v>
      </c>
      <c r="AF73" s="24" t="n">
        <v>91.7</v>
      </c>
      <c r="AG73" s="24" t="n">
        <v>41.7</v>
      </c>
      <c r="AH73" s="24" t="n">
        <v>1</v>
      </c>
      <c r="AI73" s="24" t="n"/>
      <c r="AJ73" s="24" t="n">
        <v>9</v>
      </c>
      <c r="AK73" s="24" t="n">
        <v>1</v>
      </c>
      <c r="AL73" s="24" t="inlineStr">
        <is>
          <t>High official disclosure; latest accessible sustainability report is FY2023.</t>
        </is>
      </c>
      <c r="AM73" s="24" t="inlineStr">
        <is>
          <t>CRH Sustainability Performance Report 2023 (34mt CO2e, 43.9 kg CO2e / $ revenue, 8% CO2 reduction).</t>
        </is>
      </c>
      <c r="AN73" s="24" t="inlineStr">
        <is>
          <t>CRH Sustainability Performance Report 2023 (frequency rate 1.0, 95 accident-free locations).</t>
        </is>
      </c>
      <c r="AO73" s="24" t="inlineStr">
        <is>
          <t>CRH 2024 annual / governance disclosures + Yahoo Finance governance risk metadata.</t>
        </is>
      </c>
      <c r="AP73" s="25">
        <f>IF((IF(W73&lt;&gt;"",1,0)+IF(X73&lt;&gt;"",1,0)+IF(Y73&lt;&gt;"",1,0))=0,"",(IF(W73&lt;&gt;"",IF(W73&gt;=25,100,IF(W73&gt;=15,80,IF(W73&gt;=5,60,IF(W73&gt;0,40,20)))),0)+IF(X73&lt;&gt;"",IF(X73&lt;=-20,100,IF(X73&lt;0,80,IF(X73=0,60,IF(X73&lt;=5,40,20)))),0)+IF(Y73&lt;&gt;"",IF(Y73&lt;=25,100,IF(Y73&lt;=45,80,IF(Y73&lt;=70,60,40))),0))/(IF(W73&lt;&gt;"",1,0)+IF(X73&lt;&gt;"",1,0)+IF(Y73&lt;&gt;"",1,0)))</f>
        <v/>
      </c>
      <c r="AQ73" s="25">
        <f>((IF(U73&lt;&gt;"",1,0)+IF(V73&lt;&gt;"",1,0)+IF(W73&lt;&gt;"",1,0)+IF(X73&lt;&gt;"",1,0)+IF(Y73&lt;&gt;"",1,0))/5)*100</f>
        <v/>
      </c>
      <c r="AR73" s="25">
        <f>IF(V73="","",IF(V73&lt;=2030,100,IF(V73&lt;=2050,80,60)))</f>
        <v/>
      </c>
      <c r="AS73" s="25">
        <f>IF(W73="","",IF(W73&gt;=25,100,IF(W73&gt;=15,80,IF(W73&gt;=5,60,IF(W73&gt;0,40,20)))))</f>
        <v/>
      </c>
      <c r="AT73" s="25">
        <f>AP73</f>
        <v/>
      </c>
      <c r="AU73" s="25">
        <f>IF(COUNT(AQ73,AR73,AT73)=0,"",(AQ73+IFERROR(AR73,0)+IFERROR(AT73,0))/(1+IF(AR73="",0,1)+IF(AT73="",0,1)))</f>
        <v/>
      </c>
      <c r="AV73" s="25">
        <f>((IF(Z73&lt;&gt;"",1,0)+IF(AB73&lt;&gt;"",1,0)+IF(AC73&lt;&gt;"",1,0)+IF(AD73&lt;&gt;"",1,0)+IF(AE73&lt;&gt;"",1,0))/5)*100</f>
        <v/>
      </c>
      <c r="AW73" s="25">
        <f>IF(AB73&lt;&gt;"",IF(AB73&gt;=95,100,IF(AB73&gt;=90,80,IF(AB73&gt;=80,60,40))),IF(Z73="","",IF(Z73&lt;=0.2,100,IF(Z73&lt;=0.5,80,IF(Z73&lt;=1.0,60,IF(Z73&lt;=1.5,40,20))))))</f>
        <v/>
      </c>
      <c r="AX73" s="25">
        <f>IF(AC73="","",IF(AC73&lt;=10,100,IF(AC73&lt;=15,80,IF(AC73&lt;=20,60,IF(AC73&lt;=25,40,20)))))</f>
        <v/>
      </c>
      <c r="AY73" s="25">
        <f>IF(COUNT(AD73,AE73)=0,"",(IF(AD73="","",IF(AD73&gt;=50000,100,IF(AD73&gt;=10000,80,60)))+IF(AE73="","",IF(AE73=1,100,40)))/(IF(AD73="",0,1)+IF(AE73="",0,1)))</f>
        <v/>
      </c>
      <c r="AZ73" s="25">
        <f>IF(COUNT(AV73:AY73)=0,"",(AV73+IFERROR(AW73,0)+IFERROR(AX73,0)+IFERROR(AY73,0))/(1+IF(AW73="",0,1)+IF(AX73="",0,1)+IF(AY73="",0,1)))</f>
        <v/>
      </c>
      <c r="BA73" s="25">
        <f>IF(COUNT(AF73,AH73,AI73)=0,"",(IF(AF73="","",IF(AF73&gt;=90,100,IF(AF73&gt;=80,80,IF(AF73&gt;=70,60,40))))+IF(AH73="","",IF(AH73=1,100,IF(AI73=1,60,20))))/(IF(AF73="",0,1)+IF(AH73="",0,1)))</f>
        <v/>
      </c>
      <c r="BB73" s="25">
        <f>IF(AG73="","",IF(AG73&gt;=40,100,IF(AG73&gt;=30,80,IF(AG73&gt;=20,60,IF(AG73&gt;=10,40,20)))))</f>
        <v/>
      </c>
      <c r="BC73" s="25">
        <f>IF(AJ73="","",IF(AJ73&lt;=2,100,IF(AJ73&lt;=5,80,IF(AJ73&lt;=8,60,40))))</f>
        <v/>
      </c>
      <c r="BD73" s="25">
        <f>IF(AK73="","",IF(AK73=1,100,40))</f>
        <v/>
      </c>
      <c r="BE73" s="25">
        <f>IF(COUNT(BA73:BD73)=0,"",(IFERROR(BA73,0)+IFERROR(BB73,0)+IFERROR(BC73,0)+IFERROR(BD73,0))/(IF(BA73="",0,1)+IF(BB73="",0,1)+IF(BC73="",0,1)+IF(BD73="",0,1)))</f>
        <v/>
      </c>
      <c r="BF73" s="25">
        <f>IF(COUNT(AU73,AZ73,BE73)=0,"",((IF(AU73="",0,AU73*$K$5)+IF(AZ73="",0,AZ73*$K$6)+IF(BE73="",0,BE73*$K$7)) / ((IF(AU73="",0,$K$5)+IF(AZ73="",0,$K$6)+IF(BE73="",0,$K$7))))</f>
        <v/>
      </c>
      <c r="BG73" s="25">
        <f>((IF(U73&lt;&gt;"",1,0)+IF(V73&lt;&gt;"",1,0)+IF(W73&lt;&gt;"",1,0)+IF(X73&lt;&gt;"",1,0)+IF(Z73&lt;&gt;"",1,0)+IF(AB73&lt;&gt;"",1,0)+IF(AC73&lt;&gt;"",1,0)+IF(AF73&lt;&gt;"",1,0)+IF(AG73&lt;&gt;"",1,0)+IF(AH73&lt;&gt;"",1,0)+IF(AJ73&lt;&gt;"",1,0))/11)*100</f>
        <v/>
      </c>
    </row>
    <row r="74" ht="28" customHeight="1">
      <c r="A74" s="21">
        <f>IF(H46&gt;=75,"Overall, ESG modestly supports the investment case and does not justify a valuation discount at present.","Overall, ESG is best treated as neutral-to-slightly negative for valuation until disclosure depth and environmental benchmarking improve.")</f>
        <v/>
      </c>
      <c r="O74" s="24" t="inlineStr">
        <is>
          <t>CX</t>
        </is>
      </c>
      <c r="P74" s="24" t="inlineStr">
        <is>
          <t>CEMEX</t>
        </is>
      </c>
      <c r="Q74" s="24" t="n">
        <v>2024</v>
      </c>
      <c r="R74" s="24" t="inlineStr">
        <is>
          <t>Cement / Building Materials</t>
        </is>
      </c>
      <c r="S74" s="24" t="n">
        <v>15610960896</v>
      </c>
      <c r="T74" s="24" t="n">
        <v>16131999744</v>
      </c>
      <c r="U74" s="24" t="n">
        <v>1</v>
      </c>
      <c r="V74" s="24" t="n">
        <v>2050</v>
      </c>
      <c r="W74" s="24" t="n"/>
      <c r="X74" s="24" t="n"/>
      <c r="Y74" s="24" t="n"/>
      <c r="Z74" s="24" t="n"/>
      <c r="AA74" s="24" t="n"/>
      <c r="AB74" s="24" t="n"/>
      <c r="AC74" s="24" t="n"/>
      <c r="AD74" s="24" t="n"/>
      <c r="AE74" s="24" t="n">
        <v>1</v>
      </c>
      <c r="AF74" s="24" t="n"/>
      <c r="AG74" s="24" t="n"/>
      <c r="AH74" s="24" t="n"/>
      <c r="AI74" s="24" t="n"/>
      <c r="AJ74" s="24" t="n"/>
      <c r="AK74" s="24" t="n">
        <v>1</v>
      </c>
      <c r="AL74" s="24" t="inlineStr">
        <is>
          <t>Mixed disclosure; official climate pages accessible, governance detail limited in accessible source set.</t>
        </is>
      </c>
      <c r="AM74" s="24" t="inlineStr">
        <is>
          <t>CEMEX official 'Future in Action' page (2050 net-zero goal; 2030 scope targets; 65% clean electricity target).</t>
        </is>
      </c>
      <c r="AN74" s="24" t="inlineStr">
        <is>
          <t>CEMEX public climate / sustainability pages; comparable safety metrics not reliably accessible in the source set.</t>
        </is>
      </c>
      <c r="AO74" s="24" t="inlineStr">
        <is>
          <t>Yahoo Finance governance risk not available at retrieval; governance fields left NM unless officially disclosed.</t>
        </is>
      </c>
      <c r="AP74" s="25">
        <f>IF((IF(W74&lt;&gt;"",1,0)+IF(X74&lt;&gt;"",1,0)+IF(Y74&lt;&gt;"",1,0))=0,"",(IF(W74&lt;&gt;"",IF(W74&gt;=25,100,IF(W74&gt;=15,80,IF(W74&gt;=5,60,IF(W74&gt;0,40,20)))),0)+IF(X74&lt;&gt;"",IF(X74&lt;=-20,100,IF(X74&lt;0,80,IF(X74=0,60,IF(X74&lt;=5,40,20)))),0)+IF(Y74&lt;&gt;"",IF(Y74&lt;=25,100,IF(Y74&lt;=45,80,IF(Y74&lt;=70,60,40))),0))/(IF(W74&lt;&gt;"",1,0)+IF(X74&lt;&gt;"",1,0)+IF(Y74&lt;&gt;"",1,0)))</f>
        <v/>
      </c>
      <c r="AQ74" s="25">
        <f>((IF(U74&lt;&gt;"",1,0)+IF(V74&lt;&gt;"",1,0)+IF(W74&lt;&gt;"",1,0)+IF(X74&lt;&gt;"",1,0)+IF(Y74&lt;&gt;"",1,0))/5)*100</f>
        <v/>
      </c>
      <c r="AR74" s="25">
        <f>IF(V74="","",IF(V74&lt;=2030,100,IF(V74&lt;=2050,80,60)))</f>
        <v/>
      </c>
      <c r="AS74" s="25">
        <f>IF(W74="","",IF(W74&gt;=25,100,IF(W74&gt;=15,80,IF(W74&gt;=5,60,IF(W74&gt;0,40,20)))))</f>
        <v/>
      </c>
      <c r="AT74" s="25">
        <f>AP74</f>
        <v/>
      </c>
      <c r="AU74" s="25">
        <f>IF(COUNT(AQ74,AR74,AT74)=0,"",(AQ74+IFERROR(AR74,0)+IFERROR(AT74,0))/(1+IF(AR74="",0,1)+IF(AT74="",0,1)))</f>
        <v/>
      </c>
      <c r="AV74" s="25">
        <f>((IF(Z74&lt;&gt;"",1,0)+IF(AB74&lt;&gt;"",1,0)+IF(AC74&lt;&gt;"",1,0)+IF(AD74&lt;&gt;"",1,0)+IF(AE74&lt;&gt;"",1,0))/5)*100</f>
        <v/>
      </c>
      <c r="AW74" s="25">
        <f>IF(AB74&lt;&gt;"",IF(AB74&gt;=95,100,IF(AB74&gt;=90,80,IF(AB74&gt;=80,60,40))),IF(Z74="","",IF(Z74&lt;=0.2,100,IF(Z74&lt;=0.5,80,IF(Z74&lt;=1.0,60,IF(Z74&lt;=1.5,40,20))))))</f>
        <v/>
      </c>
      <c r="AX74" s="25">
        <f>IF(AC74="","",IF(AC74&lt;=10,100,IF(AC74&lt;=15,80,IF(AC74&lt;=20,60,IF(AC74&lt;=25,40,20)))))</f>
        <v/>
      </c>
      <c r="AY74" s="25">
        <f>IF(COUNT(AD74,AE74)=0,"",(IF(AD74="","",IF(AD74&gt;=50000,100,IF(AD74&gt;=10000,80,60)))+IF(AE74="","",IF(AE74=1,100,40)))/(IF(AD74="",0,1)+IF(AE74="",0,1)))</f>
        <v/>
      </c>
      <c r="AZ74" s="25">
        <f>IF(COUNT(AV74:AY74)=0,"",(AV74+IFERROR(AW74,0)+IFERROR(AX74,0)+IFERROR(AY74,0))/(1+IF(AW74="",0,1)+IF(AX74="",0,1)+IF(AY74="",0,1)))</f>
        <v/>
      </c>
      <c r="BA74" s="25">
        <f>IF(COUNT(AF74,AH74,AI74)=0,"",(IF(AF74="","",IF(AF74&gt;=90,100,IF(AF74&gt;=80,80,IF(AF74&gt;=70,60,40))))+IF(AH74="","",IF(AH74=1,100,IF(AI74=1,60,20))))/(IF(AF74="",0,1)+IF(AH74="",0,1)))</f>
        <v/>
      </c>
      <c r="BB74" s="25">
        <f>IF(AG74="","",IF(AG74&gt;=40,100,IF(AG74&gt;=30,80,IF(AG74&gt;=20,60,IF(AG74&gt;=10,40,20)))))</f>
        <v/>
      </c>
      <c r="BC74" s="25">
        <f>IF(AJ74="","",IF(AJ74&lt;=2,100,IF(AJ74&lt;=5,80,IF(AJ74&lt;=8,60,40))))</f>
        <v/>
      </c>
      <c r="BD74" s="25">
        <f>IF(AK74="","",IF(AK74=1,100,40))</f>
        <v/>
      </c>
      <c r="BE74" s="25">
        <f>IF(COUNT(BA74:BD74)=0,"",(IFERROR(BA74,0)+IFERROR(BB74,0)+IFERROR(BC74,0)+IFERROR(BD74,0))/(IF(BA74="",0,1)+IF(BB74="",0,1)+IF(BC74="",0,1)+IF(BD74="",0,1)))</f>
        <v/>
      </c>
      <c r="BF74" s="25">
        <f>IF(COUNT(AU74,AZ74,BE74)=0,"",((IF(AU74="",0,AU74*$K$5)+IF(AZ74="",0,AZ74*$K$6)+IF(BE74="",0,BE74*$K$7)) / ((IF(AU74="",0,$K$5)+IF(AZ74="",0,$K$6)+IF(BE74="",0,$K$7))))</f>
        <v/>
      </c>
      <c r="BG74" s="25">
        <f>((IF(U74&lt;&gt;"",1,0)+IF(V74&lt;&gt;"",1,0)+IF(W74&lt;&gt;"",1,0)+IF(X74&lt;&gt;"",1,0)+IF(Z74&lt;&gt;"",1,0)+IF(AB74&lt;&gt;"",1,0)+IF(AC74&lt;&gt;"",1,0)+IF(AF74&lt;&gt;"",1,0)+IF(AG74&lt;&gt;"",1,0)+IF(AH74&lt;&gt;"",1,0)+IF(AJ74&lt;&gt;"",1,0))/11)*100</f>
        <v/>
      </c>
    </row>
    <row r="75">
      <c r="O75" s="24" t="inlineStr">
        <is>
          <t>EXP</t>
        </is>
      </c>
      <c r="P75" s="24" t="inlineStr">
        <is>
          <t>Eagle Materials</t>
        </is>
      </c>
      <c r="Q75" s="24" t="n">
        <v>2024</v>
      </c>
      <c r="R75" s="24" t="inlineStr">
        <is>
          <t>Construction Materials / Aggregates</t>
        </is>
      </c>
      <c r="S75" s="24" t="n">
        <v>6214620672</v>
      </c>
      <c r="T75" s="24" t="n">
        <v>2299727104</v>
      </c>
      <c r="U75" s="24" t="n">
        <v>1</v>
      </c>
      <c r="V75" s="24" t="n"/>
      <c r="W75" s="24" t="n"/>
      <c r="X75" s="24" t="n"/>
      <c r="Y75" s="24" t="n"/>
      <c r="Z75" s="24" t="n"/>
      <c r="AA75" s="24" t="n"/>
      <c r="AB75" s="24" t="n"/>
      <c r="AC75" s="24" t="n"/>
      <c r="AD75" s="24" t="n"/>
      <c r="AE75" s="24" t="n">
        <v>1</v>
      </c>
      <c r="AF75" s="24" t="n"/>
      <c r="AG75" s="24" t="n"/>
      <c r="AH75" s="24" t="n"/>
      <c r="AI75" s="24" t="n"/>
      <c r="AJ75" s="24" t="n">
        <v>3</v>
      </c>
      <c r="AK75" s="24" t="n"/>
      <c r="AL75" s="24" t="inlineStr">
        <is>
          <t>Limited accessible disclosure; sustainability page confirmed, report link not machine-retrievable from site crawl.</t>
        </is>
      </c>
      <c r="AM75" s="24" t="inlineStr">
        <is>
          <t>Eagle Materials sustainability landing page (official disclosure page; detailed PDF not programmatically retrievable).</t>
        </is>
      </c>
      <c r="AN75" s="24" t="inlineStr">
        <is>
          <t>Eagle Materials public sustainability landing page; comparable safety KPIs not accessible in the source set.</t>
        </is>
      </c>
      <c r="AO75" s="24" t="inlineStr">
        <is>
          <t>Yahoo Finance governance risk metadata; official board metrics left NM where not accessible.</t>
        </is>
      </c>
      <c r="AP75" s="25">
        <f>IF((IF(W75&lt;&gt;"",1,0)+IF(X75&lt;&gt;"",1,0)+IF(Y75&lt;&gt;"",1,0))=0,"",(IF(W75&lt;&gt;"",IF(W75&gt;=25,100,IF(W75&gt;=15,80,IF(W75&gt;=5,60,IF(W75&gt;0,40,20)))),0)+IF(X75&lt;&gt;"",IF(X75&lt;=-20,100,IF(X75&lt;0,80,IF(X75=0,60,IF(X75&lt;=5,40,20)))),0)+IF(Y75&lt;&gt;"",IF(Y75&lt;=25,100,IF(Y75&lt;=45,80,IF(Y75&lt;=70,60,40))),0))/(IF(W75&lt;&gt;"",1,0)+IF(X75&lt;&gt;"",1,0)+IF(Y75&lt;&gt;"",1,0)))</f>
        <v/>
      </c>
      <c r="AQ75" s="25">
        <f>((IF(U75&lt;&gt;"",1,0)+IF(V75&lt;&gt;"",1,0)+IF(W75&lt;&gt;"",1,0)+IF(X75&lt;&gt;"",1,0)+IF(Y75&lt;&gt;"",1,0))/5)*100</f>
        <v/>
      </c>
      <c r="AR75" s="25">
        <f>IF(V75="","",IF(V75&lt;=2030,100,IF(V75&lt;=2050,80,60)))</f>
        <v/>
      </c>
      <c r="AS75" s="25">
        <f>IF(W75="","",IF(W75&gt;=25,100,IF(W75&gt;=15,80,IF(W75&gt;=5,60,IF(W75&gt;0,40,20)))))</f>
        <v/>
      </c>
      <c r="AT75" s="25">
        <f>AP75</f>
        <v/>
      </c>
      <c r="AU75" s="25">
        <f>IF(COUNT(AQ75,AR75,AT75)=0,"",(AQ75+IFERROR(AR75,0)+IFERROR(AT75,0))/(1+IF(AR75="",0,1)+IF(AT75="",0,1)))</f>
        <v/>
      </c>
      <c r="AV75" s="25">
        <f>((IF(Z75&lt;&gt;"",1,0)+IF(AB75&lt;&gt;"",1,0)+IF(AC75&lt;&gt;"",1,0)+IF(AD75&lt;&gt;"",1,0)+IF(AE75&lt;&gt;"",1,0))/5)*100</f>
        <v/>
      </c>
      <c r="AW75" s="25">
        <f>IF(AB75&lt;&gt;"",IF(AB75&gt;=95,100,IF(AB75&gt;=90,80,IF(AB75&gt;=80,60,40))),IF(Z75="","",IF(Z75&lt;=0.2,100,IF(Z75&lt;=0.5,80,IF(Z75&lt;=1.0,60,IF(Z75&lt;=1.5,40,20))))))</f>
        <v/>
      </c>
      <c r="AX75" s="25">
        <f>IF(AC75="","",IF(AC75&lt;=10,100,IF(AC75&lt;=15,80,IF(AC75&lt;=20,60,IF(AC75&lt;=25,40,20)))))</f>
        <v/>
      </c>
      <c r="AY75" s="25">
        <f>IF(COUNT(AD75,AE75)=0,"",(IF(AD75="","",IF(AD75&gt;=50000,100,IF(AD75&gt;=10000,80,60)))+IF(AE75="","",IF(AE75=1,100,40)))/(IF(AD75="",0,1)+IF(AE75="",0,1)))</f>
        <v/>
      </c>
      <c r="AZ75" s="25">
        <f>IF(COUNT(AV75:AY75)=0,"",(AV75+IFERROR(AW75,0)+IFERROR(AX75,0)+IFERROR(AY75,0))/(1+IF(AW75="",0,1)+IF(AX75="",0,1)+IF(AY75="",0,1)))</f>
        <v/>
      </c>
      <c r="BA75" s="25">
        <f>IF(COUNT(AF75,AH75,AI75)=0,"",(IF(AF75="","",IF(AF75&gt;=90,100,IF(AF75&gt;=80,80,IF(AF75&gt;=70,60,40))))+IF(AH75="","",IF(AH75=1,100,IF(AI75=1,60,20))))/(IF(AF75="",0,1)+IF(AH75="",0,1)))</f>
        <v/>
      </c>
      <c r="BB75" s="25">
        <f>IF(AG75="","",IF(AG75&gt;=40,100,IF(AG75&gt;=30,80,IF(AG75&gt;=20,60,IF(AG75&gt;=10,40,20)))))</f>
        <v/>
      </c>
      <c r="BC75" s="25">
        <f>IF(AJ75="","",IF(AJ75&lt;=2,100,IF(AJ75&lt;=5,80,IF(AJ75&lt;=8,60,40))))</f>
        <v/>
      </c>
      <c r="BD75" s="25">
        <f>IF(AK75="","",IF(AK75=1,100,40))</f>
        <v/>
      </c>
      <c r="BE75" s="25">
        <f>IF(COUNT(BA75:BD75)=0,"",(IFERROR(BA75,0)+IFERROR(BB75,0)+IFERROR(BC75,0)+IFERROR(BD75,0))/(IF(BA75="",0,1)+IF(BB75="",0,1)+IF(BC75="",0,1)+IF(BD75="",0,1)))</f>
        <v/>
      </c>
      <c r="BF75" s="25">
        <f>IF(COUNT(AU75,AZ75,BE75)=0,"",((IF(AU75="",0,AU75*$K$5)+IF(AZ75="",0,AZ75*$K$6)+IF(BE75="",0,BE75*$K$7)) / ((IF(AU75="",0,$K$5)+IF(AZ75="",0,$K$6)+IF(BE75="",0,$K$7))))</f>
        <v/>
      </c>
      <c r="BG75" s="25">
        <f>((IF(U75&lt;&gt;"",1,0)+IF(V75&lt;&gt;"",1,0)+IF(W75&lt;&gt;"",1,0)+IF(X75&lt;&gt;"",1,0)+IF(Z75&lt;&gt;"",1,0)+IF(AB75&lt;&gt;"",1,0)+IF(AC75&lt;&gt;"",1,0)+IF(AF75&lt;&gt;"",1,0)+IF(AG75&lt;&gt;"",1,0)+IF(AH75&lt;&gt;"",1,0)+IF(AJ75&lt;&gt;"",1,0))/11)*100</f>
        <v/>
      </c>
    </row>
    <row r="76">
      <c r="A76" s="3" t="inlineStr">
        <is>
          <t>I. Sources &amp; Methodology Notes</t>
        </is>
      </c>
    </row>
    <row r="77">
      <c r="A77" s="17" t="inlineStr">
        <is>
          <t>VMC source set: 2024 Sustainability Report; 2025 Proxy Statement; company CSR / governance pages; FY2024 revenue uses the company-reported 2024 sustainability-report figure because the base model workbook was not present.</t>
        </is>
      </c>
    </row>
    <row r="78">
      <c r="A78" s="17" t="inlineStr">
        <is>
          <t>Peer official sources: Martin Marietta 2024 Sustainability Report; CRH Sustainability Performance Report 2023; Knife River public sustainability / proxy search disclosures; CEMEX Future in Action climate pages; Eagle Materials sustainability page.</t>
        </is>
      </c>
    </row>
    <row r="79">
      <c r="A79" s="17" t="inlineStr">
        <is>
          <t>Market / governance metadata: Yahoo Finance public company metadata for price, market cap, trailing revenue, and governance-risk fields where available.</t>
        </is>
      </c>
    </row>
    <row r="80">
      <c r="A80" s="17" t="inlineStr">
        <is>
          <t>Scoring methodology: Environmental / Social / Governance weights are editable in cells K5:K7. Metric scores use explicit threshold rules; pillar scores average available metric scores only; missing fields remain NM and are not backfilled.</t>
        </is>
      </c>
    </row>
    <row r="81">
      <c r="A81" s="17" t="inlineStr">
        <is>
          <t>Comparability caveat: peer ESG fiscal years are not perfectly aligned because the latest accessible official sustainability reports vary by company. FY2024 is used where accessible; CRH remains FY2023 in the current source set.</t>
        </is>
      </c>
    </row>
    <row r="82">
      <c r="A82" s="17" t="inlineStr">
        <is>
          <t>No third-party ESG rating was fabricated. Where official company disclosures were not reliably accessible, cells remain blank / NM and the peer-coverage score highlights lower disclosure depth.</t>
        </is>
      </c>
    </row>
  </sheetData>
  <mergeCells count="27">
    <mergeCell ref="A77:N77"/>
    <mergeCell ref="A34:N34"/>
    <mergeCell ref="A24:N24"/>
    <mergeCell ref="B6:E6"/>
    <mergeCell ref="B8:E9"/>
    <mergeCell ref="A82:N82"/>
    <mergeCell ref="H15:N22"/>
    <mergeCell ref="A73:N73"/>
    <mergeCell ref="H36:N42"/>
    <mergeCell ref="A1:N1"/>
    <mergeCell ref="A70:N70"/>
    <mergeCell ref="A79:N79"/>
    <mergeCell ref="A61:N61"/>
    <mergeCell ref="A78:N78"/>
    <mergeCell ref="A74:N74"/>
    <mergeCell ref="A80:N80"/>
    <mergeCell ref="A2:N2"/>
    <mergeCell ref="A76:N76"/>
    <mergeCell ref="A71:N71"/>
    <mergeCell ref="H26:N32"/>
    <mergeCell ref="A53:N53"/>
    <mergeCell ref="A4:N4"/>
    <mergeCell ref="K9:N10"/>
    <mergeCell ref="A72:N72"/>
    <mergeCell ref="A81:N81"/>
    <mergeCell ref="A13:N13"/>
    <mergeCell ref="A44:N44"/>
  </mergeCells>
  <conditionalFormatting sqref="E46:H51">
    <cfRule type="colorScale" priority="1">
      <colorScale>
        <cfvo type="num" val="40"/>
        <cfvo type="num" val="65"/>
        <cfvo type="num" val="85"/>
        <color rgb="00F8696B"/>
        <color rgb="00FFEB84"/>
        <color rgb="0063BE7B"/>
      </colorScale>
    </cfRule>
  </conditionalFormatting>
  <conditionalFormatting sqref="N46:N51">
    <cfRule type="expression" priority="2" dxfId="0">
      <formula>$N46&lt;=2</formula>
    </cfRule>
    <cfRule type="expression" priority="3" dxfId="1">
      <formula>AND($N46&gt;2,$N46&lt;5)</formula>
    </cfRule>
    <cfRule type="expression" priority="4" dxfId="2">
      <formula>$N46&gt;=5</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2026-03-10T20:19:59Z</dcterms:created>
  <dcterms:modified xsi:type="dcterms:W3CDTF">2026-03-10T20:19:59Z</dcterms:modified>
</cp:coreProperties>
</file>